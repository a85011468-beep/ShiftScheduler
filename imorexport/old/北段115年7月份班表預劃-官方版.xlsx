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-車站資料(約70G)\01-北段車站\A1台北車站\待辦事項\115年1月~12月預劃班表\已截止\"/>
    </mc:Choice>
  </mc:AlternateContent>
  <bookViews>
    <workbookView xWindow="0" yWindow="0" windowWidth="28800" windowHeight="10935"/>
  </bookViews>
  <sheets>
    <sheet name="北段" sheetId="4" r:id="rId1"/>
    <sheet name="北段 (人資版)" sheetId="9" r:id="rId2"/>
    <sheet name="北段(八周檢核代碼" sheetId="5" r:id="rId3"/>
    <sheet name="工作表1" sheetId="6" r:id="rId4"/>
    <sheet name="工作表2" sheetId="11" r:id="rId5"/>
  </sheets>
  <externalReferences>
    <externalReference r:id="rId6"/>
  </externalReferences>
  <definedNames>
    <definedName name="_xlnm._FilterDatabase" localSheetId="0" hidden="1">北段!$A$2:$BN$78</definedName>
    <definedName name="_xlnm._FilterDatabase" localSheetId="1" hidden="1">'北段 (人資版)'!$A$2:$AC$70</definedName>
    <definedName name="_xlnm._FilterDatabase" localSheetId="2" hidden="1">'北段(八周檢核代碼'!$A$2:$AJ$73</definedName>
    <definedName name="_xlnm.Print_Area" localSheetId="0">北段!$A$1:$BQ$110</definedName>
    <definedName name="_xlnm.Print_Area" localSheetId="1">'北段 (人資版)'!$A$1:$AC$70</definedName>
    <definedName name="_xlnm.Print_Area" localSheetId="2">'北段(八周檢核代碼'!$A$1:$AN$73</definedName>
    <definedName name="Z_BD804FFF_0FA6_4DDB_B9D5_07B1854E6033_.wvu.FilterData" localSheetId="0" hidden="1">北段!$A$2:$BJ$78</definedName>
    <definedName name="Z_BD804FFF_0FA6_4DDB_B9D5_07B1854E6033_.wvu.FilterData" localSheetId="1" hidden="1">'北段 (人資版)'!$A$2:$AC$70</definedName>
    <definedName name="Z_BD804FFF_0FA6_4DDB_B9D5_07B1854E6033_.wvu.FilterData" localSheetId="2" hidden="1">'北段(八周檢核代碼'!$A$2:$AJ$68</definedName>
    <definedName name="Z_BD804FFF_0FA6_4DDB_B9D5_07B1854E6033_.wvu.PrintArea" localSheetId="0" hidden="1">北段!$A$1:$BH$111</definedName>
    <definedName name="Z_BD804FFF_0FA6_4DDB_B9D5_07B1854E6033_.wvu.PrintArea" localSheetId="1" hidden="1">'北段 (人資版)'!$A$1:$AC$70</definedName>
    <definedName name="Z_BD804FFF_0FA6_4DDB_B9D5_07B1854E6033_.wvu.PrintArea" localSheetId="2" hidden="1">'北段(八周檢核代碼'!$A$1:$AJ$68</definedName>
    <definedName name="Z_BD804FFF_0FA6_4DDB_B9D5_07B1854E6033_.wvu.Rows" localSheetId="0" hidden="1">北段!#REF!</definedName>
    <definedName name="Z_BD804FFF_0FA6_4DDB_B9D5_07B1854E6033_.wvu.Rows" localSheetId="1" hidden="1">'北段 (人資版)'!#REF!</definedName>
    <definedName name="Z_BD804FFF_0FA6_4DDB_B9D5_07B1854E6033_.wvu.Rows" localSheetId="2" hidden="1">'北段(八周檢核代碼'!#REF!</definedName>
  </definedNames>
  <calcPr calcId="162913"/>
  <customWorkbookViews>
    <customWorkbookView name="吳婉婷 - 個人檢視畫面" guid="{BD804FFF-0FA6-4DDB-B9D5-07B1854E6033}" mergeInterval="0" personalView="1" maximized="1" windowWidth="1916" windowHeight="841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D13" i="4" l="1"/>
  <c r="AR4" i="4" l="1"/>
  <c r="AT4" i="4" s="1"/>
  <c r="AS4" i="4"/>
  <c r="AU4" i="4" s="1"/>
  <c r="AR5" i="4"/>
  <c r="AT5" i="4" s="1"/>
  <c r="AS5" i="4"/>
  <c r="AU5" i="4" s="1"/>
  <c r="AR6" i="4"/>
  <c r="AT6" i="4" s="1"/>
  <c r="AS6" i="4"/>
  <c r="AU6" i="4" s="1"/>
  <c r="AR7" i="4"/>
  <c r="AT7" i="4" s="1"/>
  <c r="AS7" i="4"/>
  <c r="AU7" i="4" s="1"/>
  <c r="AR8" i="4"/>
  <c r="AT8" i="4" s="1"/>
  <c r="AS8" i="4"/>
  <c r="AU8" i="4" s="1"/>
  <c r="AR9" i="4"/>
  <c r="AT9" i="4" s="1"/>
  <c r="AS9" i="4"/>
  <c r="AU9" i="4" s="1"/>
  <c r="AR10" i="4"/>
  <c r="AT10" i="4" s="1"/>
  <c r="AS10" i="4"/>
  <c r="AU10" i="4" s="1"/>
  <c r="AR11" i="4"/>
  <c r="AT11" i="4" s="1"/>
  <c r="AS11" i="4"/>
  <c r="AU11" i="4" s="1"/>
  <c r="AR12" i="4"/>
  <c r="AT12" i="4" s="1"/>
  <c r="AS12" i="4"/>
  <c r="AU12" i="4" s="1"/>
  <c r="AR13" i="4"/>
  <c r="AT13" i="4" s="1"/>
  <c r="AS13" i="4"/>
  <c r="AU13" i="4" s="1"/>
  <c r="AR14" i="4"/>
  <c r="AT14" i="4" s="1"/>
  <c r="AS14" i="4"/>
  <c r="AU14" i="4" s="1"/>
  <c r="AR15" i="4"/>
  <c r="AT15" i="4" s="1"/>
  <c r="AS15" i="4"/>
  <c r="AU15" i="4" s="1"/>
  <c r="AR16" i="4"/>
  <c r="AT16" i="4" s="1"/>
  <c r="AS16" i="4"/>
  <c r="AU16" i="4" s="1"/>
  <c r="AR17" i="4"/>
  <c r="AT17" i="4" s="1"/>
  <c r="AS17" i="4"/>
  <c r="AU17" i="4" s="1"/>
  <c r="AR18" i="4"/>
  <c r="AT18" i="4" s="1"/>
  <c r="AS18" i="4"/>
  <c r="AU18" i="4" s="1"/>
  <c r="AR19" i="4"/>
  <c r="AT19" i="4" s="1"/>
  <c r="AS19" i="4"/>
  <c r="AU19" i="4" s="1"/>
  <c r="AR20" i="4"/>
  <c r="AT20" i="4" s="1"/>
  <c r="AS20" i="4"/>
  <c r="AU20" i="4" s="1"/>
  <c r="AR21" i="4"/>
  <c r="AT21" i="4" s="1"/>
  <c r="AS21" i="4"/>
  <c r="AU21" i="4" s="1"/>
  <c r="AR22" i="4"/>
  <c r="AT22" i="4" s="1"/>
  <c r="AS22" i="4"/>
  <c r="AU22" i="4" s="1"/>
  <c r="AR23" i="4"/>
  <c r="AT23" i="4" s="1"/>
  <c r="AS23" i="4"/>
  <c r="AU23" i="4" s="1"/>
  <c r="AR24" i="4"/>
  <c r="AT24" i="4" s="1"/>
  <c r="AS24" i="4"/>
  <c r="AU24" i="4" s="1"/>
  <c r="AR25" i="4"/>
  <c r="AT25" i="4" s="1"/>
  <c r="AS25" i="4"/>
  <c r="AU25" i="4" s="1"/>
  <c r="AR26" i="4"/>
  <c r="AT26" i="4" s="1"/>
  <c r="AS26" i="4"/>
  <c r="AU26" i="4" s="1"/>
  <c r="AR27" i="4"/>
  <c r="AT27" i="4" s="1"/>
  <c r="AS27" i="4"/>
  <c r="AU27" i="4" s="1"/>
  <c r="AR28" i="4"/>
  <c r="AT28" i="4" s="1"/>
  <c r="AS28" i="4"/>
  <c r="AU28" i="4" s="1"/>
  <c r="AR29" i="4"/>
  <c r="AT29" i="4" s="1"/>
  <c r="AS29" i="4"/>
  <c r="AU29" i="4" s="1"/>
  <c r="AR30" i="4"/>
  <c r="AT30" i="4" s="1"/>
  <c r="AS30" i="4"/>
  <c r="AU30" i="4" s="1"/>
  <c r="AR31" i="4"/>
  <c r="AT31" i="4" s="1"/>
  <c r="AS31" i="4"/>
  <c r="AU31" i="4" s="1"/>
  <c r="AR32" i="4"/>
  <c r="AT32" i="4" s="1"/>
  <c r="AS32" i="4"/>
  <c r="AU32" i="4" s="1"/>
  <c r="AR33" i="4"/>
  <c r="AT33" i="4" s="1"/>
  <c r="AS33" i="4"/>
  <c r="AU33" i="4" s="1"/>
  <c r="AR34" i="4"/>
  <c r="AT34" i="4" s="1"/>
  <c r="AS34" i="4"/>
  <c r="AU34" i="4" s="1"/>
  <c r="AR35" i="4"/>
  <c r="AT35" i="4" s="1"/>
  <c r="AS35" i="4"/>
  <c r="AU35" i="4" s="1"/>
  <c r="AR36" i="4"/>
  <c r="AT36" i="4" s="1"/>
  <c r="AS36" i="4"/>
  <c r="AU36" i="4" s="1"/>
  <c r="AR37" i="4"/>
  <c r="AT37" i="4" s="1"/>
  <c r="AS37" i="4"/>
  <c r="AU37" i="4" s="1"/>
  <c r="AR38" i="4"/>
  <c r="AT38" i="4" s="1"/>
  <c r="AS38" i="4"/>
  <c r="AU38" i="4" s="1"/>
  <c r="AR39" i="4"/>
  <c r="AT39" i="4" s="1"/>
  <c r="AS39" i="4"/>
  <c r="AU39" i="4" s="1"/>
  <c r="AR40" i="4"/>
  <c r="AT40" i="4" s="1"/>
  <c r="AS40" i="4"/>
  <c r="AU40" i="4" s="1"/>
  <c r="AR41" i="4"/>
  <c r="AT41" i="4" s="1"/>
  <c r="AS41" i="4"/>
  <c r="AU41" i="4" s="1"/>
  <c r="AR42" i="4"/>
  <c r="AT42" i="4" s="1"/>
  <c r="AS42" i="4"/>
  <c r="AU42" i="4" s="1"/>
  <c r="AR43" i="4"/>
  <c r="AT43" i="4" s="1"/>
  <c r="AS43" i="4"/>
  <c r="AU43" i="4" s="1"/>
  <c r="AR44" i="4"/>
  <c r="AT44" i="4" s="1"/>
  <c r="AS44" i="4"/>
  <c r="AU44" i="4" s="1"/>
  <c r="AR45" i="4"/>
  <c r="AT45" i="4" s="1"/>
  <c r="AS45" i="4"/>
  <c r="AU45" i="4" s="1"/>
  <c r="AR46" i="4"/>
  <c r="AT46" i="4" s="1"/>
  <c r="AS46" i="4"/>
  <c r="AU46" i="4" s="1"/>
  <c r="AR47" i="4"/>
  <c r="AT47" i="4" s="1"/>
  <c r="AS47" i="4"/>
  <c r="AU47" i="4" s="1"/>
  <c r="AR48" i="4"/>
  <c r="AT48" i="4" s="1"/>
  <c r="AS48" i="4"/>
  <c r="AU48" i="4" s="1"/>
  <c r="AR49" i="4"/>
  <c r="AT49" i="4" s="1"/>
  <c r="AS49" i="4"/>
  <c r="AU49" i="4" s="1"/>
  <c r="AR50" i="4"/>
  <c r="AT50" i="4" s="1"/>
  <c r="AS50" i="4"/>
  <c r="AU50" i="4" s="1"/>
  <c r="AR51" i="4"/>
  <c r="AT51" i="4" s="1"/>
  <c r="AS51" i="4"/>
  <c r="AU51" i="4" s="1"/>
  <c r="AR52" i="4"/>
  <c r="AT52" i="4" s="1"/>
  <c r="AS52" i="4"/>
  <c r="AU52" i="4" s="1"/>
  <c r="AR53" i="4"/>
  <c r="AT53" i="4" s="1"/>
  <c r="AS53" i="4"/>
  <c r="AU53" i="4" s="1"/>
  <c r="AR54" i="4"/>
  <c r="AT54" i="4" s="1"/>
  <c r="AS54" i="4"/>
  <c r="AU54" i="4" s="1"/>
  <c r="AR55" i="4"/>
  <c r="AT55" i="4" s="1"/>
  <c r="AS55" i="4"/>
  <c r="AU55" i="4" s="1"/>
  <c r="AR56" i="4"/>
  <c r="AT56" i="4" s="1"/>
  <c r="AS56" i="4"/>
  <c r="AU56" i="4" s="1"/>
  <c r="AR57" i="4"/>
  <c r="AT57" i="4" s="1"/>
  <c r="AS57" i="4"/>
  <c r="AU57" i="4" s="1"/>
  <c r="AR58" i="4"/>
  <c r="AT58" i="4" s="1"/>
  <c r="AS58" i="4"/>
  <c r="AU58" i="4" s="1"/>
  <c r="AR59" i="4"/>
  <c r="AT59" i="4" s="1"/>
  <c r="AS59" i="4"/>
  <c r="AU59" i="4" s="1"/>
  <c r="AR60" i="4"/>
  <c r="AT60" i="4" s="1"/>
  <c r="AS60" i="4"/>
  <c r="AU60" i="4" s="1"/>
  <c r="AR61" i="4"/>
  <c r="AT61" i="4" s="1"/>
  <c r="AS61" i="4"/>
  <c r="AU61" i="4" s="1"/>
  <c r="AR62" i="4"/>
  <c r="AT62" i="4" s="1"/>
  <c r="AS62" i="4"/>
  <c r="AU62" i="4" s="1"/>
  <c r="AR63" i="4"/>
  <c r="AT63" i="4" s="1"/>
  <c r="AS63" i="4"/>
  <c r="AU63" i="4" s="1"/>
  <c r="AR64" i="4"/>
  <c r="AT64" i="4" s="1"/>
  <c r="AS64" i="4"/>
  <c r="AU64" i="4" s="1"/>
  <c r="AR65" i="4"/>
  <c r="AT65" i="4" s="1"/>
  <c r="AS65" i="4"/>
  <c r="AU65" i="4" s="1"/>
  <c r="AR66" i="4"/>
  <c r="AT66" i="4" s="1"/>
  <c r="AS66" i="4"/>
  <c r="AU66" i="4" s="1"/>
  <c r="AR67" i="4"/>
  <c r="AT67" i="4" s="1"/>
  <c r="AS67" i="4"/>
  <c r="AU67" i="4" s="1"/>
  <c r="AR68" i="4"/>
  <c r="AT68" i="4" s="1"/>
  <c r="AS68" i="4"/>
  <c r="AU68" i="4" s="1"/>
  <c r="AR69" i="4"/>
  <c r="AT69" i="4" s="1"/>
  <c r="AS69" i="4"/>
  <c r="AU69" i="4" s="1"/>
  <c r="AR70" i="4"/>
  <c r="AT70" i="4" s="1"/>
  <c r="AS70" i="4"/>
  <c r="AU70" i="4" s="1"/>
  <c r="AR71" i="4"/>
  <c r="AT71" i="4" s="1"/>
  <c r="AS71" i="4"/>
  <c r="AU71" i="4" s="1"/>
  <c r="AR72" i="4"/>
  <c r="AT72" i="4" s="1"/>
  <c r="AS72" i="4"/>
  <c r="AU72" i="4" s="1"/>
  <c r="AR3" i="4"/>
  <c r="AT3" i="4" s="1"/>
  <c r="AS3" i="4"/>
  <c r="AU3" i="4" s="1"/>
  <c r="BG3" i="4" a="1"/>
  <c r="BG3" i="4" s="1"/>
  <c r="BF3" i="4" a="1"/>
  <c r="BF3" i="4" s="1"/>
  <c r="BE3" i="4" a="1"/>
  <c r="BE3" i="4" s="1"/>
  <c r="BD3" i="4"/>
  <c r="BC3" i="4"/>
  <c r="BB3" i="4"/>
  <c r="BA3" i="4"/>
  <c r="AZ3" i="4"/>
  <c r="AY3" i="4" s="1"/>
  <c r="AW3" i="4"/>
  <c r="AX3" i="4"/>
  <c r="BQ3" i="4" a="1"/>
  <c r="BQ3" i="4" s="1"/>
  <c r="AM3" i="4" s="1"/>
  <c r="AV3" i="4" l="1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AH2" i="4"/>
  <c r="AI2" i="4"/>
  <c r="AJ2" i="4"/>
  <c r="AK2" i="4"/>
  <c r="AL2" i="4"/>
  <c r="BM3" i="4" a="1"/>
  <c r="BM3" i="4" s="1"/>
  <c r="BJ3" i="4" a="1"/>
  <c r="BJ3" i="4" s="1"/>
  <c r="AX10" i="4"/>
  <c r="AW4" i="4"/>
  <c r="AV4" i="4" s="1"/>
  <c r="AX4" i="4"/>
  <c r="AZ4" i="4"/>
  <c r="AY4" i="4" s="1"/>
  <c r="BA4" i="4"/>
  <c r="BB4" i="4"/>
  <c r="BC4" i="4"/>
  <c r="BD4" i="4"/>
  <c r="BE4" i="4" a="1"/>
  <c r="BE4" i="4" s="1"/>
  <c r="BF4" i="4" a="1"/>
  <c r="BF4" i="4" s="1"/>
  <c r="BG4" i="4" a="1"/>
  <c r="BG4" i="4" s="1"/>
  <c r="BI4" i="4" a="1"/>
  <c r="BI4" i="4" s="1"/>
  <c r="BJ4" i="4" a="1"/>
  <c r="BJ4" i="4" s="1"/>
  <c r="BK4" i="4" a="1"/>
  <c r="BK4" i="4" s="1"/>
  <c r="BL4" i="4" a="1"/>
  <c r="BL4" i="4" s="1"/>
  <c r="BM4" i="4" a="1"/>
  <c r="BM4" i="4" s="1"/>
  <c r="AW5" i="4"/>
  <c r="AV5" i="4" s="1"/>
  <c r="AX5" i="4"/>
  <c r="AZ5" i="4"/>
  <c r="AY5" i="4" s="1"/>
  <c r="BA5" i="4"/>
  <c r="BB5" i="4"/>
  <c r="BC5" i="4"/>
  <c r="BD5" i="4"/>
  <c r="BE5" i="4" a="1"/>
  <c r="BE5" i="4" s="1"/>
  <c r="BF5" i="4" a="1"/>
  <c r="BF5" i="4" s="1"/>
  <c r="BG5" i="4" a="1"/>
  <c r="BG5" i="4" s="1"/>
  <c r="BI5" i="4" a="1"/>
  <c r="BI5" i="4" s="1"/>
  <c r="BJ5" i="4" a="1"/>
  <c r="BJ5" i="4" s="1"/>
  <c r="BK5" i="4" a="1"/>
  <c r="BK5" i="4" s="1"/>
  <c r="BL5" i="4" a="1"/>
  <c r="BL5" i="4" s="1"/>
  <c r="BM5" i="4" a="1"/>
  <c r="BM5" i="4" s="1"/>
  <c r="AW6" i="4"/>
  <c r="AV6" i="4" s="1"/>
  <c r="AX6" i="4"/>
  <c r="AZ6" i="4"/>
  <c r="AY6" i="4" s="1"/>
  <c r="BA6" i="4"/>
  <c r="BB6" i="4"/>
  <c r="BC6" i="4"/>
  <c r="BD6" i="4"/>
  <c r="BE6" i="4" a="1"/>
  <c r="BE6" i="4" s="1"/>
  <c r="BF6" i="4" a="1"/>
  <c r="BF6" i="4" s="1"/>
  <c r="BG6" i="4" a="1"/>
  <c r="BG6" i="4" s="1"/>
  <c r="BI6" i="4" a="1"/>
  <c r="BI6" i="4" s="1"/>
  <c r="BJ6" i="4" a="1"/>
  <c r="BJ6" i="4" s="1"/>
  <c r="BK6" i="4" a="1"/>
  <c r="BK6" i="4" s="1"/>
  <c r="BL6" i="4" a="1"/>
  <c r="BL6" i="4" s="1"/>
  <c r="BM6" i="4" a="1"/>
  <c r="BM6" i="4" s="1"/>
  <c r="AW7" i="4"/>
  <c r="AV7" i="4" s="1"/>
  <c r="AX7" i="4"/>
  <c r="AZ7" i="4"/>
  <c r="AY7" i="4" s="1"/>
  <c r="BA7" i="4"/>
  <c r="BB7" i="4"/>
  <c r="BC7" i="4"/>
  <c r="BD7" i="4"/>
  <c r="BE7" i="4" a="1"/>
  <c r="BE7" i="4" s="1"/>
  <c r="BF7" i="4" a="1"/>
  <c r="BF7" i="4" s="1"/>
  <c r="BG7" i="4" a="1"/>
  <c r="BG7" i="4" s="1"/>
  <c r="BI7" i="4" a="1"/>
  <c r="BI7" i="4" s="1"/>
  <c r="BJ7" i="4" a="1"/>
  <c r="BJ7" i="4" s="1"/>
  <c r="BK7" i="4" a="1"/>
  <c r="BK7" i="4" s="1"/>
  <c r="BL7" i="4" a="1"/>
  <c r="BL7" i="4" s="1"/>
  <c r="BM7" i="4" a="1"/>
  <c r="BM7" i="4" s="1"/>
  <c r="AW8" i="4"/>
  <c r="AV8" i="4" s="1"/>
  <c r="AX8" i="4"/>
  <c r="AZ8" i="4"/>
  <c r="AY8" i="4" s="1"/>
  <c r="BA8" i="4"/>
  <c r="BB8" i="4"/>
  <c r="BC8" i="4"/>
  <c r="BD8" i="4"/>
  <c r="BE8" i="4" a="1"/>
  <c r="BE8" i="4" s="1"/>
  <c r="BF8" i="4" a="1"/>
  <c r="BF8" i="4" s="1"/>
  <c r="BG8" i="4" a="1"/>
  <c r="BG8" i="4" s="1"/>
  <c r="BI8" i="4" a="1"/>
  <c r="BI8" i="4" s="1"/>
  <c r="BJ8" i="4" a="1"/>
  <c r="BJ8" i="4" s="1"/>
  <c r="BK8" i="4" a="1"/>
  <c r="BK8" i="4" s="1"/>
  <c r="BL8" i="4" a="1"/>
  <c r="BL8" i="4" s="1"/>
  <c r="BM8" i="4" a="1"/>
  <c r="BM8" i="4" s="1"/>
  <c r="AW9" i="4"/>
  <c r="AV9" i="4" s="1"/>
  <c r="AX9" i="4"/>
  <c r="AZ9" i="4"/>
  <c r="AY9" i="4" s="1"/>
  <c r="BA9" i="4"/>
  <c r="BB9" i="4"/>
  <c r="BC9" i="4"/>
  <c r="BD9" i="4"/>
  <c r="BE9" i="4" a="1"/>
  <c r="BE9" i="4" s="1"/>
  <c r="BF9" i="4" a="1"/>
  <c r="BF9" i="4" s="1"/>
  <c r="BG9" i="4" a="1"/>
  <c r="BG9" i="4" s="1"/>
  <c r="BI9" i="4" a="1"/>
  <c r="BI9" i="4" s="1"/>
  <c r="BJ9" i="4" a="1"/>
  <c r="BJ9" i="4" s="1"/>
  <c r="BK9" i="4" a="1"/>
  <c r="BK9" i="4" s="1"/>
  <c r="BL9" i="4" a="1"/>
  <c r="BL9" i="4" s="1"/>
  <c r="BM9" i="4" a="1"/>
  <c r="BM9" i="4" s="1"/>
  <c r="AW10" i="4"/>
  <c r="AV10" i="4" s="1"/>
  <c r="AZ10" i="4"/>
  <c r="AY10" i="4" s="1"/>
  <c r="BA10" i="4"/>
  <c r="BB10" i="4"/>
  <c r="BC10" i="4"/>
  <c r="BD10" i="4"/>
  <c r="BE10" i="4" a="1"/>
  <c r="BE10" i="4" s="1"/>
  <c r="BF10" i="4" a="1"/>
  <c r="BF10" i="4" s="1"/>
  <c r="BG10" i="4" a="1"/>
  <c r="BG10" i="4" s="1"/>
  <c r="BI10" i="4" a="1"/>
  <c r="BI10" i="4" s="1"/>
  <c r="BJ10" i="4" a="1"/>
  <c r="BJ10" i="4" s="1"/>
  <c r="BK10" i="4" a="1"/>
  <c r="BK10" i="4" s="1"/>
  <c r="BL10" i="4" a="1"/>
  <c r="BL10" i="4" s="1"/>
  <c r="BM10" i="4" a="1"/>
  <c r="BM10" i="4" s="1"/>
  <c r="AW11" i="4"/>
  <c r="AV11" i="4" s="1"/>
  <c r="AX11" i="4"/>
  <c r="AZ11" i="4"/>
  <c r="AY11" i="4" s="1"/>
  <c r="BA11" i="4"/>
  <c r="BB11" i="4"/>
  <c r="BC11" i="4"/>
  <c r="BD11" i="4"/>
  <c r="BE11" i="4" a="1"/>
  <c r="BE11" i="4" s="1"/>
  <c r="BF11" i="4" a="1"/>
  <c r="BF11" i="4" s="1"/>
  <c r="BG11" i="4" a="1"/>
  <c r="BG11" i="4" s="1"/>
  <c r="BI11" i="4" a="1"/>
  <c r="BI11" i="4" s="1"/>
  <c r="BJ11" i="4" a="1"/>
  <c r="BJ11" i="4" s="1"/>
  <c r="BK11" i="4" a="1"/>
  <c r="BK11" i="4" s="1"/>
  <c r="BL11" i="4" a="1"/>
  <c r="BL11" i="4" s="1"/>
  <c r="BM11" i="4" a="1"/>
  <c r="BM11" i="4" s="1"/>
  <c r="AW12" i="4"/>
  <c r="AV12" i="4" s="1"/>
  <c r="AX12" i="4"/>
  <c r="AZ12" i="4"/>
  <c r="AY12" i="4" s="1"/>
  <c r="BA12" i="4"/>
  <c r="BB12" i="4"/>
  <c r="BC12" i="4"/>
  <c r="BD12" i="4"/>
  <c r="BE12" i="4" a="1"/>
  <c r="BE12" i="4" s="1"/>
  <c r="BF12" i="4" a="1"/>
  <c r="BF12" i="4" s="1"/>
  <c r="BG12" i="4" a="1"/>
  <c r="BG12" i="4" s="1"/>
  <c r="BI12" i="4" a="1"/>
  <c r="BI12" i="4" s="1"/>
  <c r="BJ12" i="4" a="1"/>
  <c r="BJ12" i="4" s="1"/>
  <c r="BK12" i="4" a="1"/>
  <c r="BK12" i="4" s="1"/>
  <c r="BL12" i="4" a="1"/>
  <c r="BL12" i="4" s="1"/>
  <c r="BM12" i="4" a="1"/>
  <c r="BM12" i="4" s="1"/>
  <c r="AW13" i="4"/>
  <c r="AV13" i="4" s="1"/>
  <c r="AX13" i="4"/>
  <c r="AZ13" i="4"/>
  <c r="AY13" i="4" s="1"/>
  <c r="BA13" i="4"/>
  <c r="BB13" i="4"/>
  <c r="BC13" i="4"/>
  <c r="BE13" i="4" a="1"/>
  <c r="BE13" i="4" s="1"/>
  <c r="BF13" i="4" a="1"/>
  <c r="BF13" i="4" s="1"/>
  <c r="BG13" i="4" a="1"/>
  <c r="BG13" i="4" s="1"/>
  <c r="BI13" i="4" a="1"/>
  <c r="BI13" i="4" s="1"/>
  <c r="BJ13" i="4" a="1"/>
  <c r="BJ13" i="4" s="1"/>
  <c r="BK13" i="4" a="1"/>
  <c r="BK13" i="4" s="1"/>
  <c r="BL13" i="4" a="1"/>
  <c r="BL13" i="4" s="1"/>
  <c r="BM13" i="4" a="1"/>
  <c r="BM13" i="4" s="1"/>
  <c r="AW14" i="4"/>
  <c r="AV14" i="4" s="1"/>
  <c r="AX14" i="4"/>
  <c r="AZ14" i="4"/>
  <c r="AY14" i="4" s="1"/>
  <c r="BA14" i="4"/>
  <c r="BB14" i="4"/>
  <c r="BC14" i="4"/>
  <c r="BD14" i="4"/>
  <c r="BE14" i="4" a="1"/>
  <c r="BE14" i="4" s="1"/>
  <c r="BF14" i="4" a="1"/>
  <c r="BF14" i="4" s="1"/>
  <c r="BG14" i="4" a="1"/>
  <c r="BG14" i="4" s="1"/>
  <c r="BI14" i="4" a="1"/>
  <c r="BI14" i="4" s="1"/>
  <c r="BJ14" i="4" a="1"/>
  <c r="BJ14" i="4" s="1"/>
  <c r="BK14" i="4" a="1"/>
  <c r="BK14" i="4" s="1"/>
  <c r="BL14" i="4" a="1"/>
  <c r="BL14" i="4" s="1"/>
  <c r="BM14" i="4" a="1"/>
  <c r="BM14" i="4" s="1"/>
  <c r="AW15" i="4"/>
  <c r="AV15" i="4" s="1"/>
  <c r="AX15" i="4"/>
  <c r="AZ15" i="4"/>
  <c r="AY15" i="4" s="1"/>
  <c r="BA15" i="4"/>
  <c r="BB15" i="4"/>
  <c r="BC15" i="4"/>
  <c r="BD15" i="4"/>
  <c r="BE15" i="4" a="1"/>
  <c r="BE15" i="4" s="1"/>
  <c r="BF15" i="4" a="1"/>
  <c r="BF15" i="4" s="1"/>
  <c r="BG15" i="4" a="1"/>
  <c r="BG15" i="4" s="1"/>
  <c r="BI15" i="4" a="1"/>
  <c r="BI15" i="4" s="1"/>
  <c r="BJ15" i="4" a="1"/>
  <c r="BJ15" i="4" s="1"/>
  <c r="BK15" i="4" a="1"/>
  <c r="BK15" i="4" s="1"/>
  <c r="BL15" i="4" a="1"/>
  <c r="BL15" i="4" s="1"/>
  <c r="BM15" i="4" a="1"/>
  <c r="BM15" i="4" s="1"/>
  <c r="AW16" i="4"/>
  <c r="AV16" i="4" s="1"/>
  <c r="AX16" i="4"/>
  <c r="AZ16" i="4"/>
  <c r="AY16" i="4" s="1"/>
  <c r="BA16" i="4"/>
  <c r="BB16" i="4"/>
  <c r="BC16" i="4"/>
  <c r="BD16" i="4"/>
  <c r="BE16" i="4" a="1"/>
  <c r="BE16" i="4" s="1"/>
  <c r="BF16" i="4" a="1"/>
  <c r="BF16" i="4" s="1"/>
  <c r="BG16" i="4" a="1"/>
  <c r="BG16" i="4" s="1"/>
  <c r="BI16" i="4" a="1"/>
  <c r="BI16" i="4" s="1"/>
  <c r="BJ16" i="4" a="1"/>
  <c r="BJ16" i="4" s="1"/>
  <c r="BK16" i="4" a="1"/>
  <c r="BK16" i="4" s="1"/>
  <c r="BL16" i="4" a="1"/>
  <c r="BL16" i="4" s="1"/>
  <c r="BM16" i="4" a="1"/>
  <c r="BM16" i="4" s="1"/>
  <c r="AW17" i="4"/>
  <c r="AV17" i="4" s="1"/>
  <c r="AX17" i="4"/>
  <c r="AZ17" i="4"/>
  <c r="AY17" i="4" s="1"/>
  <c r="BA17" i="4"/>
  <c r="BB17" i="4"/>
  <c r="BC17" i="4"/>
  <c r="BD17" i="4"/>
  <c r="BE17" i="4" a="1"/>
  <c r="BE17" i="4" s="1"/>
  <c r="BF17" i="4" a="1"/>
  <c r="BF17" i="4" s="1"/>
  <c r="BG17" i="4" a="1"/>
  <c r="BG17" i="4" s="1"/>
  <c r="BI17" i="4" a="1"/>
  <c r="BI17" i="4" s="1"/>
  <c r="BJ17" i="4" a="1"/>
  <c r="BJ17" i="4" s="1"/>
  <c r="BK17" i="4" a="1"/>
  <c r="BK17" i="4" s="1"/>
  <c r="BL17" i="4" a="1"/>
  <c r="BL17" i="4" s="1"/>
  <c r="BM17" i="4" a="1"/>
  <c r="BM17" i="4" s="1"/>
  <c r="AW18" i="4"/>
  <c r="AV18" i="4" s="1"/>
  <c r="AX18" i="4"/>
  <c r="AZ18" i="4"/>
  <c r="AY18" i="4" s="1"/>
  <c r="BA18" i="4"/>
  <c r="BB18" i="4"/>
  <c r="BC18" i="4"/>
  <c r="BD18" i="4"/>
  <c r="BE18" i="4" a="1"/>
  <c r="BE18" i="4" s="1"/>
  <c r="BF18" i="4" a="1"/>
  <c r="BF18" i="4" s="1"/>
  <c r="BG18" i="4" a="1"/>
  <c r="BG18" i="4" s="1"/>
  <c r="BI18" i="4" a="1"/>
  <c r="BI18" i="4" s="1"/>
  <c r="BJ18" i="4" a="1"/>
  <c r="BJ18" i="4" s="1"/>
  <c r="BK18" i="4" a="1"/>
  <c r="BK18" i="4" s="1"/>
  <c r="BL18" i="4" a="1"/>
  <c r="BL18" i="4" s="1"/>
  <c r="BM18" i="4" a="1"/>
  <c r="BM18" i="4" s="1"/>
  <c r="AW19" i="4"/>
  <c r="AV19" i="4" s="1"/>
  <c r="AX19" i="4"/>
  <c r="AZ19" i="4"/>
  <c r="AY19" i="4" s="1"/>
  <c r="BA19" i="4"/>
  <c r="BB19" i="4"/>
  <c r="BC19" i="4"/>
  <c r="BD19" i="4"/>
  <c r="BE19" i="4" a="1"/>
  <c r="BE19" i="4" s="1"/>
  <c r="BF19" i="4" a="1"/>
  <c r="BF19" i="4" s="1"/>
  <c r="BG19" i="4" a="1"/>
  <c r="BG19" i="4" s="1"/>
  <c r="BI19" i="4" a="1"/>
  <c r="BI19" i="4" s="1"/>
  <c r="BJ19" i="4" a="1"/>
  <c r="BJ19" i="4" s="1"/>
  <c r="BK19" i="4" a="1"/>
  <c r="BK19" i="4" s="1"/>
  <c r="BL19" i="4" a="1"/>
  <c r="BL19" i="4" s="1"/>
  <c r="BM19" i="4" a="1"/>
  <c r="BM19" i="4" s="1"/>
  <c r="AW20" i="4"/>
  <c r="AV20" i="4" s="1"/>
  <c r="AX20" i="4"/>
  <c r="AZ20" i="4"/>
  <c r="AY20" i="4" s="1"/>
  <c r="BA20" i="4"/>
  <c r="BB20" i="4"/>
  <c r="BC20" i="4"/>
  <c r="BD20" i="4"/>
  <c r="BE20" i="4" a="1"/>
  <c r="BE20" i="4" s="1"/>
  <c r="BF20" i="4" a="1"/>
  <c r="BF20" i="4" s="1"/>
  <c r="BG20" i="4" a="1"/>
  <c r="BG20" i="4" s="1"/>
  <c r="BI20" i="4" a="1"/>
  <c r="BI20" i="4" s="1"/>
  <c r="BJ20" i="4" a="1"/>
  <c r="BJ20" i="4" s="1"/>
  <c r="BK20" i="4" a="1"/>
  <c r="BK20" i="4" s="1"/>
  <c r="BL20" i="4" a="1"/>
  <c r="BL20" i="4" s="1"/>
  <c r="BM20" i="4" a="1"/>
  <c r="BM20" i="4" s="1"/>
  <c r="AW21" i="4"/>
  <c r="AV21" i="4" s="1"/>
  <c r="AX21" i="4"/>
  <c r="AZ21" i="4"/>
  <c r="AY21" i="4" s="1"/>
  <c r="BA21" i="4"/>
  <c r="BB21" i="4"/>
  <c r="BC21" i="4"/>
  <c r="BD21" i="4"/>
  <c r="BE21" i="4" a="1"/>
  <c r="BE21" i="4" s="1"/>
  <c r="BF21" i="4" a="1"/>
  <c r="BF21" i="4" s="1"/>
  <c r="BG21" i="4" a="1"/>
  <c r="BG21" i="4" s="1"/>
  <c r="BI21" i="4" a="1"/>
  <c r="BI21" i="4" s="1"/>
  <c r="BJ21" i="4" a="1"/>
  <c r="BJ21" i="4" s="1"/>
  <c r="BK21" i="4" a="1"/>
  <c r="BK21" i="4" s="1"/>
  <c r="BL21" i="4" a="1"/>
  <c r="BL21" i="4" s="1"/>
  <c r="BM21" i="4" a="1"/>
  <c r="BM21" i="4" s="1"/>
  <c r="AW22" i="4"/>
  <c r="AV22" i="4" s="1"/>
  <c r="AX22" i="4"/>
  <c r="AZ22" i="4"/>
  <c r="AY22" i="4" s="1"/>
  <c r="BA22" i="4"/>
  <c r="BB22" i="4"/>
  <c r="BC22" i="4"/>
  <c r="BD22" i="4"/>
  <c r="BE22" i="4" a="1"/>
  <c r="BE22" i="4" s="1"/>
  <c r="BF22" i="4" a="1"/>
  <c r="BF22" i="4" s="1"/>
  <c r="BG22" i="4" a="1"/>
  <c r="BG22" i="4" s="1"/>
  <c r="BI22" i="4" a="1"/>
  <c r="BI22" i="4" s="1"/>
  <c r="BJ22" i="4" a="1"/>
  <c r="BJ22" i="4" s="1"/>
  <c r="BK22" i="4" a="1"/>
  <c r="BK22" i="4" s="1"/>
  <c r="BL22" i="4" a="1"/>
  <c r="BL22" i="4" s="1"/>
  <c r="BM22" i="4" a="1"/>
  <c r="BM22" i="4" s="1"/>
  <c r="AW23" i="4"/>
  <c r="AV23" i="4" s="1"/>
  <c r="AX23" i="4"/>
  <c r="AZ23" i="4"/>
  <c r="AY23" i="4" s="1"/>
  <c r="BA23" i="4"/>
  <c r="BB23" i="4"/>
  <c r="BC23" i="4"/>
  <c r="BD23" i="4"/>
  <c r="BE23" i="4" a="1"/>
  <c r="BE23" i="4" s="1"/>
  <c r="BF23" i="4" a="1"/>
  <c r="BF23" i="4" s="1"/>
  <c r="BG23" i="4" a="1"/>
  <c r="BG23" i="4" s="1"/>
  <c r="BI23" i="4" a="1"/>
  <c r="BI23" i="4" s="1"/>
  <c r="BJ23" i="4" a="1"/>
  <c r="BJ23" i="4" s="1"/>
  <c r="BK23" i="4" a="1"/>
  <c r="BK23" i="4" s="1"/>
  <c r="BL23" i="4" a="1"/>
  <c r="BL23" i="4" s="1"/>
  <c r="BM23" i="4" a="1"/>
  <c r="BM23" i="4" s="1"/>
  <c r="AW24" i="4"/>
  <c r="AV24" i="4" s="1"/>
  <c r="AX24" i="4"/>
  <c r="AZ24" i="4"/>
  <c r="AY24" i="4" s="1"/>
  <c r="BA24" i="4"/>
  <c r="BB24" i="4"/>
  <c r="BC24" i="4"/>
  <c r="BD24" i="4"/>
  <c r="BE24" i="4" a="1"/>
  <c r="BE24" i="4" s="1"/>
  <c r="BF24" i="4" a="1"/>
  <c r="BF24" i="4" s="1"/>
  <c r="BG24" i="4" a="1"/>
  <c r="BG24" i="4" s="1"/>
  <c r="BI24" i="4" a="1"/>
  <c r="BI24" i="4" s="1"/>
  <c r="BJ24" i="4" a="1"/>
  <c r="BJ24" i="4" s="1"/>
  <c r="BK24" i="4" a="1"/>
  <c r="BK24" i="4" s="1"/>
  <c r="BL24" i="4" a="1"/>
  <c r="BL24" i="4" s="1"/>
  <c r="BM24" i="4" a="1"/>
  <c r="BM24" i="4" s="1"/>
  <c r="AW25" i="4"/>
  <c r="AV25" i="4" s="1"/>
  <c r="AX25" i="4"/>
  <c r="AZ25" i="4"/>
  <c r="AY25" i="4" s="1"/>
  <c r="BA25" i="4"/>
  <c r="BB25" i="4"/>
  <c r="BC25" i="4"/>
  <c r="BD25" i="4"/>
  <c r="BE25" i="4" a="1"/>
  <c r="BE25" i="4" s="1"/>
  <c r="BF25" i="4" a="1"/>
  <c r="BF25" i="4" s="1"/>
  <c r="BG25" i="4" a="1"/>
  <c r="BG25" i="4" s="1"/>
  <c r="BI25" i="4" a="1"/>
  <c r="BI25" i="4" s="1"/>
  <c r="BJ25" i="4" a="1"/>
  <c r="BJ25" i="4" s="1"/>
  <c r="BK25" i="4" a="1"/>
  <c r="BK25" i="4" s="1"/>
  <c r="BL25" i="4" a="1"/>
  <c r="BL25" i="4" s="1"/>
  <c r="BM25" i="4" a="1"/>
  <c r="BM25" i="4" s="1"/>
  <c r="AW26" i="4"/>
  <c r="AV26" i="4" s="1"/>
  <c r="AX26" i="4"/>
  <c r="AZ26" i="4"/>
  <c r="AY26" i="4" s="1"/>
  <c r="BA26" i="4"/>
  <c r="BB26" i="4"/>
  <c r="BC26" i="4"/>
  <c r="BD26" i="4"/>
  <c r="BE26" i="4" a="1"/>
  <c r="BE26" i="4" s="1"/>
  <c r="BF26" i="4" a="1"/>
  <c r="BF26" i="4" s="1"/>
  <c r="BG26" i="4" a="1"/>
  <c r="BG26" i="4" s="1"/>
  <c r="BI26" i="4" a="1"/>
  <c r="BI26" i="4" s="1"/>
  <c r="BJ26" i="4" a="1"/>
  <c r="BJ26" i="4" s="1"/>
  <c r="BK26" i="4" a="1"/>
  <c r="BK26" i="4" s="1"/>
  <c r="BL26" i="4" a="1"/>
  <c r="BL26" i="4" s="1"/>
  <c r="BM26" i="4" a="1"/>
  <c r="BM26" i="4" s="1"/>
  <c r="AW27" i="4"/>
  <c r="AV27" i="4" s="1"/>
  <c r="AX27" i="4"/>
  <c r="AZ27" i="4"/>
  <c r="AY27" i="4" s="1"/>
  <c r="BA27" i="4"/>
  <c r="BB27" i="4"/>
  <c r="BC27" i="4"/>
  <c r="BD27" i="4"/>
  <c r="BE27" i="4" a="1"/>
  <c r="BE27" i="4" s="1"/>
  <c r="BF27" i="4" a="1"/>
  <c r="BF27" i="4" s="1"/>
  <c r="BG27" i="4" a="1"/>
  <c r="BG27" i="4" s="1"/>
  <c r="BI27" i="4" a="1"/>
  <c r="BI27" i="4" s="1"/>
  <c r="BJ27" i="4" a="1"/>
  <c r="BJ27" i="4" s="1"/>
  <c r="BK27" i="4" a="1"/>
  <c r="BK27" i="4" s="1"/>
  <c r="BL27" i="4" a="1"/>
  <c r="BL27" i="4" s="1"/>
  <c r="BM27" i="4" a="1"/>
  <c r="BM27" i="4" s="1"/>
  <c r="AW28" i="4"/>
  <c r="AV28" i="4" s="1"/>
  <c r="AX28" i="4"/>
  <c r="AZ28" i="4"/>
  <c r="AY28" i="4" s="1"/>
  <c r="BA28" i="4"/>
  <c r="BB28" i="4"/>
  <c r="BC28" i="4"/>
  <c r="BD28" i="4"/>
  <c r="BE28" i="4" a="1"/>
  <c r="BE28" i="4" s="1"/>
  <c r="BF28" i="4" a="1"/>
  <c r="BF28" i="4" s="1"/>
  <c r="BG28" i="4" a="1"/>
  <c r="BG28" i="4" s="1"/>
  <c r="BI28" i="4" a="1"/>
  <c r="BI28" i="4" s="1"/>
  <c r="BJ28" i="4" a="1"/>
  <c r="BJ28" i="4" s="1"/>
  <c r="BK28" i="4" a="1"/>
  <c r="BK28" i="4" s="1"/>
  <c r="BL28" i="4" a="1"/>
  <c r="BL28" i="4" s="1"/>
  <c r="BM28" i="4" a="1"/>
  <c r="BM28" i="4" s="1"/>
  <c r="AW29" i="4"/>
  <c r="AV29" i="4" s="1"/>
  <c r="AX29" i="4"/>
  <c r="AZ29" i="4"/>
  <c r="AY29" i="4" s="1"/>
  <c r="BA29" i="4"/>
  <c r="BB29" i="4"/>
  <c r="BC29" i="4"/>
  <c r="BD29" i="4"/>
  <c r="BE29" i="4" a="1"/>
  <c r="BE29" i="4" s="1"/>
  <c r="BF29" i="4" a="1"/>
  <c r="BF29" i="4" s="1"/>
  <c r="BG29" i="4" a="1"/>
  <c r="BG29" i="4" s="1"/>
  <c r="BI29" i="4" a="1"/>
  <c r="BI29" i="4" s="1"/>
  <c r="BJ29" i="4" a="1"/>
  <c r="BJ29" i="4" s="1"/>
  <c r="BK29" i="4" a="1"/>
  <c r="BK29" i="4" s="1"/>
  <c r="BL29" i="4" a="1"/>
  <c r="BL29" i="4" s="1"/>
  <c r="BM29" i="4" a="1"/>
  <c r="BM29" i="4" s="1"/>
  <c r="AW30" i="4"/>
  <c r="AV30" i="4" s="1"/>
  <c r="AX30" i="4"/>
  <c r="AZ30" i="4"/>
  <c r="AY30" i="4" s="1"/>
  <c r="BA30" i="4"/>
  <c r="BB30" i="4"/>
  <c r="BC30" i="4"/>
  <c r="BD30" i="4"/>
  <c r="BE30" i="4" a="1"/>
  <c r="BE30" i="4" s="1"/>
  <c r="BF30" i="4" a="1"/>
  <c r="BF30" i="4" s="1"/>
  <c r="BG30" i="4" a="1"/>
  <c r="BG30" i="4" s="1"/>
  <c r="BI30" i="4" a="1"/>
  <c r="BI30" i="4" s="1"/>
  <c r="BJ30" i="4" a="1"/>
  <c r="BJ30" i="4" s="1"/>
  <c r="BK30" i="4" a="1"/>
  <c r="BK30" i="4" s="1"/>
  <c r="BL30" i="4" a="1"/>
  <c r="BL30" i="4" s="1"/>
  <c r="BM30" i="4" a="1"/>
  <c r="BM30" i="4" s="1"/>
  <c r="AW31" i="4"/>
  <c r="AV31" i="4" s="1"/>
  <c r="AX31" i="4"/>
  <c r="AZ31" i="4"/>
  <c r="AY31" i="4" s="1"/>
  <c r="BA31" i="4"/>
  <c r="BB31" i="4"/>
  <c r="BC31" i="4"/>
  <c r="BD31" i="4"/>
  <c r="BE31" i="4" a="1"/>
  <c r="BE31" i="4" s="1"/>
  <c r="BF31" i="4" a="1"/>
  <c r="BF31" i="4" s="1"/>
  <c r="BG31" i="4" a="1"/>
  <c r="BG31" i="4" s="1"/>
  <c r="BI31" i="4" a="1"/>
  <c r="BI31" i="4" s="1"/>
  <c r="BJ31" i="4" a="1"/>
  <c r="BJ31" i="4" s="1"/>
  <c r="BK31" i="4" a="1"/>
  <c r="BK31" i="4" s="1"/>
  <c r="BL31" i="4" a="1"/>
  <c r="BL31" i="4" s="1"/>
  <c r="BM31" i="4" a="1"/>
  <c r="BM31" i="4" s="1"/>
  <c r="AW32" i="4"/>
  <c r="AV32" i="4" s="1"/>
  <c r="AX32" i="4"/>
  <c r="AZ32" i="4"/>
  <c r="AY32" i="4" s="1"/>
  <c r="BA32" i="4"/>
  <c r="BB32" i="4"/>
  <c r="BC32" i="4"/>
  <c r="BD32" i="4"/>
  <c r="BE32" i="4" a="1"/>
  <c r="BE32" i="4" s="1"/>
  <c r="BF32" i="4" a="1"/>
  <c r="BF32" i="4" s="1"/>
  <c r="BG32" i="4" a="1"/>
  <c r="BG32" i="4" s="1"/>
  <c r="BI32" i="4" a="1"/>
  <c r="BI32" i="4" s="1"/>
  <c r="BJ32" i="4" a="1"/>
  <c r="BJ32" i="4" s="1"/>
  <c r="BK32" i="4" a="1"/>
  <c r="BK32" i="4" s="1"/>
  <c r="BL32" i="4" a="1"/>
  <c r="BL32" i="4" s="1"/>
  <c r="BM32" i="4" a="1"/>
  <c r="BM32" i="4" s="1"/>
  <c r="AW33" i="4"/>
  <c r="AV33" i="4" s="1"/>
  <c r="AX33" i="4"/>
  <c r="AZ33" i="4"/>
  <c r="AY33" i="4" s="1"/>
  <c r="BA33" i="4"/>
  <c r="BB33" i="4"/>
  <c r="BC33" i="4"/>
  <c r="BD33" i="4"/>
  <c r="BE33" i="4" a="1"/>
  <c r="BE33" i="4" s="1"/>
  <c r="BF33" i="4" a="1"/>
  <c r="BF33" i="4" s="1"/>
  <c r="BG33" i="4" a="1"/>
  <c r="BG33" i="4" s="1"/>
  <c r="BI33" i="4" a="1"/>
  <c r="BI33" i="4" s="1"/>
  <c r="BJ33" i="4" a="1"/>
  <c r="BJ33" i="4" s="1"/>
  <c r="BK33" i="4" a="1"/>
  <c r="BK33" i="4" s="1"/>
  <c r="BL33" i="4" a="1"/>
  <c r="BL33" i="4" s="1"/>
  <c r="BM33" i="4" a="1"/>
  <c r="BM33" i="4" s="1"/>
  <c r="AW34" i="4"/>
  <c r="AV34" i="4" s="1"/>
  <c r="AX34" i="4"/>
  <c r="AZ34" i="4"/>
  <c r="AY34" i="4" s="1"/>
  <c r="BA34" i="4"/>
  <c r="BB34" i="4"/>
  <c r="BC34" i="4"/>
  <c r="BD34" i="4"/>
  <c r="BE34" i="4" a="1"/>
  <c r="BE34" i="4" s="1"/>
  <c r="BF34" i="4" a="1"/>
  <c r="BF34" i="4" s="1"/>
  <c r="BG34" i="4" a="1"/>
  <c r="BG34" i="4" s="1"/>
  <c r="BI34" i="4" a="1"/>
  <c r="BI34" i="4" s="1"/>
  <c r="BJ34" i="4" a="1"/>
  <c r="BJ34" i="4" s="1"/>
  <c r="BK34" i="4" a="1"/>
  <c r="BK34" i="4" s="1"/>
  <c r="BL34" i="4" a="1"/>
  <c r="BL34" i="4" s="1"/>
  <c r="BM34" i="4" a="1"/>
  <c r="BM34" i="4" s="1"/>
  <c r="AW35" i="4"/>
  <c r="AV35" i="4" s="1"/>
  <c r="AX35" i="4"/>
  <c r="AZ35" i="4"/>
  <c r="AY35" i="4" s="1"/>
  <c r="BA35" i="4"/>
  <c r="BB35" i="4"/>
  <c r="BC35" i="4"/>
  <c r="BD35" i="4"/>
  <c r="BE35" i="4" a="1"/>
  <c r="BE35" i="4" s="1"/>
  <c r="BF35" i="4" a="1"/>
  <c r="BF35" i="4" s="1"/>
  <c r="BG35" i="4" a="1"/>
  <c r="BG35" i="4" s="1"/>
  <c r="BI35" i="4" a="1"/>
  <c r="BI35" i="4" s="1"/>
  <c r="BJ35" i="4" a="1"/>
  <c r="BJ35" i="4" s="1"/>
  <c r="BK35" i="4" a="1"/>
  <c r="BK35" i="4" s="1"/>
  <c r="BL35" i="4" a="1"/>
  <c r="BL35" i="4" s="1"/>
  <c r="BM35" i="4" a="1"/>
  <c r="BM35" i="4" s="1"/>
  <c r="AW36" i="4"/>
  <c r="AV36" i="4" s="1"/>
  <c r="AX36" i="4"/>
  <c r="AZ36" i="4"/>
  <c r="AY36" i="4" s="1"/>
  <c r="BA36" i="4"/>
  <c r="BB36" i="4"/>
  <c r="BC36" i="4"/>
  <c r="BD36" i="4"/>
  <c r="BE36" i="4" a="1"/>
  <c r="BE36" i="4" s="1"/>
  <c r="BF36" i="4" a="1"/>
  <c r="BF36" i="4" s="1"/>
  <c r="BG36" i="4" a="1"/>
  <c r="BG36" i="4" s="1"/>
  <c r="BI36" i="4" a="1"/>
  <c r="BI36" i="4" s="1"/>
  <c r="BJ36" i="4" a="1"/>
  <c r="BJ36" i="4" s="1"/>
  <c r="BK36" i="4" a="1"/>
  <c r="BK36" i="4" s="1"/>
  <c r="BL36" i="4" a="1"/>
  <c r="BL36" i="4" s="1"/>
  <c r="BM36" i="4" a="1"/>
  <c r="BM36" i="4" s="1"/>
  <c r="AW37" i="4"/>
  <c r="AV37" i="4" s="1"/>
  <c r="AX37" i="4"/>
  <c r="AZ37" i="4"/>
  <c r="AY37" i="4" s="1"/>
  <c r="BA37" i="4"/>
  <c r="BB37" i="4"/>
  <c r="BC37" i="4"/>
  <c r="BD37" i="4"/>
  <c r="BE37" i="4" a="1"/>
  <c r="BE37" i="4" s="1"/>
  <c r="BF37" i="4" a="1"/>
  <c r="BF37" i="4" s="1"/>
  <c r="BG37" i="4" a="1"/>
  <c r="BG37" i="4" s="1"/>
  <c r="BI37" i="4" a="1"/>
  <c r="BI37" i="4" s="1"/>
  <c r="BJ37" i="4" a="1"/>
  <c r="BJ37" i="4" s="1"/>
  <c r="BK37" i="4" a="1"/>
  <c r="BK37" i="4" s="1"/>
  <c r="BL37" i="4" a="1"/>
  <c r="BL37" i="4" s="1"/>
  <c r="BM37" i="4" a="1"/>
  <c r="BM37" i="4" s="1"/>
  <c r="AW38" i="4"/>
  <c r="AV38" i="4" s="1"/>
  <c r="AX38" i="4"/>
  <c r="AZ38" i="4"/>
  <c r="AY38" i="4" s="1"/>
  <c r="BA38" i="4"/>
  <c r="BB38" i="4"/>
  <c r="BC38" i="4"/>
  <c r="BD38" i="4"/>
  <c r="BE38" i="4" a="1"/>
  <c r="BE38" i="4" s="1"/>
  <c r="BF38" i="4" a="1"/>
  <c r="BF38" i="4" s="1"/>
  <c r="BG38" i="4" a="1"/>
  <c r="BG38" i="4" s="1"/>
  <c r="BI38" i="4" a="1"/>
  <c r="BI38" i="4" s="1"/>
  <c r="BJ38" i="4" a="1"/>
  <c r="BJ38" i="4" s="1"/>
  <c r="BK38" i="4" a="1"/>
  <c r="BK38" i="4" s="1"/>
  <c r="BL38" i="4" a="1"/>
  <c r="BL38" i="4" s="1"/>
  <c r="BM38" i="4" a="1"/>
  <c r="BM38" i="4" s="1"/>
  <c r="AW39" i="4"/>
  <c r="AV39" i="4" s="1"/>
  <c r="AX39" i="4"/>
  <c r="AZ39" i="4"/>
  <c r="AY39" i="4" s="1"/>
  <c r="BA39" i="4"/>
  <c r="BB39" i="4"/>
  <c r="BC39" i="4"/>
  <c r="BD39" i="4"/>
  <c r="BE39" i="4" a="1"/>
  <c r="BE39" i="4" s="1"/>
  <c r="BF39" i="4" a="1"/>
  <c r="BF39" i="4" s="1"/>
  <c r="BG39" i="4" a="1"/>
  <c r="BG39" i="4" s="1"/>
  <c r="BI39" i="4" a="1"/>
  <c r="BI39" i="4" s="1"/>
  <c r="BJ39" i="4" a="1"/>
  <c r="BJ39" i="4" s="1"/>
  <c r="BK39" i="4" a="1"/>
  <c r="BK39" i="4" s="1"/>
  <c r="BL39" i="4" a="1"/>
  <c r="BL39" i="4" s="1"/>
  <c r="BM39" i="4" a="1"/>
  <c r="BM39" i="4" s="1"/>
  <c r="AW40" i="4"/>
  <c r="AV40" i="4" s="1"/>
  <c r="AX40" i="4"/>
  <c r="AZ40" i="4"/>
  <c r="AY40" i="4" s="1"/>
  <c r="BA40" i="4"/>
  <c r="BB40" i="4"/>
  <c r="BC40" i="4"/>
  <c r="BD40" i="4"/>
  <c r="BE40" i="4" a="1"/>
  <c r="BE40" i="4" s="1"/>
  <c r="BF40" i="4" a="1"/>
  <c r="BF40" i="4" s="1"/>
  <c r="BG40" i="4" a="1"/>
  <c r="BG40" i="4" s="1"/>
  <c r="BI40" i="4" a="1"/>
  <c r="BI40" i="4" s="1"/>
  <c r="BJ40" i="4" a="1"/>
  <c r="BJ40" i="4" s="1"/>
  <c r="BK40" i="4" a="1"/>
  <c r="BK40" i="4" s="1"/>
  <c r="BL40" i="4" a="1"/>
  <c r="BL40" i="4" s="1"/>
  <c r="BM40" i="4" a="1"/>
  <c r="BM40" i="4" s="1"/>
  <c r="AW41" i="4"/>
  <c r="AV41" i="4" s="1"/>
  <c r="AX41" i="4"/>
  <c r="AZ41" i="4"/>
  <c r="AY41" i="4" s="1"/>
  <c r="BA41" i="4"/>
  <c r="BB41" i="4"/>
  <c r="BC41" i="4"/>
  <c r="BD41" i="4"/>
  <c r="BE41" i="4" a="1"/>
  <c r="BE41" i="4" s="1"/>
  <c r="BF41" i="4" a="1"/>
  <c r="BF41" i="4" s="1"/>
  <c r="BG41" i="4" a="1"/>
  <c r="BG41" i="4" s="1"/>
  <c r="BI41" i="4" a="1"/>
  <c r="BI41" i="4" s="1"/>
  <c r="BJ41" i="4" a="1"/>
  <c r="BJ41" i="4" s="1"/>
  <c r="BK41" i="4" a="1"/>
  <c r="BK41" i="4" s="1"/>
  <c r="BL41" i="4" a="1"/>
  <c r="BL41" i="4" s="1"/>
  <c r="BM41" i="4" a="1"/>
  <c r="BM41" i="4" s="1"/>
  <c r="AW42" i="4"/>
  <c r="AV42" i="4" s="1"/>
  <c r="AX42" i="4"/>
  <c r="AZ42" i="4"/>
  <c r="AY42" i="4" s="1"/>
  <c r="BA42" i="4"/>
  <c r="BB42" i="4"/>
  <c r="BC42" i="4"/>
  <c r="BD42" i="4"/>
  <c r="BE42" i="4" a="1"/>
  <c r="BE42" i="4" s="1"/>
  <c r="BF42" i="4" a="1"/>
  <c r="BF42" i="4" s="1"/>
  <c r="BG42" i="4" a="1"/>
  <c r="BG42" i="4" s="1"/>
  <c r="BI42" i="4" a="1"/>
  <c r="BI42" i="4" s="1"/>
  <c r="BJ42" i="4" a="1"/>
  <c r="BJ42" i="4" s="1"/>
  <c r="BK42" i="4" a="1"/>
  <c r="BK42" i="4" s="1"/>
  <c r="BL42" i="4" a="1"/>
  <c r="BL42" i="4" s="1"/>
  <c r="BM42" i="4" a="1"/>
  <c r="BM42" i="4" s="1"/>
  <c r="AW43" i="4"/>
  <c r="AV43" i="4" s="1"/>
  <c r="AX43" i="4"/>
  <c r="AZ43" i="4"/>
  <c r="AY43" i="4" s="1"/>
  <c r="BA43" i="4"/>
  <c r="BB43" i="4"/>
  <c r="BC43" i="4"/>
  <c r="BD43" i="4"/>
  <c r="BE43" i="4" a="1"/>
  <c r="BE43" i="4" s="1"/>
  <c r="BF43" i="4" a="1"/>
  <c r="BF43" i="4" s="1"/>
  <c r="BG43" i="4" a="1"/>
  <c r="BG43" i="4" s="1"/>
  <c r="BI43" i="4" a="1"/>
  <c r="BI43" i="4" s="1"/>
  <c r="BJ43" i="4" a="1"/>
  <c r="BJ43" i="4" s="1"/>
  <c r="BK43" i="4" a="1"/>
  <c r="BK43" i="4" s="1"/>
  <c r="BL43" i="4" a="1"/>
  <c r="BL43" i="4" s="1"/>
  <c r="BM43" i="4" a="1"/>
  <c r="BM43" i="4" s="1"/>
  <c r="AW44" i="4"/>
  <c r="AV44" i="4" s="1"/>
  <c r="AX44" i="4"/>
  <c r="AZ44" i="4"/>
  <c r="AY44" i="4" s="1"/>
  <c r="BA44" i="4"/>
  <c r="BB44" i="4"/>
  <c r="BC44" i="4"/>
  <c r="BD44" i="4"/>
  <c r="BE44" i="4" a="1"/>
  <c r="BE44" i="4" s="1"/>
  <c r="BF44" i="4" a="1"/>
  <c r="BF44" i="4" s="1"/>
  <c r="BG44" i="4" a="1"/>
  <c r="BG44" i="4" s="1"/>
  <c r="BI44" i="4" a="1"/>
  <c r="BI44" i="4" s="1"/>
  <c r="BJ44" i="4" a="1"/>
  <c r="BJ44" i="4" s="1"/>
  <c r="BK44" i="4" a="1"/>
  <c r="BK44" i="4" s="1"/>
  <c r="BL44" i="4" a="1"/>
  <c r="BL44" i="4" s="1"/>
  <c r="BM44" i="4" a="1"/>
  <c r="BM44" i="4" s="1"/>
  <c r="AW45" i="4"/>
  <c r="AV45" i="4" s="1"/>
  <c r="AX45" i="4"/>
  <c r="AZ45" i="4"/>
  <c r="AY45" i="4" s="1"/>
  <c r="BA45" i="4"/>
  <c r="BB45" i="4"/>
  <c r="BC45" i="4"/>
  <c r="BD45" i="4"/>
  <c r="BE45" i="4" a="1"/>
  <c r="BE45" i="4" s="1"/>
  <c r="BF45" i="4" a="1"/>
  <c r="BF45" i="4" s="1"/>
  <c r="BG45" i="4" a="1"/>
  <c r="BG45" i="4" s="1"/>
  <c r="BI45" i="4" a="1"/>
  <c r="BI45" i="4" s="1"/>
  <c r="BJ45" i="4" a="1"/>
  <c r="BJ45" i="4" s="1"/>
  <c r="BK45" i="4" a="1"/>
  <c r="BK45" i="4" s="1"/>
  <c r="BL45" i="4" a="1"/>
  <c r="BL45" i="4" s="1"/>
  <c r="BM45" i="4" a="1"/>
  <c r="BM45" i="4" s="1"/>
  <c r="AW46" i="4"/>
  <c r="AV46" i="4" s="1"/>
  <c r="AX46" i="4"/>
  <c r="AZ46" i="4"/>
  <c r="AY46" i="4" s="1"/>
  <c r="BA46" i="4"/>
  <c r="BB46" i="4"/>
  <c r="BC46" i="4"/>
  <c r="BD46" i="4"/>
  <c r="BE46" i="4" a="1"/>
  <c r="BE46" i="4" s="1"/>
  <c r="BF46" i="4" a="1"/>
  <c r="BF46" i="4" s="1"/>
  <c r="BG46" i="4" a="1"/>
  <c r="BG46" i="4" s="1"/>
  <c r="BI46" i="4" a="1"/>
  <c r="BI46" i="4" s="1"/>
  <c r="BJ46" i="4" a="1"/>
  <c r="BJ46" i="4" s="1"/>
  <c r="BK46" i="4" a="1"/>
  <c r="BK46" i="4" s="1"/>
  <c r="BL46" i="4" a="1"/>
  <c r="BL46" i="4" s="1"/>
  <c r="BM46" i="4" a="1"/>
  <c r="BM46" i="4" s="1"/>
  <c r="AW47" i="4"/>
  <c r="AV47" i="4" s="1"/>
  <c r="AX47" i="4"/>
  <c r="AZ47" i="4"/>
  <c r="AY47" i="4" s="1"/>
  <c r="BA47" i="4"/>
  <c r="BB47" i="4"/>
  <c r="BC47" i="4"/>
  <c r="BD47" i="4"/>
  <c r="BE47" i="4" a="1"/>
  <c r="BE47" i="4" s="1"/>
  <c r="BF47" i="4" a="1"/>
  <c r="BF47" i="4" s="1"/>
  <c r="BG47" i="4" a="1"/>
  <c r="BG47" i="4" s="1"/>
  <c r="BI47" i="4" a="1"/>
  <c r="BI47" i="4" s="1"/>
  <c r="BJ47" i="4" a="1"/>
  <c r="BJ47" i="4" s="1"/>
  <c r="BK47" i="4" a="1"/>
  <c r="BK47" i="4" s="1"/>
  <c r="BL47" i="4" a="1"/>
  <c r="BL47" i="4" s="1"/>
  <c r="BM47" i="4" a="1"/>
  <c r="BM47" i="4" s="1"/>
  <c r="AW48" i="4"/>
  <c r="AV48" i="4" s="1"/>
  <c r="AX48" i="4"/>
  <c r="AZ48" i="4"/>
  <c r="AY48" i="4" s="1"/>
  <c r="BA48" i="4"/>
  <c r="BB48" i="4"/>
  <c r="BC48" i="4"/>
  <c r="BD48" i="4"/>
  <c r="BE48" i="4" a="1"/>
  <c r="BE48" i="4" s="1"/>
  <c r="BF48" i="4" a="1"/>
  <c r="BF48" i="4" s="1"/>
  <c r="BG48" i="4" a="1"/>
  <c r="BG48" i="4" s="1"/>
  <c r="BI48" i="4" a="1"/>
  <c r="BI48" i="4" s="1"/>
  <c r="BJ48" i="4" a="1"/>
  <c r="BJ48" i="4" s="1"/>
  <c r="BK48" i="4" a="1"/>
  <c r="BK48" i="4" s="1"/>
  <c r="BL48" i="4" a="1"/>
  <c r="BL48" i="4" s="1"/>
  <c r="BM48" i="4" a="1"/>
  <c r="BM48" i="4" s="1"/>
  <c r="AW49" i="4"/>
  <c r="AV49" i="4" s="1"/>
  <c r="AX49" i="4"/>
  <c r="AZ49" i="4"/>
  <c r="AY49" i="4" s="1"/>
  <c r="BA49" i="4"/>
  <c r="BB49" i="4"/>
  <c r="BC49" i="4"/>
  <c r="BD49" i="4"/>
  <c r="BE49" i="4" a="1"/>
  <c r="BE49" i="4" s="1"/>
  <c r="BF49" i="4" a="1"/>
  <c r="BF49" i="4" s="1"/>
  <c r="BG49" i="4" a="1"/>
  <c r="BG49" i="4" s="1"/>
  <c r="BI49" i="4" a="1"/>
  <c r="BI49" i="4" s="1"/>
  <c r="BJ49" i="4" a="1"/>
  <c r="BJ49" i="4" s="1"/>
  <c r="BK49" i="4" a="1"/>
  <c r="BK49" i="4" s="1"/>
  <c r="BL49" i="4" a="1"/>
  <c r="BL49" i="4" s="1"/>
  <c r="BM49" i="4" a="1"/>
  <c r="BM49" i="4" s="1"/>
  <c r="AW50" i="4"/>
  <c r="AV50" i="4" s="1"/>
  <c r="AX50" i="4"/>
  <c r="AZ50" i="4"/>
  <c r="AY50" i="4" s="1"/>
  <c r="BA50" i="4"/>
  <c r="BB50" i="4"/>
  <c r="BC50" i="4"/>
  <c r="BD50" i="4"/>
  <c r="BE50" i="4" a="1"/>
  <c r="BE50" i="4" s="1"/>
  <c r="BF50" i="4" a="1"/>
  <c r="BF50" i="4" s="1"/>
  <c r="BG50" i="4" a="1"/>
  <c r="BG50" i="4" s="1"/>
  <c r="BI50" i="4" a="1"/>
  <c r="BI50" i="4" s="1"/>
  <c r="BJ50" i="4" a="1"/>
  <c r="BJ50" i="4" s="1"/>
  <c r="BK50" i="4" a="1"/>
  <c r="BK50" i="4" s="1"/>
  <c r="BL50" i="4" a="1"/>
  <c r="BL50" i="4" s="1"/>
  <c r="BM50" i="4" a="1"/>
  <c r="BM50" i="4" s="1"/>
  <c r="AW51" i="4"/>
  <c r="AV51" i="4" s="1"/>
  <c r="AX51" i="4"/>
  <c r="AZ51" i="4"/>
  <c r="AY51" i="4" s="1"/>
  <c r="BA51" i="4"/>
  <c r="BB51" i="4"/>
  <c r="BC51" i="4"/>
  <c r="BD51" i="4"/>
  <c r="BE51" i="4" a="1"/>
  <c r="BE51" i="4" s="1"/>
  <c r="BF51" i="4" a="1"/>
  <c r="BF51" i="4" s="1"/>
  <c r="BG51" i="4" a="1"/>
  <c r="BG51" i="4" s="1"/>
  <c r="BI51" i="4" a="1"/>
  <c r="BI51" i="4" s="1"/>
  <c r="BJ51" i="4" a="1"/>
  <c r="BJ51" i="4" s="1"/>
  <c r="BK51" i="4" a="1"/>
  <c r="BK51" i="4" s="1"/>
  <c r="BL51" i="4" a="1"/>
  <c r="BL51" i="4" s="1"/>
  <c r="BM51" i="4" a="1"/>
  <c r="BM51" i="4" s="1"/>
  <c r="AW52" i="4"/>
  <c r="AV52" i="4" s="1"/>
  <c r="AX52" i="4"/>
  <c r="AZ52" i="4"/>
  <c r="AY52" i="4" s="1"/>
  <c r="BA52" i="4"/>
  <c r="BB52" i="4"/>
  <c r="BC52" i="4"/>
  <c r="BD52" i="4"/>
  <c r="BE52" i="4" a="1"/>
  <c r="BE52" i="4" s="1"/>
  <c r="BF52" i="4" a="1"/>
  <c r="BF52" i="4" s="1"/>
  <c r="BG52" i="4" a="1"/>
  <c r="BG52" i="4" s="1"/>
  <c r="BI52" i="4" a="1"/>
  <c r="BI52" i="4" s="1"/>
  <c r="BJ52" i="4" a="1"/>
  <c r="BJ52" i="4" s="1"/>
  <c r="BK52" i="4" a="1"/>
  <c r="BK52" i="4" s="1"/>
  <c r="BL52" i="4" a="1"/>
  <c r="BL52" i="4" s="1"/>
  <c r="BM52" i="4" a="1"/>
  <c r="BM52" i="4" s="1"/>
  <c r="AW53" i="4"/>
  <c r="AV53" i="4" s="1"/>
  <c r="AX53" i="4"/>
  <c r="AZ53" i="4"/>
  <c r="AY53" i="4" s="1"/>
  <c r="BA53" i="4"/>
  <c r="BB53" i="4"/>
  <c r="BC53" i="4"/>
  <c r="BD53" i="4"/>
  <c r="BE53" i="4" a="1"/>
  <c r="BE53" i="4" s="1"/>
  <c r="BF53" i="4" a="1"/>
  <c r="BF53" i="4" s="1"/>
  <c r="BG53" i="4" a="1"/>
  <c r="BG53" i="4" s="1"/>
  <c r="BI53" i="4" a="1"/>
  <c r="BI53" i="4" s="1"/>
  <c r="BJ53" i="4" a="1"/>
  <c r="BJ53" i="4" s="1"/>
  <c r="BK53" i="4" a="1"/>
  <c r="BK53" i="4" s="1"/>
  <c r="BL53" i="4" a="1"/>
  <c r="BL53" i="4" s="1"/>
  <c r="BM53" i="4" a="1"/>
  <c r="BM53" i="4" s="1"/>
  <c r="AW54" i="4"/>
  <c r="AV54" i="4" s="1"/>
  <c r="AX54" i="4"/>
  <c r="AZ54" i="4"/>
  <c r="AY54" i="4" s="1"/>
  <c r="BA54" i="4"/>
  <c r="BB54" i="4"/>
  <c r="BC54" i="4"/>
  <c r="BD54" i="4"/>
  <c r="BE54" i="4" a="1"/>
  <c r="BE54" i="4" s="1"/>
  <c r="BF54" i="4" a="1"/>
  <c r="BF54" i="4" s="1"/>
  <c r="BG54" i="4" a="1"/>
  <c r="BG54" i="4" s="1"/>
  <c r="BI54" i="4" a="1"/>
  <c r="BI54" i="4" s="1"/>
  <c r="BJ54" i="4" a="1"/>
  <c r="BJ54" i="4" s="1"/>
  <c r="BK54" i="4" a="1"/>
  <c r="BK54" i="4" s="1"/>
  <c r="BL54" i="4" a="1"/>
  <c r="BL54" i="4" s="1"/>
  <c r="BM54" i="4" a="1"/>
  <c r="BM54" i="4" s="1"/>
  <c r="AW55" i="4"/>
  <c r="AV55" i="4" s="1"/>
  <c r="AX55" i="4"/>
  <c r="AZ55" i="4"/>
  <c r="AY55" i="4" s="1"/>
  <c r="BA55" i="4"/>
  <c r="BB55" i="4"/>
  <c r="BC55" i="4"/>
  <c r="BD55" i="4"/>
  <c r="BE55" i="4" a="1"/>
  <c r="BE55" i="4" s="1"/>
  <c r="BF55" i="4" a="1"/>
  <c r="BF55" i="4" s="1"/>
  <c r="BG55" i="4" a="1"/>
  <c r="BG55" i="4" s="1"/>
  <c r="BI55" i="4" a="1"/>
  <c r="BI55" i="4" s="1"/>
  <c r="BJ55" i="4" a="1"/>
  <c r="BJ55" i="4" s="1"/>
  <c r="BK55" i="4" a="1"/>
  <c r="BK55" i="4" s="1"/>
  <c r="BL55" i="4" a="1"/>
  <c r="BL55" i="4" s="1"/>
  <c r="BM55" i="4" a="1"/>
  <c r="BM55" i="4" s="1"/>
  <c r="AW56" i="4"/>
  <c r="AV56" i="4" s="1"/>
  <c r="AX56" i="4"/>
  <c r="AZ56" i="4"/>
  <c r="AY56" i="4" s="1"/>
  <c r="BA56" i="4"/>
  <c r="BB56" i="4"/>
  <c r="BC56" i="4"/>
  <c r="BD56" i="4"/>
  <c r="BE56" i="4" a="1"/>
  <c r="BE56" i="4" s="1"/>
  <c r="BF56" i="4" a="1"/>
  <c r="BF56" i="4" s="1"/>
  <c r="BG56" i="4" a="1"/>
  <c r="BG56" i="4" s="1"/>
  <c r="BI56" i="4" a="1"/>
  <c r="BI56" i="4" s="1"/>
  <c r="BJ56" i="4" a="1"/>
  <c r="BJ56" i="4" s="1"/>
  <c r="BK56" i="4" a="1"/>
  <c r="BK56" i="4" s="1"/>
  <c r="BL56" i="4" a="1"/>
  <c r="BL56" i="4" s="1"/>
  <c r="BM56" i="4" a="1"/>
  <c r="BM56" i="4" s="1"/>
  <c r="AW57" i="4"/>
  <c r="AV57" i="4" s="1"/>
  <c r="AX57" i="4"/>
  <c r="AZ57" i="4"/>
  <c r="AY57" i="4" s="1"/>
  <c r="BA57" i="4"/>
  <c r="BB57" i="4"/>
  <c r="BC57" i="4"/>
  <c r="BD57" i="4"/>
  <c r="BE57" i="4" a="1"/>
  <c r="BE57" i="4" s="1"/>
  <c r="BF57" i="4" a="1"/>
  <c r="BF57" i="4" s="1"/>
  <c r="BG57" i="4" a="1"/>
  <c r="BG57" i="4" s="1"/>
  <c r="BI57" i="4" a="1"/>
  <c r="BI57" i="4" s="1"/>
  <c r="BJ57" i="4" a="1"/>
  <c r="BJ57" i="4" s="1"/>
  <c r="BK57" i="4" a="1"/>
  <c r="BK57" i="4" s="1"/>
  <c r="BL57" i="4" a="1"/>
  <c r="BL57" i="4" s="1"/>
  <c r="BM57" i="4" a="1"/>
  <c r="BM57" i="4" s="1"/>
  <c r="AW58" i="4"/>
  <c r="AV58" i="4" s="1"/>
  <c r="AX58" i="4"/>
  <c r="AZ58" i="4"/>
  <c r="AY58" i="4" s="1"/>
  <c r="BA58" i="4"/>
  <c r="BB58" i="4"/>
  <c r="BC58" i="4"/>
  <c r="BD58" i="4"/>
  <c r="BE58" i="4" a="1"/>
  <c r="BE58" i="4" s="1"/>
  <c r="BF58" i="4" a="1"/>
  <c r="BF58" i="4" s="1"/>
  <c r="BG58" i="4" a="1"/>
  <c r="BG58" i="4" s="1"/>
  <c r="BI58" i="4" a="1"/>
  <c r="BI58" i="4" s="1"/>
  <c r="BJ58" i="4" a="1"/>
  <c r="BJ58" i="4" s="1"/>
  <c r="BK58" i="4" a="1"/>
  <c r="BK58" i="4" s="1"/>
  <c r="BL58" i="4" a="1"/>
  <c r="BL58" i="4" s="1"/>
  <c r="BM58" i="4" a="1"/>
  <c r="BM58" i="4" s="1"/>
  <c r="AW59" i="4"/>
  <c r="AV59" i="4" s="1"/>
  <c r="AX59" i="4"/>
  <c r="AZ59" i="4"/>
  <c r="AY59" i="4" s="1"/>
  <c r="BA59" i="4"/>
  <c r="BB59" i="4"/>
  <c r="BC59" i="4"/>
  <c r="BD59" i="4"/>
  <c r="BE59" i="4" a="1"/>
  <c r="BE59" i="4" s="1"/>
  <c r="BF59" i="4" a="1"/>
  <c r="BF59" i="4" s="1"/>
  <c r="BG59" i="4" a="1"/>
  <c r="BG59" i="4" s="1"/>
  <c r="BI59" i="4" a="1"/>
  <c r="BI59" i="4" s="1"/>
  <c r="BJ59" i="4" a="1"/>
  <c r="BJ59" i="4" s="1"/>
  <c r="BK59" i="4" a="1"/>
  <c r="BK59" i="4" s="1"/>
  <c r="BL59" i="4" a="1"/>
  <c r="BL59" i="4" s="1"/>
  <c r="BM59" i="4" a="1"/>
  <c r="BM59" i="4" s="1"/>
  <c r="AW60" i="4"/>
  <c r="AV60" i="4" s="1"/>
  <c r="AX60" i="4"/>
  <c r="AZ60" i="4"/>
  <c r="AY60" i="4" s="1"/>
  <c r="BA60" i="4"/>
  <c r="BB60" i="4"/>
  <c r="BC60" i="4"/>
  <c r="BD60" i="4"/>
  <c r="BE60" i="4" a="1"/>
  <c r="BE60" i="4" s="1"/>
  <c r="BF60" i="4" a="1"/>
  <c r="BF60" i="4" s="1"/>
  <c r="BG60" i="4" a="1"/>
  <c r="BG60" i="4" s="1"/>
  <c r="BI60" i="4" a="1"/>
  <c r="BI60" i="4" s="1"/>
  <c r="BJ60" i="4" a="1"/>
  <c r="BJ60" i="4" s="1"/>
  <c r="BK60" i="4" a="1"/>
  <c r="BK60" i="4" s="1"/>
  <c r="BL60" i="4" a="1"/>
  <c r="BL60" i="4" s="1"/>
  <c r="BM60" i="4" a="1"/>
  <c r="BM60" i="4" s="1"/>
  <c r="AW61" i="4"/>
  <c r="AV61" i="4" s="1"/>
  <c r="AX61" i="4"/>
  <c r="AZ61" i="4"/>
  <c r="AY61" i="4" s="1"/>
  <c r="BA61" i="4"/>
  <c r="BB61" i="4"/>
  <c r="BC61" i="4"/>
  <c r="BD61" i="4"/>
  <c r="BE61" i="4" a="1"/>
  <c r="BE61" i="4" s="1"/>
  <c r="BF61" i="4" a="1"/>
  <c r="BF61" i="4" s="1"/>
  <c r="BG61" i="4" a="1"/>
  <c r="BG61" i="4" s="1"/>
  <c r="BI61" i="4" a="1"/>
  <c r="BI61" i="4" s="1"/>
  <c r="BJ61" i="4" a="1"/>
  <c r="BJ61" i="4" s="1"/>
  <c r="BK61" i="4" a="1"/>
  <c r="BK61" i="4" s="1"/>
  <c r="BL61" i="4" a="1"/>
  <c r="BL61" i="4" s="1"/>
  <c r="BM61" i="4" a="1"/>
  <c r="BM61" i="4" s="1"/>
  <c r="AW62" i="4"/>
  <c r="AV62" i="4" s="1"/>
  <c r="AX62" i="4"/>
  <c r="AZ62" i="4"/>
  <c r="AY62" i="4" s="1"/>
  <c r="BA62" i="4"/>
  <c r="BB62" i="4"/>
  <c r="BC62" i="4"/>
  <c r="BD62" i="4"/>
  <c r="BE62" i="4" a="1"/>
  <c r="BE62" i="4" s="1"/>
  <c r="BF62" i="4" a="1"/>
  <c r="BF62" i="4" s="1"/>
  <c r="BG62" i="4" a="1"/>
  <c r="BG62" i="4" s="1"/>
  <c r="BI62" i="4" a="1"/>
  <c r="BI62" i="4" s="1"/>
  <c r="BJ62" i="4" a="1"/>
  <c r="BJ62" i="4" s="1"/>
  <c r="BK62" i="4" a="1"/>
  <c r="BK62" i="4" s="1"/>
  <c r="BL62" i="4" a="1"/>
  <c r="BL62" i="4" s="1"/>
  <c r="BM62" i="4" a="1"/>
  <c r="BM62" i="4" s="1"/>
  <c r="AW63" i="4"/>
  <c r="AV63" i="4" s="1"/>
  <c r="AX63" i="4"/>
  <c r="AZ63" i="4"/>
  <c r="AY63" i="4" s="1"/>
  <c r="BA63" i="4"/>
  <c r="BB63" i="4"/>
  <c r="BC63" i="4"/>
  <c r="BD63" i="4"/>
  <c r="BE63" i="4" a="1"/>
  <c r="BE63" i="4" s="1"/>
  <c r="BF63" i="4" a="1"/>
  <c r="BF63" i="4" s="1"/>
  <c r="BG63" i="4" a="1"/>
  <c r="BG63" i="4" s="1"/>
  <c r="BI63" i="4" a="1"/>
  <c r="BI63" i="4" s="1"/>
  <c r="BJ63" i="4" a="1"/>
  <c r="BJ63" i="4" s="1"/>
  <c r="BK63" i="4" a="1"/>
  <c r="BK63" i="4" s="1"/>
  <c r="BL63" i="4" a="1"/>
  <c r="BL63" i="4" s="1"/>
  <c r="BM63" i="4" a="1"/>
  <c r="BM63" i="4" s="1"/>
  <c r="AW64" i="4"/>
  <c r="AV64" i="4" s="1"/>
  <c r="AX64" i="4"/>
  <c r="AZ64" i="4"/>
  <c r="AY64" i="4" s="1"/>
  <c r="BA64" i="4"/>
  <c r="BB64" i="4"/>
  <c r="BC64" i="4"/>
  <c r="BD64" i="4"/>
  <c r="BE64" i="4" a="1"/>
  <c r="BE64" i="4" s="1"/>
  <c r="BF64" i="4" a="1"/>
  <c r="BF64" i="4" s="1"/>
  <c r="BG64" i="4" a="1"/>
  <c r="BG64" i="4" s="1"/>
  <c r="BI64" i="4" a="1"/>
  <c r="BI64" i="4" s="1"/>
  <c r="BJ64" i="4" a="1"/>
  <c r="BJ64" i="4" s="1"/>
  <c r="BK64" i="4" a="1"/>
  <c r="BK64" i="4" s="1"/>
  <c r="BL64" i="4" a="1"/>
  <c r="BL64" i="4" s="1"/>
  <c r="BM64" i="4" a="1"/>
  <c r="BM64" i="4" s="1"/>
  <c r="AW65" i="4"/>
  <c r="AV65" i="4" s="1"/>
  <c r="AX65" i="4"/>
  <c r="AZ65" i="4"/>
  <c r="AY65" i="4" s="1"/>
  <c r="BA65" i="4"/>
  <c r="BB65" i="4"/>
  <c r="BC65" i="4"/>
  <c r="BD65" i="4"/>
  <c r="BE65" i="4" a="1"/>
  <c r="BE65" i="4" s="1"/>
  <c r="BF65" i="4" a="1"/>
  <c r="BF65" i="4" s="1"/>
  <c r="BG65" i="4" a="1"/>
  <c r="BG65" i="4" s="1"/>
  <c r="BI65" i="4" a="1"/>
  <c r="BI65" i="4" s="1"/>
  <c r="BJ65" i="4" a="1"/>
  <c r="BJ65" i="4" s="1"/>
  <c r="BK65" i="4" a="1"/>
  <c r="BK65" i="4" s="1"/>
  <c r="BL65" i="4" a="1"/>
  <c r="BL65" i="4" s="1"/>
  <c r="BM65" i="4" a="1"/>
  <c r="BM65" i="4" s="1"/>
  <c r="AW66" i="4"/>
  <c r="AV66" i="4" s="1"/>
  <c r="AX66" i="4"/>
  <c r="AZ66" i="4"/>
  <c r="AY66" i="4" s="1"/>
  <c r="BA66" i="4"/>
  <c r="BB66" i="4"/>
  <c r="BC66" i="4"/>
  <c r="BD66" i="4"/>
  <c r="BE66" i="4" a="1"/>
  <c r="BE66" i="4" s="1"/>
  <c r="BF66" i="4" a="1"/>
  <c r="BF66" i="4" s="1"/>
  <c r="BG66" i="4" a="1"/>
  <c r="BG66" i="4" s="1"/>
  <c r="BI66" i="4" a="1"/>
  <c r="BI66" i="4" s="1"/>
  <c r="BJ66" i="4" a="1"/>
  <c r="BJ66" i="4" s="1"/>
  <c r="BK66" i="4" a="1"/>
  <c r="BK66" i="4" s="1"/>
  <c r="BL66" i="4" a="1"/>
  <c r="BL66" i="4" s="1"/>
  <c r="BM66" i="4" a="1"/>
  <c r="BM66" i="4" s="1"/>
  <c r="AW67" i="4"/>
  <c r="AV67" i="4" s="1"/>
  <c r="AX67" i="4"/>
  <c r="AZ67" i="4"/>
  <c r="AY67" i="4" s="1"/>
  <c r="BA67" i="4"/>
  <c r="BB67" i="4"/>
  <c r="BC67" i="4"/>
  <c r="BD67" i="4"/>
  <c r="BE67" i="4" a="1"/>
  <c r="BE67" i="4" s="1"/>
  <c r="BF67" i="4" a="1"/>
  <c r="BF67" i="4" s="1"/>
  <c r="BG67" i="4" a="1"/>
  <c r="BG67" i="4" s="1"/>
  <c r="BI67" i="4" a="1"/>
  <c r="BI67" i="4" s="1"/>
  <c r="BJ67" i="4" a="1"/>
  <c r="BJ67" i="4" s="1"/>
  <c r="BK67" i="4" a="1"/>
  <c r="BK67" i="4" s="1"/>
  <c r="BL67" i="4" a="1"/>
  <c r="BL67" i="4" s="1"/>
  <c r="BM67" i="4" a="1"/>
  <c r="BM67" i="4" s="1"/>
  <c r="AW68" i="4"/>
  <c r="AV68" i="4" s="1"/>
  <c r="AX68" i="4"/>
  <c r="AZ68" i="4"/>
  <c r="AY68" i="4" s="1"/>
  <c r="BA68" i="4"/>
  <c r="BB68" i="4"/>
  <c r="BC68" i="4"/>
  <c r="BD68" i="4"/>
  <c r="BE68" i="4" a="1"/>
  <c r="BE68" i="4" s="1"/>
  <c r="BF68" i="4" a="1"/>
  <c r="BF68" i="4" s="1"/>
  <c r="BG68" i="4" a="1"/>
  <c r="BG68" i="4" s="1"/>
  <c r="BI68" i="4" a="1"/>
  <c r="BI68" i="4" s="1"/>
  <c r="BJ68" i="4" a="1"/>
  <c r="BJ68" i="4" s="1"/>
  <c r="BK68" i="4" a="1"/>
  <c r="BK68" i="4" s="1"/>
  <c r="BL68" i="4" a="1"/>
  <c r="BL68" i="4" s="1"/>
  <c r="BM68" i="4" a="1"/>
  <c r="BM68" i="4" s="1"/>
  <c r="AW69" i="4"/>
  <c r="AV69" i="4" s="1"/>
  <c r="AX69" i="4"/>
  <c r="AZ69" i="4"/>
  <c r="AY69" i="4" s="1"/>
  <c r="BA69" i="4"/>
  <c r="BB69" i="4"/>
  <c r="BC69" i="4"/>
  <c r="BD69" i="4"/>
  <c r="BE69" i="4" a="1"/>
  <c r="BE69" i="4" s="1"/>
  <c r="BF69" i="4" a="1"/>
  <c r="BF69" i="4" s="1"/>
  <c r="BG69" i="4" a="1"/>
  <c r="BG69" i="4" s="1"/>
  <c r="BI69" i="4" a="1"/>
  <c r="BI69" i="4" s="1"/>
  <c r="BJ69" i="4" a="1"/>
  <c r="BJ69" i="4" s="1"/>
  <c r="BK69" i="4" a="1"/>
  <c r="BK69" i="4" s="1"/>
  <c r="BL69" i="4" a="1"/>
  <c r="BL69" i="4" s="1"/>
  <c r="BM69" i="4" a="1"/>
  <c r="BM69" i="4" s="1"/>
  <c r="AW70" i="4"/>
  <c r="AV70" i="4" s="1"/>
  <c r="AX70" i="4"/>
  <c r="AZ70" i="4"/>
  <c r="AY70" i="4" s="1"/>
  <c r="BA70" i="4"/>
  <c r="BB70" i="4"/>
  <c r="BC70" i="4"/>
  <c r="BD70" i="4"/>
  <c r="BE70" i="4" a="1"/>
  <c r="BE70" i="4" s="1"/>
  <c r="BF70" i="4" a="1"/>
  <c r="BF70" i="4" s="1"/>
  <c r="BG70" i="4" a="1"/>
  <c r="BG70" i="4" s="1"/>
  <c r="BI70" i="4" a="1"/>
  <c r="BI70" i="4" s="1"/>
  <c r="BJ70" i="4" a="1"/>
  <c r="BJ70" i="4" s="1"/>
  <c r="BK70" i="4" a="1"/>
  <c r="BK70" i="4" s="1"/>
  <c r="BL70" i="4" a="1"/>
  <c r="BL70" i="4" s="1"/>
  <c r="BM70" i="4" a="1"/>
  <c r="BM70" i="4" s="1"/>
  <c r="AW71" i="4"/>
  <c r="AV71" i="4" s="1"/>
  <c r="AX71" i="4"/>
  <c r="AZ71" i="4"/>
  <c r="AY71" i="4" s="1"/>
  <c r="BA71" i="4"/>
  <c r="BB71" i="4"/>
  <c r="BC71" i="4"/>
  <c r="BD71" i="4"/>
  <c r="BE71" i="4" a="1"/>
  <c r="BE71" i="4" s="1"/>
  <c r="BF71" i="4" a="1"/>
  <c r="BF71" i="4" s="1"/>
  <c r="BG71" i="4" a="1"/>
  <c r="BG71" i="4" s="1"/>
  <c r="BI71" i="4" a="1"/>
  <c r="BI71" i="4" s="1"/>
  <c r="BJ71" i="4" a="1"/>
  <c r="BJ71" i="4" s="1"/>
  <c r="BK71" i="4" a="1"/>
  <c r="BK71" i="4" s="1"/>
  <c r="BL71" i="4" a="1"/>
  <c r="BL71" i="4" s="1"/>
  <c r="BM71" i="4" a="1"/>
  <c r="BM71" i="4" s="1"/>
  <c r="AW72" i="4"/>
  <c r="AV72" i="4" s="1"/>
  <c r="AX72" i="4"/>
  <c r="AZ72" i="4"/>
  <c r="AY72" i="4" s="1"/>
  <c r="BA72" i="4"/>
  <c r="BB72" i="4"/>
  <c r="BC72" i="4"/>
  <c r="BD72" i="4"/>
  <c r="BE72" i="4" a="1"/>
  <c r="BE72" i="4" s="1"/>
  <c r="BF72" i="4" a="1"/>
  <c r="BF72" i="4" s="1"/>
  <c r="BG72" i="4" a="1"/>
  <c r="BG72" i="4" s="1"/>
  <c r="BI72" i="4" a="1"/>
  <c r="BI72" i="4" s="1"/>
  <c r="BJ72" i="4" a="1"/>
  <c r="BJ72" i="4" s="1"/>
  <c r="BK72" i="4" a="1"/>
  <c r="BK72" i="4" s="1"/>
  <c r="BL72" i="4" a="1"/>
  <c r="BL72" i="4" s="1"/>
  <c r="BM72" i="4" a="1"/>
  <c r="BM72" i="4" s="1"/>
  <c r="BL3" i="4" a="1"/>
  <c r="BL3" i="4" s="1"/>
  <c r="BK3" i="4" a="1"/>
  <c r="BK3" i="4" s="1"/>
  <c r="BI3" i="4" a="1"/>
  <c r="BI3" i="4" s="1"/>
  <c r="J46" i="9"/>
  <c r="G55" i="9"/>
  <c r="V10" i="9"/>
  <c r="BN13" i="4" l="1"/>
  <c r="BN3" i="4"/>
  <c r="BH62" i="4"/>
  <c r="BH9" i="4"/>
  <c r="BH6" i="4"/>
  <c r="BH60" i="4"/>
  <c r="BH7" i="4"/>
  <c r="BH11" i="4"/>
  <c r="BH8" i="4"/>
  <c r="BH12" i="4"/>
  <c r="BH5" i="4"/>
  <c r="BH24" i="4"/>
  <c r="BH56" i="4"/>
  <c r="BH61" i="4"/>
  <c r="BH49" i="4"/>
  <c r="BH66" i="4"/>
  <c r="BH72" i="4"/>
  <c r="BH67" i="4"/>
  <c r="BH71" i="4"/>
  <c r="BH65" i="4"/>
  <c r="BH59" i="4"/>
  <c r="BH54" i="4"/>
  <c r="BH53" i="4"/>
  <c r="BH55" i="4"/>
  <c r="BH52" i="4"/>
  <c r="BH43" i="4"/>
  <c r="BH48" i="4"/>
  <c r="BH42" i="4"/>
  <c r="BH47" i="4"/>
  <c r="BH41" i="4"/>
  <c r="BH38" i="4"/>
  <c r="BH37" i="4"/>
  <c r="BH36" i="4"/>
  <c r="BH32" i="4"/>
  <c r="BH34" i="4"/>
  <c r="BH35" i="4"/>
  <c r="BH13" i="4"/>
  <c r="BH30" i="4"/>
  <c r="BH28" i="4"/>
  <c r="BH22" i="4"/>
  <c r="BH29" i="4"/>
  <c r="BH23" i="4"/>
  <c r="BH27" i="4"/>
  <c r="BH21" i="4"/>
  <c r="BH17" i="4"/>
  <c r="BH31" i="4"/>
  <c r="BH25" i="4"/>
  <c r="BH18" i="4"/>
  <c r="BH20" i="4"/>
  <c r="BH19" i="4"/>
  <c r="BH14" i="4"/>
  <c r="BH16" i="4"/>
  <c r="BH45" i="4"/>
  <c r="BH39" i="4"/>
  <c r="BH51" i="4"/>
  <c r="BH57" i="4"/>
  <c r="BH33" i="4"/>
  <c r="BH10" i="4"/>
  <c r="BH69" i="4"/>
  <c r="BH63" i="4"/>
  <c r="BH4" i="4"/>
  <c r="BH15" i="4"/>
  <c r="BH50" i="4"/>
  <c r="BH44" i="4"/>
  <c r="BH46" i="4"/>
  <c r="BH40" i="4"/>
  <c r="BH26" i="4"/>
  <c r="BH68" i="4"/>
  <c r="BH58" i="4"/>
  <c r="BH70" i="4"/>
  <c r="BH64" i="4"/>
  <c r="AK7" i="9"/>
  <c r="G8" i="9"/>
  <c r="J4" i="9"/>
  <c r="K6" i="9"/>
  <c r="Q6" i="9"/>
  <c r="V7" i="9"/>
  <c r="X8" i="9"/>
  <c r="Y5" i="9"/>
  <c r="AB6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AH3" i="9"/>
  <c r="AI3" i="9"/>
  <c r="AJ3" i="9"/>
  <c r="AK3" i="9"/>
  <c r="AL3" i="9"/>
  <c r="AM3" i="9"/>
  <c r="AN3" i="9"/>
  <c r="E4" i="9"/>
  <c r="F4" i="9"/>
  <c r="G4" i="9"/>
  <c r="H4" i="9"/>
  <c r="I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AN4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Z5" i="9"/>
  <c r="AA5" i="9"/>
  <c r="AB5" i="9"/>
  <c r="AC5" i="9"/>
  <c r="AD5" i="9"/>
  <c r="AE5" i="9"/>
  <c r="AF5" i="9"/>
  <c r="AG5" i="9"/>
  <c r="AH5" i="9"/>
  <c r="AI5" i="9"/>
  <c r="AJ5" i="9"/>
  <c r="AK5" i="9"/>
  <c r="AL5" i="9"/>
  <c r="AM5" i="9"/>
  <c r="AN5" i="9"/>
  <c r="E6" i="9"/>
  <c r="F6" i="9"/>
  <c r="G6" i="9"/>
  <c r="H6" i="9"/>
  <c r="I6" i="9"/>
  <c r="J6" i="9"/>
  <c r="L6" i="9"/>
  <c r="M6" i="9"/>
  <c r="N6" i="9"/>
  <c r="O6" i="9"/>
  <c r="P6" i="9"/>
  <c r="R6" i="9"/>
  <c r="S6" i="9"/>
  <c r="T6" i="9"/>
  <c r="U6" i="9"/>
  <c r="V6" i="9"/>
  <c r="W6" i="9"/>
  <c r="X6" i="9"/>
  <c r="Y6" i="9"/>
  <c r="Z6" i="9"/>
  <c r="AA6" i="9"/>
  <c r="AC6" i="9"/>
  <c r="AD6" i="9"/>
  <c r="AE6" i="9"/>
  <c r="AF6" i="9"/>
  <c r="AG6" i="9"/>
  <c r="AH6" i="9"/>
  <c r="AI6" i="9"/>
  <c r="AJ6" i="9"/>
  <c r="AK6" i="9"/>
  <c r="AL6" i="9"/>
  <c r="AM6" i="9"/>
  <c r="AN6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E8" i="9"/>
  <c r="F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Y8" i="9"/>
  <c r="Z8" i="9"/>
  <c r="AA8" i="9"/>
  <c r="AB8" i="9"/>
  <c r="AC8" i="9"/>
  <c r="AD8" i="9"/>
  <c r="AE8" i="9"/>
  <c r="AF8" i="9"/>
  <c r="AG8" i="9"/>
  <c r="AH8" i="9"/>
  <c r="AI8" i="9"/>
  <c r="AJ8" i="9"/>
  <c r="AK8" i="9"/>
  <c r="AL8" i="9"/>
  <c r="AM8" i="9"/>
  <c r="AN8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AJ9" i="9"/>
  <c r="AK9" i="9"/>
  <c r="AL9" i="9"/>
  <c r="AM9" i="9"/>
  <c r="AN9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AL10" i="9"/>
  <c r="AM10" i="9"/>
  <c r="AN10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AL11" i="9"/>
  <c r="AM11" i="9"/>
  <c r="AN11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K12" i="9"/>
  <c r="AL12" i="9"/>
  <c r="AM12" i="9"/>
  <c r="AN12" i="9"/>
  <c r="D3" i="9"/>
  <c r="AL29" i="9"/>
  <c r="J51" i="9" l="1"/>
  <c r="R52" i="9"/>
  <c r="J66" i="9"/>
  <c r="AF29" i="9" l="1"/>
  <c r="AM29" i="9"/>
  <c r="AM29" i="5" s="1"/>
  <c r="AL60" i="9"/>
  <c r="AL60" i="5" s="1"/>
  <c r="AL52" i="9"/>
  <c r="AL52" i="5" s="1"/>
  <c r="AK3" i="5"/>
  <c r="AL3" i="5"/>
  <c r="AM3" i="5"/>
  <c r="AN3" i="5"/>
  <c r="AK4" i="5"/>
  <c r="AL4" i="5"/>
  <c r="AM4" i="5"/>
  <c r="AN4" i="5"/>
  <c r="R73" i="9"/>
  <c r="Y68" i="9"/>
  <c r="AE52" i="9"/>
  <c r="AD52" i="9"/>
  <c r="V51" i="9"/>
  <c r="Q52" i="9"/>
  <c r="J58" i="9"/>
  <c r="V66" i="9"/>
  <c r="V64" i="9"/>
  <c r="H70" i="9"/>
  <c r="H65" i="9"/>
  <c r="G61" i="9"/>
  <c r="V103" i="4"/>
  <c r="G68" i="9" l="1"/>
  <c r="V69" i="9"/>
  <c r="V69" i="5" s="1"/>
  <c r="V65" i="9"/>
  <c r="V65" i="5" s="1"/>
  <c r="R67" i="9"/>
  <c r="R67" i="5" s="1"/>
  <c r="M61" i="9"/>
  <c r="H66" i="9"/>
  <c r="H66" i="5" s="1"/>
  <c r="H64" i="9"/>
  <c r="H64" i="5" s="1"/>
  <c r="G66" i="9"/>
  <c r="G66" i="5" s="1"/>
  <c r="G60" i="9"/>
  <c r="G60" i="5" s="1"/>
  <c r="D60" i="9"/>
  <c r="E60" i="9"/>
  <c r="F60" i="9"/>
  <c r="F60" i="5" s="1"/>
  <c r="H60" i="9"/>
  <c r="H60" i="5" s="1"/>
  <c r="I60" i="9"/>
  <c r="J60" i="9"/>
  <c r="J60" i="5" s="1"/>
  <c r="K60" i="9"/>
  <c r="K60" i="5" s="1"/>
  <c r="L60" i="9"/>
  <c r="L60" i="5" s="1"/>
  <c r="M60" i="9"/>
  <c r="M60" i="5" s="1"/>
  <c r="N60" i="9"/>
  <c r="N60" i="5" s="1"/>
  <c r="O60" i="9"/>
  <c r="O60" i="5" s="1"/>
  <c r="P60" i="9"/>
  <c r="P60" i="5" s="1"/>
  <c r="Q60" i="9"/>
  <c r="Q60" i="5" s="1"/>
  <c r="R60" i="9"/>
  <c r="R60" i="5" s="1"/>
  <c r="S60" i="9"/>
  <c r="S60" i="5" s="1"/>
  <c r="T60" i="9"/>
  <c r="T60" i="5" s="1"/>
  <c r="U60" i="9"/>
  <c r="U60" i="5" s="1"/>
  <c r="V60" i="9"/>
  <c r="V60" i="5" s="1"/>
  <c r="W60" i="9"/>
  <c r="W60" i="5" s="1"/>
  <c r="X60" i="9"/>
  <c r="X60" i="5" s="1"/>
  <c r="Y60" i="9"/>
  <c r="Y60" i="5" s="1"/>
  <c r="Z60" i="9"/>
  <c r="Z60" i="5" s="1"/>
  <c r="AA60" i="9"/>
  <c r="AA60" i="5" s="1"/>
  <c r="AB60" i="9"/>
  <c r="AB60" i="5" s="1"/>
  <c r="AC60" i="9"/>
  <c r="AC60" i="5" s="1"/>
  <c r="AD60" i="9"/>
  <c r="AD60" i="5" s="1"/>
  <c r="AE60" i="9"/>
  <c r="AE60" i="5" s="1"/>
  <c r="AF60" i="9"/>
  <c r="AF60" i="5" s="1"/>
  <c r="AG60" i="9"/>
  <c r="AG60" i="5" s="1"/>
  <c r="AH60" i="9"/>
  <c r="AH60" i="5" s="1"/>
  <c r="AI60" i="9"/>
  <c r="AI60" i="5" s="1"/>
  <c r="AJ60" i="9"/>
  <c r="AJ60" i="5" s="1"/>
  <c r="AK60" i="9"/>
  <c r="AK60" i="5" s="1"/>
  <c r="AM60" i="9"/>
  <c r="AM60" i="5" s="1"/>
  <c r="AN60" i="9"/>
  <c r="AN60" i="5" s="1"/>
  <c r="D61" i="9"/>
  <c r="E61" i="9"/>
  <c r="F61" i="9"/>
  <c r="F61" i="5" s="1"/>
  <c r="G61" i="5"/>
  <c r="H61" i="9"/>
  <c r="H61" i="5" s="1"/>
  <c r="I61" i="9"/>
  <c r="I61" i="5" s="1"/>
  <c r="J61" i="9"/>
  <c r="J61" i="5" s="1"/>
  <c r="K61" i="9"/>
  <c r="K61" i="5" s="1"/>
  <c r="L61" i="9"/>
  <c r="L61" i="5" s="1"/>
  <c r="N61" i="9"/>
  <c r="N61" i="5" s="1"/>
  <c r="O61" i="9"/>
  <c r="O61" i="5" s="1"/>
  <c r="P61" i="9"/>
  <c r="P61" i="5" s="1"/>
  <c r="Q61" i="9"/>
  <c r="Q61" i="5" s="1"/>
  <c r="R61" i="9"/>
  <c r="R61" i="5" s="1"/>
  <c r="S61" i="9"/>
  <c r="S61" i="5" s="1"/>
  <c r="T61" i="9"/>
  <c r="T61" i="5" s="1"/>
  <c r="U61" i="9"/>
  <c r="U61" i="5" s="1"/>
  <c r="V61" i="9"/>
  <c r="V61" i="5" s="1"/>
  <c r="W61" i="9"/>
  <c r="W61" i="5" s="1"/>
  <c r="X61" i="9"/>
  <c r="X61" i="5" s="1"/>
  <c r="Y61" i="9"/>
  <c r="Y61" i="5" s="1"/>
  <c r="Z61" i="9"/>
  <c r="Z61" i="5" s="1"/>
  <c r="AA61" i="9"/>
  <c r="AA61" i="5" s="1"/>
  <c r="AB61" i="9"/>
  <c r="AB61" i="5" s="1"/>
  <c r="AC61" i="9"/>
  <c r="AC61" i="5" s="1"/>
  <c r="AD61" i="9"/>
  <c r="AD61" i="5" s="1"/>
  <c r="AE61" i="9"/>
  <c r="AE61" i="5" s="1"/>
  <c r="AF61" i="9"/>
  <c r="AF61" i="5" s="1"/>
  <c r="AG61" i="9"/>
  <c r="AG61" i="5" s="1"/>
  <c r="AH61" i="9"/>
  <c r="AI61" i="9"/>
  <c r="AI61" i="5" s="1"/>
  <c r="AJ61" i="9"/>
  <c r="AJ61" i="5" s="1"/>
  <c r="AK61" i="9"/>
  <c r="AK61" i="5" s="1"/>
  <c r="AL61" i="9"/>
  <c r="AL61" i="5" s="1"/>
  <c r="AM61" i="9"/>
  <c r="AM61" i="5" s="1"/>
  <c r="AN61" i="9"/>
  <c r="AN61" i="5" s="1"/>
  <c r="D62" i="9"/>
  <c r="E62" i="9"/>
  <c r="F62" i="9"/>
  <c r="F62" i="5" s="1"/>
  <c r="G62" i="9"/>
  <c r="G62" i="5" s="1"/>
  <c r="H62" i="9"/>
  <c r="H62" i="5" s="1"/>
  <c r="I62" i="9"/>
  <c r="I62" i="5" s="1"/>
  <c r="J62" i="9"/>
  <c r="J62" i="5" s="1"/>
  <c r="K62" i="9"/>
  <c r="K62" i="5" s="1"/>
  <c r="L62" i="9"/>
  <c r="L62" i="5" s="1"/>
  <c r="M62" i="9"/>
  <c r="M62" i="5" s="1"/>
  <c r="N62" i="9"/>
  <c r="N62" i="5" s="1"/>
  <c r="O62" i="9"/>
  <c r="O62" i="5" s="1"/>
  <c r="P62" i="9"/>
  <c r="P62" i="5" s="1"/>
  <c r="Q62" i="9"/>
  <c r="Q62" i="5" s="1"/>
  <c r="R62" i="9"/>
  <c r="R62" i="5" s="1"/>
  <c r="S62" i="9"/>
  <c r="S62" i="5" s="1"/>
  <c r="T62" i="9"/>
  <c r="T62" i="5" s="1"/>
  <c r="U62" i="9"/>
  <c r="U62" i="5" s="1"/>
  <c r="V62" i="9"/>
  <c r="V62" i="5" s="1"/>
  <c r="W62" i="9"/>
  <c r="W62" i="5" s="1"/>
  <c r="X62" i="9"/>
  <c r="X62" i="5" s="1"/>
  <c r="Y62" i="9"/>
  <c r="Y62" i="5" s="1"/>
  <c r="Z62" i="9"/>
  <c r="Z62" i="5" s="1"/>
  <c r="AA62" i="9"/>
  <c r="AA62" i="5" s="1"/>
  <c r="AB62" i="9"/>
  <c r="AB62" i="5" s="1"/>
  <c r="AC62" i="9"/>
  <c r="AC62" i="5" s="1"/>
  <c r="AD62" i="9"/>
  <c r="AD62" i="5" s="1"/>
  <c r="AE62" i="9"/>
  <c r="AE62" i="5" s="1"/>
  <c r="AF62" i="9"/>
  <c r="AF62" i="5" s="1"/>
  <c r="AG62" i="9"/>
  <c r="AG62" i="5" s="1"/>
  <c r="AH62" i="9"/>
  <c r="AH62" i="5" s="1"/>
  <c r="AI62" i="9"/>
  <c r="AI62" i="5" s="1"/>
  <c r="AJ62" i="9"/>
  <c r="AJ62" i="5" s="1"/>
  <c r="AK62" i="9"/>
  <c r="AK62" i="5" s="1"/>
  <c r="AL62" i="9"/>
  <c r="AL62" i="5" s="1"/>
  <c r="AM62" i="9"/>
  <c r="AM62" i="5" s="1"/>
  <c r="AN62" i="9"/>
  <c r="AN62" i="5" s="1"/>
  <c r="D63" i="9"/>
  <c r="E63" i="9"/>
  <c r="F63" i="9"/>
  <c r="F63" i="5" s="1"/>
  <c r="G63" i="9"/>
  <c r="G63" i="5" s="1"/>
  <c r="H63" i="9"/>
  <c r="H63" i="5" s="1"/>
  <c r="I63" i="9"/>
  <c r="I63" i="5" s="1"/>
  <c r="J63" i="9"/>
  <c r="J63" i="5" s="1"/>
  <c r="K63" i="9"/>
  <c r="K63" i="5" s="1"/>
  <c r="L63" i="9"/>
  <c r="L63" i="5" s="1"/>
  <c r="M63" i="9"/>
  <c r="M63" i="5" s="1"/>
  <c r="N63" i="9"/>
  <c r="N63" i="5" s="1"/>
  <c r="O63" i="9"/>
  <c r="O63" i="5" s="1"/>
  <c r="P63" i="9"/>
  <c r="P63" i="5" s="1"/>
  <c r="Q63" i="9"/>
  <c r="R63" i="9"/>
  <c r="R63" i="5" s="1"/>
  <c r="S63" i="9"/>
  <c r="S63" i="5" s="1"/>
  <c r="T63" i="9"/>
  <c r="T63" i="5" s="1"/>
  <c r="U63" i="9"/>
  <c r="U63" i="5" s="1"/>
  <c r="V63" i="9"/>
  <c r="V63" i="5" s="1"/>
  <c r="W63" i="9"/>
  <c r="W63" i="5" s="1"/>
  <c r="X63" i="9"/>
  <c r="X63" i="5" s="1"/>
  <c r="Y63" i="9"/>
  <c r="Y63" i="5" s="1"/>
  <c r="Z63" i="9"/>
  <c r="Z63" i="5" s="1"/>
  <c r="AA63" i="9"/>
  <c r="AA63" i="5" s="1"/>
  <c r="AB63" i="9"/>
  <c r="AB63" i="5" s="1"/>
  <c r="AC63" i="9"/>
  <c r="AC63" i="5" s="1"/>
  <c r="AD63" i="9"/>
  <c r="AD63" i="5" s="1"/>
  <c r="AE63" i="9"/>
  <c r="AE63" i="5" s="1"/>
  <c r="AF63" i="9"/>
  <c r="AF63" i="5" s="1"/>
  <c r="AG63" i="9"/>
  <c r="AG63" i="5" s="1"/>
  <c r="AH63" i="9"/>
  <c r="AH63" i="5" s="1"/>
  <c r="AI63" i="9"/>
  <c r="AI63" i="5" s="1"/>
  <c r="AJ63" i="9"/>
  <c r="AJ63" i="5" s="1"/>
  <c r="AK63" i="9"/>
  <c r="AK63" i="5" s="1"/>
  <c r="AL63" i="9"/>
  <c r="AL63" i="5" s="1"/>
  <c r="AM63" i="9"/>
  <c r="AM63" i="5" s="1"/>
  <c r="AN63" i="9"/>
  <c r="AN63" i="5" s="1"/>
  <c r="D64" i="9"/>
  <c r="E64" i="9"/>
  <c r="F64" i="9"/>
  <c r="F64" i="5" s="1"/>
  <c r="G64" i="9"/>
  <c r="G64" i="5" s="1"/>
  <c r="I64" i="9"/>
  <c r="I64" i="5" s="1"/>
  <c r="J64" i="9"/>
  <c r="J64" i="5" s="1"/>
  <c r="K64" i="9"/>
  <c r="K64" i="5" s="1"/>
  <c r="L64" i="9"/>
  <c r="L64" i="5" s="1"/>
  <c r="M64" i="9"/>
  <c r="M64" i="5" s="1"/>
  <c r="N64" i="9"/>
  <c r="N64" i="5" s="1"/>
  <c r="O64" i="9"/>
  <c r="O64" i="5" s="1"/>
  <c r="P64" i="9"/>
  <c r="P64" i="5" s="1"/>
  <c r="Q64" i="9"/>
  <c r="Q64" i="5" s="1"/>
  <c r="R64" i="9"/>
  <c r="R64" i="5" s="1"/>
  <c r="S64" i="9"/>
  <c r="S64" i="5" s="1"/>
  <c r="T64" i="9"/>
  <c r="T64" i="5" s="1"/>
  <c r="U64" i="9"/>
  <c r="U64" i="5" s="1"/>
  <c r="V64" i="5"/>
  <c r="W64" i="9"/>
  <c r="W64" i="5" s="1"/>
  <c r="X64" i="9"/>
  <c r="X64" i="5" s="1"/>
  <c r="Y64" i="9"/>
  <c r="Y64" i="5" s="1"/>
  <c r="Z64" i="9"/>
  <c r="Z64" i="5" s="1"/>
  <c r="AA64" i="9"/>
  <c r="AA64" i="5" s="1"/>
  <c r="AB64" i="9"/>
  <c r="AB64" i="5" s="1"/>
  <c r="AC64" i="9"/>
  <c r="AC64" i="5" s="1"/>
  <c r="AD64" i="9"/>
  <c r="AD64" i="5" s="1"/>
  <c r="AE64" i="9"/>
  <c r="AE64" i="5" s="1"/>
  <c r="AF64" i="9"/>
  <c r="AF64" i="5" s="1"/>
  <c r="AG64" i="9"/>
  <c r="AG64" i="5" s="1"/>
  <c r="AH64" i="9"/>
  <c r="AH64" i="5" s="1"/>
  <c r="AI64" i="9"/>
  <c r="AI64" i="5" s="1"/>
  <c r="AJ64" i="9"/>
  <c r="AJ64" i="5" s="1"/>
  <c r="AK64" i="9"/>
  <c r="AK64" i="5" s="1"/>
  <c r="AL64" i="9"/>
  <c r="AL64" i="5" s="1"/>
  <c r="AM64" i="9"/>
  <c r="AM64" i="5" s="1"/>
  <c r="AN64" i="9"/>
  <c r="AN64" i="5" s="1"/>
  <c r="D65" i="9"/>
  <c r="E65" i="9"/>
  <c r="F65" i="9"/>
  <c r="F65" i="5" s="1"/>
  <c r="G65" i="9"/>
  <c r="G65" i="5" s="1"/>
  <c r="H65" i="5"/>
  <c r="I65" i="9"/>
  <c r="I65" i="5" s="1"/>
  <c r="J65" i="9"/>
  <c r="J65" i="5" s="1"/>
  <c r="K65" i="9"/>
  <c r="K65" i="5" s="1"/>
  <c r="L65" i="9"/>
  <c r="L65" i="5" s="1"/>
  <c r="M65" i="9"/>
  <c r="M65" i="5" s="1"/>
  <c r="N65" i="9"/>
  <c r="N65" i="5" s="1"/>
  <c r="O65" i="9"/>
  <c r="O65" i="5" s="1"/>
  <c r="P65" i="9"/>
  <c r="P65" i="5" s="1"/>
  <c r="Q65" i="9"/>
  <c r="Q65" i="5" s="1"/>
  <c r="R65" i="9"/>
  <c r="R65" i="5" s="1"/>
  <c r="S65" i="9"/>
  <c r="S65" i="5" s="1"/>
  <c r="T65" i="9"/>
  <c r="T65" i="5" s="1"/>
  <c r="U65" i="9"/>
  <c r="U65" i="5" s="1"/>
  <c r="W65" i="9"/>
  <c r="W65" i="5" s="1"/>
  <c r="X65" i="9"/>
  <c r="X65" i="5" s="1"/>
  <c r="Y65" i="9"/>
  <c r="Y65" i="5" s="1"/>
  <c r="Z65" i="9"/>
  <c r="Z65" i="5" s="1"/>
  <c r="AA65" i="9"/>
  <c r="AA65" i="5" s="1"/>
  <c r="AB65" i="9"/>
  <c r="AB65" i="5" s="1"/>
  <c r="AC65" i="9"/>
  <c r="AC65" i="5" s="1"/>
  <c r="AD65" i="9"/>
  <c r="AD65" i="5" s="1"/>
  <c r="AE65" i="9"/>
  <c r="AE65" i="5" s="1"/>
  <c r="AF65" i="9"/>
  <c r="AF65" i="5" s="1"/>
  <c r="AG65" i="9"/>
  <c r="AG65" i="5" s="1"/>
  <c r="AH65" i="9"/>
  <c r="AH65" i="5" s="1"/>
  <c r="AI65" i="9"/>
  <c r="AI65" i="5" s="1"/>
  <c r="AJ65" i="9"/>
  <c r="AJ65" i="5" s="1"/>
  <c r="AK65" i="9"/>
  <c r="AK65" i="5" s="1"/>
  <c r="AL65" i="9"/>
  <c r="AL65" i="5" s="1"/>
  <c r="AM65" i="9"/>
  <c r="AM65" i="5" s="1"/>
  <c r="AN65" i="9"/>
  <c r="AN65" i="5" s="1"/>
  <c r="I60" i="5"/>
  <c r="M61" i="5"/>
  <c r="AH61" i="5"/>
  <c r="G68" i="5"/>
  <c r="G48" i="9"/>
  <c r="R40" i="9"/>
  <c r="R42" i="9"/>
  <c r="I35" i="9"/>
  <c r="Q42" i="9"/>
  <c r="K42" i="9"/>
  <c r="H52" i="9"/>
  <c r="H49" i="9"/>
  <c r="H46" i="9"/>
  <c r="G44" i="9"/>
  <c r="G42" i="9"/>
  <c r="J35" i="9"/>
  <c r="Q31" i="9"/>
  <c r="AD33" i="9"/>
  <c r="AC27" i="9"/>
  <c r="P25" i="9"/>
  <c r="AH21" i="9"/>
  <c r="AF22" i="9"/>
  <c r="AM14" i="9"/>
  <c r="AM14" i="5" s="1"/>
  <c r="AL28" i="9"/>
  <c r="AL28" i="5" s="1"/>
  <c r="AJ25" i="9"/>
  <c r="AI31" i="9"/>
  <c r="AG23" i="9"/>
  <c r="AD19" i="9"/>
  <c r="AE14" i="9"/>
  <c r="D1" i="5"/>
  <c r="V48" i="9"/>
  <c r="AF52" i="9"/>
  <c r="AG52" i="9"/>
  <c r="AH52" i="9"/>
  <c r="AI52" i="9"/>
  <c r="AJ52" i="9"/>
  <c r="AK52" i="9"/>
  <c r="AK52" i="5" s="1"/>
  <c r="AM52" i="9"/>
  <c r="AM52" i="5" s="1"/>
  <c r="AN52" i="9"/>
  <c r="AN52" i="5" s="1"/>
  <c r="AD53" i="9"/>
  <c r="AE53" i="9"/>
  <c r="AF53" i="9"/>
  <c r="AG53" i="9"/>
  <c r="AH53" i="9"/>
  <c r="AI53" i="9"/>
  <c r="AJ53" i="9"/>
  <c r="AK53" i="9"/>
  <c r="AK53" i="5" s="1"/>
  <c r="AL53" i="9"/>
  <c r="AL53" i="5" s="1"/>
  <c r="AM53" i="9"/>
  <c r="AM53" i="5" s="1"/>
  <c r="AN53" i="9"/>
  <c r="AN53" i="5" s="1"/>
  <c r="AD54" i="9"/>
  <c r="AE54" i="9"/>
  <c r="AF54" i="9"/>
  <c r="AG54" i="9"/>
  <c r="AH54" i="9"/>
  <c r="AI54" i="9"/>
  <c r="AJ54" i="9"/>
  <c r="AK54" i="9"/>
  <c r="AK54" i="5" s="1"/>
  <c r="AL54" i="9"/>
  <c r="AL54" i="5" s="1"/>
  <c r="AM54" i="9"/>
  <c r="AM54" i="5" s="1"/>
  <c r="AN54" i="9"/>
  <c r="AN54" i="5" s="1"/>
  <c r="AD55" i="9"/>
  <c r="AE55" i="9"/>
  <c r="AF55" i="9"/>
  <c r="AG55" i="9"/>
  <c r="AH55" i="9"/>
  <c r="AI55" i="9"/>
  <c r="AJ55" i="9"/>
  <c r="AK55" i="9"/>
  <c r="AK55" i="5" s="1"/>
  <c r="AL55" i="9"/>
  <c r="AL55" i="5" s="1"/>
  <c r="AM55" i="9"/>
  <c r="AM55" i="5" s="1"/>
  <c r="AN55" i="9"/>
  <c r="AN55" i="5" s="1"/>
  <c r="AD56" i="9"/>
  <c r="AE56" i="9"/>
  <c r="AF56" i="9"/>
  <c r="AG56" i="9"/>
  <c r="AH56" i="9"/>
  <c r="AI56" i="9"/>
  <c r="AJ56" i="9"/>
  <c r="AK56" i="9"/>
  <c r="AK56" i="5" s="1"/>
  <c r="AL56" i="9"/>
  <c r="AL56" i="5" s="1"/>
  <c r="AM56" i="9"/>
  <c r="AM56" i="5" s="1"/>
  <c r="AN56" i="9"/>
  <c r="AN56" i="5" s="1"/>
  <c r="AD57" i="9"/>
  <c r="AD57" i="5" s="1"/>
  <c r="AE57" i="9"/>
  <c r="AE57" i="5" s="1"/>
  <c r="AF57" i="9"/>
  <c r="AF57" i="5" s="1"/>
  <c r="AG57" i="9"/>
  <c r="AG57" i="5" s="1"/>
  <c r="AH57" i="9"/>
  <c r="AH57" i="5" s="1"/>
  <c r="AI57" i="9"/>
  <c r="AI57" i="5" s="1"/>
  <c r="AJ57" i="9"/>
  <c r="AJ57" i="5" s="1"/>
  <c r="AK57" i="9"/>
  <c r="AK57" i="5" s="1"/>
  <c r="AL57" i="9"/>
  <c r="AL57" i="5" s="1"/>
  <c r="AM57" i="9"/>
  <c r="AM57" i="5" s="1"/>
  <c r="AN57" i="9"/>
  <c r="AN57" i="5" s="1"/>
  <c r="AD58" i="9"/>
  <c r="AD58" i="5" s="1"/>
  <c r="AE58" i="9"/>
  <c r="AE58" i="5" s="1"/>
  <c r="AF58" i="9"/>
  <c r="AF58" i="5" s="1"/>
  <c r="AG58" i="9"/>
  <c r="AG58" i="5" s="1"/>
  <c r="AH58" i="9"/>
  <c r="AH58" i="5" s="1"/>
  <c r="AI58" i="9"/>
  <c r="AI58" i="5" s="1"/>
  <c r="AJ58" i="9"/>
  <c r="AJ58" i="5" s="1"/>
  <c r="AK58" i="9"/>
  <c r="AK58" i="5" s="1"/>
  <c r="AL58" i="9"/>
  <c r="AL58" i="5" s="1"/>
  <c r="AM58" i="9"/>
  <c r="AM58" i="5" s="1"/>
  <c r="AN58" i="9"/>
  <c r="AN58" i="5" s="1"/>
  <c r="AD59" i="9"/>
  <c r="AD59" i="5" s="1"/>
  <c r="AE59" i="9"/>
  <c r="AE59" i="5" s="1"/>
  <c r="AF59" i="9"/>
  <c r="AF59" i="5" s="1"/>
  <c r="AG59" i="9"/>
  <c r="AG59" i="5" s="1"/>
  <c r="AH59" i="9"/>
  <c r="AH59" i="5" s="1"/>
  <c r="AI59" i="9"/>
  <c r="AI59" i="5" s="1"/>
  <c r="AJ59" i="9"/>
  <c r="AJ59" i="5" s="1"/>
  <c r="AK59" i="9"/>
  <c r="AK59" i="5" s="1"/>
  <c r="AL59" i="9"/>
  <c r="AL59" i="5" s="1"/>
  <c r="AM59" i="9"/>
  <c r="AM59" i="5" s="1"/>
  <c r="AN59" i="9"/>
  <c r="AN59" i="5" s="1"/>
  <c r="AD66" i="9"/>
  <c r="AD66" i="5" s="1"/>
  <c r="AE66" i="9"/>
  <c r="AE66" i="5" s="1"/>
  <c r="AF66" i="9"/>
  <c r="AF66" i="5" s="1"/>
  <c r="AG66" i="9"/>
  <c r="AG66" i="5" s="1"/>
  <c r="AH66" i="9"/>
  <c r="AH66" i="5" s="1"/>
  <c r="AI66" i="9"/>
  <c r="AI66" i="5" s="1"/>
  <c r="AJ66" i="9"/>
  <c r="AJ66" i="5" s="1"/>
  <c r="AK66" i="9"/>
  <c r="AK66" i="5" s="1"/>
  <c r="AL66" i="9"/>
  <c r="AL66" i="5" s="1"/>
  <c r="AM66" i="9"/>
  <c r="AM66" i="5" s="1"/>
  <c r="AN66" i="9"/>
  <c r="AN66" i="5" s="1"/>
  <c r="AD67" i="9"/>
  <c r="AD67" i="5" s="1"/>
  <c r="AE67" i="9"/>
  <c r="AE67" i="5" s="1"/>
  <c r="AF67" i="9"/>
  <c r="AF67" i="5" s="1"/>
  <c r="AG67" i="9"/>
  <c r="AG67" i="5" s="1"/>
  <c r="AH67" i="9"/>
  <c r="AH67" i="5" s="1"/>
  <c r="AI67" i="9"/>
  <c r="AI67" i="5" s="1"/>
  <c r="AJ67" i="9"/>
  <c r="AJ67" i="5" s="1"/>
  <c r="AK67" i="9"/>
  <c r="AK67" i="5" s="1"/>
  <c r="AL67" i="9"/>
  <c r="AL67" i="5" s="1"/>
  <c r="AM67" i="9"/>
  <c r="AM67" i="5" s="1"/>
  <c r="AN67" i="9"/>
  <c r="AN67" i="5" s="1"/>
  <c r="AD68" i="9"/>
  <c r="AD68" i="5" s="1"/>
  <c r="AE68" i="9"/>
  <c r="AE68" i="5" s="1"/>
  <c r="AF68" i="9"/>
  <c r="AF68" i="5" s="1"/>
  <c r="AG68" i="9"/>
  <c r="AG68" i="5" s="1"/>
  <c r="AH68" i="9"/>
  <c r="AH68" i="5" s="1"/>
  <c r="AI68" i="9"/>
  <c r="AI68" i="5" s="1"/>
  <c r="AJ68" i="9"/>
  <c r="AJ68" i="5" s="1"/>
  <c r="AK68" i="9"/>
  <c r="AK68" i="5" s="1"/>
  <c r="AL68" i="9"/>
  <c r="AL68" i="5" s="1"/>
  <c r="AM68" i="9"/>
  <c r="AM68" i="5" s="1"/>
  <c r="AN68" i="9"/>
  <c r="AN68" i="5" s="1"/>
  <c r="AD69" i="9"/>
  <c r="AD69" i="5" s="1"/>
  <c r="AE69" i="9"/>
  <c r="AE69" i="5" s="1"/>
  <c r="AF69" i="9"/>
  <c r="AF69" i="5" s="1"/>
  <c r="AG69" i="9"/>
  <c r="AG69" i="5" s="1"/>
  <c r="AH69" i="9"/>
  <c r="AH69" i="5" s="1"/>
  <c r="AI69" i="9"/>
  <c r="AI69" i="5" s="1"/>
  <c r="AJ69" i="9"/>
  <c r="AJ69" i="5" s="1"/>
  <c r="AK69" i="9"/>
  <c r="AK69" i="5" s="1"/>
  <c r="AL69" i="9"/>
  <c r="AL69" i="5" s="1"/>
  <c r="AM69" i="9"/>
  <c r="AM69" i="5" s="1"/>
  <c r="AN69" i="9"/>
  <c r="AN69" i="5" s="1"/>
  <c r="AD70" i="9"/>
  <c r="AD70" i="5" s="1"/>
  <c r="AE70" i="9"/>
  <c r="AE70" i="5" s="1"/>
  <c r="AF70" i="9"/>
  <c r="AF70" i="5" s="1"/>
  <c r="AG70" i="9"/>
  <c r="AG70" i="5" s="1"/>
  <c r="AH70" i="9"/>
  <c r="AH70" i="5" s="1"/>
  <c r="AI70" i="9"/>
  <c r="AI70" i="5" s="1"/>
  <c r="AJ70" i="9"/>
  <c r="AJ70" i="5" s="1"/>
  <c r="AK70" i="9"/>
  <c r="AK70" i="5" s="1"/>
  <c r="AL70" i="9"/>
  <c r="AL70" i="5" s="1"/>
  <c r="AM70" i="9"/>
  <c r="AM70" i="5" s="1"/>
  <c r="AN70" i="9"/>
  <c r="AN70" i="5" s="1"/>
  <c r="AD71" i="9"/>
  <c r="AD71" i="5" s="1"/>
  <c r="AE71" i="9"/>
  <c r="AE71" i="5" s="1"/>
  <c r="AF71" i="9"/>
  <c r="AF71" i="5" s="1"/>
  <c r="AG71" i="9"/>
  <c r="AG71" i="5" s="1"/>
  <c r="AH71" i="9"/>
  <c r="AH71" i="5" s="1"/>
  <c r="AI71" i="9"/>
  <c r="AI71" i="5" s="1"/>
  <c r="AJ71" i="9"/>
  <c r="AJ71" i="5" s="1"/>
  <c r="AK71" i="9"/>
  <c r="AK71" i="5" s="1"/>
  <c r="AL71" i="9"/>
  <c r="AL71" i="5" s="1"/>
  <c r="AM71" i="9"/>
  <c r="AM71" i="5" s="1"/>
  <c r="AN71" i="9"/>
  <c r="AN71" i="5" s="1"/>
  <c r="AD72" i="9"/>
  <c r="AD72" i="5" s="1"/>
  <c r="AE72" i="9"/>
  <c r="AE72" i="5" s="1"/>
  <c r="AF72" i="9"/>
  <c r="AF72" i="5" s="1"/>
  <c r="AG72" i="9"/>
  <c r="AG72" i="5" s="1"/>
  <c r="AH72" i="9"/>
  <c r="AH72" i="5" s="1"/>
  <c r="AI72" i="9"/>
  <c r="AI72" i="5" s="1"/>
  <c r="AJ72" i="9"/>
  <c r="AJ72" i="5" s="1"/>
  <c r="AK72" i="9"/>
  <c r="AK72" i="5" s="1"/>
  <c r="AL72" i="9"/>
  <c r="AL72" i="5" s="1"/>
  <c r="AM72" i="9"/>
  <c r="AM72" i="5" s="1"/>
  <c r="AN72" i="9"/>
  <c r="AN72" i="5" s="1"/>
  <c r="AD73" i="9"/>
  <c r="AD73" i="5" s="1"/>
  <c r="AE73" i="9"/>
  <c r="AE73" i="5" s="1"/>
  <c r="AF73" i="9"/>
  <c r="AF73" i="5" s="1"/>
  <c r="AG73" i="9"/>
  <c r="AG73" i="5" s="1"/>
  <c r="AH73" i="9"/>
  <c r="AH73" i="5" s="1"/>
  <c r="AI73" i="9"/>
  <c r="AI73" i="5" s="1"/>
  <c r="AJ73" i="9"/>
  <c r="AJ73" i="5" s="1"/>
  <c r="AK73" i="9"/>
  <c r="AK73" i="5" s="1"/>
  <c r="AL73" i="9"/>
  <c r="AL73" i="5" s="1"/>
  <c r="AM73" i="9"/>
  <c r="AM73" i="5" s="1"/>
  <c r="AN73" i="9"/>
  <c r="AN73" i="5" s="1"/>
  <c r="AK5" i="5"/>
  <c r="AL5" i="5"/>
  <c r="AM5" i="5"/>
  <c r="AN5" i="5"/>
  <c r="AK6" i="5"/>
  <c r="AL6" i="5"/>
  <c r="AM6" i="5"/>
  <c r="AN6" i="5"/>
  <c r="AK7" i="5"/>
  <c r="AL7" i="5"/>
  <c r="AM7" i="5"/>
  <c r="AN7" i="5"/>
  <c r="AK8" i="5"/>
  <c r="AL8" i="5"/>
  <c r="AM8" i="5"/>
  <c r="AN8" i="5"/>
  <c r="AK9" i="5"/>
  <c r="AL9" i="5"/>
  <c r="AM9" i="5"/>
  <c r="AN9" i="5"/>
  <c r="AK10" i="5"/>
  <c r="AL10" i="5"/>
  <c r="AM10" i="5"/>
  <c r="AN10" i="5"/>
  <c r="AK11" i="5"/>
  <c r="AL11" i="5"/>
  <c r="AM11" i="5"/>
  <c r="AN11" i="5"/>
  <c r="AC13" i="9"/>
  <c r="AD13" i="9"/>
  <c r="AE13" i="9"/>
  <c r="AF13" i="9"/>
  <c r="AG13" i="9"/>
  <c r="AH13" i="9"/>
  <c r="AI13" i="9"/>
  <c r="AJ13" i="9"/>
  <c r="AK13" i="9"/>
  <c r="AL13" i="9"/>
  <c r="AM13" i="9"/>
  <c r="AN13" i="9"/>
  <c r="AC14" i="9"/>
  <c r="AD14" i="9"/>
  <c r="AF14" i="9"/>
  <c r="AG14" i="9"/>
  <c r="AH14" i="9"/>
  <c r="AI14" i="9"/>
  <c r="AJ14" i="9"/>
  <c r="AK14" i="9"/>
  <c r="AK14" i="5" s="1"/>
  <c r="AL14" i="9"/>
  <c r="AL14" i="5" s="1"/>
  <c r="AN14" i="9"/>
  <c r="AN14" i="5" s="1"/>
  <c r="AC15" i="9"/>
  <c r="AD15" i="9"/>
  <c r="AE15" i="9"/>
  <c r="AF15" i="9"/>
  <c r="AG15" i="9"/>
  <c r="AH15" i="9"/>
  <c r="AI15" i="9"/>
  <c r="AJ15" i="9"/>
  <c r="AK15" i="9"/>
  <c r="AK15" i="5" s="1"/>
  <c r="AL15" i="9"/>
  <c r="AL15" i="5" s="1"/>
  <c r="AM15" i="9"/>
  <c r="AM15" i="5" s="1"/>
  <c r="AN15" i="9"/>
  <c r="AN15" i="5" s="1"/>
  <c r="AC16" i="9"/>
  <c r="AD16" i="9"/>
  <c r="AE16" i="9"/>
  <c r="AF16" i="9"/>
  <c r="AG16" i="9"/>
  <c r="AH16" i="9"/>
  <c r="AI16" i="9"/>
  <c r="AJ16" i="9"/>
  <c r="AK16" i="9"/>
  <c r="AK16" i="5" s="1"/>
  <c r="AL16" i="9"/>
  <c r="AL16" i="5" s="1"/>
  <c r="AM16" i="9"/>
  <c r="AM16" i="5" s="1"/>
  <c r="AN16" i="9"/>
  <c r="AN16" i="5" s="1"/>
  <c r="AC17" i="9"/>
  <c r="AD17" i="9"/>
  <c r="AE17" i="9"/>
  <c r="AF17" i="9"/>
  <c r="AG17" i="9"/>
  <c r="AH17" i="9"/>
  <c r="AI17" i="9"/>
  <c r="AJ17" i="9"/>
  <c r="AK17" i="9"/>
  <c r="AK17" i="5" s="1"/>
  <c r="AL17" i="9"/>
  <c r="AL17" i="5" s="1"/>
  <c r="AM17" i="9"/>
  <c r="AM17" i="5" s="1"/>
  <c r="AN17" i="9"/>
  <c r="AN17" i="5" s="1"/>
  <c r="AC18" i="9"/>
  <c r="AD18" i="9"/>
  <c r="AE18" i="9"/>
  <c r="AF18" i="9"/>
  <c r="AG18" i="9"/>
  <c r="AH18" i="9"/>
  <c r="AI18" i="9"/>
  <c r="AJ18" i="9"/>
  <c r="AK18" i="9"/>
  <c r="AK18" i="5" s="1"/>
  <c r="AL18" i="9"/>
  <c r="AL18" i="5" s="1"/>
  <c r="AM18" i="9"/>
  <c r="AM18" i="5" s="1"/>
  <c r="AN18" i="9"/>
  <c r="AN18" i="5" s="1"/>
  <c r="AC19" i="9"/>
  <c r="AE19" i="9"/>
  <c r="AF19" i="9"/>
  <c r="AG19" i="9"/>
  <c r="AH19" i="9"/>
  <c r="AI19" i="9"/>
  <c r="AJ19" i="9"/>
  <c r="AK19" i="9"/>
  <c r="AK19" i="5" s="1"/>
  <c r="AL19" i="9"/>
  <c r="AL19" i="5" s="1"/>
  <c r="AM19" i="9"/>
  <c r="AM19" i="5" s="1"/>
  <c r="AN19" i="9"/>
  <c r="AN19" i="5" s="1"/>
  <c r="AC20" i="9"/>
  <c r="AD20" i="9"/>
  <c r="AE20" i="9"/>
  <c r="AF20" i="9"/>
  <c r="AG20" i="9"/>
  <c r="AH20" i="9"/>
  <c r="AI20" i="9"/>
  <c r="AJ20" i="9"/>
  <c r="AK20" i="9"/>
  <c r="AK20" i="5" s="1"/>
  <c r="AL20" i="9"/>
  <c r="AL20" i="5" s="1"/>
  <c r="AM20" i="9"/>
  <c r="AM20" i="5" s="1"/>
  <c r="AN20" i="9"/>
  <c r="AN20" i="5" s="1"/>
  <c r="AC21" i="9"/>
  <c r="AD21" i="9"/>
  <c r="AE21" i="9"/>
  <c r="AF21" i="9"/>
  <c r="AG21" i="9"/>
  <c r="AI21" i="9"/>
  <c r="AJ21" i="9"/>
  <c r="AK21" i="9"/>
  <c r="AK21" i="5" s="1"/>
  <c r="AL21" i="9"/>
  <c r="AL21" i="5" s="1"/>
  <c r="AM21" i="9"/>
  <c r="AM21" i="5" s="1"/>
  <c r="AN21" i="9"/>
  <c r="AN21" i="5" s="1"/>
  <c r="AC22" i="9"/>
  <c r="AD22" i="9"/>
  <c r="AE22" i="9"/>
  <c r="AG22" i="9"/>
  <c r="AH22" i="9"/>
  <c r="AI22" i="9"/>
  <c r="AJ22" i="9"/>
  <c r="AK22" i="9"/>
  <c r="AK22" i="5" s="1"/>
  <c r="AL22" i="9"/>
  <c r="AL22" i="5" s="1"/>
  <c r="AM22" i="9"/>
  <c r="AM22" i="5" s="1"/>
  <c r="AN22" i="9"/>
  <c r="AN22" i="5" s="1"/>
  <c r="AC23" i="9"/>
  <c r="AD23" i="9"/>
  <c r="AE23" i="9"/>
  <c r="AF23" i="9"/>
  <c r="AH23" i="9"/>
  <c r="AI23" i="9"/>
  <c r="AJ23" i="9"/>
  <c r="AK23" i="9"/>
  <c r="AK23" i="5" s="1"/>
  <c r="AL23" i="9"/>
  <c r="AL23" i="5" s="1"/>
  <c r="AM23" i="9"/>
  <c r="AM23" i="5" s="1"/>
  <c r="AN23" i="9"/>
  <c r="AN23" i="5" s="1"/>
  <c r="AC24" i="9"/>
  <c r="AD24" i="9"/>
  <c r="AE24" i="9"/>
  <c r="AF24" i="9"/>
  <c r="AG24" i="9"/>
  <c r="AH24" i="9"/>
  <c r="AI24" i="9"/>
  <c r="AJ24" i="9"/>
  <c r="AK24" i="9"/>
  <c r="AK24" i="5" s="1"/>
  <c r="AL24" i="9"/>
  <c r="AL24" i="5" s="1"/>
  <c r="AM24" i="9"/>
  <c r="AM24" i="5" s="1"/>
  <c r="AN24" i="9"/>
  <c r="AN24" i="5" s="1"/>
  <c r="AC25" i="9"/>
  <c r="AD25" i="9"/>
  <c r="AE25" i="9"/>
  <c r="AF25" i="9"/>
  <c r="AG25" i="9"/>
  <c r="AH25" i="9"/>
  <c r="AI25" i="9"/>
  <c r="AK25" i="9"/>
  <c r="AK25" i="5" s="1"/>
  <c r="AL25" i="9"/>
  <c r="AL25" i="5" s="1"/>
  <c r="AM25" i="9"/>
  <c r="AM25" i="5" s="1"/>
  <c r="AN25" i="9"/>
  <c r="AN25" i="5" s="1"/>
  <c r="AC26" i="9"/>
  <c r="AD26" i="9"/>
  <c r="AE26" i="9"/>
  <c r="AF26" i="9"/>
  <c r="AG26" i="9"/>
  <c r="AH26" i="9"/>
  <c r="AI26" i="9"/>
  <c r="AJ26" i="9"/>
  <c r="AK26" i="9"/>
  <c r="AK26" i="5" s="1"/>
  <c r="AL26" i="9"/>
  <c r="AL26" i="5" s="1"/>
  <c r="AM26" i="9"/>
  <c r="AM26" i="5" s="1"/>
  <c r="AN26" i="9"/>
  <c r="AN26" i="5" s="1"/>
  <c r="AD27" i="9"/>
  <c r="AE27" i="9"/>
  <c r="AF27" i="9"/>
  <c r="AG27" i="9"/>
  <c r="AH27" i="9"/>
  <c r="AI27" i="9"/>
  <c r="AJ27" i="9"/>
  <c r="AK27" i="9"/>
  <c r="AK27" i="5" s="1"/>
  <c r="AL27" i="9"/>
  <c r="AL27" i="5" s="1"/>
  <c r="AM27" i="9"/>
  <c r="AM27" i="5" s="1"/>
  <c r="AN27" i="9"/>
  <c r="AN27" i="5" s="1"/>
  <c r="AC28" i="9"/>
  <c r="AD28" i="9"/>
  <c r="AE28" i="9"/>
  <c r="AF28" i="9"/>
  <c r="AG28" i="9"/>
  <c r="AH28" i="9"/>
  <c r="AI28" i="9"/>
  <c r="AJ28" i="9"/>
  <c r="AK28" i="9"/>
  <c r="AK28" i="5" s="1"/>
  <c r="AM28" i="9"/>
  <c r="AM28" i="5" s="1"/>
  <c r="AN28" i="9"/>
  <c r="AN28" i="5" s="1"/>
  <c r="AC29" i="9"/>
  <c r="AD29" i="9"/>
  <c r="AE29" i="9"/>
  <c r="AG29" i="9"/>
  <c r="AH29" i="9"/>
  <c r="AI29" i="9"/>
  <c r="AJ29" i="9"/>
  <c r="AK29" i="9"/>
  <c r="AK29" i="5" s="1"/>
  <c r="AL29" i="5"/>
  <c r="AN29" i="9"/>
  <c r="AN29" i="5" s="1"/>
  <c r="AC30" i="9"/>
  <c r="AD30" i="9"/>
  <c r="AE30" i="9"/>
  <c r="AF30" i="9"/>
  <c r="AG30" i="9"/>
  <c r="AH30" i="9"/>
  <c r="AI30" i="9"/>
  <c r="AJ30" i="9"/>
  <c r="AK30" i="9"/>
  <c r="AK30" i="5" s="1"/>
  <c r="AL30" i="9"/>
  <c r="AL30" i="5" s="1"/>
  <c r="AM30" i="9"/>
  <c r="AM30" i="5" s="1"/>
  <c r="AN30" i="9"/>
  <c r="AN30" i="5" s="1"/>
  <c r="AC31" i="9"/>
  <c r="AD31" i="9"/>
  <c r="AE31" i="9"/>
  <c r="AF31" i="9"/>
  <c r="AG31" i="9"/>
  <c r="AH31" i="9"/>
  <c r="AJ31" i="9"/>
  <c r="AK31" i="9"/>
  <c r="AK31" i="5" s="1"/>
  <c r="AL31" i="9"/>
  <c r="AL31" i="5" s="1"/>
  <c r="AM31" i="9"/>
  <c r="AM31" i="5" s="1"/>
  <c r="AN31" i="9"/>
  <c r="AN31" i="5" s="1"/>
  <c r="AC32" i="9"/>
  <c r="AD32" i="9"/>
  <c r="AE32" i="9"/>
  <c r="AF32" i="9"/>
  <c r="AG32" i="9"/>
  <c r="AH32" i="9"/>
  <c r="AI32" i="9"/>
  <c r="AJ32" i="9"/>
  <c r="AK32" i="9"/>
  <c r="AK32" i="5" s="1"/>
  <c r="AL32" i="9"/>
  <c r="AL32" i="5" s="1"/>
  <c r="AM32" i="9"/>
  <c r="AM32" i="5" s="1"/>
  <c r="AN32" i="9"/>
  <c r="AN32" i="5" s="1"/>
  <c r="AC33" i="9"/>
  <c r="AE33" i="9"/>
  <c r="AF33" i="9"/>
  <c r="AG33" i="9"/>
  <c r="AH33" i="9"/>
  <c r="AI33" i="9"/>
  <c r="AJ33" i="9"/>
  <c r="AK33" i="9"/>
  <c r="AK33" i="5" s="1"/>
  <c r="AL33" i="9"/>
  <c r="AL33" i="5" s="1"/>
  <c r="AM33" i="9"/>
  <c r="AM33" i="5" s="1"/>
  <c r="AN33" i="9"/>
  <c r="AN33" i="5" s="1"/>
  <c r="AC34" i="9"/>
  <c r="AD34" i="9"/>
  <c r="AE34" i="9"/>
  <c r="AF34" i="9"/>
  <c r="AG34" i="9"/>
  <c r="AH34" i="9"/>
  <c r="AI34" i="9"/>
  <c r="AJ34" i="9"/>
  <c r="AK34" i="9"/>
  <c r="AK34" i="5" s="1"/>
  <c r="AL34" i="9"/>
  <c r="AL34" i="5" s="1"/>
  <c r="AM34" i="9"/>
  <c r="AM34" i="5" s="1"/>
  <c r="AN34" i="9"/>
  <c r="AN34" i="5" s="1"/>
  <c r="AC35" i="9"/>
  <c r="AD35" i="9"/>
  <c r="AE35" i="9"/>
  <c r="AF35" i="9"/>
  <c r="AG35" i="9"/>
  <c r="AH35" i="9"/>
  <c r="AI35" i="9"/>
  <c r="AJ35" i="9"/>
  <c r="AK35" i="9"/>
  <c r="AK35" i="5" s="1"/>
  <c r="AL35" i="9"/>
  <c r="AL35" i="5" s="1"/>
  <c r="AM35" i="9"/>
  <c r="AM35" i="5" s="1"/>
  <c r="AN35" i="9"/>
  <c r="AN35" i="5" s="1"/>
  <c r="AC36" i="9"/>
  <c r="AD36" i="9"/>
  <c r="AE36" i="9"/>
  <c r="AF36" i="9"/>
  <c r="AG36" i="9"/>
  <c r="AH36" i="9"/>
  <c r="AI36" i="9"/>
  <c r="AJ36" i="9"/>
  <c r="AK36" i="9"/>
  <c r="AK36" i="5" s="1"/>
  <c r="AL36" i="9"/>
  <c r="AL36" i="5" s="1"/>
  <c r="AM36" i="9"/>
  <c r="AM36" i="5" s="1"/>
  <c r="AN36" i="9"/>
  <c r="AN36" i="5" s="1"/>
  <c r="AC37" i="9"/>
  <c r="AD37" i="9"/>
  <c r="AE37" i="9"/>
  <c r="AF37" i="9"/>
  <c r="AG37" i="9"/>
  <c r="AH37" i="9"/>
  <c r="AI37" i="9"/>
  <c r="AJ37" i="9"/>
  <c r="AK37" i="9"/>
  <c r="AK37" i="5" s="1"/>
  <c r="AL37" i="9"/>
  <c r="AL37" i="5" s="1"/>
  <c r="AM37" i="9"/>
  <c r="AM37" i="5" s="1"/>
  <c r="AN37" i="9"/>
  <c r="AN37" i="5" s="1"/>
  <c r="AC38" i="9"/>
  <c r="AD38" i="9"/>
  <c r="AE38" i="9"/>
  <c r="AF38" i="9"/>
  <c r="AG38" i="9"/>
  <c r="AH38" i="9"/>
  <c r="AI38" i="9"/>
  <c r="AJ38" i="9"/>
  <c r="AK38" i="9"/>
  <c r="AK38" i="5" s="1"/>
  <c r="AL38" i="9"/>
  <c r="AL38" i="5" s="1"/>
  <c r="AM38" i="9"/>
  <c r="AM38" i="5" s="1"/>
  <c r="AN38" i="9"/>
  <c r="AN38" i="5" s="1"/>
  <c r="AC39" i="9"/>
  <c r="AD39" i="9"/>
  <c r="AE39" i="9"/>
  <c r="AF39" i="9"/>
  <c r="AG39" i="9"/>
  <c r="AH39" i="9"/>
  <c r="AI39" i="9"/>
  <c r="AJ39" i="9"/>
  <c r="AK39" i="9"/>
  <c r="AK39" i="5" s="1"/>
  <c r="AL39" i="9"/>
  <c r="AL39" i="5" s="1"/>
  <c r="AM39" i="9"/>
  <c r="AM39" i="5" s="1"/>
  <c r="AN39" i="9"/>
  <c r="AN39" i="5" s="1"/>
  <c r="AC40" i="9"/>
  <c r="AD40" i="9"/>
  <c r="AE40" i="9"/>
  <c r="AF40" i="9"/>
  <c r="AG40" i="9"/>
  <c r="AH40" i="9"/>
  <c r="AI40" i="9"/>
  <c r="AJ40" i="9"/>
  <c r="AK40" i="9"/>
  <c r="AK40" i="5" s="1"/>
  <c r="AL40" i="9"/>
  <c r="AL40" i="5" s="1"/>
  <c r="AM40" i="9"/>
  <c r="AM40" i="5" s="1"/>
  <c r="AN40" i="9"/>
  <c r="AN40" i="5" s="1"/>
  <c r="AC41" i="9"/>
  <c r="AD41" i="9"/>
  <c r="AE41" i="9"/>
  <c r="AF41" i="9"/>
  <c r="AG41" i="9"/>
  <c r="AH41" i="9"/>
  <c r="AI41" i="9"/>
  <c r="AJ41" i="9"/>
  <c r="AK41" i="9"/>
  <c r="AK41" i="5" s="1"/>
  <c r="AL41" i="9"/>
  <c r="AL41" i="5" s="1"/>
  <c r="AM41" i="9"/>
  <c r="AM41" i="5" s="1"/>
  <c r="AN41" i="9"/>
  <c r="AN41" i="5" s="1"/>
  <c r="AC42" i="9"/>
  <c r="AD42" i="9"/>
  <c r="AE42" i="9"/>
  <c r="AF42" i="9"/>
  <c r="AG42" i="9"/>
  <c r="AH42" i="9"/>
  <c r="AI42" i="9"/>
  <c r="AJ42" i="9"/>
  <c r="AK42" i="9"/>
  <c r="AK42" i="5" s="1"/>
  <c r="AL42" i="9"/>
  <c r="AL42" i="5" s="1"/>
  <c r="AM42" i="9"/>
  <c r="AM42" i="5" s="1"/>
  <c r="AN42" i="9"/>
  <c r="AN42" i="5" s="1"/>
  <c r="AC43" i="9"/>
  <c r="AD43" i="9"/>
  <c r="AE43" i="9"/>
  <c r="AF43" i="9"/>
  <c r="AG43" i="9"/>
  <c r="AH43" i="9"/>
  <c r="AI43" i="9"/>
  <c r="AJ43" i="9"/>
  <c r="AK43" i="9"/>
  <c r="AK43" i="5" s="1"/>
  <c r="AL43" i="9"/>
  <c r="AL43" i="5" s="1"/>
  <c r="AM43" i="9"/>
  <c r="AM43" i="5" s="1"/>
  <c r="AN43" i="9"/>
  <c r="AN43" i="5" s="1"/>
  <c r="AC44" i="9"/>
  <c r="AD44" i="9"/>
  <c r="AE44" i="9"/>
  <c r="AF44" i="9"/>
  <c r="AG44" i="9"/>
  <c r="AH44" i="9"/>
  <c r="AI44" i="9"/>
  <c r="AJ44" i="9"/>
  <c r="AK44" i="9"/>
  <c r="AK44" i="5" s="1"/>
  <c r="AL44" i="9"/>
  <c r="AL44" i="5" s="1"/>
  <c r="AM44" i="9"/>
  <c r="AM44" i="5" s="1"/>
  <c r="AN44" i="9"/>
  <c r="AN44" i="5" s="1"/>
  <c r="AC45" i="9"/>
  <c r="AD45" i="9"/>
  <c r="AE45" i="9"/>
  <c r="AF45" i="9"/>
  <c r="AG45" i="9"/>
  <c r="AH45" i="9"/>
  <c r="AI45" i="9"/>
  <c r="AJ45" i="9"/>
  <c r="AK45" i="9"/>
  <c r="AK45" i="5" s="1"/>
  <c r="AL45" i="9"/>
  <c r="AL45" i="5" s="1"/>
  <c r="AM45" i="9"/>
  <c r="AM45" i="5" s="1"/>
  <c r="AN45" i="9"/>
  <c r="AN45" i="5" s="1"/>
  <c r="AC46" i="9"/>
  <c r="AD46" i="9"/>
  <c r="AE46" i="9"/>
  <c r="AF46" i="9"/>
  <c r="AG46" i="9"/>
  <c r="AH46" i="9"/>
  <c r="AI46" i="9"/>
  <c r="AJ46" i="9"/>
  <c r="AK46" i="9"/>
  <c r="AK46" i="5" s="1"/>
  <c r="AL46" i="9"/>
  <c r="AL46" i="5" s="1"/>
  <c r="AM46" i="9"/>
  <c r="AM46" i="5" s="1"/>
  <c r="AN46" i="9"/>
  <c r="AN46" i="5" s="1"/>
  <c r="AC47" i="9"/>
  <c r="AD47" i="9"/>
  <c r="AE47" i="9"/>
  <c r="AF47" i="9"/>
  <c r="AG47" i="9"/>
  <c r="AH47" i="9"/>
  <c r="AI47" i="9"/>
  <c r="AJ47" i="9"/>
  <c r="AK47" i="9"/>
  <c r="AK47" i="5" s="1"/>
  <c r="AL47" i="9"/>
  <c r="AL47" i="5" s="1"/>
  <c r="AM47" i="9"/>
  <c r="AM47" i="5" s="1"/>
  <c r="AN47" i="9"/>
  <c r="AN47" i="5" s="1"/>
  <c r="AC48" i="9"/>
  <c r="AD48" i="9"/>
  <c r="AE48" i="9"/>
  <c r="AF48" i="9"/>
  <c r="AG48" i="9"/>
  <c r="AH48" i="9"/>
  <c r="AI48" i="9"/>
  <c r="AJ48" i="9"/>
  <c r="AK48" i="9"/>
  <c r="AK48" i="5" s="1"/>
  <c r="AL48" i="9"/>
  <c r="AL48" i="5" s="1"/>
  <c r="AM48" i="9"/>
  <c r="AM48" i="5" s="1"/>
  <c r="AN48" i="9"/>
  <c r="AN48" i="5" s="1"/>
  <c r="AC49" i="9"/>
  <c r="AD49" i="9"/>
  <c r="AE49" i="9"/>
  <c r="AF49" i="9"/>
  <c r="AG49" i="9"/>
  <c r="AH49" i="9"/>
  <c r="AI49" i="9"/>
  <c r="AJ49" i="9"/>
  <c r="AK49" i="9"/>
  <c r="AK49" i="5" s="1"/>
  <c r="AL49" i="9"/>
  <c r="AL49" i="5" s="1"/>
  <c r="AM49" i="9"/>
  <c r="AM49" i="5" s="1"/>
  <c r="AN49" i="9"/>
  <c r="AN49" i="5" s="1"/>
  <c r="AC50" i="9"/>
  <c r="AD50" i="9"/>
  <c r="AE50" i="9"/>
  <c r="AF50" i="9"/>
  <c r="AG50" i="9"/>
  <c r="AH50" i="9"/>
  <c r="AI50" i="9"/>
  <c r="AJ50" i="9"/>
  <c r="AK50" i="9"/>
  <c r="AK50" i="5" s="1"/>
  <c r="AL50" i="9"/>
  <c r="AL50" i="5" s="1"/>
  <c r="AM50" i="9"/>
  <c r="AM50" i="5" s="1"/>
  <c r="AN50" i="9"/>
  <c r="AN50" i="5" s="1"/>
  <c r="AC51" i="9"/>
  <c r="AD51" i="9"/>
  <c r="AE51" i="9"/>
  <c r="AF51" i="9"/>
  <c r="AG51" i="9"/>
  <c r="AH51" i="9"/>
  <c r="AI51" i="9"/>
  <c r="AJ51" i="9"/>
  <c r="AK51" i="9"/>
  <c r="AK51" i="5" s="1"/>
  <c r="AL51" i="9"/>
  <c r="AL51" i="5" s="1"/>
  <c r="AM51" i="9"/>
  <c r="AM51" i="5" s="1"/>
  <c r="AN51" i="9"/>
  <c r="AN51" i="5" s="1"/>
  <c r="AC52" i="9"/>
  <c r="AC53" i="9"/>
  <c r="AC54" i="9"/>
  <c r="AC55" i="9"/>
  <c r="AC56" i="9"/>
  <c r="AC57" i="9"/>
  <c r="AC57" i="5" s="1"/>
  <c r="AC58" i="9"/>
  <c r="AC58" i="5" s="1"/>
  <c r="AC59" i="9"/>
  <c r="AC59" i="5" s="1"/>
  <c r="AC66" i="9"/>
  <c r="AC66" i="5" s="1"/>
  <c r="AC67" i="9"/>
  <c r="AC67" i="5" s="1"/>
  <c r="AC68" i="9"/>
  <c r="AC68" i="5" s="1"/>
  <c r="AC69" i="9"/>
  <c r="AC69" i="5" s="1"/>
  <c r="AC70" i="9"/>
  <c r="AC70" i="5" s="1"/>
  <c r="AC71" i="9"/>
  <c r="AC71" i="5" s="1"/>
  <c r="AC72" i="9"/>
  <c r="AC72" i="5" s="1"/>
  <c r="AC73" i="9"/>
  <c r="AC73" i="5" s="1"/>
  <c r="AK12" i="5"/>
  <c r="AL12" i="5"/>
  <c r="AM12" i="5"/>
  <c r="AN12" i="5"/>
  <c r="H15" i="9"/>
  <c r="AA31" i="9"/>
  <c r="Z29" i="9"/>
  <c r="Y30" i="9"/>
  <c r="X15" i="9"/>
  <c r="W28" i="9"/>
  <c r="V25" i="9"/>
  <c r="U27" i="9"/>
  <c r="S32" i="9"/>
  <c r="R31" i="9"/>
  <c r="Q32" i="9"/>
  <c r="Q16" i="9"/>
  <c r="Q15" i="9"/>
  <c r="N30" i="9"/>
  <c r="Z42" i="9"/>
  <c r="Y35" i="9"/>
  <c r="Y43" i="9"/>
  <c r="Y42" i="9"/>
  <c r="Y67" i="9"/>
  <c r="Y67" i="5" s="1"/>
  <c r="R41" i="9"/>
  <c r="Q33" i="9"/>
  <c r="J39" i="9"/>
  <c r="G37" i="9"/>
  <c r="H37" i="9"/>
  <c r="H34" i="9"/>
  <c r="G23" i="9"/>
  <c r="G14" i="9"/>
  <c r="H26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D14" i="9"/>
  <c r="E14" i="9"/>
  <c r="F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D15" i="9"/>
  <c r="E15" i="9"/>
  <c r="F15" i="9"/>
  <c r="G15" i="9"/>
  <c r="I15" i="9"/>
  <c r="J15" i="9"/>
  <c r="K15" i="9"/>
  <c r="L15" i="9"/>
  <c r="M15" i="9"/>
  <c r="N15" i="9"/>
  <c r="O15" i="9"/>
  <c r="P15" i="9"/>
  <c r="R15" i="9"/>
  <c r="S15" i="9"/>
  <c r="T15" i="9"/>
  <c r="U15" i="9"/>
  <c r="V15" i="9"/>
  <c r="W15" i="9"/>
  <c r="Y15" i="9"/>
  <c r="Z15" i="9"/>
  <c r="AA15" i="9"/>
  <c r="AB15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R16" i="9"/>
  <c r="S16" i="9"/>
  <c r="T16" i="9"/>
  <c r="U16" i="9"/>
  <c r="V16" i="9"/>
  <c r="W16" i="9"/>
  <c r="X16" i="9"/>
  <c r="Y16" i="9"/>
  <c r="Z16" i="9"/>
  <c r="AA16" i="9"/>
  <c r="AB16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D23" i="9"/>
  <c r="E23" i="9"/>
  <c r="F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D25" i="9"/>
  <c r="E25" i="9"/>
  <c r="F25" i="9"/>
  <c r="G25" i="9"/>
  <c r="H25" i="9"/>
  <c r="I25" i="9"/>
  <c r="J25" i="9"/>
  <c r="K25" i="9"/>
  <c r="L25" i="9"/>
  <c r="M25" i="9"/>
  <c r="N25" i="9"/>
  <c r="O25" i="9"/>
  <c r="Q25" i="9"/>
  <c r="R25" i="9"/>
  <c r="S25" i="9"/>
  <c r="T25" i="9"/>
  <c r="U25" i="9"/>
  <c r="W25" i="9"/>
  <c r="X25" i="9"/>
  <c r="Y25" i="9"/>
  <c r="Z25" i="9"/>
  <c r="AA25" i="9"/>
  <c r="AB25" i="9"/>
  <c r="D26" i="9"/>
  <c r="E26" i="9"/>
  <c r="F26" i="9"/>
  <c r="G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D27" i="9"/>
  <c r="E27" i="9"/>
  <c r="F27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V27" i="9"/>
  <c r="W27" i="9"/>
  <c r="X27" i="9"/>
  <c r="Y27" i="9"/>
  <c r="Z27" i="9"/>
  <c r="AA27" i="9"/>
  <c r="AB27" i="9"/>
  <c r="D28" i="9"/>
  <c r="E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X28" i="9"/>
  <c r="Y28" i="9"/>
  <c r="Z28" i="9"/>
  <c r="AA28" i="9"/>
  <c r="AB28" i="9"/>
  <c r="D29" i="9"/>
  <c r="E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AA29" i="9"/>
  <c r="AB29" i="9"/>
  <c r="D30" i="9"/>
  <c r="E30" i="9"/>
  <c r="F30" i="9"/>
  <c r="G30" i="9"/>
  <c r="H30" i="9"/>
  <c r="I30" i="9"/>
  <c r="J30" i="9"/>
  <c r="K30" i="9"/>
  <c r="L30" i="9"/>
  <c r="M30" i="9"/>
  <c r="O30" i="9"/>
  <c r="P30" i="9"/>
  <c r="Q30" i="9"/>
  <c r="R30" i="9"/>
  <c r="S30" i="9"/>
  <c r="T30" i="9"/>
  <c r="U30" i="9"/>
  <c r="V30" i="9"/>
  <c r="W30" i="9"/>
  <c r="X30" i="9"/>
  <c r="Z30" i="9"/>
  <c r="AA30" i="9"/>
  <c r="AB30" i="9"/>
  <c r="D31" i="9"/>
  <c r="E31" i="9"/>
  <c r="F31" i="9"/>
  <c r="G31" i="9"/>
  <c r="H31" i="9"/>
  <c r="I31" i="9"/>
  <c r="J31" i="9"/>
  <c r="K31" i="9"/>
  <c r="L31" i="9"/>
  <c r="M31" i="9"/>
  <c r="N31" i="9"/>
  <c r="O31" i="9"/>
  <c r="P31" i="9"/>
  <c r="S31" i="9"/>
  <c r="T31" i="9"/>
  <c r="U31" i="9"/>
  <c r="V31" i="9"/>
  <c r="W31" i="9"/>
  <c r="X31" i="9"/>
  <c r="Y31" i="9"/>
  <c r="Z31" i="9"/>
  <c r="AB31" i="9"/>
  <c r="D32" i="9"/>
  <c r="E32" i="9"/>
  <c r="F32" i="9"/>
  <c r="G32" i="9"/>
  <c r="H32" i="9"/>
  <c r="I32" i="9"/>
  <c r="J32" i="9"/>
  <c r="K32" i="9"/>
  <c r="L32" i="9"/>
  <c r="M32" i="9"/>
  <c r="N32" i="9"/>
  <c r="O32" i="9"/>
  <c r="P32" i="9"/>
  <c r="R32" i="9"/>
  <c r="T32" i="9"/>
  <c r="U32" i="9"/>
  <c r="V32" i="9"/>
  <c r="W32" i="9"/>
  <c r="X32" i="9"/>
  <c r="Y32" i="9"/>
  <c r="Z32" i="9"/>
  <c r="AA32" i="9"/>
  <c r="AB32" i="9"/>
  <c r="BQ50" i="4" a="1"/>
  <c r="BQ50" i="4" s="1"/>
  <c r="AM50" i="4" s="1"/>
  <c r="BQ51" i="4" a="1"/>
  <c r="BQ51" i="4" s="1"/>
  <c r="AM51" i="4" s="1"/>
  <c r="BQ52" i="4" a="1"/>
  <c r="BQ52" i="4" s="1"/>
  <c r="AM52" i="4" s="1"/>
  <c r="BQ53" i="4" a="1"/>
  <c r="BQ53" i="4" s="1"/>
  <c r="AM53" i="4" s="1"/>
  <c r="BQ54" i="4" a="1"/>
  <c r="BQ54" i="4" s="1"/>
  <c r="AM54" i="4" s="1"/>
  <c r="BQ55" i="4" a="1"/>
  <c r="BQ55" i="4" s="1"/>
  <c r="AM55" i="4" s="1"/>
  <c r="BQ56" i="4" a="1"/>
  <c r="BQ56" i="4" s="1"/>
  <c r="AM56" i="4" s="1"/>
  <c r="BQ57" i="4" a="1"/>
  <c r="BQ57" i="4" s="1"/>
  <c r="AM57" i="4" s="1"/>
  <c r="BQ58" i="4" a="1"/>
  <c r="BQ58" i="4" s="1"/>
  <c r="AM58" i="4" s="1"/>
  <c r="BQ59" i="4" a="1"/>
  <c r="BQ59" i="4" s="1"/>
  <c r="AM59" i="4" s="1"/>
  <c r="BQ60" i="4" a="1"/>
  <c r="BQ60" i="4" s="1"/>
  <c r="AM60" i="4" s="1"/>
  <c r="BQ61" i="4" a="1"/>
  <c r="BQ61" i="4" s="1"/>
  <c r="AM61" i="4" s="1"/>
  <c r="BQ62" i="4" a="1"/>
  <c r="BQ62" i="4" s="1"/>
  <c r="AM62" i="4" s="1"/>
  <c r="BQ63" i="4" a="1"/>
  <c r="BQ63" i="4" s="1"/>
  <c r="AM63" i="4" s="1"/>
  <c r="BQ64" i="4" a="1"/>
  <c r="BQ64" i="4" s="1"/>
  <c r="AM64" i="4" s="1"/>
  <c r="BQ65" i="4" a="1"/>
  <c r="BQ65" i="4" s="1"/>
  <c r="AM65" i="4" s="1"/>
  <c r="BQ66" i="4" a="1"/>
  <c r="BQ66" i="4" s="1"/>
  <c r="AM66" i="4" s="1"/>
  <c r="BQ67" i="4" a="1"/>
  <c r="BQ67" i="4" s="1"/>
  <c r="AM67" i="4" s="1"/>
  <c r="BQ68" i="4" a="1"/>
  <c r="BQ68" i="4" s="1"/>
  <c r="AM68" i="4" s="1"/>
  <c r="BQ69" i="4" a="1"/>
  <c r="BQ69" i="4" s="1"/>
  <c r="AM69" i="4" s="1"/>
  <c r="BQ70" i="4" a="1"/>
  <c r="BQ70" i="4" s="1"/>
  <c r="AM70" i="4" s="1"/>
  <c r="BQ71" i="4" a="1"/>
  <c r="BQ71" i="4" s="1"/>
  <c r="AM71" i="4" s="1"/>
  <c r="BQ72" i="4" a="1"/>
  <c r="BQ72" i="4" s="1"/>
  <c r="AM72" i="4" s="1"/>
  <c r="AG85" i="9" l="1"/>
  <c r="AG106" i="9"/>
  <c r="AG104" i="9"/>
  <c r="AG108" i="9"/>
  <c r="AG89" i="9"/>
  <c r="AG110" i="9"/>
  <c r="AG93" i="9"/>
  <c r="AG87" i="9"/>
  <c r="AG112" i="9"/>
  <c r="AG99" i="9"/>
  <c r="AG98" i="9" s="1"/>
  <c r="AG91" i="9"/>
  <c r="AG103" i="9"/>
  <c r="AG96" i="9"/>
  <c r="AG95" i="9" s="1"/>
  <c r="AG107" i="9"/>
  <c r="AG101" i="9"/>
  <c r="AG111" i="9"/>
  <c r="AG105" i="9"/>
  <c r="AG84" i="9"/>
  <c r="AG109" i="9"/>
  <c r="AG88" i="9"/>
  <c r="AG86" i="9"/>
  <c r="AG92" i="9"/>
  <c r="AG90" i="9"/>
  <c r="AG97" i="9"/>
  <c r="AG94" i="9"/>
  <c r="AG102" i="9"/>
  <c r="AG100" i="9"/>
  <c r="AF111" i="9"/>
  <c r="AF101" i="9"/>
  <c r="AF105" i="9"/>
  <c r="AF88" i="9"/>
  <c r="AF84" i="9"/>
  <c r="AF109" i="9"/>
  <c r="AF97" i="9"/>
  <c r="AF86" i="9"/>
  <c r="AF112" i="9"/>
  <c r="AF102" i="9"/>
  <c r="AF100" i="9"/>
  <c r="AF106" i="9"/>
  <c r="AF104" i="9"/>
  <c r="AF110" i="9"/>
  <c r="AF108" i="9"/>
  <c r="AF87" i="9"/>
  <c r="AF91" i="9"/>
  <c r="AF85" i="9"/>
  <c r="AF99" i="9"/>
  <c r="AF98" i="9" s="1"/>
  <c r="AF90" i="9"/>
  <c r="AF92" i="9"/>
  <c r="AF103" i="9"/>
  <c r="AF94" i="9"/>
  <c r="AF93" i="9"/>
  <c r="AF96" i="9"/>
  <c r="AF95" i="9" s="1"/>
  <c r="AF89" i="9"/>
  <c r="AF107" i="9"/>
  <c r="AE86" i="9"/>
  <c r="AE104" i="9"/>
  <c r="AE90" i="9"/>
  <c r="AE108" i="9"/>
  <c r="AE94" i="9"/>
  <c r="AE111" i="9"/>
  <c r="AE84" i="9"/>
  <c r="AE85" i="9"/>
  <c r="AE107" i="9"/>
  <c r="AE88" i="9"/>
  <c r="AE89" i="9"/>
  <c r="AE100" i="9"/>
  <c r="AE92" i="9"/>
  <c r="AE93" i="9"/>
  <c r="AE110" i="9"/>
  <c r="AE87" i="9"/>
  <c r="AE103" i="9"/>
  <c r="AE91" i="9"/>
  <c r="AE106" i="9"/>
  <c r="AE96" i="9"/>
  <c r="AE95" i="9" s="1"/>
  <c r="AE99" i="9"/>
  <c r="AE98" i="9" s="1"/>
  <c r="AE101" i="9"/>
  <c r="AE112" i="9"/>
  <c r="AE105" i="9"/>
  <c r="AE97" i="9"/>
  <c r="AE102" i="9"/>
  <c r="AE109" i="9"/>
  <c r="AD84" i="9"/>
  <c r="AD109" i="9"/>
  <c r="AD103" i="9"/>
  <c r="AD88" i="9"/>
  <c r="AD86" i="9"/>
  <c r="AD107" i="9"/>
  <c r="AD92" i="9"/>
  <c r="AD90" i="9"/>
  <c r="AD111" i="9"/>
  <c r="AD97" i="9"/>
  <c r="AD94" i="9"/>
  <c r="AD102" i="9"/>
  <c r="AD100" i="9"/>
  <c r="AD106" i="9"/>
  <c r="AD104" i="9"/>
  <c r="AD110" i="9"/>
  <c r="AD108" i="9"/>
  <c r="AD87" i="9"/>
  <c r="AD112" i="9"/>
  <c r="AD91" i="9"/>
  <c r="AD85" i="9"/>
  <c r="AD96" i="9"/>
  <c r="AD95" i="9" s="1"/>
  <c r="AD89" i="9"/>
  <c r="AD99" i="9"/>
  <c r="AD98" i="9" s="1"/>
  <c r="AD101" i="9"/>
  <c r="AD93" i="9"/>
  <c r="AD105" i="9"/>
  <c r="AC110" i="9"/>
  <c r="AC108" i="9"/>
  <c r="AC87" i="9"/>
  <c r="AC112" i="9"/>
  <c r="AC96" i="9"/>
  <c r="AC95" i="9" s="1"/>
  <c r="AC93" i="9"/>
  <c r="AC101" i="9"/>
  <c r="AC85" i="9"/>
  <c r="AC105" i="9"/>
  <c r="AC99" i="9"/>
  <c r="AC98" i="9" s="1"/>
  <c r="AC106" i="9"/>
  <c r="AC109" i="9"/>
  <c r="AC103" i="9"/>
  <c r="AC86" i="9"/>
  <c r="AC107" i="9"/>
  <c r="AC90" i="9"/>
  <c r="AC111" i="9"/>
  <c r="AC94" i="9"/>
  <c r="AC84" i="9"/>
  <c r="AC104" i="9"/>
  <c r="AC97" i="9"/>
  <c r="AC89" i="9"/>
  <c r="AC88" i="9"/>
  <c r="AC102" i="9"/>
  <c r="AC100" i="9"/>
  <c r="AC91" i="9"/>
  <c r="AC92" i="9"/>
  <c r="AN85" i="9"/>
  <c r="AN97" i="9"/>
  <c r="AN89" i="9"/>
  <c r="AN102" i="9"/>
  <c r="AN112" i="9"/>
  <c r="AN93" i="9"/>
  <c r="AN105" i="9"/>
  <c r="AN87" i="9"/>
  <c r="AN84" i="9"/>
  <c r="AN107" i="9"/>
  <c r="AN91" i="9"/>
  <c r="AN88" i="9"/>
  <c r="AN96" i="9"/>
  <c r="AN95" i="9" s="1"/>
  <c r="AN86" i="9"/>
  <c r="AN92" i="9"/>
  <c r="AN101" i="9"/>
  <c r="AN90" i="9"/>
  <c r="AN110" i="9"/>
  <c r="AN94" i="9"/>
  <c r="AN106" i="9"/>
  <c r="AN100" i="9"/>
  <c r="AN109" i="9"/>
  <c r="AN104" i="9"/>
  <c r="AN103" i="9"/>
  <c r="AN99" i="9"/>
  <c r="AN98" i="9" s="1"/>
  <c r="AN108" i="9"/>
  <c r="AN111" i="9"/>
  <c r="AM87" i="9"/>
  <c r="AM112" i="9"/>
  <c r="AM102" i="9"/>
  <c r="AM91" i="9"/>
  <c r="AM85" i="9"/>
  <c r="AM106" i="9"/>
  <c r="AM96" i="9"/>
  <c r="AM95" i="9" s="1"/>
  <c r="AM89" i="9"/>
  <c r="AM110" i="9"/>
  <c r="AM101" i="9"/>
  <c r="AM93" i="9"/>
  <c r="AM108" i="9"/>
  <c r="AM105" i="9"/>
  <c r="AM99" i="9"/>
  <c r="AM98" i="9" s="1"/>
  <c r="AM109" i="9"/>
  <c r="AM103" i="9"/>
  <c r="AM86" i="9"/>
  <c r="AM107" i="9"/>
  <c r="AM90" i="9"/>
  <c r="AM111" i="9"/>
  <c r="AM94" i="9"/>
  <c r="AM84" i="9"/>
  <c r="AM97" i="9"/>
  <c r="AM100" i="9"/>
  <c r="AM88" i="9"/>
  <c r="AM104" i="9"/>
  <c r="AM92" i="9"/>
  <c r="AL109" i="9"/>
  <c r="AL92" i="9"/>
  <c r="AL86" i="9"/>
  <c r="AL84" i="9"/>
  <c r="AL111" i="9"/>
  <c r="AL100" i="9"/>
  <c r="AL88" i="9"/>
  <c r="AL104" i="9"/>
  <c r="AL97" i="9"/>
  <c r="AL108" i="9"/>
  <c r="AL102" i="9"/>
  <c r="AL85" i="9"/>
  <c r="AL106" i="9"/>
  <c r="AL89" i="9"/>
  <c r="AL110" i="9"/>
  <c r="AL93" i="9"/>
  <c r="AL94" i="9"/>
  <c r="AL99" i="9"/>
  <c r="AL98" i="9" s="1"/>
  <c r="AL90" i="9"/>
  <c r="AL96" i="9"/>
  <c r="AL95" i="9" s="1"/>
  <c r="AL103" i="9"/>
  <c r="AL87" i="9"/>
  <c r="AL112" i="9"/>
  <c r="AL101" i="9"/>
  <c r="AL107" i="9"/>
  <c r="AL91" i="9"/>
  <c r="AL105" i="9"/>
  <c r="AK99" i="9"/>
  <c r="AK98" i="9" s="1"/>
  <c r="AK97" i="9"/>
  <c r="AK103" i="9"/>
  <c r="AK102" i="9"/>
  <c r="AK107" i="9"/>
  <c r="AK112" i="9"/>
  <c r="AK111" i="9"/>
  <c r="AK110" i="9"/>
  <c r="AK84" i="9"/>
  <c r="AK105" i="9"/>
  <c r="AK88" i="9"/>
  <c r="AK108" i="9"/>
  <c r="AK86" i="9"/>
  <c r="AK92" i="9"/>
  <c r="AK96" i="9"/>
  <c r="AK95" i="9" s="1"/>
  <c r="AK90" i="9"/>
  <c r="AK87" i="9"/>
  <c r="AK101" i="9"/>
  <c r="AK94" i="9"/>
  <c r="AK91" i="9"/>
  <c r="AK104" i="9"/>
  <c r="AK85" i="9"/>
  <c r="AK100" i="9"/>
  <c r="AK89" i="9"/>
  <c r="AK109" i="9"/>
  <c r="AK93" i="9"/>
  <c r="AK106" i="9"/>
  <c r="AJ112" i="9"/>
  <c r="AJ102" i="9"/>
  <c r="AJ85" i="9"/>
  <c r="AJ106" i="9"/>
  <c r="AJ89" i="9"/>
  <c r="AJ110" i="9"/>
  <c r="AJ93" i="9"/>
  <c r="AJ87" i="9"/>
  <c r="AJ99" i="9"/>
  <c r="AJ98" i="9" s="1"/>
  <c r="AJ91" i="9"/>
  <c r="AJ103" i="9"/>
  <c r="AJ96" i="9"/>
  <c r="AJ95" i="9" s="1"/>
  <c r="AJ86" i="9"/>
  <c r="AJ107" i="9"/>
  <c r="AJ101" i="9"/>
  <c r="AJ90" i="9"/>
  <c r="AJ111" i="9"/>
  <c r="AJ105" i="9"/>
  <c r="AJ94" i="9"/>
  <c r="AJ84" i="9"/>
  <c r="AJ109" i="9"/>
  <c r="AJ100" i="9"/>
  <c r="AJ88" i="9"/>
  <c r="AJ104" i="9"/>
  <c r="AJ92" i="9"/>
  <c r="AJ108" i="9"/>
  <c r="AJ97" i="9"/>
  <c r="AI99" i="9"/>
  <c r="AI98" i="9" s="1"/>
  <c r="AI87" i="9"/>
  <c r="AI103" i="9"/>
  <c r="AI96" i="9"/>
  <c r="AI95" i="9" s="1"/>
  <c r="AI107" i="9"/>
  <c r="AI101" i="9"/>
  <c r="AI111" i="9"/>
  <c r="AI105" i="9"/>
  <c r="AI84" i="9"/>
  <c r="AI109" i="9"/>
  <c r="AI88" i="9"/>
  <c r="AI86" i="9"/>
  <c r="AI100" i="9"/>
  <c r="AI92" i="9"/>
  <c r="AI90" i="9"/>
  <c r="AI104" i="9"/>
  <c r="AI97" i="9"/>
  <c r="AI93" i="9"/>
  <c r="AI108" i="9"/>
  <c r="AI102" i="9"/>
  <c r="AI94" i="9"/>
  <c r="AI112" i="9"/>
  <c r="AI106" i="9"/>
  <c r="AI85" i="9"/>
  <c r="AI110" i="9"/>
  <c r="AI91" i="9"/>
  <c r="AI89" i="9"/>
  <c r="AH110" i="9"/>
  <c r="AH108" i="9"/>
  <c r="AH87" i="9"/>
  <c r="AH109" i="9"/>
  <c r="AH91" i="9"/>
  <c r="AH111" i="9"/>
  <c r="AH85" i="9"/>
  <c r="AH86" i="9"/>
  <c r="AH96" i="9"/>
  <c r="AH95" i="9" s="1"/>
  <c r="AH89" i="9"/>
  <c r="AH90" i="9"/>
  <c r="AH104" i="9"/>
  <c r="AH93" i="9"/>
  <c r="AH94" i="9"/>
  <c r="AH107" i="9"/>
  <c r="AH84" i="9"/>
  <c r="AH100" i="9"/>
  <c r="AH88" i="9"/>
  <c r="AH103" i="9"/>
  <c r="AH92" i="9"/>
  <c r="AH99" i="9"/>
  <c r="AH98" i="9" s="1"/>
  <c r="AH97" i="9"/>
  <c r="AH105" i="9"/>
  <c r="AH102" i="9"/>
  <c r="AH112" i="9"/>
  <c r="AH106" i="9"/>
  <c r="AH101" i="9"/>
  <c r="Q63" i="5"/>
  <c r="AL13" i="5"/>
  <c r="AK13" i="5"/>
  <c r="AN13" i="5"/>
  <c r="AM13" i="5"/>
  <c r="AH82" i="4"/>
  <c r="AI82" i="4"/>
  <c r="AJ82" i="4"/>
  <c r="AK82" i="4"/>
  <c r="AL82" i="4"/>
  <c r="AH83" i="4"/>
  <c r="AI83" i="4"/>
  <c r="AJ83" i="4"/>
  <c r="AK83" i="4"/>
  <c r="AL83" i="4"/>
  <c r="AH84" i="4"/>
  <c r="AI84" i="4"/>
  <c r="AJ84" i="4"/>
  <c r="AK84" i="4"/>
  <c r="AL84" i="4"/>
  <c r="AH85" i="4"/>
  <c r="AI85" i="4"/>
  <c r="AJ85" i="4"/>
  <c r="AK85" i="4"/>
  <c r="AL85" i="4"/>
  <c r="AH86" i="4"/>
  <c r="AI86" i="4"/>
  <c r="AJ86" i="4"/>
  <c r="AK86" i="4"/>
  <c r="AL86" i="4"/>
  <c r="AH87" i="4"/>
  <c r="AI87" i="4"/>
  <c r="AJ87" i="4"/>
  <c r="AK87" i="4"/>
  <c r="AL87" i="4"/>
  <c r="AH88" i="4"/>
  <c r="AI88" i="4"/>
  <c r="AJ88" i="4"/>
  <c r="AK88" i="4"/>
  <c r="AL88" i="4"/>
  <c r="AH89" i="4"/>
  <c r="AI89" i="4"/>
  <c r="AJ89" i="4"/>
  <c r="AK89" i="4"/>
  <c r="AL89" i="4"/>
  <c r="AH90" i="4"/>
  <c r="AI90" i="4"/>
  <c r="AJ90" i="4"/>
  <c r="AK90" i="4"/>
  <c r="AL90" i="4"/>
  <c r="AH91" i="4"/>
  <c r="AI91" i="4"/>
  <c r="AJ91" i="4"/>
  <c r="AK91" i="4"/>
  <c r="AL91" i="4"/>
  <c r="AH92" i="4"/>
  <c r="AI92" i="4"/>
  <c r="AJ92" i="4"/>
  <c r="AK92" i="4"/>
  <c r="AL92" i="4"/>
  <c r="AH94" i="4"/>
  <c r="AH93" i="4" s="1"/>
  <c r="AI94" i="4"/>
  <c r="AI93" i="4" s="1"/>
  <c r="AJ94" i="4"/>
  <c r="AJ93" i="4" s="1"/>
  <c r="AK94" i="4"/>
  <c r="AK93" i="4" s="1"/>
  <c r="AL94" i="4"/>
  <c r="AL93" i="4" s="1"/>
  <c r="AH95" i="4"/>
  <c r="AI95" i="4"/>
  <c r="AJ95" i="4"/>
  <c r="AK95" i="4"/>
  <c r="AL95" i="4"/>
  <c r="AH97" i="4"/>
  <c r="AH96" i="4" s="1"/>
  <c r="AI97" i="4"/>
  <c r="AI96" i="4" s="1"/>
  <c r="AJ97" i="4"/>
  <c r="AJ96" i="4" s="1"/>
  <c r="AK97" i="4"/>
  <c r="AK96" i="4" s="1"/>
  <c r="AL97" i="4"/>
  <c r="AL96" i="4" s="1"/>
  <c r="AH98" i="4"/>
  <c r="AI98" i="4"/>
  <c r="AJ98" i="4"/>
  <c r="AK98" i="4"/>
  <c r="AL98" i="4"/>
  <c r="AH99" i="4"/>
  <c r="AI99" i="4"/>
  <c r="AJ99" i="4"/>
  <c r="AK99" i="4"/>
  <c r="AL99" i="4"/>
  <c r="AH100" i="4"/>
  <c r="AI100" i="4"/>
  <c r="AJ100" i="4"/>
  <c r="AK100" i="4"/>
  <c r="AL100" i="4"/>
  <c r="AH101" i="4"/>
  <c r="AI101" i="4"/>
  <c r="AJ101" i="4"/>
  <c r="AK101" i="4"/>
  <c r="AL101" i="4"/>
  <c r="AH102" i="4"/>
  <c r="AI102" i="4"/>
  <c r="AJ102" i="4"/>
  <c r="AK102" i="4"/>
  <c r="AL102" i="4"/>
  <c r="AH103" i="4"/>
  <c r="AI103" i="4"/>
  <c r="AJ103" i="4"/>
  <c r="AK103" i="4"/>
  <c r="AL103" i="4"/>
  <c r="AH104" i="4"/>
  <c r="AI104" i="4"/>
  <c r="AJ104" i="4"/>
  <c r="AK104" i="4"/>
  <c r="AL104" i="4"/>
  <c r="AH105" i="4"/>
  <c r="AI105" i="4"/>
  <c r="AJ105" i="4"/>
  <c r="AK105" i="4"/>
  <c r="AL105" i="4"/>
  <c r="AH106" i="4"/>
  <c r="AI106" i="4"/>
  <c r="AJ106" i="4"/>
  <c r="AK106" i="4"/>
  <c r="AL106" i="4"/>
  <c r="AH107" i="4"/>
  <c r="AI107" i="4"/>
  <c r="AJ107" i="4"/>
  <c r="AK107" i="4"/>
  <c r="AL107" i="4"/>
  <c r="AH108" i="4"/>
  <c r="AI108" i="4"/>
  <c r="AJ108" i="4"/>
  <c r="AK108" i="4"/>
  <c r="AL108" i="4"/>
  <c r="AH109" i="4"/>
  <c r="AI109" i="4"/>
  <c r="AJ109" i="4"/>
  <c r="AK109" i="4"/>
  <c r="AL109" i="4"/>
  <c r="AH110" i="4"/>
  <c r="AI110" i="4"/>
  <c r="AJ110" i="4"/>
  <c r="AK110" i="4"/>
  <c r="AL110" i="4"/>
  <c r="BN57" i="4" l="1"/>
  <c r="BH3" i="4"/>
  <c r="BN58" i="4"/>
  <c r="BN69" i="4"/>
  <c r="BN70" i="4"/>
  <c r="BN72" i="4"/>
  <c r="BN59" i="4"/>
  <c r="BN60" i="4"/>
  <c r="BN46" i="4"/>
  <c r="BN44" i="4"/>
  <c r="BN45" i="4"/>
  <c r="BN34" i="4"/>
  <c r="BN33" i="4"/>
  <c r="BN39" i="4"/>
  <c r="BN21" i="4"/>
  <c r="BN27" i="4"/>
  <c r="BN16" i="4"/>
  <c r="BN29" i="4"/>
  <c r="BN17" i="4"/>
  <c r="BN18" i="4"/>
  <c r="BN30" i="4"/>
  <c r="BN15" i="4"/>
  <c r="BN63" i="4"/>
  <c r="BN51" i="4"/>
  <c r="BN32" i="4"/>
  <c r="BN61" i="4"/>
  <c r="BN50" i="4"/>
  <c r="BN24" i="4"/>
  <c r="BN47" i="4"/>
  <c r="BN10" i="4"/>
  <c r="BN9" i="4"/>
  <c r="BN12" i="4"/>
  <c r="BN6" i="4"/>
  <c r="BN4" i="4"/>
  <c r="BN7" i="4"/>
  <c r="BN5" i="4"/>
  <c r="BN71" i="4"/>
  <c r="BN52" i="4"/>
  <c r="BN37" i="4"/>
  <c r="BN35" i="4"/>
  <c r="BN28" i="4"/>
  <c r="BN65" i="4"/>
  <c r="BN40" i="4"/>
  <c r="BN14" i="4"/>
  <c r="BN53" i="4"/>
  <c r="BN64" i="4"/>
  <c r="BN48" i="4"/>
  <c r="BN36" i="4"/>
  <c r="BN68" i="4"/>
  <c r="BN66" i="4"/>
  <c r="BN62" i="4"/>
  <c r="BN8" i="4"/>
  <c r="BN56" i="4"/>
  <c r="BN54" i="4"/>
  <c r="BN41" i="4"/>
  <c r="BN26" i="4"/>
  <c r="BN67" i="4"/>
  <c r="BN42" i="4"/>
  <c r="BN38" i="4"/>
  <c r="BN11" i="4"/>
  <c r="BN55" i="4"/>
  <c r="BN43" i="4"/>
  <c r="BN19" i="4"/>
  <c r="BN31" i="4"/>
  <c r="BN25" i="4"/>
  <c r="BN23" i="4"/>
  <c r="BN22" i="4"/>
  <c r="BN20" i="4"/>
  <c r="BN49" i="4"/>
  <c r="D43" i="9" l="1"/>
  <c r="D9" i="9"/>
  <c r="E105" i="4" l="1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F105" i="4"/>
  <c r="AG105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W103" i="4"/>
  <c r="X103" i="4"/>
  <c r="Y103" i="4"/>
  <c r="Z103" i="4"/>
  <c r="AA103" i="4"/>
  <c r="AB103" i="4"/>
  <c r="AC103" i="4"/>
  <c r="AD103" i="4"/>
  <c r="AE103" i="4"/>
  <c r="AF103" i="4"/>
  <c r="AG103" i="4"/>
  <c r="D103" i="4"/>
  <c r="E103" i="4"/>
  <c r="D105" i="4"/>
  <c r="Y59" i="9" l="1"/>
  <c r="Y59" i="5" s="1"/>
  <c r="R58" i="9"/>
  <c r="R58" i="5" s="1"/>
  <c r="S58" i="9"/>
  <c r="S58" i="5" s="1"/>
  <c r="U70" i="9" l="1"/>
  <c r="U70" i="5" s="1"/>
  <c r="J69" i="9"/>
  <c r="J69" i="5" s="1"/>
  <c r="S59" i="9" l="1"/>
  <c r="S59" i="5" s="1"/>
  <c r="R59" i="9"/>
  <c r="R59" i="5" s="1"/>
  <c r="Y58" i="9"/>
  <c r="Y58" i="5" s="1"/>
  <c r="K41" i="9"/>
  <c r="BQ41" i="4" l="1" a="1"/>
  <c r="BQ41" i="4" s="1"/>
  <c r="AM41" i="4" s="1"/>
  <c r="J73" i="9"/>
  <c r="J73" i="5" s="1"/>
  <c r="J49" i="9"/>
  <c r="J33" i="9"/>
  <c r="J44" i="9"/>
  <c r="J54" i="9"/>
  <c r="J59" i="9"/>
  <c r="J59" i="5" s="1"/>
  <c r="G53" i="9"/>
  <c r="G43" i="9"/>
  <c r="G34" i="9"/>
  <c r="R73" i="5"/>
  <c r="Q66" i="9"/>
  <c r="Q66" i="5" s="1"/>
  <c r="O67" i="9"/>
  <c r="O67" i="5" s="1"/>
  <c r="O66" i="9"/>
  <c r="O66" i="5" s="1"/>
  <c r="AA52" i="9"/>
  <c r="Z52" i="9"/>
  <c r="Q58" i="9"/>
  <c r="Q58" i="5" s="1"/>
  <c r="Q55" i="9"/>
  <c r="O55" i="9"/>
  <c r="O42" i="9"/>
  <c r="P45" i="9"/>
  <c r="P42" i="9"/>
  <c r="Q47" i="9"/>
  <c r="R47" i="9"/>
  <c r="N40" i="9"/>
  <c r="O36" i="9"/>
  <c r="O34" i="9"/>
  <c r="R36" i="9"/>
  <c r="J66" i="5"/>
  <c r="J58" i="5"/>
  <c r="J56" i="9"/>
  <c r="BQ4" i="4" l="1" a="1"/>
  <c r="BQ4" i="4" s="1"/>
  <c r="AM4" i="4" s="1"/>
  <c r="BQ5" i="4" a="1"/>
  <c r="BQ5" i="4" s="1"/>
  <c r="AM5" i="4" s="1"/>
  <c r="BQ6" i="4" a="1"/>
  <c r="BQ6" i="4" s="1"/>
  <c r="AM6" i="4" s="1"/>
  <c r="BQ7" i="4" a="1"/>
  <c r="BQ7" i="4" s="1"/>
  <c r="AM7" i="4" s="1"/>
  <c r="BQ8" i="4" a="1"/>
  <c r="BQ8" i="4" s="1"/>
  <c r="AM8" i="4" s="1"/>
  <c r="BQ9" i="4" a="1"/>
  <c r="BQ9" i="4" s="1"/>
  <c r="AM9" i="4" s="1"/>
  <c r="BQ10" i="4" a="1"/>
  <c r="BQ10" i="4" s="1"/>
  <c r="AM10" i="4" s="1"/>
  <c r="BQ11" i="4" a="1"/>
  <c r="BQ11" i="4" s="1"/>
  <c r="AM11" i="4" s="1"/>
  <c r="BQ12" i="4" a="1"/>
  <c r="BQ12" i="4" s="1"/>
  <c r="AM12" i="4" s="1"/>
  <c r="BQ13" i="4" a="1"/>
  <c r="BQ13" i="4" s="1"/>
  <c r="AM13" i="4" s="1"/>
  <c r="BQ14" i="4" a="1"/>
  <c r="BQ14" i="4" s="1"/>
  <c r="AM14" i="4" s="1"/>
  <c r="BQ15" i="4" a="1"/>
  <c r="BQ15" i="4" s="1"/>
  <c r="AM15" i="4" s="1"/>
  <c r="BQ16" i="4" a="1"/>
  <c r="BQ16" i="4" s="1"/>
  <c r="AM16" i="4" s="1"/>
  <c r="BQ17" i="4" a="1"/>
  <c r="BQ17" i="4" s="1"/>
  <c r="AM17" i="4" s="1"/>
  <c r="BQ18" i="4" a="1"/>
  <c r="BQ18" i="4" s="1"/>
  <c r="AM18" i="4" s="1"/>
  <c r="BQ19" i="4" a="1"/>
  <c r="BQ19" i="4" s="1"/>
  <c r="AM19" i="4" s="1"/>
  <c r="BQ20" i="4" a="1"/>
  <c r="BQ20" i="4" s="1"/>
  <c r="AM20" i="4" s="1"/>
  <c r="BQ21" i="4" a="1"/>
  <c r="BQ21" i="4" s="1"/>
  <c r="AM21" i="4" s="1"/>
  <c r="BQ22" i="4" a="1"/>
  <c r="BQ22" i="4" s="1"/>
  <c r="AM22" i="4" s="1"/>
  <c r="BQ23" i="4" a="1"/>
  <c r="BQ23" i="4" s="1"/>
  <c r="AM23" i="4" s="1"/>
  <c r="BQ24" i="4" a="1"/>
  <c r="BQ24" i="4" s="1"/>
  <c r="AM24" i="4" s="1"/>
  <c r="BQ25" i="4" a="1"/>
  <c r="BQ25" i="4" s="1"/>
  <c r="AM25" i="4" s="1"/>
  <c r="BQ26" i="4" a="1"/>
  <c r="BQ26" i="4" s="1"/>
  <c r="AM26" i="4" s="1"/>
  <c r="BQ27" i="4" a="1"/>
  <c r="BQ27" i="4" s="1"/>
  <c r="AM27" i="4" s="1"/>
  <c r="BQ28" i="4" a="1"/>
  <c r="BQ28" i="4" s="1"/>
  <c r="AM28" i="4" s="1"/>
  <c r="BQ29" i="4" a="1"/>
  <c r="BQ29" i="4" s="1"/>
  <c r="AM29" i="4" s="1"/>
  <c r="BQ30" i="4" a="1"/>
  <c r="BQ30" i="4" s="1"/>
  <c r="AM30" i="4" s="1"/>
  <c r="BQ31" i="4" a="1"/>
  <c r="BQ31" i="4" s="1"/>
  <c r="AM31" i="4" s="1"/>
  <c r="BQ32" i="4" a="1"/>
  <c r="BQ32" i="4" s="1"/>
  <c r="AM32" i="4" s="1"/>
  <c r="BQ33" i="4" a="1"/>
  <c r="BQ33" i="4" s="1"/>
  <c r="AM33" i="4" s="1"/>
  <c r="BQ34" i="4" a="1"/>
  <c r="BQ34" i="4" s="1"/>
  <c r="AM34" i="4" s="1"/>
  <c r="BQ35" i="4" a="1"/>
  <c r="BQ35" i="4" s="1"/>
  <c r="AM35" i="4" s="1"/>
  <c r="BQ36" i="4" a="1"/>
  <c r="BQ36" i="4" s="1"/>
  <c r="AM36" i="4" s="1"/>
  <c r="BQ37" i="4" a="1"/>
  <c r="BQ37" i="4" s="1"/>
  <c r="AM37" i="4" s="1"/>
  <c r="BQ38" i="4" a="1"/>
  <c r="BQ38" i="4" s="1"/>
  <c r="AM38" i="4" s="1"/>
  <c r="BQ39" i="4" a="1"/>
  <c r="BQ39" i="4" s="1"/>
  <c r="AM39" i="4" s="1"/>
  <c r="BQ40" i="4" a="1"/>
  <c r="BQ40" i="4" s="1"/>
  <c r="AM40" i="4" s="1"/>
  <c r="BQ42" i="4" a="1"/>
  <c r="BQ42" i="4" s="1"/>
  <c r="AM42" i="4" s="1"/>
  <c r="BQ43" i="4" a="1"/>
  <c r="BQ43" i="4" s="1"/>
  <c r="AM43" i="4" s="1"/>
  <c r="BQ44" i="4" a="1"/>
  <c r="BQ44" i="4" s="1"/>
  <c r="AM44" i="4" s="1"/>
  <c r="BQ45" i="4" a="1"/>
  <c r="BQ45" i="4" s="1"/>
  <c r="AM45" i="4" s="1"/>
  <c r="BQ46" i="4" a="1"/>
  <c r="BQ46" i="4" s="1"/>
  <c r="AM46" i="4" s="1"/>
  <c r="BQ47" i="4" a="1"/>
  <c r="BQ47" i="4" s="1"/>
  <c r="AM47" i="4" s="1"/>
  <c r="BQ48" i="4" a="1"/>
  <c r="BQ48" i="4" s="1"/>
  <c r="AM48" i="4" s="1"/>
  <c r="BQ49" i="4" a="1"/>
  <c r="BQ49" i="4" s="1"/>
  <c r="AM49" i="4" s="1"/>
  <c r="L83" i="4" l="1"/>
  <c r="Q82" i="4" l="1"/>
  <c r="AH20" i="5" l="1"/>
  <c r="AE20" i="5"/>
  <c r="AE15" i="5"/>
  <c r="AE29" i="5"/>
  <c r="AE23" i="5"/>
  <c r="AE40" i="5"/>
  <c r="AF45" i="5"/>
  <c r="AE50" i="5"/>
  <c r="AE45" i="5"/>
  <c r="AE55" i="5"/>
  <c r="AE52" i="5"/>
  <c r="AD3" i="5"/>
  <c r="AE3" i="5"/>
  <c r="AF3" i="5"/>
  <c r="AG3" i="5"/>
  <c r="AH3" i="5"/>
  <c r="AI3" i="5"/>
  <c r="AJ3" i="5"/>
  <c r="AD4" i="5"/>
  <c r="AE4" i="5"/>
  <c r="AF4" i="5"/>
  <c r="AG4" i="5"/>
  <c r="AH4" i="5"/>
  <c r="AI4" i="5"/>
  <c r="AJ4" i="5"/>
  <c r="AD5" i="5"/>
  <c r="AE5" i="5"/>
  <c r="AF5" i="5"/>
  <c r="AG5" i="5"/>
  <c r="AH5" i="5"/>
  <c r="AI5" i="5"/>
  <c r="AJ5" i="5"/>
  <c r="AD6" i="5"/>
  <c r="AE6" i="5"/>
  <c r="AF6" i="5"/>
  <c r="AG6" i="5"/>
  <c r="AH6" i="5"/>
  <c r="AI6" i="5"/>
  <c r="AJ6" i="5"/>
  <c r="AD7" i="5"/>
  <c r="AE7" i="5"/>
  <c r="AF7" i="5"/>
  <c r="AG7" i="5"/>
  <c r="AH7" i="5"/>
  <c r="AI7" i="5"/>
  <c r="AJ7" i="5"/>
  <c r="AD8" i="5"/>
  <c r="AE8" i="5"/>
  <c r="AF8" i="5"/>
  <c r="AG8" i="5"/>
  <c r="AH8" i="5"/>
  <c r="AI8" i="5"/>
  <c r="AJ8" i="5"/>
  <c r="AD9" i="5"/>
  <c r="AE9" i="5"/>
  <c r="AF9" i="5"/>
  <c r="AG9" i="5"/>
  <c r="AH9" i="5"/>
  <c r="AI9" i="5"/>
  <c r="AJ9" i="5"/>
  <c r="AD10" i="5"/>
  <c r="AE10" i="5"/>
  <c r="AF10" i="5"/>
  <c r="AG10" i="5"/>
  <c r="AH10" i="5"/>
  <c r="AI10" i="5"/>
  <c r="AJ10" i="5"/>
  <c r="AD11" i="5"/>
  <c r="AE11" i="5"/>
  <c r="AF11" i="5"/>
  <c r="AG11" i="5"/>
  <c r="AH11" i="5"/>
  <c r="AJ11" i="5"/>
  <c r="AD12" i="5"/>
  <c r="AE12" i="5"/>
  <c r="AF12" i="5"/>
  <c r="AG12" i="5"/>
  <c r="AH12" i="5"/>
  <c r="AI12" i="5"/>
  <c r="AJ12" i="5"/>
  <c r="AD13" i="5"/>
  <c r="AF13" i="5"/>
  <c r="AG13" i="5"/>
  <c r="AH13" i="5"/>
  <c r="AI13" i="5"/>
  <c r="AJ13" i="5"/>
  <c r="AD14" i="5"/>
  <c r="AE14" i="5"/>
  <c r="AF14" i="5"/>
  <c r="AG14" i="5"/>
  <c r="AH14" i="5"/>
  <c r="AI14" i="5"/>
  <c r="AD15" i="5"/>
  <c r="AF15" i="5"/>
  <c r="AG15" i="5"/>
  <c r="AH15" i="5"/>
  <c r="AI15" i="5"/>
  <c r="AJ15" i="5"/>
  <c r="AD16" i="5"/>
  <c r="AE16" i="5"/>
  <c r="AF16" i="5"/>
  <c r="AG16" i="5"/>
  <c r="AH16" i="5"/>
  <c r="AJ16" i="5"/>
  <c r="AD17" i="5"/>
  <c r="AE17" i="5"/>
  <c r="AF17" i="5"/>
  <c r="AG17" i="5"/>
  <c r="AH17" i="5"/>
  <c r="AI17" i="5"/>
  <c r="AJ17" i="5"/>
  <c r="AD18" i="5"/>
  <c r="AE18" i="5"/>
  <c r="AF18" i="5"/>
  <c r="AG18" i="5"/>
  <c r="AH18" i="5"/>
  <c r="AI18" i="5"/>
  <c r="AJ18" i="5"/>
  <c r="AD19" i="5"/>
  <c r="AE19" i="5"/>
  <c r="AF19" i="5"/>
  <c r="AG19" i="5"/>
  <c r="AH19" i="5"/>
  <c r="AI19" i="5"/>
  <c r="AJ19" i="5"/>
  <c r="AD20" i="5"/>
  <c r="AF20" i="5"/>
  <c r="AG20" i="5"/>
  <c r="AI20" i="5"/>
  <c r="AJ20" i="5"/>
  <c r="AD21" i="5"/>
  <c r="AE21" i="5"/>
  <c r="AF21" i="5"/>
  <c r="AG21" i="5"/>
  <c r="AH21" i="5"/>
  <c r="AI21" i="5"/>
  <c r="AJ21" i="5"/>
  <c r="AD22" i="5"/>
  <c r="AE22" i="5"/>
  <c r="AF22" i="5"/>
  <c r="AG22" i="5"/>
  <c r="AH22" i="5"/>
  <c r="AJ22" i="5"/>
  <c r="AD23" i="5"/>
  <c r="AF23" i="5"/>
  <c r="AG23" i="5"/>
  <c r="AH23" i="5"/>
  <c r="AI23" i="5"/>
  <c r="AJ23" i="5"/>
  <c r="AD24" i="5"/>
  <c r="AE24" i="5"/>
  <c r="AF24" i="5"/>
  <c r="AG24" i="5"/>
  <c r="AH24" i="5"/>
  <c r="AI24" i="5"/>
  <c r="AJ24" i="5"/>
  <c r="AD25" i="5"/>
  <c r="AE25" i="5"/>
  <c r="AF25" i="5"/>
  <c r="AG25" i="5"/>
  <c r="AH25" i="5"/>
  <c r="AJ25" i="5"/>
  <c r="AD26" i="5"/>
  <c r="AE26" i="5"/>
  <c r="AF26" i="5"/>
  <c r="AG26" i="5"/>
  <c r="AH26" i="5"/>
  <c r="AI26" i="5"/>
  <c r="AJ26" i="5"/>
  <c r="AD27" i="5"/>
  <c r="AE27" i="5"/>
  <c r="AF27" i="5"/>
  <c r="AG27" i="5"/>
  <c r="AH27" i="5"/>
  <c r="AI27" i="5"/>
  <c r="AJ27" i="5"/>
  <c r="AD28" i="5"/>
  <c r="AE28" i="5"/>
  <c r="AF28" i="5"/>
  <c r="AG28" i="5"/>
  <c r="AH28" i="5"/>
  <c r="AI28" i="5"/>
  <c r="AJ28" i="5"/>
  <c r="AD29" i="5"/>
  <c r="AF29" i="5"/>
  <c r="AG29" i="5"/>
  <c r="AH29" i="5"/>
  <c r="AI29" i="5"/>
  <c r="AJ29" i="5"/>
  <c r="AD30" i="5"/>
  <c r="AE30" i="5"/>
  <c r="AF30" i="5"/>
  <c r="AG30" i="5"/>
  <c r="AH30" i="5"/>
  <c r="AI30" i="5"/>
  <c r="AJ30" i="5"/>
  <c r="AD31" i="5"/>
  <c r="AE31" i="5"/>
  <c r="AF31" i="5"/>
  <c r="AG31" i="5"/>
  <c r="AH31" i="5"/>
  <c r="AI31" i="5"/>
  <c r="AJ31" i="5"/>
  <c r="AD32" i="5"/>
  <c r="AE32" i="5"/>
  <c r="AF32" i="5"/>
  <c r="AG32" i="5"/>
  <c r="AH32" i="5"/>
  <c r="AJ32" i="5"/>
  <c r="AD33" i="5"/>
  <c r="AE33" i="5"/>
  <c r="AF33" i="5"/>
  <c r="AG33" i="5"/>
  <c r="AH33" i="5"/>
  <c r="AI33" i="5"/>
  <c r="AJ33" i="5"/>
  <c r="AD34" i="5"/>
  <c r="AE34" i="5"/>
  <c r="AF34" i="5"/>
  <c r="AG34" i="5"/>
  <c r="AH34" i="5"/>
  <c r="AI34" i="5"/>
  <c r="AJ34" i="5"/>
  <c r="AD35" i="5"/>
  <c r="AE35" i="5"/>
  <c r="AF35" i="5"/>
  <c r="AG35" i="5"/>
  <c r="AH35" i="5"/>
  <c r="AI35" i="5"/>
  <c r="AJ35" i="5"/>
  <c r="AD36" i="5"/>
  <c r="AE36" i="5"/>
  <c r="AF36" i="5"/>
  <c r="AG36" i="5"/>
  <c r="AH36" i="5"/>
  <c r="AI36" i="5"/>
  <c r="AJ36" i="5"/>
  <c r="AD37" i="5"/>
  <c r="AF37" i="5"/>
  <c r="AG37" i="5"/>
  <c r="AH37" i="5"/>
  <c r="AI37" i="5"/>
  <c r="AJ37" i="5"/>
  <c r="AD38" i="5"/>
  <c r="AE38" i="5"/>
  <c r="AF38" i="5"/>
  <c r="AG38" i="5"/>
  <c r="AH38" i="5"/>
  <c r="AI38" i="5"/>
  <c r="AJ38" i="5"/>
  <c r="AD39" i="5"/>
  <c r="AE39" i="5"/>
  <c r="AF39" i="5"/>
  <c r="AG39" i="5"/>
  <c r="AH39" i="5"/>
  <c r="AI39" i="5"/>
  <c r="AJ39" i="5"/>
  <c r="AD40" i="5"/>
  <c r="AF40" i="5"/>
  <c r="AG40" i="5"/>
  <c r="AH40" i="5"/>
  <c r="AI40" i="5"/>
  <c r="AJ40" i="5"/>
  <c r="AD41" i="5"/>
  <c r="AE41" i="5"/>
  <c r="AF41" i="5"/>
  <c r="AG41" i="5"/>
  <c r="AH41" i="5"/>
  <c r="AI41" i="5"/>
  <c r="AJ41" i="5"/>
  <c r="AD42" i="5"/>
  <c r="AE42" i="5"/>
  <c r="AF42" i="5"/>
  <c r="AG42" i="5"/>
  <c r="AH42" i="5"/>
  <c r="AI42" i="5"/>
  <c r="AJ42" i="5"/>
  <c r="AD43" i="5"/>
  <c r="AE43" i="5"/>
  <c r="AF43" i="5"/>
  <c r="AG43" i="5"/>
  <c r="AH43" i="5"/>
  <c r="AI43" i="5"/>
  <c r="AJ43" i="5"/>
  <c r="AD44" i="5"/>
  <c r="AE44" i="5"/>
  <c r="AF44" i="5"/>
  <c r="AG44" i="5"/>
  <c r="AH44" i="5"/>
  <c r="AI44" i="5"/>
  <c r="AJ44" i="5"/>
  <c r="AD45" i="5"/>
  <c r="AG45" i="5"/>
  <c r="AH45" i="5"/>
  <c r="AI45" i="5"/>
  <c r="AJ45" i="5"/>
  <c r="AD46" i="5"/>
  <c r="AE46" i="5"/>
  <c r="AF46" i="5"/>
  <c r="AG46" i="5"/>
  <c r="AH46" i="5"/>
  <c r="AI46" i="5"/>
  <c r="AJ46" i="5"/>
  <c r="AD47" i="5"/>
  <c r="AE47" i="5"/>
  <c r="AF47" i="5"/>
  <c r="AG47" i="5"/>
  <c r="AH47" i="5"/>
  <c r="AI47" i="5"/>
  <c r="AJ47" i="5"/>
  <c r="AD48" i="5"/>
  <c r="AE48" i="5"/>
  <c r="AF48" i="5"/>
  <c r="AG48" i="5"/>
  <c r="AH48" i="5"/>
  <c r="AI48" i="5"/>
  <c r="AJ48" i="5"/>
  <c r="AD49" i="5"/>
  <c r="AE49" i="5"/>
  <c r="AF49" i="5"/>
  <c r="AG49" i="5"/>
  <c r="AH49" i="5"/>
  <c r="AI49" i="5"/>
  <c r="AJ49" i="5"/>
  <c r="AD50" i="5"/>
  <c r="AF50" i="5"/>
  <c r="AG50" i="5"/>
  <c r="AH50" i="5"/>
  <c r="AI50" i="5"/>
  <c r="AJ50" i="5"/>
  <c r="AD51" i="5"/>
  <c r="AE51" i="5"/>
  <c r="AF51" i="5"/>
  <c r="AG51" i="5"/>
  <c r="AH51" i="5"/>
  <c r="AI51" i="5"/>
  <c r="AJ51" i="5"/>
  <c r="AD52" i="5"/>
  <c r="AF52" i="5"/>
  <c r="AG52" i="5"/>
  <c r="AH52" i="5"/>
  <c r="AI52" i="5"/>
  <c r="AJ52" i="5"/>
  <c r="AD53" i="5"/>
  <c r="AE53" i="5"/>
  <c r="AF53" i="5"/>
  <c r="AG53" i="5"/>
  <c r="AH53" i="5"/>
  <c r="AI53" i="5"/>
  <c r="AJ53" i="5"/>
  <c r="AD54" i="5"/>
  <c r="AF54" i="5"/>
  <c r="AG54" i="5"/>
  <c r="AH54" i="5"/>
  <c r="AI54" i="5"/>
  <c r="AJ54" i="5"/>
  <c r="AD55" i="5"/>
  <c r="AF55" i="5"/>
  <c r="AG55" i="5"/>
  <c r="AH55" i="5"/>
  <c r="AI55" i="5"/>
  <c r="AJ55" i="5"/>
  <c r="AD56" i="5"/>
  <c r="AE56" i="5"/>
  <c r="AF56" i="5"/>
  <c r="AG56" i="5"/>
  <c r="AH56" i="5"/>
  <c r="AI56" i="5"/>
  <c r="AJ56" i="5"/>
  <c r="AI11" i="5"/>
  <c r="AE13" i="5"/>
  <c r="AJ14" i="5"/>
  <c r="AI16" i="5"/>
  <c r="AI22" i="5"/>
  <c r="AI25" i="5"/>
  <c r="AI32" i="5"/>
  <c r="AE37" i="5"/>
  <c r="AE54" i="5"/>
  <c r="Z67" i="9"/>
  <c r="Z67" i="5" s="1"/>
  <c r="AA46" i="9"/>
  <c r="Z45" i="9"/>
  <c r="Z36" i="9"/>
  <c r="AA36" i="9"/>
  <c r="S44" i="9"/>
  <c r="O72" i="9"/>
  <c r="O72" i="5" s="1"/>
  <c r="L67" i="9"/>
  <c r="L67" i="5" s="1"/>
  <c r="L55" i="9"/>
  <c r="L44" i="9"/>
  <c r="L35" i="9"/>
  <c r="J42" i="9"/>
  <c r="L85" i="4" l="1"/>
  <c r="G2" i="4" l="1"/>
  <c r="D82" i="4"/>
  <c r="E82" i="4"/>
  <c r="F82" i="4"/>
  <c r="D83" i="4"/>
  <c r="E83" i="4"/>
  <c r="F83" i="4"/>
  <c r="D84" i="4"/>
  <c r="E84" i="4"/>
  <c r="F84" i="4"/>
  <c r="D85" i="4"/>
  <c r="E85" i="4"/>
  <c r="F85" i="4"/>
  <c r="D86" i="4"/>
  <c r="E86" i="4"/>
  <c r="F86" i="4"/>
  <c r="D87" i="4"/>
  <c r="E87" i="4"/>
  <c r="F87" i="4"/>
  <c r="D88" i="4"/>
  <c r="E88" i="4"/>
  <c r="F88" i="4"/>
  <c r="D89" i="4"/>
  <c r="E89" i="4"/>
  <c r="F89" i="4"/>
  <c r="D90" i="4"/>
  <c r="E90" i="4"/>
  <c r="F90" i="4"/>
  <c r="D91" i="4"/>
  <c r="E91" i="4"/>
  <c r="F91" i="4"/>
  <c r="D92" i="4"/>
  <c r="E92" i="4"/>
  <c r="F92" i="4"/>
  <c r="D94" i="4"/>
  <c r="D93" i="4" s="1"/>
  <c r="E94" i="4"/>
  <c r="E93" i="4" s="1"/>
  <c r="F94" i="4"/>
  <c r="F93" i="4" s="1"/>
  <c r="D95" i="4"/>
  <c r="E95" i="4"/>
  <c r="F95" i="4"/>
  <c r="D97" i="4"/>
  <c r="D96" i="4" s="1"/>
  <c r="E97" i="4"/>
  <c r="E96" i="4" s="1"/>
  <c r="F97" i="4"/>
  <c r="F96" i="4" s="1"/>
  <c r="D98" i="4"/>
  <c r="E98" i="4"/>
  <c r="F98" i="4"/>
  <c r="D99" i="4"/>
  <c r="E99" i="4"/>
  <c r="F99" i="4"/>
  <c r="D100" i="4"/>
  <c r="E100" i="4"/>
  <c r="F100" i="4"/>
  <c r="D101" i="4"/>
  <c r="E101" i="4"/>
  <c r="F101" i="4"/>
  <c r="D102" i="4"/>
  <c r="E102" i="4"/>
  <c r="F102" i="4"/>
  <c r="D104" i="4"/>
  <c r="E104" i="4"/>
  <c r="F104" i="4"/>
  <c r="D106" i="4"/>
  <c r="E106" i="4"/>
  <c r="F106" i="4"/>
  <c r="D107" i="4"/>
  <c r="E107" i="4"/>
  <c r="F107" i="4"/>
  <c r="D108" i="4"/>
  <c r="E108" i="4"/>
  <c r="F108" i="4"/>
  <c r="D109" i="4"/>
  <c r="E109" i="4"/>
  <c r="F109" i="4"/>
  <c r="D110" i="4"/>
  <c r="E110" i="4"/>
  <c r="F110" i="4"/>
  <c r="H82" i="4" l="1"/>
  <c r="I82" i="4"/>
  <c r="J82" i="4"/>
  <c r="K82" i="4"/>
  <c r="L82" i="4"/>
  <c r="M82" i="4"/>
  <c r="N82" i="4"/>
  <c r="O82" i="4"/>
  <c r="P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G82" i="4"/>
  <c r="H83" i="4"/>
  <c r="I83" i="4"/>
  <c r="J83" i="4"/>
  <c r="K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AG83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AF84" i="4"/>
  <c r="AG84" i="4"/>
  <c r="H85" i="4"/>
  <c r="I85" i="4"/>
  <c r="J85" i="4"/>
  <c r="K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G85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AF86" i="4"/>
  <c r="AG86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AF87" i="4"/>
  <c r="AG87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AF88" i="4"/>
  <c r="AG88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AF89" i="4"/>
  <c r="AG89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AF90" i="4"/>
  <c r="AG90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AF91" i="4"/>
  <c r="AG91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AF92" i="4"/>
  <c r="AG92" i="4"/>
  <c r="H94" i="4"/>
  <c r="H93" i="4" s="1"/>
  <c r="I94" i="4"/>
  <c r="I93" i="4" s="1"/>
  <c r="J94" i="4"/>
  <c r="J93" i="4" s="1"/>
  <c r="K94" i="4"/>
  <c r="K93" i="4" s="1"/>
  <c r="L94" i="4"/>
  <c r="L93" i="4" s="1"/>
  <c r="M94" i="4"/>
  <c r="M93" i="4" s="1"/>
  <c r="N94" i="4"/>
  <c r="N93" i="4" s="1"/>
  <c r="O94" i="4"/>
  <c r="O93" i="4" s="1"/>
  <c r="P94" i="4"/>
  <c r="P93" i="4" s="1"/>
  <c r="Q94" i="4"/>
  <c r="Q93" i="4" s="1"/>
  <c r="R94" i="4"/>
  <c r="R93" i="4" s="1"/>
  <c r="S94" i="4"/>
  <c r="S93" i="4" s="1"/>
  <c r="T94" i="4"/>
  <c r="T93" i="4" s="1"/>
  <c r="U94" i="4"/>
  <c r="U93" i="4" s="1"/>
  <c r="V94" i="4"/>
  <c r="V93" i="4" s="1"/>
  <c r="W94" i="4"/>
  <c r="W93" i="4" s="1"/>
  <c r="X94" i="4"/>
  <c r="X93" i="4" s="1"/>
  <c r="Y94" i="4"/>
  <c r="Y93" i="4" s="1"/>
  <c r="Z94" i="4"/>
  <c r="Z93" i="4" s="1"/>
  <c r="AA94" i="4"/>
  <c r="AA93" i="4" s="1"/>
  <c r="AB94" i="4"/>
  <c r="AB93" i="4" s="1"/>
  <c r="AC94" i="4"/>
  <c r="AC93" i="4" s="1"/>
  <c r="AD94" i="4"/>
  <c r="AD93" i="4" s="1"/>
  <c r="AE94" i="4"/>
  <c r="AE93" i="4" s="1"/>
  <c r="AF94" i="4"/>
  <c r="AF93" i="4" s="1"/>
  <c r="AG94" i="4"/>
  <c r="AG93" i="4" s="1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H97" i="4"/>
  <c r="H96" i="4" s="1"/>
  <c r="I97" i="4"/>
  <c r="I96" i="4" s="1"/>
  <c r="J97" i="4"/>
  <c r="J96" i="4" s="1"/>
  <c r="K97" i="4"/>
  <c r="K96" i="4" s="1"/>
  <c r="L97" i="4"/>
  <c r="L96" i="4" s="1"/>
  <c r="M97" i="4"/>
  <c r="M96" i="4" s="1"/>
  <c r="N97" i="4"/>
  <c r="N96" i="4" s="1"/>
  <c r="O97" i="4"/>
  <c r="O96" i="4" s="1"/>
  <c r="P97" i="4"/>
  <c r="P96" i="4" s="1"/>
  <c r="Q97" i="4"/>
  <c r="Q96" i="4" s="1"/>
  <c r="R97" i="4"/>
  <c r="R96" i="4" s="1"/>
  <c r="S97" i="4"/>
  <c r="S96" i="4" s="1"/>
  <c r="T97" i="4"/>
  <c r="T96" i="4" s="1"/>
  <c r="U97" i="4"/>
  <c r="U96" i="4" s="1"/>
  <c r="V97" i="4"/>
  <c r="V96" i="4" s="1"/>
  <c r="W97" i="4"/>
  <c r="W96" i="4" s="1"/>
  <c r="X97" i="4"/>
  <c r="X96" i="4" s="1"/>
  <c r="Y97" i="4"/>
  <c r="Y96" i="4" s="1"/>
  <c r="Z97" i="4"/>
  <c r="Z96" i="4" s="1"/>
  <c r="AA97" i="4"/>
  <c r="AA96" i="4" s="1"/>
  <c r="AB97" i="4"/>
  <c r="AB96" i="4" s="1"/>
  <c r="AC97" i="4"/>
  <c r="AC96" i="4" s="1"/>
  <c r="AD97" i="4"/>
  <c r="AD96" i="4" s="1"/>
  <c r="AE97" i="4"/>
  <c r="AE96" i="4" s="1"/>
  <c r="AF97" i="4"/>
  <c r="AF96" i="4" s="1"/>
  <c r="AG97" i="4"/>
  <c r="AG96" i="4" s="1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G98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AF99" i="4"/>
  <c r="AG99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F100" i="4"/>
  <c r="AG100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F101" i="4"/>
  <c r="AG101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F102" i="4"/>
  <c r="AG102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F104" i="4"/>
  <c r="AG104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F106" i="4"/>
  <c r="AG106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F107" i="4"/>
  <c r="AG107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F108" i="4"/>
  <c r="AG108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F109" i="4"/>
  <c r="AG109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F110" i="4"/>
  <c r="AG110" i="4"/>
  <c r="D80" i="4"/>
  <c r="E80" i="4"/>
  <c r="F80" i="4"/>
  <c r="G80" i="4"/>
  <c r="D2" i="4"/>
  <c r="D81" i="4" s="1"/>
  <c r="E2" i="4"/>
  <c r="E81" i="4" s="1"/>
  <c r="F2" i="4"/>
  <c r="F81" i="4" s="1"/>
  <c r="G81" i="4"/>
  <c r="H2" i="4"/>
  <c r="H81" i="4" s="1"/>
  <c r="H80" i="4" l="1"/>
  <c r="Y37" i="9"/>
  <c r="L66" i="9"/>
  <c r="L66" i="5" s="1"/>
  <c r="Z55" i="9"/>
  <c r="P52" i="9"/>
  <c r="L52" i="9"/>
  <c r="J52" i="9"/>
  <c r="E52" i="9"/>
  <c r="I42" i="9"/>
  <c r="L42" i="9"/>
  <c r="L42" i="5" s="1"/>
  <c r="Z35" i="9"/>
  <c r="Y33" i="9"/>
  <c r="L33" i="9"/>
  <c r="T12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D4" i="9"/>
  <c r="D5" i="9"/>
  <c r="D6" i="9"/>
  <c r="D7" i="9"/>
  <c r="D8" i="9"/>
  <c r="D10" i="9"/>
  <c r="D11" i="9"/>
  <c r="D12" i="9"/>
  <c r="W12" i="5"/>
  <c r="O13" i="5"/>
  <c r="J20" i="5"/>
  <c r="AA20" i="5"/>
  <c r="D33" i="9"/>
  <c r="E33" i="9"/>
  <c r="F33" i="9"/>
  <c r="G33" i="9"/>
  <c r="H33" i="9"/>
  <c r="I33" i="9"/>
  <c r="K33" i="9"/>
  <c r="M33" i="9"/>
  <c r="N33" i="9"/>
  <c r="O33" i="9"/>
  <c r="P33" i="9"/>
  <c r="R33" i="9"/>
  <c r="S33" i="9"/>
  <c r="T33" i="9"/>
  <c r="U33" i="9"/>
  <c r="V33" i="9"/>
  <c r="W33" i="9"/>
  <c r="X33" i="9"/>
  <c r="Z33" i="9"/>
  <c r="AA33" i="9"/>
  <c r="AB33" i="9"/>
  <c r="D34" i="9"/>
  <c r="E34" i="9"/>
  <c r="F34" i="9"/>
  <c r="I34" i="9"/>
  <c r="J34" i="9"/>
  <c r="K34" i="9"/>
  <c r="L34" i="9"/>
  <c r="M34" i="9"/>
  <c r="N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D35" i="9"/>
  <c r="E35" i="9"/>
  <c r="F35" i="9"/>
  <c r="G35" i="9"/>
  <c r="H35" i="9"/>
  <c r="K35" i="9"/>
  <c r="M35" i="9"/>
  <c r="N35" i="9"/>
  <c r="O35" i="9"/>
  <c r="P35" i="9"/>
  <c r="Q35" i="9"/>
  <c r="R35" i="9"/>
  <c r="S35" i="9"/>
  <c r="T35" i="9"/>
  <c r="U35" i="9"/>
  <c r="V35" i="9"/>
  <c r="W35" i="9"/>
  <c r="X35" i="9"/>
  <c r="AA35" i="9"/>
  <c r="AB35" i="9"/>
  <c r="D36" i="9"/>
  <c r="E36" i="9"/>
  <c r="F36" i="9"/>
  <c r="G36" i="9"/>
  <c r="H36" i="9"/>
  <c r="I36" i="9"/>
  <c r="J36" i="9"/>
  <c r="K36" i="9"/>
  <c r="L36" i="9"/>
  <c r="M36" i="9"/>
  <c r="N36" i="9"/>
  <c r="P36" i="9"/>
  <c r="Q36" i="9"/>
  <c r="S36" i="9"/>
  <c r="T36" i="9"/>
  <c r="U36" i="9"/>
  <c r="V36" i="9"/>
  <c r="W36" i="9"/>
  <c r="X36" i="9"/>
  <c r="Y36" i="9"/>
  <c r="AB36" i="9"/>
  <c r="D37" i="9"/>
  <c r="E37" i="9"/>
  <c r="F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Z37" i="9"/>
  <c r="AA37" i="9"/>
  <c r="AB37" i="9"/>
  <c r="D38" i="9"/>
  <c r="E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Y38" i="9"/>
  <c r="Z38" i="9"/>
  <c r="AA38" i="9"/>
  <c r="AB38" i="9"/>
  <c r="D39" i="9"/>
  <c r="E39" i="9"/>
  <c r="F39" i="9"/>
  <c r="G39" i="9"/>
  <c r="H39" i="9"/>
  <c r="I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D40" i="9"/>
  <c r="E40" i="9"/>
  <c r="F40" i="9"/>
  <c r="G40" i="9"/>
  <c r="H40" i="9"/>
  <c r="I40" i="9"/>
  <c r="J40" i="9"/>
  <c r="K40" i="9"/>
  <c r="L40" i="9"/>
  <c r="M40" i="9"/>
  <c r="O40" i="9"/>
  <c r="P40" i="9"/>
  <c r="Q40" i="9"/>
  <c r="S40" i="9"/>
  <c r="T40" i="9"/>
  <c r="U40" i="9"/>
  <c r="V40" i="9"/>
  <c r="W40" i="9"/>
  <c r="X40" i="9"/>
  <c r="Y40" i="9"/>
  <c r="Z40" i="9"/>
  <c r="AA40" i="9"/>
  <c r="AB40" i="9"/>
  <c r="D41" i="9"/>
  <c r="E41" i="9"/>
  <c r="F41" i="9"/>
  <c r="G41" i="9"/>
  <c r="H41" i="9"/>
  <c r="I41" i="9"/>
  <c r="J41" i="9"/>
  <c r="L41" i="9"/>
  <c r="M41" i="9"/>
  <c r="N41" i="9"/>
  <c r="O41" i="9"/>
  <c r="P41" i="9"/>
  <c r="Q41" i="9"/>
  <c r="S41" i="9"/>
  <c r="T41" i="9"/>
  <c r="U41" i="9"/>
  <c r="V41" i="9"/>
  <c r="W41" i="9"/>
  <c r="X41" i="9"/>
  <c r="Y41" i="9"/>
  <c r="Z41" i="9"/>
  <c r="AA41" i="9"/>
  <c r="AB41" i="9"/>
  <c r="D42" i="9"/>
  <c r="E42" i="9"/>
  <c r="F42" i="9"/>
  <c r="H42" i="9"/>
  <c r="M42" i="9"/>
  <c r="N42" i="9"/>
  <c r="S42" i="9"/>
  <c r="T42" i="9"/>
  <c r="U42" i="9"/>
  <c r="V42" i="9"/>
  <c r="W42" i="9"/>
  <c r="X42" i="9"/>
  <c r="AA42" i="9"/>
  <c r="AB42" i="9"/>
  <c r="E43" i="9"/>
  <c r="F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Z43" i="9"/>
  <c r="AA43" i="9"/>
  <c r="AB43" i="9"/>
  <c r="D44" i="9"/>
  <c r="E44" i="9"/>
  <c r="F44" i="9"/>
  <c r="H44" i="9"/>
  <c r="I44" i="9"/>
  <c r="K44" i="9"/>
  <c r="M44" i="9"/>
  <c r="N44" i="9"/>
  <c r="O44" i="9"/>
  <c r="P44" i="9"/>
  <c r="Q44" i="9"/>
  <c r="R44" i="9"/>
  <c r="T44" i="9"/>
  <c r="U44" i="9"/>
  <c r="V44" i="9"/>
  <c r="W44" i="9"/>
  <c r="X44" i="9"/>
  <c r="Y44" i="9"/>
  <c r="Z44" i="9"/>
  <c r="AA44" i="9"/>
  <c r="AB44" i="9"/>
  <c r="D45" i="9"/>
  <c r="E45" i="9"/>
  <c r="F45" i="9"/>
  <c r="G45" i="9"/>
  <c r="H45" i="9"/>
  <c r="I45" i="9"/>
  <c r="J45" i="9"/>
  <c r="K45" i="9"/>
  <c r="L45" i="9"/>
  <c r="M45" i="9"/>
  <c r="N45" i="9"/>
  <c r="O45" i="9"/>
  <c r="Q45" i="9"/>
  <c r="R45" i="9"/>
  <c r="S45" i="9"/>
  <c r="T45" i="9"/>
  <c r="U45" i="9"/>
  <c r="V45" i="9"/>
  <c r="W45" i="9"/>
  <c r="X45" i="9"/>
  <c r="Y45" i="9"/>
  <c r="AA45" i="9"/>
  <c r="AB45" i="9"/>
  <c r="D46" i="9"/>
  <c r="E46" i="9"/>
  <c r="F46" i="9"/>
  <c r="G46" i="9"/>
  <c r="I46" i="9"/>
  <c r="K46" i="9"/>
  <c r="L46" i="9"/>
  <c r="M46" i="9"/>
  <c r="N46" i="9"/>
  <c r="O46" i="9"/>
  <c r="P46" i="9"/>
  <c r="Q46" i="9"/>
  <c r="R46" i="9"/>
  <c r="S46" i="9"/>
  <c r="T46" i="9"/>
  <c r="U46" i="9"/>
  <c r="V46" i="9"/>
  <c r="W46" i="9"/>
  <c r="X46" i="9"/>
  <c r="Y46" i="9"/>
  <c r="Z46" i="9"/>
  <c r="AB46" i="9"/>
  <c r="D47" i="9"/>
  <c r="E47" i="9"/>
  <c r="F47" i="9"/>
  <c r="G47" i="9"/>
  <c r="H47" i="9"/>
  <c r="I47" i="9"/>
  <c r="J47" i="9"/>
  <c r="K47" i="9"/>
  <c r="L47" i="9"/>
  <c r="M47" i="9"/>
  <c r="N47" i="9"/>
  <c r="O47" i="9"/>
  <c r="P47" i="9"/>
  <c r="S47" i="9"/>
  <c r="T47" i="9"/>
  <c r="U47" i="9"/>
  <c r="V47" i="9"/>
  <c r="W47" i="9"/>
  <c r="X47" i="9"/>
  <c r="Y47" i="9"/>
  <c r="Z47" i="9"/>
  <c r="AA47" i="9"/>
  <c r="AB47" i="9"/>
  <c r="D48" i="9"/>
  <c r="E48" i="9"/>
  <c r="F48" i="9"/>
  <c r="H48" i="9"/>
  <c r="I48" i="9"/>
  <c r="J48" i="9"/>
  <c r="K48" i="9"/>
  <c r="L48" i="9"/>
  <c r="M48" i="9"/>
  <c r="N48" i="9"/>
  <c r="O48" i="9"/>
  <c r="P48" i="9"/>
  <c r="Q48" i="9"/>
  <c r="R48" i="9"/>
  <c r="S48" i="9"/>
  <c r="T48" i="9"/>
  <c r="U48" i="9"/>
  <c r="W48" i="9"/>
  <c r="X48" i="9"/>
  <c r="Y48" i="9"/>
  <c r="Z48" i="9"/>
  <c r="AA48" i="9"/>
  <c r="AB48" i="9"/>
  <c r="D49" i="9"/>
  <c r="E49" i="9"/>
  <c r="F49" i="9"/>
  <c r="G49" i="9"/>
  <c r="I49" i="9"/>
  <c r="K49" i="9"/>
  <c r="L49" i="9"/>
  <c r="M49" i="9"/>
  <c r="N49" i="9"/>
  <c r="O49" i="9"/>
  <c r="P49" i="9"/>
  <c r="Q49" i="9"/>
  <c r="R49" i="9"/>
  <c r="S49" i="9"/>
  <c r="T49" i="9"/>
  <c r="U49" i="9"/>
  <c r="V49" i="9"/>
  <c r="W49" i="9"/>
  <c r="X49" i="9"/>
  <c r="Y49" i="9"/>
  <c r="Z49" i="9"/>
  <c r="AA49" i="9"/>
  <c r="AB49" i="9"/>
  <c r="D50" i="9"/>
  <c r="E50" i="9"/>
  <c r="F50" i="9"/>
  <c r="G50" i="9"/>
  <c r="H50" i="9"/>
  <c r="I50" i="9"/>
  <c r="J50" i="9"/>
  <c r="K50" i="9"/>
  <c r="L50" i="9"/>
  <c r="M50" i="9"/>
  <c r="N50" i="9"/>
  <c r="O50" i="9"/>
  <c r="P50" i="9"/>
  <c r="Q50" i="9"/>
  <c r="R50" i="9"/>
  <c r="S50" i="9"/>
  <c r="T50" i="9"/>
  <c r="U50" i="9"/>
  <c r="V50" i="9"/>
  <c r="W50" i="9"/>
  <c r="X50" i="9"/>
  <c r="Y50" i="9"/>
  <c r="Z50" i="9"/>
  <c r="AA50" i="9"/>
  <c r="AB50" i="9"/>
  <c r="D51" i="9"/>
  <c r="E51" i="9"/>
  <c r="F51" i="9"/>
  <c r="G51" i="9"/>
  <c r="H51" i="9"/>
  <c r="I51" i="9"/>
  <c r="K51" i="9"/>
  <c r="L51" i="9"/>
  <c r="M51" i="9"/>
  <c r="N51" i="9"/>
  <c r="O51" i="9"/>
  <c r="P51" i="9"/>
  <c r="Q51" i="9"/>
  <c r="R51" i="9"/>
  <c r="S51" i="9"/>
  <c r="T51" i="9"/>
  <c r="U51" i="9"/>
  <c r="W51" i="9"/>
  <c r="X51" i="9"/>
  <c r="Y51" i="9"/>
  <c r="Z51" i="9"/>
  <c r="AA51" i="9"/>
  <c r="AB51" i="9"/>
  <c r="D52" i="9"/>
  <c r="F52" i="9"/>
  <c r="G52" i="9"/>
  <c r="I52" i="9"/>
  <c r="K52" i="9"/>
  <c r="M52" i="9"/>
  <c r="M52" i="5" s="1"/>
  <c r="N52" i="9"/>
  <c r="O52" i="9"/>
  <c r="S52" i="9"/>
  <c r="S52" i="5" s="1"/>
  <c r="T52" i="9"/>
  <c r="U52" i="9"/>
  <c r="V52" i="9"/>
  <c r="W52" i="9"/>
  <c r="X52" i="9"/>
  <c r="Y52" i="9"/>
  <c r="AB52" i="9"/>
  <c r="D53" i="9"/>
  <c r="E53" i="9"/>
  <c r="F53" i="9"/>
  <c r="H53" i="9"/>
  <c r="I53" i="9"/>
  <c r="J53" i="9"/>
  <c r="K53" i="9"/>
  <c r="L53" i="9"/>
  <c r="M53" i="9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D54" i="9"/>
  <c r="E54" i="9"/>
  <c r="F54" i="9"/>
  <c r="G54" i="9"/>
  <c r="H54" i="9"/>
  <c r="I54" i="9"/>
  <c r="K54" i="9"/>
  <c r="L54" i="9"/>
  <c r="M54" i="9"/>
  <c r="N54" i="9"/>
  <c r="O54" i="9"/>
  <c r="P54" i="9"/>
  <c r="Q54" i="9"/>
  <c r="R54" i="9"/>
  <c r="S54" i="9"/>
  <c r="T54" i="9"/>
  <c r="U54" i="9"/>
  <c r="V54" i="9"/>
  <c r="W54" i="9"/>
  <c r="X54" i="9"/>
  <c r="Y54" i="9"/>
  <c r="Z54" i="9"/>
  <c r="AA54" i="9"/>
  <c r="AB54" i="9"/>
  <c r="D55" i="9"/>
  <c r="E55" i="9"/>
  <c r="F55" i="9"/>
  <c r="H55" i="9"/>
  <c r="I55" i="9"/>
  <c r="J55" i="9"/>
  <c r="K55" i="9"/>
  <c r="M55" i="9"/>
  <c r="N55" i="9"/>
  <c r="P55" i="9"/>
  <c r="R55" i="9"/>
  <c r="S55" i="9"/>
  <c r="T55" i="9"/>
  <c r="U55" i="9"/>
  <c r="V55" i="9"/>
  <c r="W55" i="9"/>
  <c r="X55" i="9"/>
  <c r="Y55" i="9"/>
  <c r="AA55" i="9"/>
  <c r="AB55" i="9"/>
  <c r="D56" i="9"/>
  <c r="E56" i="9"/>
  <c r="F56" i="9"/>
  <c r="G56" i="9"/>
  <c r="H56" i="9"/>
  <c r="I56" i="9"/>
  <c r="K56" i="9"/>
  <c r="L56" i="9"/>
  <c r="M56" i="9"/>
  <c r="N56" i="9"/>
  <c r="O56" i="9"/>
  <c r="P56" i="9"/>
  <c r="Q56" i="9"/>
  <c r="R56" i="9"/>
  <c r="S56" i="9"/>
  <c r="T56" i="9"/>
  <c r="U56" i="9"/>
  <c r="V56" i="9"/>
  <c r="W56" i="9"/>
  <c r="X56" i="9"/>
  <c r="Y56" i="9"/>
  <c r="Z56" i="9"/>
  <c r="AA56" i="9"/>
  <c r="AB56" i="9"/>
  <c r="D57" i="9"/>
  <c r="E57" i="9"/>
  <c r="F57" i="9"/>
  <c r="F57" i="5" s="1"/>
  <c r="G57" i="9"/>
  <c r="G57" i="5" s="1"/>
  <c r="H57" i="9"/>
  <c r="H57" i="5" s="1"/>
  <c r="I57" i="9"/>
  <c r="I57" i="5" s="1"/>
  <c r="J57" i="9"/>
  <c r="J57" i="5" s="1"/>
  <c r="K57" i="9"/>
  <c r="K57" i="5" s="1"/>
  <c r="L57" i="9"/>
  <c r="L57" i="5" s="1"/>
  <c r="M57" i="9"/>
  <c r="M57" i="5" s="1"/>
  <c r="N57" i="9"/>
  <c r="N57" i="5" s="1"/>
  <c r="O57" i="9"/>
  <c r="O57" i="5" s="1"/>
  <c r="P57" i="9"/>
  <c r="P57" i="5" s="1"/>
  <c r="Q57" i="9"/>
  <c r="Q57" i="5" s="1"/>
  <c r="R57" i="9"/>
  <c r="R57" i="5" s="1"/>
  <c r="S57" i="9"/>
  <c r="S57" i="5" s="1"/>
  <c r="T57" i="9"/>
  <c r="T57" i="5" s="1"/>
  <c r="U57" i="9"/>
  <c r="U57" i="5" s="1"/>
  <c r="V57" i="9"/>
  <c r="V57" i="5" s="1"/>
  <c r="W57" i="9"/>
  <c r="W57" i="5" s="1"/>
  <c r="X57" i="9"/>
  <c r="X57" i="5" s="1"/>
  <c r="Y57" i="9"/>
  <c r="Y57" i="5" s="1"/>
  <c r="Z57" i="9"/>
  <c r="Z57" i="5" s="1"/>
  <c r="AA57" i="9"/>
  <c r="AA57" i="5" s="1"/>
  <c r="AB57" i="9"/>
  <c r="AB57" i="5" s="1"/>
  <c r="D58" i="9"/>
  <c r="E58" i="9"/>
  <c r="F58" i="9"/>
  <c r="F58" i="5" s="1"/>
  <c r="G58" i="9"/>
  <c r="G58" i="5" s="1"/>
  <c r="H58" i="9"/>
  <c r="H58" i="5" s="1"/>
  <c r="I58" i="9"/>
  <c r="I58" i="5" s="1"/>
  <c r="K58" i="9"/>
  <c r="K58" i="5" s="1"/>
  <c r="L58" i="9"/>
  <c r="L58" i="5" s="1"/>
  <c r="M58" i="9"/>
  <c r="M58" i="5" s="1"/>
  <c r="N58" i="9"/>
  <c r="N58" i="5" s="1"/>
  <c r="O58" i="9"/>
  <c r="O58" i="5" s="1"/>
  <c r="P58" i="9"/>
  <c r="P58" i="5" s="1"/>
  <c r="T58" i="9"/>
  <c r="T58" i="5" s="1"/>
  <c r="U58" i="9"/>
  <c r="U58" i="5" s="1"/>
  <c r="V58" i="9"/>
  <c r="V58" i="5" s="1"/>
  <c r="W58" i="9"/>
  <c r="W58" i="5" s="1"/>
  <c r="X58" i="9"/>
  <c r="X58" i="5" s="1"/>
  <c r="Z58" i="9"/>
  <c r="Z58" i="5" s="1"/>
  <c r="AA58" i="9"/>
  <c r="AA58" i="5" s="1"/>
  <c r="AB58" i="9"/>
  <c r="AB58" i="5" s="1"/>
  <c r="D59" i="9"/>
  <c r="E59" i="9"/>
  <c r="F59" i="9"/>
  <c r="F59" i="5" s="1"/>
  <c r="G59" i="9"/>
  <c r="G59" i="5" s="1"/>
  <c r="H59" i="9"/>
  <c r="H59" i="5" s="1"/>
  <c r="I59" i="9"/>
  <c r="I59" i="5" s="1"/>
  <c r="K59" i="9"/>
  <c r="K59" i="5" s="1"/>
  <c r="L59" i="9"/>
  <c r="L59" i="5" s="1"/>
  <c r="M59" i="9"/>
  <c r="M59" i="5" s="1"/>
  <c r="N59" i="9"/>
  <c r="N59" i="5" s="1"/>
  <c r="O59" i="9"/>
  <c r="O59" i="5" s="1"/>
  <c r="P59" i="9"/>
  <c r="P59" i="5" s="1"/>
  <c r="Q59" i="9"/>
  <c r="Q59" i="5" s="1"/>
  <c r="T59" i="9"/>
  <c r="T59" i="5" s="1"/>
  <c r="U59" i="9"/>
  <c r="U59" i="5" s="1"/>
  <c r="V59" i="9"/>
  <c r="V59" i="5" s="1"/>
  <c r="W59" i="9"/>
  <c r="W59" i="5" s="1"/>
  <c r="X59" i="9"/>
  <c r="X59" i="5" s="1"/>
  <c r="Z59" i="9"/>
  <c r="Z59" i="5" s="1"/>
  <c r="AA59" i="9"/>
  <c r="AA59" i="5" s="1"/>
  <c r="AB59" i="9"/>
  <c r="AB59" i="5" s="1"/>
  <c r="D60" i="5"/>
  <c r="D61" i="5"/>
  <c r="D66" i="9"/>
  <c r="E66" i="9"/>
  <c r="F66" i="9"/>
  <c r="F66" i="5" s="1"/>
  <c r="I66" i="9"/>
  <c r="I66" i="5" s="1"/>
  <c r="K66" i="9"/>
  <c r="K66" i="5" s="1"/>
  <c r="M66" i="9"/>
  <c r="M66" i="5" s="1"/>
  <c r="N66" i="9"/>
  <c r="N66" i="5" s="1"/>
  <c r="P66" i="9"/>
  <c r="P66" i="5" s="1"/>
  <c r="R66" i="9"/>
  <c r="R66" i="5" s="1"/>
  <c r="S66" i="9"/>
  <c r="S66" i="5" s="1"/>
  <c r="T66" i="9"/>
  <c r="T66" i="5" s="1"/>
  <c r="U66" i="9"/>
  <c r="U66" i="5" s="1"/>
  <c r="V66" i="5"/>
  <c r="W66" i="9"/>
  <c r="W66" i="5" s="1"/>
  <c r="X66" i="9"/>
  <c r="X66" i="5" s="1"/>
  <c r="Y66" i="9"/>
  <c r="Y66" i="5" s="1"/>
  <c r="Z66" i="9"/>
  <c r="Z66" i="5" s="1"/>
  <c r="AA66" i="9"/>
  <c r="AA66" i="5" s="1"/>
  <c r="AB66" i="9"/>
  <c r="AB66" i="5" s="1"/>
  <c r="D67" i="9"/>
  <c r="E67" i="9"/>
  <c r="F67" i="9"/>
  <c r="F67" i="5" s="1"/>
  <c r="G67" i="9"/>
  <c r="G67" i="5" s="1"/>
  <c r="H67" i="9"/>
  <c r="H67" i="5" s="1"/>
  <c r="I67" i="9"/>
  <c r="I67" i="5" s="1"/>
  <c r="J67" i="9"/>
  <c r="J67" i="5" s="1"/>
  <c r="K67" i="9"/>
  <c r="K67" i="5" s="1"/>
  <c r="M67" i="9"/>
  <c r="M67" i="5" s="1"/>
  <c r="N67" i="9"/>
  <c r="N67" i="5" s="1"/>
  <c r="P67" i="9"/>
  <c r="P67" i="5" s="1"/>
  <c r="Q67" i="9"/>
  <c r="Q67" i="5" s="1"/>
  <c r="S67" i="9"/>
  <c r="S67" i="5" s="1"/>
  <c r="T67" i="9"/>
  <c r="T67" i="5" s="1"/>
  <c r="U67" i="9"/>
  <c r="U67" i="5" s="1"/>
  <c r="V67" i="9"/>
  <c r="V67" i="5" s="1"/>
  <c r="W67" i="9"/>
  <c r="W67" i="5" s="1"/>
  <c r="X67" i="9"/>
  <c r="X67" i="5" s="1"/>
  <c r="AA67" i="9"/>
  <c r="AA67" i="5" s="1"/>
  <c r="AB67" i="9"/>
  <c r="AB67" i="5" s="1"/>
  <c r="D68" i="9"/>
  <c r="E68" i="9"/>
  <c r="F68" i="9"/>
  <c r="F68" i="5" s="1"/>
  <c r="H68" i="9"/>
  <c r="H68" i="5" s="1"/>
  <c r="I68" i="9"/>
  <c r="I68" i="5" s="1"/>
  <c r="J68" i="9"/>
  <c r="J68" i="5" s="1"/>
  <c r="K68" i="9"/>
  <c r="K68" i="5" s="1"/>
  <c r="L68" i="9"/>
  <c r="L68" i="5" s="1"/>
  <c r="M68" i="9"/>
  <c r="M68" i="5" s="1"/>
  <c r="N68" i="9"/>
  <c r="N68" i="5" s="1"/>
  <c r="O68" i="9"/>
  <c r="O68" i="5" s="1"/>
  <c r="P68" i="9"/>
  <c r="P68" i="5" s="1"/>
  <c r="Q68" i="9"/>
  <c r="Q68" i="5" s="1"/>
  <c r="R68" i="9"/>
  <c r="R68" i="5" s="1"/>
  <c r="S68" i="9"/>
  <c r="S68" i="5" s="1"/>
  <c r="T68" i="9"/>
  <c r="T68" i="5" s="1"/>
  <c r="U68" i="9"/>
  <c r="U68" i="5" s="1"/>
  <c r="V68" i="9"/>
  <c r="V68" i="5" s="1"/>
  <c r="W68" i="9"/>
  <c r="W68" i="5" s="1"/>
  <c r="X68" i="9"/>
  <c r="X68" i="5" s="1"/>
  <c r="Y68" i="5"/>
  <c r="Z68" i="9"/>
  <c r="Z68" i="5" s="1"/>
  <c r="AA68" i="9"/>
  <c r="AA68" i="5" s="1"/>
  <c r="AB68" i="9"/>
  <c r="AB68" i="5" s="1"/>
  <c r="D69" i="9"/>
  <c r="E69" i="9"/>
  <c r="F69" i="9"/>
  <c r="F69" i="5" s="1"/>
  <c r="G69" i="9"/>
  <c r="G69" i="5" s="1"/>
  <c r="H69" i="9"/>
  <c r="H69" i="5" s="1"/>
  <c r="I69" i="9"/>
  <c r="I69" i="5" s="1"/>
  <c r="K69" i="9"/>
  <c r="K69" i="5" s="1"/>
  <c r="L69" i="9"/>
  <c r="L69" i="5" s="1"/>
  <c r="M69" i="9"/>
  <c r="M69" i="5" s="1"/>
  <c r="N69" i="9"/>
  <c r="N69" i="5" s="1"/>
  <c r="O69" i="9"/>
  <c r="O69" i="5" s="1"/>
  <c r="P69" i="9"/>
  <c r="P69" i="5" s="1"/>
  <c r="Q69" i="9"/>
  <c r="Q69" i="5" s="1"/>
  <c r="R69" i="9"/>
  <c r="R69" i="5" s="1"/>
  <c r="S69" i="9"/>
  <c r="S69" i="5" s="1"/>
  <c r="T69" i="9"/>
  <c r="T69" i="5" s="1"/>
  <c r="U69" i="9"/>
  <c r="U69" i="5" s="1"/>
  <c r="W69" i="9"/>
  <c r="W69" i="5" s="1"/>
  <c r="X69" i="9"/>
  <c r="X69" i="5" s="1"/>
  <c r="Y69" i="9"/>
  <c r="Y69" i="5" s="1"/>
  <c r="Z69" i="9"/>
  <c r="Z69" i="5" s="1"/>
  <c r="AA69" i="9"/>
  <c r="AA69" i="5" s="1"/>
  <c r="AB69" i="9"/>
  <c r="AB69" i="5" s="1"/>
  <c r="D70" i="9"/>
  <c r="E70" i="9"/>
  <c r="F70" i="9"/>
  <c r="F70" i="5" s="1"/>
  <c r="G70" i="9"/>
  <c r="G70" i="5" s="1"/>
  <c r="H70" i="5"/>
  <c r="I70" i="9"/>
  <c r="I70" i="5" s="1"/>
  <c r="J70" i="9"/>
  <c r="J70" i="5" s="1"/>
  <c r="K70" i="9"/>
  <c r="K70" i="5" s="1"/>
  <c r="L70" i="9"/>
  <c r="L70" i="5" s="1"/>
  <c r="M70" i="9"/>
  <c r="M70" i="5" s="1"/>
  <c r="N70" i="9"/>
  <c r="N70" i="5" s="1"/>
  <c r="O70" i="9"/>
  <c r="O70" i="5" s="1"/>
  <c r="P70" i="9"/>
  <c r="P70" i="5" s="1"/>
  <c r="Q70" i="9"/>
  <c r="Q70" i="5" s="1"/>
  <c r="R70" i="9"/>
  <c r="R70" i="5" s="1"/>
  <c r="S70" i="9"/>
  <c r="S70" i="5" s="1"/>
  <c r="T70" i="9"/>
  <c r="T70" i="5" s="1"/>
  <c r="V70" i="9"/>
  <c r="V70" i="5" s="1"/>
  <c r="W70" i="9"/>
  <c r="W70" i="5" s="1"/>
  <c r="X70" i="9"/>
  <c r="X70" i="5" s="1"/>
  <c r="Y70" i="9"/>
  <c r="Y70" i="5" s="1"/>
  <c r="Z70" i="9"/>
  <c r="Z70" i="5" s="1"/>
  <c r="AA70" i="9"/>
  <c r="AA70" i="5" s="1"/>
  <c r="AB70" i="9"/>
  <c r="AB70" i="5" s="1"/>
  <c r="D71" i="9"/>
  <c r="E71" i="9"/>
  <c r="F71" i="9"/>
  <c r="F71" i="5" s="1"/>
  <c r="G71" i="9"/>
  <c r="G71" i="5" s="1"/>
  <c r="H71" i="9"/>
  <c r="H71" i="5" s="1"/>
  <c r="I71" i="9"/>
  <c r="I71" i="5" s="1"/>
  <c r="J71" i="9"/>
  <c r="J71" i="5" s="1"/>
  <c r="K71" i="9"/>
  <c r="K71" i="5" s="1"/>
  <c r="L71" i="9"/>
  <c r="L71" i="5" s="1"/>
  <c r="M71" i="9"/>
  <c r="M71" i="5" s="1"/>
  <c r="N71" i="9"/>
  <c r="N71" i="5" s="1"/>
  <c r="O71" i="9"/>
  <c r="O71" i="5" s="1"/>
  <c r="P71" i="9"/>
  <c r="P71" i="5" s="1"/>
  <c r="Q71" i="9"/>
  <c r="Q71" i="5" s="1"/>
  <c r="R71" i="9"/>
  <c r="R71" i="5" s="1"/>
  <c r="S71" i="9"/>
  <c r="S71" i="5" s="1"/>
  <c r="T71" i="9"/>
  <c r="T71" i="5" s="1"/>
  <c r="U71" i="9"/>
  <c r="U71" i="5" s="1"/>
  <c r="V71" i="9"/>
  <c r="V71" i="5" s="1"/>
  <c r="W71" i="9"/>
  <c r="W71" i="5" s="1"/>
  <c r="X71" i="9"/>
  <c r="X71" i="5" s="1"/>
  <c r="Y71" i="9"/>
  <c r="Y71" i="5" s="1"/>
  <c r="Z71" i="9"/>
  <c r="Z71" i="5" s="1"/>
  <c r="AA71" i="9"/>
  <c r="AA71" i="5" s="1"/>
  <c r="AB71" i="9"/>
  <c r="AB71" i="5" s="1"/>
  <c r="D72" i="9"/>
  <c r="E72" i="9"/>
  <c r="F72" i="9"/>
  <c r="F72" i="5" s="1"/>
  <c r="G72" i="9"/>
  <c r="G72" i="5" s="1"/>
  <c r="H72" i="9"/>
  <c r="H72" i="5" s="1"/>
  <c r="I72" i="9"/>
  <c r="I72" i="5" s="1"/>
  <c r="J72" i="9"/>
  <c r="J72" i="5" s="1"/>
  <c r="K72" i="9"/>
  <c r="K72" i="5" s="1"/>
  <c r="L72" i="9"/>
  <c r="L72" i="5" s="1"/>
  <c r="M72" i="9"/>
  <c r="M72" i="5" s="1"/>
  <c r="N72" i="9"/>
  <c r="N72" i="5" s="1"/>
  <c r="P72" i="9"/>
  <c r="P72" i="5" s="1"/>
  <c r="Q72" i="9"/>
  <c r="Q72" i="5" s="1"/>
  <c r="R72" i="9"/>
  <c r="R72" i="5" s="1"/>
  <c r="S72" i="9"/>
  <c r="S72" i="5" s="1"/>
  <c r="T72" i="9"/>
  <c r="T72" i="5" s="1"/>
  <c r="U72" i="9"/>
  <c r="U72" i="5" s="1"/>
  <c r="V72" i="9"/>
  <c r="V72" i="5" s="1"/>
  <c r="W72" i="9"/>
  <c r="W72" i="5" s="1"/>
  <c r="X72" i="9"/>
  <c r="X72" i="5" s="1"/>
  <c r="Y72" i="9"/>
  <c r="Y72" i="5" s="1"/>
  <c r="Z72" i="9"/>
  <c r="Z72" i="5" s="1"/>
  <c r="AA72" i="9"/>
  <c r="AA72" i="5" s="1"/>
  <c r="AB72" i="9"/>
  <c r="AB72" i="5" s="1"/>
  <c r="D73" i="9"/>
  <c r="E73" i="9"/>
  <c r="F73" i="9"/>
  <c r="F73" i="5" s="1"/>
  <c r="G73" i="9"/>
  <c r="G73" i="5" s="1"/>
  <c r="H73" i="9"/>
  <c r="H73" i="5" s="1"/>
  <c r="I73" i="9"/>
  <c r="I73" i="5" s="1"/>
  <c r="K73" i="9"/>
  <c r="K73" i="5" s="1"/>
  <c r="L73" i="9"/>
  <c r="L73" i="5" s="1"/>
  <c r="M73" i="9"/>
  <c r="M73" i="5" s="1"/>
  <c r="N73" i="9"/>
  <c r="N73" i="5" s="1"/>
  <c r="O73" i="9"/>
  <c r="O73" i="5" s="1"/>
  <c r="P73" i="9"/>
  <c r="P73" i="5" s="1"/>
  <c r="Q73" i="9"/>
  <c r="Q73" i="5" s="1"/>
  <c r="S73" i="9"/>
  <c r="S73" i="5" s="1"/>
  <c r="T73" i="9"/>
  <c r="T73" i="5" s="1"/>
  <c r="U73" i="9"/>
  <c r="U73" i="5" s="1"/>
  <c r="V73" i="9"/>
  <c r="V73" i="5" s="1"/>
  <c r="W73" i="9"/>
  <c r="W73" i="5" s="1"/>
  <c r="X73" i="9"/>
  <c r="X73" i="5" s="1"/>
  <c r="Y73" i="9"/>
  <c r="Y73" i="5" s="1"/>
  <c r="Z73" i="9"/>
  <c r="Z73" i="5" s="1"/>
  <c r="AA73" i="9"/>
  <c r="AA73" i="5" s="1"/>
  <c r="AB73" i="9"/>
  <c r="AB73" i="5" s="1"/>
  <c r="Q97" i="9" l="1"/>
  <c r="Q112" i="9"/>
  <c r="Q104" i="9"/>
  <c r="Q101" i="9"/>
  <c r="Q96" i="9"/>
  <c r="Q95" i="9" s="1"/>
  <c r="Q109" i="9"/>
  <c r="Q88" i="9"/>
  <c r="Q85" i="9"/>
  <c r="Q94" i="9"/>
  <c r="Q91" i="9"/>
  <c r="Q103" i="9"/>
  <c r="Q100" i="9"/>
  <c r="Q87" i="9"/>
  <c r="Q106" i="9"/>
  <c r="Q89" i="9"/>
  <c r="Q107" i="9"/>
  <c r="Q93" i="9"/>
  <c r="Q84" i="9"/>
  <c r="Q99" i="9"/>
  <c r="Q98" i="9" s="1"/>
  <c r="Q108" i="9"/>
  <c r="Q90" i="9"/>
  <c r="Q92" i="9"/>
  <c r="Q105" i="9"/>
  <c r="Q102" i="9"/>
  <c r="Q111" i="9"/>
  <c r="Q110" i="9"/>
  <c r="Q86" i="9"/>
  <c r="M101" i="9"/>
  <c r="M100" i="9"/>
  <c r="M99" i="9"/>
  <c r="M98" i="9" s="1"/>
  <c r="M84" i="9"/>
  <c r="M94" i="9"/>
  <c r="M104" i="9"/>
  <c r="M105" i="9"/>
  <c r="M97" i="9"/>
  <c r="M103" i="9"/>
  <c r="M108" i="9"/>
  <c r="M112" i="9"/>
  <c r="M102" i="9"/>
  <c r="M92" i="9"/>
  <c r="M109" i="9"/>
  <c r="M85" i="9"/>
  <c r="M107" i="9"/>
  <c r="M106" i="9"/>
  <c r="M90" i="9"/>
  <c r="M89" i="9"/>
  <c r="M96" i="9"/>
  <c r="M95" i="9" s="1"/>
  <c r="M111" i="9"/>
  <c r="M110" i="9"/>
  <c r="M91" i="9"/>
  <c r="M88" i="9"/>
  <c r="M86" i="9"/>
  <c r="M93" i="9"/>
  <c r="M87" i="9"/>
  <c r="Z101" i="9"/>
  <c r="Z104" i="9"/>
  <c r="Z103" i="9"/>
  <c r="Z97" i="9"/>
  <c r="Z91" i="9"/>
  <c r="Z108" i="9"/>
  <c r="Z105" i="9"/>
  <c r="Z102" i="9"/>
  <c r="Z107" i="9"/>
  <c r="Z85" i="9"/>
  <c r="Z94" i="9"/>
  <c r="Z106" i="9"/>
  <c r="Z109" i="9"/>
  <c r="Z89" i="9"/>
  <c r="Z111" i="9"/>
  <c r="Z110" i="9"/>
  <c r="Z86" i="9"/>
  <c r="Z93" i="9"/>
  <c r="Z112" i="9"/>
  <c r="Z96" i="9"/>
  <c r="Z95" i="9" s="1"/>
  <c r="Z88" i="9"/>
  <c r="Z90" i="9"/>
  <c r="Z84" i="9"/>
  <c r="Z99" i="9"/>
  <c r="Z98" i="9" s="1"/>
  <c r="Z100" i="9"/>
  <c r="Z92" i="9"/>
  <c r="Z87" i="9"/>
  <c r="K94" i="9"/>
  <c r="K106" i="9"/>
  <c r="K84" i="9"/>
  <c r="K89" i="9"/>
  <c r="K109" i="9"/>
  <c r="K110" i="9"/>
  <c r="K100" i="9"/>
  <c r="K93" i="9"/>
  <c r="K88" i="9"/>
  <c r="K87" i="9"/>
  <c r="K104" i="9"/>
  <c r="K99" i="9"/>
  <c r="K98" i="9" s="1"/>
  <c r="K86" i="9"/>
  <c r="K92" i="9"/>
  <c r="K91" i="9"/>
  <c r="K107" i="9"/>
  <c r="K108" i="9"/>
  <c r="K103" i="9"/>
  <c r="K101" i="9"/>
  <c r="K97" i="9"/>
  <c r="K96" i="9"/>
  <c r="K95" i="9" s="1"/>
  <c r="K85" i="9"/>
  <c r="K90" i="9"/>
  <c r="K112" i="9"/>
  <c r="K105" i="9"/>
  <c r="K111" i="9"/>
  <c r="K102" i="9"/>
  <c r="X106" i="9"/>
  <c r="X90" i="9"/>
  <c r="X89" i="9"/>
  <c r="X111" i="9"/>
  <c r="X110" i="9"/>
  <c r="X105" i="9"/>
  <c r="X101" i="9"/>
  <c r="X100" i="9"/>
  <c r="X93" i="9"/>
  <c r="X94" i="9"/>
  <c r="X85" i="9"/>
  <c r="X88" i="9"/>
  <c r="X87" i="9"/>
  <c r="X84" i="9"/>
  <c r="X104" i="9"/>
  <c r="X99" i="9"/>
  <c r="X98" i="9" s="1"/>
  <c r="X109" i="9"/>
  <c r="X92" i="9"/>
  <c r="X91" i="9"/>
  <c r="X108" i="9"/>
  <c r="X103" i="9"/>
  <c r="X97" i="9"/>
  <c r="X96" i="9"/>
  <c r="X95" i="9" s="1"/>
  <c r="X112" i="9"/>
  <c r="X86" i="9"/>
  <c r="X102" i="9"/>
  <c r="X107" i="9"/>
  <c r="I97" i="9"/>
  <c r="I100" i="9"/>
  <c r="I108" i="9"/>
  <c r="I88" i="9"/>
  <c r="I111" i="9"/>
  <c r="I89" i="9"/>
  <c r="I101" i="9"/>
  <c r="I104" i="9"/>
  <c r="I85" i="9"/>
  <c r="I92" i="9"/>
  <c r="I102" i="9"/>
  <c r="I91" i="9"/>
  <c r="I106" i="9"/>
  <c r="I103" i="9"/>
  <c r="I107" i="9"/>
  <c r="I86" i="9"/>
  <c r="I110" i="9"/>
  <c r="I93" i="9"/>
  <c r="I105" i="9"/>
  <c r="I90" i="9"/>
  <c r="I87" i="9"/>
  <c r="I96" i="9"/>
  <c r="I95" i="9" s="1"/>
  <c r="I99" i="9"/>
  <c r="I98" i="9" s="1"/>
  <c r="I109" i="9"/>
  <c r="I84" i="9"/>
  <c r="I112" i="9"/>
  <c r="I94" i="9"/>
  <c r="W99" i="9"/>
  <c r="W98" i="9" s="1"/>
  <c r="W100" i="9"/>
  <c r="W87" i="9"/>
  <c r="W88" i="9"/>
  <c r="W103" i="9"/>
  <c r="W93" i="9"/>
  <c r="W96" i="9"/>
  <c r="W95" i="9" s="1"/>
  <c r="W104" i="9"/>
  <c r="W86" i="9"/>
  <c r="W107" i="9"/>
  <c r="W92" i="9"/>
  <c r="W101" i="9"/>
  <c r="W94" i="9"/>
  <c r="W110" i="9"/>
  <c r="W112" i="9"/>
  <c r="W111" i="9"/>
  <c r="W108" i="9"/>
  <c r="W102" i="9"/>
  <c r="W105" i="9"/>
  <c r="W97" i="9"/>
  <c r="W89" i="9"/>
  <c r="W91" i="9"/>
  <c r="W90" i="9"/>
  <c r="W106" i="9"/>
  <c r="W109" i="9"/>
  <c r="W85" i="9"/>
  <c r="W84" i="9"/>
  <c r="H92" i="9"/>
  <c r="H96" i="9"/>
  <c r="H95" i="9" s="1"/>
  <c r="H109" i="9"/>
  <c r="H90" i="9"/>
  <c r="H101" i="9"/>
  <c r="H86" i="9"/>
  <c r="H94" i="9"/>
  <c r="H93" i="9"/>
  <c r="H88" i="9"/>
  <c r="H102" i="9"/>
  <c r="H87" i="9"/>
  <c r="H97" i="9"/>
  <c r="H112" i="9"/>
  <c r="H108" i="9"/>
  <c r="H100" i="9"/>
  <c r="H99" i="9"/>
  <c r="H98" i="9" s="1"/>
  <c r="H85" i="9"/>
  <c r="H91" i="9"/>
  <c r="H106" i="9"/>
  <c r="H107" i="9"/>
  <c r="H104" i="9"/>
  <c r="H103" i="9"/>
  <c r="H89" i="9"/>
  <c r="H111" i="9"/>
  <c r="H84" i="9"/>
  <c r="H110" i="9"/>
  <c r="H105" i="9"/>
  <c r="Y99" i="9"/>
  <c r="Y98" i="9" s="1"/>
  <c r="Y86" i="9"/>
  <c r="Y102" i="9"/>
  <c r="Y92" i="9"/>
  <c r="Y103" i="9"/>
  <c r="Y101" i="9"/>
  <c r="Y105" i="9"/>
  <c r="Y90" i="9"/>
  <c r="Y107" i="9"/>
  <c r="Y87" i="9"/>
  <c r="Y110" i="9"/>
  <c r="Y104" i="9"/>
  <c r="Y85" i="9"/>
  <c r="Y111" i="9"/>
  <c r="Y100" i="9"/>
  <c r="Y112" i="9"/>
  <c r="Y109" i="9"/>
  <c r="Y108" i="9"/>
  <c r="Y94" i="9"/>
  <c r="Y89" i="9"/>
  <c r="Y84" i="9"/>
  <c r="Y91" i="9"/>
  <c r="Y97" i="9"/>
  <c r="Y106" i="9"/>
  <c r="Y96" i="9"/>
  <c r="Y95" i="9" s="1"/>
  <c r="Y93" i="9"/>
  <c r="Y88" i="9"/>
  <c r="V109" i="9"/>
  <c r="V84" i="9"/>
  <c r="V91" i="9"/>
  <c r="V99" i="9"/>
  <c r="V98" i="9" s="1"/>
  <c r="V107" i="9"/>
  <c r="V88" i="9"/>
  <c r="V103" i="9"/>
  <c r="V97" i="9"/>
  <c r="V85" i="9"/>
  <c r="V112" i="9"/>
  <c r="V87" i="9"/>
  <c r="V111" i="9"/>
  <c r="V86" i="9"/>
  <c r="V92" i="9"/>
  <c r="V102" i="9"/>
  <c r="V105" i="9"/>
  <c r="V108" i="9"/>
  <c r="V96" i="9"/>
  <c r="V95" i="9" s="1"/>
  <c r="V89" i="9"/>
  <c r="V106" i="9"/>
  <c r="V90" i="9"/>
  <c r="V101" i="9"/>
  <c r="V100" i="9"/>
  <c r="V110" i="9"/>
  <c r="V93" i="9"/>
  <c r="V104" i="9"/>
  <c r="V94" i="9"/>
  <c r="G107" i="9"/>
  <c r="G85" i="9"/>
  <c r="G89" i="9"/>
  <c r="G101" i="9"/>
  <c r="G102" i="9"/>
  <c r="G92" i="9"/>
  <c r="G100" i="9"/>
  <c r="G111" i="9"/>
  <c r="G106" i="9"/>
  <c r="G86" i="9"/>
  <c r="G105" i="9"/>
  <c r="G104" i="9"/>
  <c r="G84" i="9"/>
  <c r="G110" i="9"/>
  <c r="G99" i="9"/>
  <c r="G98" i="9" s="1"/>
  <c r="G109" i="9"/>
  <c r="G108" i="9"/>
  <c r="G91" i="9"/>
  <c r="G88" i="9"/>
  <c r="G94" i="9"/>
  <c r="G93" i="9"/>
  <c r="G90" i="9"/>
  <c r="G112" i="9"/>
  <c r="G103" i="9"/>
  <c r="G87" i="9"/>
  <c r="G96" i="9"/>
  <c r="G95" i="9" s="1"/>
  <c r="G97" i="9"/>
  <c r="AA92" i="9"/>
  <c r="AA110" i="9"/>
  <c r="AA108" i="9"/>
  <c r="AA101" i="9"/>
  <c r="AA97" i="9"/>
  <c r="AA93" i="9"/>
  <c r="AA94" i="9"/>
  <c r="AA84" i="9"/>
  <c r="AA104" i="9"/>
  <c r="AA87" i="9"/>
  <c r="AA105" i="9"/>
  <c r="AA112" i="9"/>
  <c r="AA99" i="9"/>
  <c r="AA98" i="9" s="1"/>
  <c r="AA102" i="9"/>
  <c r="AA109" i="9"/>
  <c r="AA91" i="9"/>
  <c r="AA103" i="9"/>
  <c r="AA85" i="9"/>
  <c r="AA86" i="9"/>
  <c r="AA111" i="9"/>
  <c r="AA100" i="9"/>
  <c r="AA106" i="9"/>
  <c r="AA107" i="9"/>
  <c r="AA88" i="9"/>
  <c r="AA96" i="9"/>
  <c r="AA95" i="9" s="1"/>
  <c r="AA90" i="9"/>
  <c r="AA89" i="9"/>
  <c r="U97" i="9"/>
  <c r="U99" i="9"/>
  <c r="U98" i="9" s="1"/>
  <c r="U102" i="9"/>
  <c r="U91" i="9"/>
  <c r="U100" i="9"/>
  <c r="U96" i="9"/>
  <c r="U95" i="9" s="1"/>
  <c r="U85" i="9"/>
  <c r="U103" i="9"/>
  <c r="U106" i="9"/>
  <c r="U107" i="9"/>
  <c r="U112" i="9"/>
  <c r="U104" i="9"/>
  <c r="U101" i="9"/>
  <c r="U94" i="9"/>
  <c r="U89" i="9"/>
  <c r="U111" i="9"/>
  <c r="U110" i="9"/>
  <c r="U105" i="9"/>
  <c r="U108" i="9"/>
  <c r="U84" i="9"/>
  <c r="U92" i="9"/>
  <c r="U93" i="9"/>
  <c r="U109" i="9"/>
  <c r="U90" i="9"/>
  <c r="U87" i="9"/>
  <c r="U86" i="9"/>
  <c r="U88" i="9"/>
  <c r="F90" i="9"/>
  <c r="F85" i="9"/>
  <c r="F99" i="9"/>
  <c r="F98" i="9" s="1"/>
  <c r="F112" i="9"/>
  <c r="F97" i="9"/>
  <c r="F87" i="9"/>
  <c r="F96" i="9"/>
  <c r="F95" i="9" s="1"/>
  <c r="F111" i="9"/>
  <c r="F92" i="9"/>
  <c r="F100" i="9"/>
  <c r="F102" i="9"/>
  <c r="F93" i="9"/>
  <c r="F104" i="9"/>
  <c r="F108" i="9"/>
  <c r="F88" i="9"/>
  <c r="F86" i="9"/>
  <c r="F103" i="9"/>
  <c r="F84" i="9"/>
  <c r="F109" i="9"/>
  <c r="F94" i="9"/>
  <c r="F89" i="9"/>
  <c r="F91" i="9"/>
  <c r="F106" i="9"/>
  <c r="F105" i="9"/>
  <c r="F110" i="9"/>
  <c r="F107" i="9"/>
  <c r="F101" i="9"/>
  <c r="J99" i="9"/>
  <c r="J98" i="9" s="1"/>
  <c r="J112" i="9"/>
  <c r="J86" i="9"/>
  <c r="J100" i="9"/>
  <c r="J111" i="9"/>
  <c r="J85" i="9"/>
  <c r="J94" i="9"/>
  <c r="J87" i="9"/>
  <c r="J108" i="9"/>
  <c r="J88" i="9"/>
  <c r="J92" i="9"/>
  <c r="J91" i="9"/>
  <c r="J103" i="9"/>
  <c r="J106" i="9"/>
  <c r="J93" i="9"/>
  <c r="J105" i="9"/>
  <c r="J109" i="9"/>
  <c r="J96" i="9"/>
  <c r="J95" i="9" s="1"/>
  <c r="J102" i="9"/>
  <c r="J104" i="9"/>
  <c r="J89" i="9"/>
  <c r="J107" i="9"/>
  <c r="J84" i="9"/>
  <c r="J97" i="9"/>
  <c r="J90" i="9"/>
  <c r="J101" i="9"/>
  <c r="J110" i="9"/>
  <c r="T89" i="9"/>
  <c r="T94" i="9"/>
  <c r="T85" i="9"/>
  <c r="T103" i="9"/>
  <c r="T102" i="9"/>
  <c r="T101" i="9"/>
  <c r="T97" i="9"/>
  <c r="T105" i="9"/>
  <c r="T86" i="9"/>
  <c r="T107" i="9"/>
  <c r="T100" i="9"/>
  <c r="T92" i="9"/>
  <c r="T106" i="9"/>
  <c r="T84" i="9"/>
  <c r="T111" i="9"/>
  <c r="T110" i="9"/>
  <c r="T109" i="9"/>
  <c r="T108" i="9"/>
  <c r="T104" i="9"/>
  <c r="T87" i="9"/>
  <c r="T99" i="9"/>
  <c r="T98" i="9" s="1"/>
  <c r="T88" i="9"/>
  <c r="T112" i="9"/>
  <c r="T96" i="9"/>
  <c r="T95" i="9" s="1"/>
  <c r="T90" i="9"/>
  <c r="T91" i="9"/>
  <c r="T93" i="9"/>
  <c r="S107" i="9"/>
  <c r="S87" i="9"/>
  <c r="S94" i="9"/>
  <c r="S99" i="9"/>
  <c r="S98" i="9" s="1"/>
  <c r="S110" i="9"/>
  <c r="S91" i="9"/>
  <c r="S106" i="9"/>
  <c r="S84" i="9"/>
  <c r="S112" i="9"/>
  <c r="S85" i="9"/>
  <c r="S96" i="9"/>
  <c r="S95" i="9" s="1"/>
  <c r="S103" i="9"/>
  <c r="S97" i="9"/>
  <c r="S88" i="9"/>
  <c r="S101" i="9"/>
  <c r="S89" i="9"/>
  <c r="S102" i="9"/>
  <c r="S108" i="9"/>
  <c r="S105" i="9"/>
  <c r="S100" i="9"/>
  <c r="S86" i="9"/>
  <c r="S92" i="9"/>
  <c r="S111" i="9"/>
  <c r="S104" i="9"/>
  <c r="S93" i="9"/>
  <c r="S109" i="9"/>
  <c r="S90" i="9"/>
  <c r="R88" i="9"/>
  <c r="R106" i="9"/>
  <c r="R86" i="9"/>
  <c r="R104" i="9"/>
  <c r="R107" i="9"/>
  <c r="R110" i="9"/>
  <c r="R96" i="9"/>
  <c r="R95" i="9" s="1"/>
  <c r="R92" i="9"/>
  <c r="R108" i="9"/>
  <c r="R89" i="9"/>
  <c r="R90" i="9"/>
  <c r="R87" i="9"/>
  <c r="R101" i="9"/>
  <c r="R111" i="9"/>
  <c r="R112" i="9"/>
  <c r="R93" i="9"/>
  <c r="R97" i="9"/>
  <c r="R105" i="9"/>
  <c r="R94" i="9"/>
  <c r="R99" i="9"/>
  <c r="R98" i="9" s="1"/>
  <c r="R91" i="9"/>
  <c r="R84" i="9"/>
  <c r="R102" i="9"/>
  <c r="R85" i="9"/>
  <c r="R109" i="9"/>
  <c r="R100" i="9"/>
  <c r="R103" i="9"/>
  <c r="P105" i="9"/>
  <c r="P94" i="9"/>
  <c r="P99" i="9"/>
  <c r="P98" i="9" s="1"/>
  <c r="P91" i="9"/>
  <c r="P109" i="9"/>
  <c r="P92" i="9"/>
  <c r="P97" i="9"/>
  <c r="P110" i="9"/>
  <c r="P103" i="9"/>
  <c r="P102" i="9"/>
  <c r="P108" i="9"/>
  <c r="P93" i="9"/>
  <c r="P100" i="9"/>
  <c r="P85" i="9"/>
  <c r="P106" i="9"/>
  <c r="P107" i="9"/>
  <c r="P88" i="9"/>
  <c r="P87" i="9"/>
  <c r="P86" i="9"/>
  <c r="P112" i="9"/>
  <c r="P111" i="9"/>
  <c r="P96" i="9"/>
  <c r="P95" i="9" s="1"/>
  <c r="P104" i="9"/>
  <c r="P89" i="9"/>
  <c r="P90" i="9"/>
  <c r="P101" i="9"/>
  <c r="P84" i="9"/>
  <c r="O104" i="9"/>
  <c r="O110" i="9"/>
  <c r="O97" i="9"/>
  <c r="O99" i="9"/>
  <c r="O98" i="9" s="1"/>
  <c r="O87" i="9"/>
  <c r="O94" i="9"/>
  <c r="O108" i="9"/>
  <c r="O84" i="9"/>
  <c r="O102" i="9"/>
  <c r="O96" i="9"/>
  <c r="O95" i="9" s="1"/>
  <c r="O103" i="9"/>
  <c r="O112" i="9"/>
  <c r="O91" i="9"/>
  <c r="O101" i="9"/>
  <c r="O88" i="9"/>
  <c r="O90" i="9"/>
  <c r="O85" i="9"/>
  <c r="O106" i="9"/>
  <c r="O107" i="9"/>
  <c r="O105" i="9"/>
  <c r="O89" i="9"/>
  <c r="O86" i="9"/>
  <c r="O111" i="9"/>
  <c r="O92" i="9"/>
  <c r="O93" i="9"/>
  <c r="O100" i="9"/>
  <c r="O109" i="9"/>
  <c r="AB104" i="9"/>
  <c r="AB96" i="9"/>
  <c r="AB95" i="9" s="1"/>
  <c r="AB94" i="9"/>
  <c r="AB97" i="9"/>
  <c r="AB87" i="9"/>
  <c r="AB109" i="9"/>
  <c r="AB108" i="9"/>
  <c r="AB84" i="9"/>
  <c r="AB100" i="9"/>
  <c r="AB102" i="9"/>
  <c r="AB101" i="9"/>
  <c r="AB106" i="9"/>
  <c r="AB112" i="9"/>
  <c r="AB91" i="9"/>
  <c r="AB105" i="9"/>
  <c r="AB88" i="9"/>
  <c r="AB85" i="9"/>
  <c r="AB107" i="9"/>
  <c r="AB103" i="9"/>
  <c r="AB86" i="9"/>
  <c r="AB99" i="9"/>
  <c r="AB98" i="9" s="1"/>
  <c r="AB92" i="9"/>
  <c r="AB89" i="9"/>
  <c r="AB110" i="9"/>
  <c r="AB93" i="9"/>
  <c r="AB111" i="9"/>
  <c r="AB90" i="9"/>
  <c r="N100" i="9"/>
  <c r="N96" i="9"/>
  <c r="N95" i="9" s="1"/>
  <c r="N111" i="9"/>
  <c r="N88" i="9"/>
  <c r="N89" i="9"/>
  <c r="N94" i="9"/>
  <c r="N104" i="9"/>
  <c r="N110" i="9"/>
  <c r="N84" i="9"/>
  <c r="N92" i="9"/>
  <c r="N101" i="9"/>
  <c r="N108" i="9"/>
  <c r="N93" i="9"/>
  <c r="N90" i="9"/>
  <c r="N97" i="9"/>
  <c r="N105" i="9"/>
  <c r="N106" i="9"/>
  <c r="N87" i="9"/>
  <c r="N99" i="9"/>
  <c r="N98" i="9" s="1"/>
  <c r="N112" i="9"/>
  <c r="N109" i="9"/>
  <c r="N102" i="9"/>
  <c r="N103" i="9"/>
  <c r="N91" i="9"/>
  <c r="N86" i="9"/>
  <c r="N85" i="9"/>
  <c r="N107" i="9"/>
  <c r="L86" i="9"/>
  <c r="L108" i="9"/>
  <c r="L106" i="9"/>
  <c r="L89" i="9"/>
  <c r="L92" i="9"/>
  <c r="L93" i="9"/>
  <c r="L100" i="9"/>
  <c r="L109" i="9"/>
  <c r="L96" i="9"/>
  <c r="L95" i="9" s="1"/>
  <c r="L88" i="9"/>
  <c r="L90" i="9"/>
  <c r="L99" i="9"/>
  <c r="L98" i="9" s="1"/>
  <c r="L87" i="9"/>
  <c r="L101" i="9"/>
  <c r="L112" i="9"/>
  <c r="L103" i="9"/>
  <c r="L94" i="9"/>
  <c r="L104" i="9"/>
  <c r="L91" i="9"/>
  <c r="L107" i="9"/>
  <c r="L84" i="9"/>
  <c r="L102" i="9"/>
  <c r="L110" i="9"/>
  <c r="L85" i="9"/>
  <c r="L111" i="9"/>
  <c r="L105" i="9"/>
  <c r="L97" i="9"/>
  <c r="I2" i="4"/>
  <c r="I81" i="4" s="1"/>
  <c r="I80" i="4"/>
  <c r="J80" i="4"/>
  <c r="AC55" i="5"/>
  <c r="AC35" i="5"/>
  <c r="AB37" i="5"/>
  <c r="AB33" i="5"/>
  <c r="AC17" i="5"/>
  <c r="AB8" i="5"/>
  <c r="O33" i="5"/>
  <c r="O52" i="5"/>
  <c r="O42" i="5"/>
  <c r="K80" i="4" l="1"/>
  <c r="J2" i="4"/>
  <c r="J81" i="4" s="1"/>
  <c r="G101" i="4"/>
  <c r="G95" i="4"/>
  <c r="G87" i="4"/>
  <c r="G85" i="4"/>
  <c r="K81" i="4" l="1"/>
  <c r="L80" i="4"/>
  <c r="L81" i="4" l="1"/>
  <c r="M80" i="4"/>
  <c r="B44" i="9"/>
  <c r="C44" i="9" s="1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B45" i="9"/>
  <c r="C45" i="9" s="1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B46" i="9"/>
  <c r="C46" i="9" s="1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B47" i="9"/>
  <c r="C47" i="9" s="1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B48" i="9"/>
  <c r="C48" i="9" s="1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B49" i="9"/>
  <c r="C49" i="9" s="1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B50" i="9"/>
  <c r="C50" i="9" s="1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B51" i="9"/>
  <c r="C51" i="9" s="1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B52" i="9"/>
  <c r="C52" i="9" s="1"/>
  <c r="D52" i="5"/>
  <c r="E52" i="5"/>
  <c r="F52" i="5"/>
  <c r="G52" i="5"/>
  <c r="H52" i="5"/>
  <c r="I52" i="5"/>
  <c r="J52" i="5"/>
  <c r="K52" i="5"/>
  <c r="L52" i="5"/>
  <c r="N52" i="5"/>
  <c r="P52" i="5"/>
  <c r="Q52" i="5"/>
  <c r="R52" i="5"/>
  <c r="T52" i="5"/>
  <c r="U52" i="5"/>
  <c r="V52" i="5"/>
  <c r="W52" i="5"/>
  <c r="X52" i="5"/>
  <c r="Y52" i="5"/>
  <c r="Z52" i="5"/>
  <c r="AA52" i="5"/>
  <c r="AB52" i="5"/>
  <c r="AC52" i="5"/>
  <c r="B53" i="9"/>
  <c r="C53" i="9" s="1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B54" i="9"/>
  <c r="C54" i="9" s="1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B55" i="9"/>
  <c r="C55" i="9" s="1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B56" i="9"/>
  <c r="C56" i="9" s="1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B57" i="9"/>
  <c r="C57" i="9" s="1"/>
  <c r="D57" i="5"/>
  <c r="E57" i="5"/>
  <c r="B58" i="9"/>
  <c r="C58" i="9" s="1"/>
  <c r="D58" i="5"/>
  <c r="E58" i="5"/>
  <c r="B59" i="9"/>
  <c r="C59" i="9" s="1"/>
  <c r="D59" i="5"/>
  <c r="E59" i="5"/>
  <c r="B60" i="9"/>
  <c r="C60" i="9" s="1"/>
  <c r="E60" i="5"/>
  <c r="B61" i="9"/>
  <c r="C61" i="9" s="1"/>
  <c r="E61" i="5"/>
  <c r="B62" i="9"/>
  <c r="C62" i="9" s="1"/>
  <c r="D62" i="5"/>
  <c r="E62" i="5"/>
  <c r="B63" i="9"/>
  <c r="C63" i="9" s="1"/>
  <c r="D63" i="5"/>
  <c r="E63" i="5"/>
  <c r="B64" i="9"/>
  <c r="C64" i="9" s="1"/>
  <c r="D64" i="5"/>
  <c r="E64" i="5"/>
  <c r="B65" i="9"/>
  <c r="C65" i="9" s="1"/>
  <c r="D65" i="5"/>
  <c r="E65" i="5"/>
  <c r="B66" i="9"/>
  <c r="C66" i="9" s="1"/>
  <c r="D66" i="5"/>
  <c r="E66" i="5"/>
  <c r="B67" i="9"/>
  <c r="C67" i="9" s="1"/>
  <c r="D67" i="5"/>
  <c r="E67" i="5"/>
  <c r="B68" i="9"/>
  <c r="C68" i="9" s="1"/>
  <c r="D68" i="5"/>
  <c r="E68" i="5"/>
  <c r="B69" i="9"/>
  <c r="C69" i="9" s="1"/>
  <c r="D69" i="5"/>
  <c r="E69" i="5"/>
  <c r="B70" i="9"/>
  <c r="C70" i="9" s="1"/>
  <c r="D70" i="5"/>
  <c r="E70" i="5"/>
  <c r="B71" i="9"/>
  <c r="C71" i="9" s="1"/>
  <c r="D71" i="5"/>
  <c r="E71" i="5"/>
  <c r="B72" i="9"/>
  <c r="C72" i="9" s="1"/>
  <c r="D72" i="5"/>
  <c r="E72" i="5"/>
  <c r="B73" i="9"/>
  <c r="C73" i="9" s="1"/>
  <c r="D73" i="5"/>
  <c r="E73" i="5"/>
  <c r="D32" i="5"/>
  <c r="M81" i="4" l="1"/>
  <c r="N80" i="4"/>
  <c r="O80" i="4" l="1"/>
  <c r="N81" i="4"/>
  <c r="P80" i="4" l="1"/>
  <c r="O81" i="4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B71" i="5"/>
  <c r="C71" i="5" s="1"/>
  <c r="B72" i="5"/>
  <c r="C72" i="5" s="1"/>
  <c r="B73" i="5"/>
  <c r="C73" i="5" s="1"/>
  <c r="B4" i="5"/>
  <c r="C4" i="5" s="1"/>
  <c r="B5" i="5"/>
  <c r="C5" i="5" s="1"/>
  <c r="B6" i="5"/>
  <c r="C6" i="5" s="1"/>
  <c r="B7" i="5"/>
  <c r="C7" i="5" s="1"/>
  <c r="B8" i="5"/>
  <c r="C8" i="5" s="1"/>
  <c r="B9" i="5"/>
  <c r="C9" i="5" s="1"/>
  <c r="B10" i="5"/>
  <c r="C10" i="5" s="1"/>
  <c r="B11" i="5"/>
  <c r="C11" i="5" s="1"/>
  <c r="B12" i="5"/>
  <c r="C12" i="5" s="1"/>
  <c r="B13" i="5"/>
  <c r="C13" i="5" s="1"/>
  <c r="B14" i="5"/>
  <c r="C14" i="5" s="1"/>
  <c r="B15" i="5"/>
  <c r="C15" i="5" s="1"/>
  <c r="B16" i="5"/>
  <c r="C16" i="5" s="1"/>
  <c r="B17" i="5"/>
  <c r="C17" i="5" s="1"/>
  <c r="B18" i="5"/>
  <c r="C18" i="5" s="1"/>
  <c r="B19" i="5"/>
  <c r="C19" i="5" s="1"/>
  <c r="B20" i="5"/>
  <c r="C20" i="5" s="1"/>
  <c r="B21" i="5"/>
  <c r="C21" i="5" s="1"/>
  <c r="B22" i="5"/>
  <c r="C22" i="5" s="1"/>
  <c r="B23" i="5"/>
  <c r="C23" i="5" s="1"/>
  <c r="B24" i="5"/>
  <c r="C24" i="5" s="1"/>
  <c r="B25" i="5"/>
  <c r="C25" i="5" s="1"/>
  <c r="B26" i="5"/>
  <c r="C26" i="5" s="1"/>
  <c r="B27" i="5"/>
  <c r="C27" i="5" s="1"/>
  <c r="B28" i="5"/>
  <c r="C28" i="5" s="1"/>
  <c r="B29" i="5"/>
  <c r="C29" i="5" s="1"/>
  <c r="B30" i="5"/>
  <c r="C30" i="5" s="1"/>
  <c r="B31" i="5"/>
  <c r="C31" i="5" s="1"/>
  <c r="B32" i="5"/>
  <c r="C32" i="5" s="1"/>
  <c r="B33" i="5"/>
  <c r="C33" i="5" s="1"/>
  <c r="B34" i="5"/>
  <c r="C34" i="5" s="1"/>
  <c r="B35" i="5"/>
  <c r="C35" i="5" s="1"/>
  <c r="B36" i="5"/>
  <c r="C36" i="5" s="1"/>
  <c r="B37" i="5"/>
  <c r="C37" i="5" s="1"/>
  <c r="B38" i="5"/>
  <c r="C38" i="5" s="1"/>
  <c r="B39" i="5"/>
  <c r="C39" i="5" s="1"/>
  <c r="B40" i="5"/>
  <c r="C40" i="5" s="1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B51" i="5"/>
  <c r="C51" i="5" s="1"/>
  <c r="B52" i="5"/>
  <c r="C52" i="5" s="1"/>
  <c r="B53" i="5"/>
  <c r="C53" i="5" s="1"/>
  <c r="B54" i="5"/>
  <c r="C54" i="5" s="1"/>
  <c r="B55" i="5"/>
  <c r="C55" i="5" s="1"/>
  <c r="B56" i="5"/>
  <c r="C56" i="5" s="1"/>
  <c r="B57" i="5"/>
  <c r="C57" i="5" s="1"/>
  <c r="B58" i="5"/>
  <c r="C58" i="5" s="1"/>
  <c r="B59" i="5"/>
  <c r="C59" i="5" s="1"/>
  <c r="B60" i="5"/>
  <c r="C60" i="5" s="1"/>
  <c r="B61" i="5"/>
  <c r="C61" i="5" s="1"/>
  <c r="B62" i="5"/>
  <c r="C62" i="5" s="1"/>
  <c r="B63" i="5"/>
  <c r="C63" i="5" s="1"/>
  <c r="B64" i="5"/>
  <c r="C64" i="5" s="1"/>
  <c r="B65" i="5"/>
  <c r="C65" i="5" s="1"/>
  <c r="B66" i="5"/>
  <c r="C66" i="5" s="1"/>
  <c r="B67" i="5"/>
  <c r="C67" i="5" s="1"/>
  <c r="B68" i="5"/>
  <c r="C68" i="5" s="1"/>
  <c r="B69" i="5"/>
  <c r="C69" i="5" s="1"/>
  <c r="B70" i="5"/>
  <c r="C70" i="5" s="1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C8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U12" i="5"/>
  <c r="V12" i="5"/>
  <c r="X12" i="5"/>
  <c r="Y12" i="5"/>
  <c r="Z12" i="5"/>
  <c r="AA12" i="5"/>
  <c r="AB12" i="5"/>
  <c r="AC12" i="5"/>
  <c r="E13" i="5"/>
  <c r="F13" i="5"/>
  <c r="G13" i="5"/>
  <c r="H13" i="5"/>
  <c r="I13" i="5"/>
  <c r="J13" i="5"/>
  <c r="K13" i="5"/>
  <c r="L13" i="5"/>
  <c r="M13" i="5"/>
  <c r="N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E20" i="5"/>
  <c r="F20" i="5"/>
  <c r="G20" i="5"/>
  <c r="H20" i="5"/>
  <c r="I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B20" i="5"/>
  <c r="AC20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D33" i="5"/>
  <c r="E33" i="5"/>
  <c r="F33" i="5"/>
  <c r="G33" i="5"/>
  <c r="H33" i="5"/>
  <c r="I33" i="5"/>
  <c r="J33" i="5"/>
  <c r="K33" i="5"/>
  <c r="L33" i="5"/>
  <c r="M33" i="5"/>
  <c r="N33" i="5"/>
  <c r="P33" i="5"/>
  <c r="Q33" i="5"/>
  <c r="R33" i="5"/>
  <c r="S33" i="5"/>
  <c r="T33" i="5"/>
  <c r="U33" i="5"/>
  <c r="V33" i="5"/>
  <c r="W33" i="5"/>
  <c r="X33" i="5"/>
  <c r="Y33" i="5"/>
  <c r="Z33" i="5"/>
  <c r="AA33" i="5"/>
  <c r="AC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C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D42" i="5"/>
  <c r="E42" i="5"/>
  <c r="F42" i="5"/>
  <c r="G42" i="5"/>
  <c r="H42" i="5"/>
  <c r="I42" i="5"/>
  <c r="J42" i="5"/>
  <c r="K42" i="5"/>
  <c r="M42" i="5"/>
  <c r="N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B4" i="9"/>
  <c r="C4" i="9" s="1"/>
  <c r="B5" i="9"/>
  <c r="C5" i="9" s="1"/>
  <c r="B6" i="9"/>
  <c r="C6" i="9" s="1"/>
  <c r="B7" i="9"/>
  <c r="C7" i="9" s="1"/>
  <c r="B8" i="9"/>
  <c r="C8" i="9" s="1"/>
  <c r="B9" i="9"/>
  <c r="C9" i="9" s="1"/>
  <c r="B10" i="9"/>
  <c r="C10" i="9" s="1"/>
  <c r="B11" i="9"/>
  <c r="C11" i="9" s="1"/>
  <c r="B12" i="9"/>
  <c r="C12" i="9" s="1"/>
  <c r="B13" i="9"/>
  <c r="C13" i="9" s="1"/>
  <c r="B14" i="9"/>
  <c r="C14" i="9" s="1"/>
  <c r="B15" i="9"/>
  <c r="C15" i="9" s="1"/>
  <c r="B16" i="9"/>
  <c r="C16" i="9" s="1"/>
  <c r="B17" i="9"/>
  <c r="C17" i="9" s="1"/>
  <c r="B18" i="9"/>
  <c r="C18" i="9" s="1"/>
  <c r="B19" i="9"/>
  <c r="C19" i="9" s="1"/>
  <c r="B20" i="9"/>
  <c r="C20" i="9" s="1"/>
  <c r="B21" i="9"/>
  <c r="C21" i="9" s="1"/>
  <c r="B22" i="9"/>
  <c r="C22" i="9" s="1"/>
  <c r="B23" i="9"/>
  <c r="C23" i="9" s="1"/>
  <c r="B24" i="9"/>
  <c r="C24" i="9" s="1"/>
  <c r="B25" i="9"/>
  <c r="C25" i="9" s="1"/>
  <c r="B26" i="9"/>
  <c r="C26" i="9" s="1"/>
  <c r="B27" i="9"/>
  <c r="C27" i="9" s="1"/>
  <c r="B28" i="9"/>
  <c r="C28" i="9" s="1"/>
  <c r="B29" i="9"/>
  <c r="C29" i="9" s="1"/>
  <c r="B30" i="9"/>
  <c r="C30" i="9" s="1"/>
  <c r="B31" i="9"/>
  <c r="C31" i="9" s="1"/>
  <c r="B32" i="9"/>
  <c r="C32" i="9" s="1"/>
  <c r="B33" i="9"/>
  <c r="C33" i="9" s="1"/>
  <c r="B34" i="9"/>
  <c r="C34" i="9" s="1"/>
  <c r="B35" i="9"/>
  <c r="C35" i="9" s="1"/>
  <c r="B36" i="9"/>
  <c r="C36" i="9" s="1"/>
  <c r="B37" i="9"/>
  <c r="C37" i="9" s="1"/>
  <c r="B38" i="9"/>
  <c r="C38" i="9" s="1"/>
  <c r="B39" i="9"/>
  <c r="C39" i="9" s="1"/>
  <c r="B40" i="9"/>
  <c r="C40" i="9" s="1"/>
  <c r="B41" i="9"/>
  <c r="C41" i="9" s="1"/>
  <c r="B42" i="9"/>
  <c r="C42" i="9" s="1"/>
  <c r="B43" i="9"/>
  <c r="C43" i="9" s="1"/>
  <c r="P81" i="4" l="1"/>
  <c r="Q80" i="4"/>
  <c r="Q81" i="4" l="1"/>
  <c r="R80" i="4"/>
  <c r="R81" i="4" l="1"/>
  <c r="S80" i="4"/>
  <c r="S81" i="4" l="1"/>
  <c r="T80" i="4"/>
  <c r="T81" i="4" l="1"/>
  <c r="U80" i="4"/>
  <c r="U81" i="4" l="1"/>
  <c r="V80" i="4"/>
  <c r="V81" i="4" l="1"/>
  <c r="W80" i="4"/>
  <c r="W81" i="4" l="1"/>
  <c r="X80" i="4"/>
  <c r="X81" i="4" l="1"/>
  <c r="Y80" i="4"/>
  <c r="Y81" i="4" l="1"/>
  <c r="Z80" i="4"/>
  <c r="Z81" i="4" l="1"/>
  <c r="AA80" i="4"/>
  <c r="AA81" i="4" l="1"/>
  <c r="AB80" i="4"/>
  <c r="AB81" i="4" l="1"/>
  <c r="AC80" i="4"/>
  <c r="AC81" i="4" l="1"/>
  <c r="AD80" i="4"/>
  <c r="AD81" i="4" l="1"/>
  <c r="AE80" i="4"/>
  <c r="AE81" i="4" l="1"/>
  <c r="AF80" i="4"/>
  <c r="B3" i="9"/>
  <c r="C3" i="9" s="1"/>
  <c r="AF81" i="4" l="1"/>
  <c r="AG80" i="4"/>
  <c r="AH80" i="4"/>
  <c r="AG81" i="4"/>
  <c r="E84" i="9"/>
  <c r="E107" i="9"/>
  <c r="E92" i="9"/>
  <c r="E96" i="9"/>
  <c r="E95" i="9" s="1"/>
  <c r="E103" i="9"/>
  <c r="E102" i="9"/>
  <c r="E87" i="9"/>
  <c r="E91" i="9"/>
  <c r="E111" i="9"/>
  <c r="E86" i="9"/>
  <c r="E106" i="9"/>
  <c r="E110" i="9"/>
  <c r="E101" i="9"/>
  <c r="E105" i="9"/>
  <c r="E90" i="9"/>
  <c r="E93" i="9"/>
  <c r="E89" i="9"/>
  <c r="E100" i="9"/>
  <c r="E85" i="9"/>
  <c r="E99" i="9"/>
  <c r="E98" i="9" s="1"/>
  <c r="E108" i="9"/>
  <c r="E97" i="9"/>
  <c r="E109" i="9"/>
  <c r="E112" i="9"/>
  <c r="E88" i="9"/>
  <c r="E94" i="9"/>
  <c r="E104" i="9"/>
  <c r="D86" i="9"/>
  <c r="D99" i="9"/>
  <c r="D98" i="9" s="1"/>
  <c r="D108" i="9"/>
  <c r="D92" i="9"/>
  <c r="D89" i="9"/>
  <c r="D107" i="9"/>
  <c r="D90" i="9"/>
  <c r="D97" i="9"/>
  <c r="D106" i="9"/>
  <c r="D110" i="9"/>
  <c r="D91" i="9"/>
  <c r="D88" i="9"/>
  <c r="D109" i="9"/>
  <c r="D87" i="9"/>
  <c r="D101" i="9"/>
  <c r="D103" i="9"/>
  <c r="D111" i="9"/>
  <c r="D102" i="9"/>
  <c r="D96" i="9"/>
  <c r="D95" i="9" s="1"/>
  <c r="D104" i="9"/>
  <c r="D93" i="9"/>
  <c r="D84" i="9"/>
  <c r="D105" i="9"/>
  <c r="D85" i="9"/>
  <c r="D112" i="9"/>
  <c r="D94" i="9"/>
  <c r="D100" i="9"/>
  <c r="AH81" i="4" l="1"/>
  <c r="AI80" i="4"/>
  <c r="E1" i="9"/>
  <c r="F1" i="9" l="1"/>
  <c r="E1" i="5"/>
  <c r="AJ80" i="4"/>
  <c r="AI81" i="4"/>
  <c r="G1" i="9" l="1"/>
  <c r="F1" i="5"/>
  <c r="AJ81" i="4"/>
  <c r="D2" i="9"/>
  <c r="AL81" i="4" l="1"/>
  <c r="AK80" i="4"/>
  <c r="H1" i="9"/>
  <c r="G1" i="5"/>
  <c r="AK81" i="4"/>
  <c r="E2" i="9"/>
  <c r="AL80" i="4" l="1"/>
  <c r="I1" i="9"/>
  <c r="H1" i="5"/>
  <c r="F2" i="9"/>
  <c r="J1" i="9" l="1"/>
  <c r="I1" i="5"/>
  <c r="G2" i="9"/>
  <c r="J1" i="5" l="1"/>
  <c r="K1" i="9"/>
  <c r="H2" i="9"/>
  <c r="L1" i="9" l="1"/>
  <c r="K1" i="5"/>
  <c r="I2" i="9"/>
  <c r="M1" i="9" l="1"/>
  <c r="L1" i="5"/>
  <c r="J2" i="9"/>
  <c r="N1" i="9" l="1"/>
  <c r="M1" i="5"/>
  <c r="K2" i="9"/>
  <c r="O1" i="9" l="1"/>
  <c r="N1" i="5"/>
  <c r="L2" i="9"/>
  <c r="P1" i="9" l="1"/>
  <c r="O1" i="5"/>
  <c r="M2" i="9"/>
  <c r="Q1" i="9" l="1"/>
  <c r="P1" i="5"/>
  <c r="N2" i="9"/>
  <c r="R1" i="9" l="1"/>
  <c r="Q1" i="5"/>
  <c r="O2" i="9"/>
  <c r="S1" i="9" l="1"/>
  <c r="R1" i="5"/>
  <c r="P2" i="9"/>
  <c r="T1" i="9" l="1"/>
  <c r="S1" i="5"/>
  <c r="Q2" i="9"/>
  <c r="U1" i="9" l="1"/>
  <c r="T1" i="5"/>
  <c r="R2" i="9"/>
  <c r="V1" i="9" l="1"/>
  <c r="U1" i="5"/>
  <c r="S2" i="9"/>
  <c r="B3" i="5"/>
  <c r="C3" i="5" s="1"/>
  <c r="W1" i="9" l="1"/>
  <c r="V1" i="5"/>
  <c r="T2" i="9"/>
  <c r="X1" i="9" l="1"/>
  <c r="W1" i="5"/>
  <c r="U2" i="9"/>
  <c r="Y1" i="9" l="1"/>
  <c r="X1" i="5"/>
  <c r="V2" i="9"/>
  <c r="Z1" i="9" l="1"/>
  <c r="Y1" i="5"/>
  <c r="W2" i="9"/>
  <c r="D2" i="5"/>
  <c r="E2" i="5"/>
  <c r="AA1" i="9" l="1"/>
  <c r="Z1" i="5"/>
  <c r="X2" i="9"/>
  <c r="F2" i="5"/>
  <c r="AB1" i="9" l="1"/>
  <c r="AA1" i="5"/>
  <c r="Y2" i="9"/>
  <c r="G2" i="5"/>
  <c r="AC1" i="9" l="1"/>
  <c r="AB1" i="5"/>
  <c r="Z2" i="9"/>
  <c r="H2" i="5"/>
  <c r="AD1" i="9" l="1"/>
  <c r="AC1" i="5"/>
  <c r="AA2" i="9"/>
  <c r="I2" i="5"/>
  <c r="AD1" i="5" l="1"/>
  <c r="AE1" i="9"/>
  <c r="AD2" i="9"/>
  <c r="AB2" i="9"/>
  <c r="J2" i="5"/>
  <c r="AE1" i="5" l="1"/>
  <c r="AE2" i="9"/>
  <c r="AF1" i="9"/>
  <c r="AC2" i="9"/>
  <c r="K2" i="5"/>
  <c r="AF1" i="5" l="1"/>
  <c r="AF2" i="9"/>
  <c r="AG1" i="9"/>
  <c r="L2" i="5"/>
  <c r="AG1" i="5" l="1"/>
  <c r="AH1" i="9"/>
  <c r="AG2" i="9"/>
  <c r="M2" i="5"/>
  <c r="AH1" i="5" l="1"/>
  <c r="AH2" i="9"/>
  <c r="AI1" i="9"/>
  <c r="N2" i="5"/>
  <c r="AI1" i="5" l="1"/>
  <c r="AJ1" i="9"/>
  <c r="AI2" i="9"/>
  <c r="O2" i="5"/>
  <c r="AJ2" i="9" l="1"/>
  <c r="AJ1" i="5"/>
  <c r="AK1" i="9"/>
  <c r="P2" i="5"/>
  <c r="AK1" i="5" l="1"/>
  <c r="AK2" i="5" s="1"/>
  <c r="AK2" i="9"/>
  <c r="AL1" i="9"/>
  <c r="Q2" i="5"/>
  <c r="AL1" i="5" l="1"/>
  <c r="AL2" i="5" s="1"/>
  <c r="AL2" i="9"/>
  <c r="AM1" i="9"/>
  <c r="R2" i="5"/>
  <c r="AN1" i="9" l="1"/>
  <c r="AM1" i="5"/>
  <c r="AM2" i="5" s="1"/>
  <c r="AM2" i="9"/>
  <c r="S2" i="5"/>
  <c r="AN1" i="5" l="1"/>
  <c r="AN2" i="5" s="1"/>
  <c r="AN2" i="9"/>
  <c r="T2" i="5"/>
  <c r="U2" i="5" l="1"/>
  <c r="V2" i="5" l="1"/>
  <c r="W2" i="5" l="1"/>
  <c r="X2" i="5" l="1"/>
  <c r="Y2" i="5" l="1"/>
  <c r="Z2" i="5" l="1"/>
  <c r="AA2" i="5" l="1"/>
  <c r="AB2" i="5" l="1"/>
  <c r="AD2" i="5" l="1"/>
  <c r="AC2" i="5"/>
  <c r="AE2" i="5" l="1"/>
  <c r="G89" i="4"/>
  <c r="G100" i="4"/>
  <c r="G92" i="4"/>
  <c r="G84" i="4"/>
  <c r="G109" i="4"/>
  <c r="G110" i="4"/>
  <c r="G94" i="4"/>
  <c r="G93" i="4" s="1"/>
  <c r="G108" i="4"/>
  <c r="G99" i="4"/>
  <c r="G88" i="4"/>
  <c r="G107" i="4"/>
  <c r="G91" i="4"/>
  <c r="G104" i="4"/>
  <c r="G90" i="4"/>
  <c r="G102" i="4"/>
  <c r="G82" i="4"/>
  <c r="G97" i="4"/>
  <c r="G96" i="4" s="1"/>
  <c r="G86" i="4"/>
  <c r="G106" i="4"/>
  <c r="G98" i="4"/>
  <c r="G83" i="4"/>
  <c r="AF2" i="5" l="1"/>
  <c r="AG2" i="5" l="1"/>
  <c r="AH2" i="5" l="1"/>
  <c r="AI2" i="5" l="1"/>
  <c r="AJ2" i="5"/>
</calcChain>
</file>

<file path=xl/comments1.xml><?xml version="1.0" encoding="utf-8"?>
<comments xmlns="http://schemas.openxmlformats.org/spreadsheetml/2006/main">
  <authors>
    <author>謝蕙芸</author>
  </authors>
  <commentList>
    <comment ref="AA1" authorId="0" shapeId="0">
      <text>
        <r>
          <rPr>
            <b/>
            <sz val="9"/>
            <color indexed="81"/>
            <rFont val="細明體"/>
            <family val="3"/>
            <charset val="136"/>
          </rPr>
          <t>14:00~17:00
勞安訓@A1訓練教室</t>
        </r>
      </text>
    </comment>
    <comment ref="AB1" authorId="0" shapeId="0">
      <text>
        <r>
          <rPr>
            <sz val="9"/>
            <color indexed="81"/>
            <rFont val="細明體"/>
            <family val="3"/>
            <charset val="136"/>
          </rPr>
          <t>1400-1700
POST3.0差異訓練
@A1訓練教室</t>
        </r>
      </text>
    </comment>
    <comment ref="AI1" authorId="0" shapeId="0">
      <text>
        <r>
          <rPr>
            <sz val="9"/>
            <color indexed="81"/>
            <rFont val="細明體"/>
            <family val="3"/>
            <charset val="136"/>
          </rPr>
          <t>1500-1600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服務人員與情訓管理講座
@A1訓練教室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<sst xmlns="http://schemas.openxmlformats.org/spreadsheetml/2006/main" count="995" uniqueCount="339">
  <si>
    <t>員編
ID No.</t>
  </si>
  <si>
    <t>日</t>
  </si>
  <si>
    <t>中</t>
  </si>
  <si>
    <t>午</t>
  </si>
  <si>
    <t>夜</t>
  </si>
  <si>
    <t>T</t>
  </si>
  <si>
    <t>L</t>
  </si>
  <si>
    <t>R</t>
  </si>
  <si>
    <t>r</t>
  </si>
  <si>
    <t>P</t>
  </si>
  <si>
    <t>休假
日數</t>
  </si>
  <si>
    <t>梁仲煒</t>
  </si>
  <si>
    <t>T00178</t>
  </si>
  <si>
    <t>T00252</t>
  </si>
  <si>
    <t>T00343</t>
  </si>
  <si>
    <t>T00356</t>
  </si>
  <si>
    <t>T00605</t>
  </si>
  <si>
    <t>謝蕙芸</t>
  </si>
  <si>
    <t>T00912</t>
  </si>
  <si>
    <t>詹雅惠</t>
  </si>
  <si>
    <t>T00501</t>
  </si>
  <si>
    <t>林慧姍</t>
  </si>
  <si>
    <t>T00860</t>
  </si>
  <si>
    <t>陳家瑋</t>
  </si>
  <si>
    <t>A1</t>
  </si>
  <si>
    <t>T00509</t>
  </si>
  <si>
    <t>郭秋儀</t>
  </si>
  <si>
    <t>T01028</t>
  </si>
  <si>
    <t>T01029</t>
  </si>
  <si>
    <t>T00929</t>
  </si>
  <si>
    <t>簡婉蓁</t>
  </si>
  <si>
    <t>林禹丞</t>
  </si>
  <si>
    <t>T01734</t>
  </si>
  <si>
    <t>黃冠銘</t>
  </si>
  <si>
    <t>T01736</t>
  </si>
  <si>
    <t>T01746</t>
  </si>
  <si>
    <t>古佩宜</t>
  </si>
  <si>
    <t>T01795</t>
  </si>
  <si>
    <t>黃羿綾</t>
  </si>
  <si>
    <t>A2</t>
  </si>
  <si>
    <t>T00510</t>
  </si>
  <si>
    <t>郭凌毓</t>
  </si>
  <si>
    <t>T00523</t>
  </si>
  <si>
    <t>T01025</t>
  </si>
  <si>
    <t>T01264</t>
  </si>
  <si>
    <t>高子翔</t>
  </si>
  <si>
    <t>T01465</t>
  </si>
  <si>
    <t>簡聖育</t>
  </si>
  <si>
    <t>T01864</t>
  </si>
  <si>
    <t>T01865</t>
  </si>
  <si>
    <t>顏志宇</t>
  </si>
  <si>
    <t>A3</t>
  </si>
  <si>
    <t>T00806</t>
  </si>
  <si>
    <t>郭育瑋</t>
  </si>
  <si>
    <t>T00921</t>
  </si>
  <si>
    <t>蔡承昊</t>
  </si>
  <si>
    <t>T01083</t>
  </si>
  <si>
    <t>趙中靖</t>
  </si>
  <si>
    <t>T01198</t>
  </si>
  <si>
    <t>許慰音</t>
  </si>
  <si>
    <t>T01260</t>
  </si>
  <si>
    <t>林毓萱</t>
  </si>
  <si>
    <t>A4</t>
  </si>
  <si>
    <t>T00515</t>
  </si>
  <si>
    <t>曾靜君</t>
  </si>
  <si>
    <t>T00813</t>
  </si>
  <si>
    <t>陳雅愉</t>
  </si>
  <si>
    <t>T01066</t>
  </si>
  <si>
    <t>陳瑞欽</t>
  </si>
  <si>
    <t>T00925</t>
  </si>
  <si>
    <t>鄭淑玲</t>
  </si>
  <si>
    <t>A5</t>
  </si>
  <si>
    <t>T00506</t>
  </si>
  <si>
    <t>高雅婷</t>
  </si>
  <si>
    <t>T00895</t>
  </si>
  <si>
    <t>張鑫聰</t>
  </si>
  <si>
    <t>T01426</t>
  </si>
  <si>
    <t>林怡輝</t>
  </si>
  <si>
    <t>T00503</t>
  </si>
  <si>
    <t>T01084</t>
  </si>
  <si>
    <t>蔡佳玲</t>
  </si>
  <si>
    <t>T01427</t>
  </si>
  <si>
    <t>沈裕謙</t>
  </si>
  <si>
    <t>A1早</t>
  </si>
  <si>
    <t>A1中A</t>
  </si>
  <si>
    <t>A1午</t>
  </si>
  <si>
    <t>A1夜</t>
  </si>
  <si>
    <t>A2早</t>
  </si>
  <si>
    <t>A2中A</t>
  </si>
  <si>
    <t>A2午</t>
  </si>
  <si>
    <t>A2夜</t>
  </si>
  <si>
    <t>A3早</t>
  </si>
  <si>
    <t>A3中A</t>
  </si>
  <si>
    <t>A3午</t>
  </si>
  <si>
    <t>A3夜</t>
  </si>
  <si>
    <t>A4早</t>
  </si>
  <si>
    <t>A4中A</t>
  </si>
  <si>
    <t>A4午</t>
  </si>
  <si>
    <t>A4夜</t>
  </si>
  <si>
    <t>A5早</t>
  </si>
  <si>
    <t>A5中A</t>
  </si>
  <si>
    <t>A5午</t>
  </si>
  <si>
    <t>A5夜</t>
  </si>
  <si>
    <t>A6早</t>
  </si>
  <si>
    <t>A6中A</t>
  </si>
  <si>
    <t>A6午</t>
  </si>
  <si>
    <t>A6夜</t>
  </si>
  <si>
    <t xml:space="preserve">          日期
          星期                   
姓名</t>
    <phoneticPr fontId="1" type="noConversion"/>
  </si>
  <si>
    <t>北
段
辦</t>
    <phoneticPr fontId="1" type="noConversion"/>
  </si>
  <si>
    <t>備註</t>
    <phoneticPr fontId="1" type="noConversion"/>
  </si>
  <si>
    <t>T01600</t>
  </si>
  <si>
    <t>陳奎羽</t>
  </si>
  <si>
    <t>早A</t>
    <phoneticPr fontId="1" type="noConversion"/>
  </si>
  <si>
    <t>午F</t>
    <phoneticPr fontId="1" type="noConversion"/>
  </si>
  <si>
    <t>R</t>
    <phoneticPr fontId="1" type="noConversion"/>
  </si>
  <si>
    <t>請輸入年度</t>
    <phoneticPr fontId="1" type="noConversion"/>
  </si>
  <si>
    <t>請輸入月份</t>
    <phoneticPr fontId="1" type="noConversion"/>
  </si>
  <si>
    <t>T00586</t>
  </si>
  <si>
    <t>江冠滿</t>
  </si>
  <si>
    <t>T00487</t>
  </si>
  <si>
    <t>余柏翰</t>
  </si>
  <si>
    <t>廖紫吟</t>
  </si>
  <si>
    <t>T00924</t>
  </si>
  <si>
    <t>鄧宛萍</t>
  </si>
  <si>
    <t>41早</t>
  </si>
  <si>
    <t>r'</t>
  </si>
  <si>
    <t>41午</t>
  </si>
  <si>
    <t>41夜</t>
  </si>
  <si>
    <t>02早</t>
  </si>
  <si>
    <t>02午</t>
  </si>
  <si>
    <t>02夜</t>
  </si>
  <si>
    <t>03午</t>
  </si>
  <si>
    <t>03夜</t>
  </si>
  <si>
    <t>03早A</t>
  </si>
  <si>
    <t>03午F</t>
  </si>
  <si>
    <t>04夜</t>
  </si>
  <si>
    <t>04午</t>
  </si>
  <si>
    <t>04早</t>
  </si>
  <si>
    <t>04中A</t>
  </si>
  <si>
    <t>05夜</t>
  </si>
  <si>
    <t>05早</t>
  </si>
  <si>
    <t>05午</t>
  </si>
  <si>
    <t>05中A</t>
  </si>
  <si>
    <t>06午</t>
  </si>
  <si>
    <t>06早</t>
  </si>
  <si>
    <t>06夜</t>
  </si>
  <si>
    <t>06中A</t>
  </si>
  <si>
    <t>41早</t>
    <phoneticPr fontId="1" type="noConversion"/>
  </si>
  <si>
    <t>41中A</t>
    <phoneticPr fontId="1" type="noConversion"/>
  </si>
  <si>
    <t>41午</t>
    <phoneticPr fontId="1" type="noConversion"/>
  </si>
  <si>
    <t>41夜</t>
    <phoneticPr fontId="1" type="noConversion"/>
  </si>
  <si>
    <t>A3早A</t>
    <phoneticPr fontId="1" type="noConversion"/>
  </si>
  <si>
    <t>A3午F</t>
    <phoneticPr fontId="1" type="noConversion"/>
  </si>
  <si>
    <t>01中A</t>
  </si>
  <si>
    <t>05</t>
  </si>
  <si>
    <t>07</t>
  </si>
  <si>
    <t>02中A</t>
  </si>
  <si>
    <t>03中A</t>
  </si>
  <si>
    <t>01早</t>
    <phoneticPr fontId="1" type="noConversion"/>
  </si>
  <si>
    <t>03早</t>
    <phoneticPr fontId="1" type="noConversion"/>
  </si>
  <si>
    <t>01夜</t>
    <phoneticPr fontId="1" type="noConversion"/>
  </si>
  <si>
    <t>23d</t>
  </si>
  <si>
    <t>34d</t>
  </si>
  <si>
    <t>早</t>
    <phoneticPr fontId="1" type="noConversion"/>
  </si>
  <si>
    <t>41日</t>
    <phoneticPr fontId="1" type="noConversion"/>
  </si>
  <si>
    <t>P</t>
    <phoneticPr fontId="1" type="noConversion"/>
  </si>
  <si>
    <t>01午</t>
    <phoneticPr fontId="1" type="noConversion"/>
  </si>
  <si>
    <t>r'(03午F)</t>
    <phoneticPr fontId="1" type="noConversion"/>
  </si>
  <si>
    <t>T</t>
    <phoneticPr fontId="1" type="noConversion"/>
  </si>
  <si>
    <t>05</t>
    <phoneticPr fontId="1" type="noConversion"/>
  </si>
  <si>
    <t>92B</t>
    <phoneticPr fontId="1" type="noConversion"/>
  </si>
  <si>
    <t>01日</t>
    <phoneticPr fontId="1" type="noConversion"/>
  </si>
  <si>
    <t>r'(04早)</t>
    <phoneticPr fontId="1" type="noConversion"/>
  </si>
  <si>
    <t>92C</t>
    <phoneticPr fontId="1" type="noConversion"/>
  </si>
  <si>
    <t>r'(03午)</t>
    <phoneticPr fontId="1" type="noConversion"/>
  </si>
  <si>
    <t>r'(01早)</t>
    <phoneticPr fontId="1" type="noConversion"/>
  </si>
  <si>
    <t>02午P</t>
    <phoneticPr fontId="1" type="noConversion"/>
  </si>
  <si>
    <t>41夜.</t>
    <phoneticPr fontId="1" type="noConversion"/>
  </si>
  <si>
    <t>01日.</t>
    <phoneticPr fontId="1" type="noConversion"/>
  </si>
  <si>
    <t>T02124</t>
  </si>
  <si>
    <t>張宸睿</t>
  </si>
  <si>
    <t>T02215</t>
  </si>
  <si>
    <t>吳尚達</t>
  </si>
  <si>
    <t>T02220</t>
  </si>
  <si>
    <t>曹宇嫺</t>
  </si>
  <si>
    <t>T02221</t>
  </si>
  <si>
    <t>陳彥伶</t>
  </si>
  <si>
    <t>T02223</t>
  </si>
  <si>
    <t>鄭景豪</t>
  </si>
  <si>
    <t>T02229</t>
  </si>
  <si>
    <t>T02230</t>
  </si>
  <si>
    <t>葉夏</t>
  </si>
  <si>
    <t>T02233</t>
  </si>
  <si>
    <t>簡悅如</t>
  </si>
  <si>
    <t>07午</t>
    <phoneticPr fontId="1" type="noConversion"/>
  </si>
  <si>
    <t>21早</t>
    <phoneticPr fontId="1" type="noConversion"/>
  </si>
  <si>
    <t>07早</t>
    <phoneticPr fontId="1" type="noConversion"/>
  </si>
  <si>
    <t>41早Q</t>
    <phoneticPr fontId="1" type="noConversion"/>
  </si>
  <si>
    <t>A4</t>
    <phoneticPr fontId="1" type="noConversion"/>
  </si>
  <si>
    <t>r'(02早)</t>
    <phoneticPr fontId="1" type="noConversion"/>
  </si>
  <si>
    <t>r'(03早A)</t>
    <phoneticPr fontId="1" type="noConversion"/>
  </si>
  <si>
    <t>06午P</t>
    <phoneticPr fontId="1" type="noConversion"/>
  </si>
  <si>
    <t>41早K</t>
    <phoneticPr fontId="1" type="noConversion"/>
  </si>
  <si>
    <t>03午P</t>
    <phoneticPr fontId="1" type="noConversion"/>
  </si>
  <si>
    <t>03</t>
    <phoneticPr fontId="1" type="noConversion"/>
  </si>
  <si>
    <t>06日</t>
    <phoneticPr fontId="1" type="noConversion"/>
  </si>
  <si>
    <t>41早G</t>
    <phoneticPr fontId="1" type="noConversion"/>
  </si>
  <si>
    <t>04早Q</t>
    <phoneticPr fontId="1" type="noConversion"/>
  </si>
  <si>
    <t>r'(06午)</t>
    <phoneticPr fontId="1" type="noConversion"/>
  </si>
  <si>
    <t>r'(06夜)</t>
    <phoneticPr fontId="1" type="noConversion"/>
  </si>
  <si>
    <t>r'(06早)</t>
    <phoneticPr fontId="1" type="noConversion"/>
  </si>
  <si>
    <t>05午P</t>
    <phoneticPr fontId="1" type="noConversion"/>
  </si>
  <si>
    <t>T00899</t>
  </si>
  <si>
    <t>T00557</t>
  </si>
  <si>
    <t>陳志明</t>
  </si>
  <si>
    <t>T01459</t>
  </si>
  <si>
    <t>日</t>
    <phoneticPr fontId="1" type="noConversion"/>
  </si>
  <si>
    <t>T02359</t>
  </si>
  <si>
    <t>陳佳婷</t>
  </si>
  <si>
    <t>T02363</t>
  </si>
  <si>
    <t>T02362</t>
  </si>
  <si>
    <t>T00492</t>
  </si>
  <si>
    <t>A6</t>
    <phoneticPr fontId="1" type="noConversion"/>
  </si>
  <si>
    <t>T02287</t>
  </si>
  <si>
    <t>T02505</t>
  </si>
  <si>
    <t>T02498</t>
  </si>
  <si>
    <t>張芯瑜</t>
  </si>
  <si>
    <t>T02510</t>
  </si>
  <si>
    <t>T02503</t>
  </si>
  <si>
    <t>A3</t>
    <phoneticPr fontId="1" type="noConversion"/>
  </si>
  <si>
    <t>T02509</t>
  </si>
  <si>
    <t>薛朋竹</t>
  </si>
  <si>
    <t>T02612</t>
  </si>
  <si>
    <t>蕭曉琦</t>
  </si>
  <si>
    <t>T02613</t>
  </si>
  <si>
    <t>張雅荃</t>
  </si>
  <si>
    <t>T00082</t>
    <phoneticPr fontId="1" type="noConversion"/>
  </si>
  <si>
    <t>r'(01夜)</t>
    <phoneticPr fontId="1" type="noConversion"/>
  </si>
  <si>
    <t>02日</t>
    <phoneticPr fontId="1" type="noConversion"/>
  </si>
  <si>
    <t>92D</t>
    <phoneticPr fontId="1" type="noConversion"/>
  </si>
  <si>
    <t>03日</t>
    <phoneticPr fontId="1" type="noConversion"/>
  </si>
  <si>
    <t>04日</t>
    <phoneticPr fontId="1" type="noConversion"/>
  </si>
  <si>
    <t>05日</t>
    <phoneticPr fontId="1" type="noConversion"/>
  </si>
  <si>
    <t>蘇宸毅</t>
    <phoneticPr fontId="1" type="noConversion"/>
  </si>
  <si>
    <t>r</t>
    <phoneticPr fontId="1" type="noConversion"/>
  </si>
  <si>
    <t>41日</t>
  </si>
  <si>
    <t>03早</t>
  </si>
  <si>
    <t>r'(03午)</t>
  </si>
  <si>
    <t>r'(05午)</t>
    <phoneticPr fontId="1" type="noConversion"/>
  </si>
  <si>
    <t>r'(05早)</t>
    <phoneticPr fontId="1" type="noConversion"/>
  </si>
  <si>
    <t>鄭翰鴻</t>
    <phoneticPr fontId="1" type="noConversion"/>
  </si>
  <si>
    <t>張詠迎</t>
    <phoneticPr fontId="1" type="noConversion"/>
  </si>
  <si>
    <t>r'(03早)</t>
    <phoneticPr fontId="1" type="noConversion"/>
  </si>
  <si>
    <t>班別代號:
OO早A：0620~1520(9hr)  OO早：0630~1430(8hr)  OO早G：0730~1530(8hr) OO早Q：0930~1730(8hr)  OO中A：1100~1900(8hr) OO午P：1400~2200(8hr)  OO午：1410~2210(8hr)  OO午F：1500~2400(9hr)  OO夜：2150~0650(9hr)
OO代表車站、段辦(例如：A17早班，代碼17早。A17正常班，代碼17日。中心正常班，代碼日。北段段辦正常班，代號41日。中段段辦正常班，代號42日。南段段辦正常班，代號43日。)
T：訓練 0830~1730      日：0830~1730      R：例假      L：其他休假　r：休假　P：國定假日</t>
    <phoneticPr fontId="1" type="noConversion"/>
  </si>
  <si>
    <t>簡維頤</t>
    <phoneticPr fontId="1" type="noConversion"/>
  </si>
  <si>
    <t>T02504</t>
    <phoneticPr fontId="1" type="noConversion"/>
  </si>
  <si>
    <t>潘元浩</t>
    <phoneticPr fontId="1" type="noConversion"/>
  </si>
  <si>
    <t>r'(05早)</t>
  </si>
  <si>
    <t>吳意甄</t>
    <phoneticPr fontId="1" type="noConversion"/>
  </si>
  <si>
    <t>r'(02午)</t>
    <phoneticPr fontId="1" type="noConversion"/>
  </si>
  <si>
    <t>P(05早)</t>
    <phoneticPr fontId="1" type="noConversion"/>
  </si>
  <si>
    <t>李尉羽</t>
    <phoneticPr fontId="1" type="noConversion"/>
  </si>
  <si>
    <t>林雯琳</t>
    <phoneticPr fontId="1" type="noConversion"/>
  </si>
  <si>
    <t>林金緗</t>
    <phoneticPr fontId="1" type="noConversion"/>
  </si>
  <si>
    <t>蘇雅惠</t>
    <phoneticPr fontId="1" type="noConversion"/>
  </si>
  <si>
    <t>謝宗昇</t>
    <phoneticPr fontId="1" type="noConversion"/>
  </si>
  <si>
    <t>林孟錡</t>
    <phoneticPr fontId="1" type="noConversion"/>
  </si>
  <si>
    <t>卓子揚</t>
    <phoneticPr fontId="1" type="noConversion"/>
  </si>
  <si>
    <t>T00839</t>
    <phoneticPr fontId="1" type="noConversion"/>
  </si>
  <si>
    <t>馮炫強</t>
    <phoneticPr fontId="1" type="noConversion"/>
  </si>
  <si>
    <t>林江玉</t>
    <phoneticPr fontId="1" type="noConversion"/>
  </si>
  <si>
    <t>李慧盺</t>
    <phoneticPr fontId="1" type="noConversion"/>
  </si>
  <si>
    <t>陳炘玉</t>
    <phoneticPr fontId="1" type="noConversion"/>
  </si>
  <si>
    <t>吳珮伃</t>
    <phoneticPr fontId="1" type="noConversion"/>
  </si>
  <si>
    <t>T00489</t>
    <phoneticPr fontId="1" type="noConversion"/>
  </si>
  <si>
    <t>1/1~6/6
P班天數</t>
    <phoneticPr fontId="1" type="noConversion"/>
  </si>
  <si>
    <t>5/31~6/6</t>
    <phoneticPr fontId="1" type="noConversion"/>
  </si>
  <si>
    <t>05早Q</t>
    <phoneticPr fontId="1" type="noConversion"/>
  </si>
  <si>
    <t>范素梅</t>
    <phoneticPr fontId="1" type="noConversion"/>
  </si>
  <si>
    <t>T02222</t>
    <phoneticPr fontId="1" type="noConversion"/>
  </si>
  <si>
    <r>
      <rPr>
        <sz val="24"/>
        <rFont val="細明體-ExtB"/>
        <family val="1"/>
        <charset val="136"/>
      </rPr>
      <t>𡍼</t>
    </r>
    <r>
      <rPr>
        <sz val="24"/>
        <rFont val="微軟正黑體"/>
        <family val="2"/>
        <charset val="136"/>
      </rPr>
      <t>文妤</t>
    </r>
    <phoneticPr fontId="1" type="noConversion"/>
  </si>
  <si>
    <t>何旺宗</t>
    <phoneticPr fontId="1" type="noConversion"/>
  </si>
  <si>
    <t>劉哲宇</t>
    <phoneticPr fontId="1" type="noConversion"/>
  </si>
  <si>
    <t>吳國強</t>
    <phoneticPr fontId="1" type="noConversion"/>
  </si>
  <si>
    <t>6/7~7/4
實際休假天數</t>
    <phoneticPr fontId="1" type="noConversion"/>
  </si>
  <si>
    <t>7/5~7/18
剩餘休假天數</t>
    <phoneticPr fontId="1" type="noConversion"/>
  </si>
  <si>
    <t>5/23~6/6
實際休假天數</t>
    <phoneticPr fontId="1" type="noConversion"/>
  </si>
  <si>
    <t>1/1~7/4
P班天數</t>
    <phoneticPr fontId="1" type="noConversion"/>
  </si>
  <si>
    <t>6/7~6/13</t>
    <phoneticPr fontId="1" type="noConversion"/>
  </si>
  <si>
    <t>6/14~6/20</t>
    <phoneticPr fontId="1" type="noConversion"/>
  </si>
  <si>
    <t>6/21~6/27</t>
    <phoneticPr fontId="1" type="noConversion"/>
  </si>
  <si>
    <t>6/28~7/4</t>
    <phoneticPr fontId="1" type="noConversion"/>
  </si>
  <si>
    <t>6月天數</t>
    <phoneticPr fontId="1" type="noConversion"/>
  </si>
  <si>
    <t>6/7~7/4
P班天數</t>
    <phoneticPr fontId="1" type="noConversion"/>
  </si>
  <si>
    <t>長假</t>
  </si>
  <si>
    <t>長假</t>
    <phoneticPr fontId="1" type="noConversion"/>
  </si>
  <si>
    <t>01夜B1</t>
  </si>
  <si>
    <t>01早M</t>
  </si>
  <si>
    <t>01早m</t>
  </si>
  <si>
    <t>01午M</t>
  </si>
  <si>
    <t>01午m</t>
  </si>
  <si>
    <t>01夜B2</t>
  </si>
  <si>
    <t>01午B1</t>
  </si>
  <si>
    <t>01午B2</t>
  </si>
  <si>
    <t>01早B2</t>
  </si>
  <si>
    <t>01早B1</t>
  </si>
  <si>
    <t>7份班別小計</t>
    <phoneticPr fontId="1" type="noConversion"/>
  </si>
  <si>
    <t>7月份</t>
    <phoneticPr fontId="1" type="noConversion"/>
  </si>
  <si>
    <t>r'</t>
    <phoneticPr fontId="1" type="noConversion"/>
  </si>
  <si>
    <t>41日(講師)</t>
    <phoneticPr fontId="1" type="noConversion"/>
  </si>
  <si>
    <t>01日(講師)</t>
    <phoneticPr fontId="1" type="noConversion"/>
  </si>
  <si>
    <t>7/5~7/18
實際休假天數</t>
    <phoneticPr fontId="1" type="noConversion"/>
  </si>
  <si>
    <t>勞安訓</t>
    <phoneticPr fontId="1" type="noConversion"/>
  </si>
  <si>
    <t>R</t>
    <phoneticPr fontId="1" type="noConversion"/>
  </si>
  <si>
    <t>L</t>
    <phoneticPr fontId="1" type="noConversion"/>
  </si>
  <si>
    <t>R</t>
    <phoneticPr fontId="1" type="noConversion"/>
  </si>
  <si>
    <t>R</t>
    <phoneticPr fontId="1" type="noConversion"/>
  </si>
  <si>
    <t>R</t>
    <phoneticPr fontId="1" type="noConversion"/>
  </si>
  <si>
    <t>長假(P)</t>
    <phoneticPr fontId="1" type="noConversion"/>
  </si>
  <si>
    <t>R</t>
    <phoneticPr fontId="1" type="noConversion"/>
  </si>
  <si>
    <t>R</t>
    <phoneticPr fontId="1" type="noConversion"/>
  </si>
  <si>
    <t>L</t>
    <phoneticPr fontId="1" type="noConversion"/>
  </si>
  <si>
    <t>R</t>
    <phoneticPr fontId="1" type="noConversion"/>
  </si>
  <si>
    <t>R</t>
    <phoneticPr fontId="1" type="noConversion"/>
  </si>
  <si>
    <t>r'</t>
    <phoneticPr fontId="1" type="noConversion"/>
  </si>
  <si>
    <t>r'</t>
    <phoneticPr fontId="1" type="noConversion"/>
  </si>
  <si>
    <t>r'</t>
    <phoneticPr fontId="1" type="noConversion"/>
  </si>
  <si>
    <t>r'</t>
    <phoneticPr fontId="1" type="noConversion"/>
  </si>
  <si>
    <t>R</t>
    <phoneticPr fontId="1" type="noConversion"/>
  </si>
  <si>
    <t>L</t>
    <phoneticPr fontId="1" type="noConversion"/>
  </si>
  <si>
    <t>L</t>
    <phoneticPr fontId="1" type="noConversion"/>
  </si>
  <si>
    <t>L</t>
    <phoneticPr fontId="1" type="noConversion"/>
  </si>
  <si>
    <t>L</t>
    <phoneticPr fontId="1" type="noConversion"/>
  </si>
  <si>
    <t>r'</t>
    <phoneticPr fontId="1" type="noConversion"/>
  </si>
  <si>
    <t>長假(L)</t>
    <phoneticPr fontId="1" type="noConversion"/>
  </si>
  <si>
    <t>長假(L)</t>
    <phoneticPr fontId="1" type="noConversion"/>
  </si>
  <si>
    <t>R</t>
    <phoneticPr fontId="1" type="noConversion"/>
  </si>
  <si>
    <t>L</t>
    <phoneticPr fontId="1" type="noConversion"/>
  </si>
  <si>
    <t>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</si>
</sst>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76" formatCode="m&quot;月&quot;d&quot;日&quot;"/>
    <numFmt numFmtId="177" formatCode="m/d;@"/>
    <numFmt numFmtId="178" formatCode="d"/>
    <numFmt numFmtId="179" formatCode="[DBNum1][$-404]General"/>
  </numFmts>
  <fonts count="3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24"/>
      <name val="微軟正黑體"/>
      <family val="2"/>
      <charset val="136"/>
    </font>
    <font>
      <sz val="12"/>
      <name val="新細明體"/>
      <family val="1"/>
      <charset val="136"/>
    </font>
    <font>
      <sz val="14"/>
      <color theme="1"/>
      <name val="微軟正黑體"/>
      <family val="2"/>
      <charset val="136"/>
    </font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4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0"/>
      <name val="微軟正黑體"/>
      <family val="2"/>
      <charset val="136"/>
    </font>
    <font>
      <sz val="28"/>
      <color theme="1"/>
      <name val="微軟正黑體"/>
      <family val="2"/>
      <charset val="136"/>
    </font>
    <font>
      <sz val="28"/>
      <color theme="1"/>
      <name val="新細明體"/>
      <family val="2"/>
      <charset val="136"/>
      <scheme val="minor"/>
    </font>
    <font>
      <sz val="12"/>
      <name val="微軟正黑體"/>
      <family val="2"/>
      <charset val="136"/>
    </font>
    <font>
      <sz val="12"/>
      <color rgb="FF00610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24"/>
      <name val="微軟正黑體"/>
      <family val="1"/>
      <charset val="136"/>
    </font>
    <font>
      <sz val="12"/>
      <name val="新細明體"/>
      <family val="2"/>
      <charset val="136"/>
      <scheme val="minor"/>
    </font>
    <font>
      <sz val="20"/>
      <name val="微軟正黑體"/>
      <family val="2"/>
      <charset val="136"/>
    </font>
    <font>
      <sz val="24"/>
      <color rgb="FF00B050"/>
      <name val="微軟正黑體"/>
      <family val="2"/>
      <charset val="136"/>
    </font>
    <font>
      <sz val="20"/>
      <color theme="1"/>
      <name val="新細明體"/>
      <family val="2"/>
      <charset val="136"/>
      <scheme val="minor"/>
    </font>
    <font>
      <sz val="20"/>
      <color rgb="FFFF0000"/>
      <name val="新細明體"/>
      <family val="2"/>
      <charset val="136"/>
      <scheme val="minor"/>
    </font>
    <font>
      <sz val="24"/>
      <name val="細明體-ExtB"/>
      <family val="1"/>
      <charset val="136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24"/>
      <color rgb="FFC00000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</borders>
  <cellStyleXfs count="66">
    <xf numFmtId="0" fontId="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/>
    <xf numFmtId="0" fontId="8" fillId="0" borderId="0">
      <alignment vertical="center"/>
    </xf>
    <xf numFmtId="0" fontId="5" fillId="0" borderId="0">
      <alignment vertical="center"/>
    </xf>
    <xf numFmtId="0" fontId="5" fillId="0" borderId="0"/>
    <xf numFmtId="0" fontId="10" fillId="0" borderId="0"/>
    <xf numFmtId="0" fontId="11" fillId="0" borderId="0"/>
    <xf numFmtId="0" fontId="12" fillId="0" borderId="0"/>
    <xf numFmtId="0" fontId="12" fillId="0" borderId="0"/>
    <xf numFmtId="0" fontId="5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  <xf numFmtId="0" fontId="13" fillId="0" borderId="0"/>
    <xf numFmtId="0" fontId="1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9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5" fillId="0" borderId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</cellStyleXfs>
  <cellXfs count="313">
    <xf numFmtId="0" fontId="0" fillId="0" borderId="0" xfId="0">
      <alignment vertical="center"/>
    </xf>
    <xf numFmtId="0" fontId="15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2" applyFont="1" applyFill="1" applyBorder="1" applyAlignment="1" applyProtection="1">
      <alignment horizontal="center" vertical="center"/>
    </xf>
    <xf numFmtId="176" fontId="2" fillId="0" borderId="0" xfId="3" applyNumberFormat="1" applyFont="1" applyFill="1" applyBorder="1" applyAlignment="1" applyProtection="1">
      <alignment horizontal="center" vertical="center"/>
    </xf>
    <xf numFmtId="0" fontId="0" fillId="0" borderId="0" xfId="0">
      <alignment vertical="center"/>
    </xf>
    <xf numFmtId="0" fontId="2" fillId="0" borderId="25" xfId="0" applyFont="1" applyFill="1" applyBorder="1" applyAlignment="1">
      <alignment horizontal="left" vertical="center" wrapText="1"/>
    </xf>
    <xf numFmtId="0" fontId="2" fillId="0" borderId="26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27" xfId="0" applyFont="1" applyFill="1" applyBorder="1" applyAlignment="1">
      <alignment horizontal="left" vertical="center" wrapText="1"/>
    </xf>
    <xf numFmtId="0" fontId="3" fillId="0" borderId="27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2" fillId="0" borderId="29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3" fillId="0" borderId="29" xfId="0" applyFont="1" applyFill="1" applyBorder="1">
      <alignment vertical="center"/>
    </xf>
    <xf numFmtId="178" fontId="4" fillId="0" borderId="5" xfId="0" applyNumberFormat="1" applyFont="1" applyFill="1" applyBorder="1" applyAlignment="1">
      <alignment horizontal="center" vertical="center"/>
    </xf>
    <xf numFmtId="0" fontId="3" fillId="0" borderId="0" xfId="0" applyFont="1" applyFill="1" applyProtection="1">
      <alignment vertical="center"/>
    </xf>
    <xf numFmtId="0" fontId="0" fillId="0" borderId="0" xfId="0" applyFill="1" applyProtection="1">
      <alignment vertical="center"/>
    </xf>
    <xf numFmtId="0" fontId="0" fillId="0" borderId="0" xfId="0" applyProtection="1">
      <alignment vertical="center"/>
    </xf>
    <xf numFmtId="0" fontId="16" fillId="0" borderId="0" xfId="0" applyFont="1" applyFill="1" applyProtection="1">
      <alignment vertical="center"/>
    </xf>
    <xf numFmtId="0" fontId="16" fillId="0" borderId="0" xfId="0" applyFont="1" applyFill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 vertical="center"/>
    </xf>
    <xf numFmtId="0" fontId="17" fillId="0" borderId="0" xfId="0" applyFont="1" applyFill="1" applyProtection="1">
      <alignment vertical="center"/>
    </xf>
    <xf numFmtId="0" fontId="17" fillId="0" borderId="0" xfId="0" applyFont="1" applyProtection="1">
      <alignment vertical="center"/>
    </xf>
    <xf numFmtId="0" fontId="2" fillId="0" borderId="1" xfId="0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/>
    </xf>
    <xf numFmtId="0" fontId="16" fillId="0" borderId="24" xfId="0" applyFont="1" applyFill="1" applyBorder="1" applyAlignment="1" applyProtection="1">
      <alignment horizontal="center" vertical="center"/>
    </xf>
    <xf numFmtId="0" fontId="2" fillId="0" borderId="10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horizontal="center" vertical="center"/>
    </xf>
    <xf numFmtId="0" fontId="18" fillId="0" borderId="0" xfId="0" applyFont="1" applyFill="1" applyBorder="1" applyAlignment="1">
      <alignment vertical="center" wrapText="1"/>
    </xf>
    <xf numFmtId="179" fontId="4" fillId="0" borderId="38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179" fontId="4" fillId="0" borderId="38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9" fontId="4" fillId="0" borderId="40" xfId="0" applyNumberFormat="1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2" fillId="0" borderId="3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45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 applyProtection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4" fillId="0" borderId="2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16" fillId="0" borderId="32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6" fillId="0" borderId="0" xfId="0" applyFont="1" applyFill="1" applyAlignment="1" applyProtection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29" xfId="0" applyFont="1" applyFill="1" applyBorder="1" applyAlignment="1">
      <alignment horizontal="left" vertical="center" wrapText="1"/>
    </xf>
    <xf numFmtId="0" fontId="18" fillId="0" borderId="0" xfId="0" applyFont="1" applyFill="1" applyProtection="1">
      <alignment vertical="center"/>
    </xf>
    <xf numFmtId="0" fontId="24" fillId="0" borderId="0" xfId="0" applyFont="1" applyFill="1" applyProtection="1">
      <alignment vertical="center"/>
    </xf>
    <xf numFmtId="0" fontId="24" fillId="0" borderId="0" xfId="0" applyFont="1" applyFill="1">
      <alignment vertical="center"/>
    </xf>
    <xf numFmtId="0" fontId="0" fillId="0" borderId="0" xfId="0" applyFont="1" applyFill="1" applyProtection="1">
      <alignment vertical="center"/>
    </xf>
    <xf numFmtId="0" fontId="0" fillId="0" borderId="0" xfId="0" applyFont="1" applyFill="1">
      <alignment vertical="center"/>
    </xf>
    <xf numFmtId="0" fontId="4" fillId="0" borderId="40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23" fillId="0" borderId="1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42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56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3" fillId="5" borderId="0" xfId="0" applyFont="1" applyFill="1" applyBorder="1">
      <alignment vertical="center"/>
    </xf>
    <xf numFmtId="0" fontId="3" fillId="5" borderId="0" xfId="0" applyFont="1" applyFill="1" applyProtection="1">
      <alignment vertical="center"/>
    </xf>
    <xf numFmtId="0" fontId="0" fillId="5" borderId="0" xfId="0" applyFill="1" applyProtection="1">
      <alignment vertical="center"/>
    </xf>
    <xf numFmtId="0" fontId="0" fillId="5" borderId="0" xfId="0" applyFill="1">
      <alignment vertical="center"/>
    </xf>
    <xf numFmtId="0" fontId="3" fillId="5" borderId="27" xfId="0" applyFont="1" applyFill="1" applyBorder="1">
      <alignment vertical="center"/>
    </xf>
    <xf numFmtId="0" fontId="3" fillId="5" borderId="29" xfId="0" applyFont="1" applyFill="1" applyBorder="1">
      <alignment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4" fillId="0" borderId="46" xfId="0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44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43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56" xfId="0" applyFont="1" applyFill="1" applyBorder="1" applyAlignment="1">
      <alignment horizontal="center" vertical="center"/>
    </xf>
    <xf numFmtId="176" fontId="2" fillId="6" borderId="21" xfId="0" applyNumberFormat="1" applyFont="1" applyFill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2" fillId="0" borderId="21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0" fillId="0" borderId="19" xfId="0" applyBorder="1">
      <alignment vertical="center"/>
    </xf>
    <xf numFmtId="0" fontId="2" fillId="0" borderId="20" xfId="0" applyFont="1" applyBorder="1" applyAlignment="1">
      <alignment vertical="center"/>
    </xf>
    <xf numFmtId="178" fontId="4" fillId="0" borderId="6" xfId="0" applyNumberFormat="1" applyFont="1" applyFill="1" applyBorder="1" applyAlignment="1">
      <alignment horizontal="center" vertical="center"/>
    </xf>
    <xf numFmtId="179" fontId="4" fillId="0" borderId="65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179" fontId="2" fillId="6" borderId="13" xfId="0" applyNumberFormat="1" applyFont="1" applyFill="1" applyBorder="1" applyAlignment="1">
      <alignment horizontal="center" vertical="center" wrapText="1"/>
    </xf>
    <xf numFmtId="178" fontId="2" fillId="0" borderId="5" xfId="0" applyNumberFormat="1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178" fontId="2" fillId="7" borderId="5" xfId="0" applyNumberFormat="1" applyFont="1" applyFill="1" applyBorder="1" applyAlignment="1">
      <alignment horizontal="center" vertical="center" wrapText="1"/>
    </xf>
    <xf numFmtId="179" fontId="4" fillId="8" borderId="10" xfId="0" applyNumberFormat="1" applyFont="1" applyFill="1" applyBorder="1" applyAlignment="1">
      <alignment horizontal="center" vertical="center"/>
    </xf>
    <xf numFmtId="178" fontId="2" fillId="8" borderId="5" xfId="0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9" fontId="4" fillId="0" borderId="25" xfId="0" applyNumberFormat="1" applyFont="1" applyFill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 wrapText="1"/>
    </xf>
    <xf numFmtId="0" fontId="6" fillId="0" borderId="66" xfId="0" applyFont="1" applyBorder="1" applyAlignment="1">
      <alignment horizontal="center" vertical="center" wrapText="1"/>
    </xf>
    <xf numFmtId="176" fontId="6" fillId="0" borderId="66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8" fillId="0" borderId="0" xfId="0" applyFont="1">
      <alignment vertical="center"/>
    </xf>
    <xf numFmtId="0" fontId="2" fillId="8" borderId="1" xfId="0" applyFont="1" applyFill="1" applyBorder="1" applyAlignment="1" applyProtection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4" fillId="8" borderId="1" xfId="5" applyNumberFormat="1" applyFont="1" applyFill="1" applyBorder="1" applyAlignment="1" applyProtection="1">
      <alignment horizontal="center" vertical="center"/>
    </xf>
    <xf numFmtId="0" fontId="4" fillId="9" borderId="1" xfId="5" applyNumberFormat="1" applyFont="1" applyFill="1" applyBorder="1" applyAlignment="1" applyProtection="1">
      <alignment horizontal="center" vertical="center"/>
    </xf>
    <xf numFmtId="0" fontId="2" fillId="9" borderId="1" xfId="0" applyFont="1" applyFill="1" applyBorder="1" applyAlignment="1" applyProtection="1">
      <alignment horizontal="center" vertical="center"/>
    </xf>
    <xf numFmtId="0" fontId="2" fillId="0" borderId="60" xfId="0" applyFont="1" applyFill="1" applyBorder="1" applyAlignment="1">
      <alignment horizontal="center" vertical="center"/>
    </xf>
    <xf numFmtId="0" fontId="2" fillId="0" borderId="76" xfId="0" applyFont="1" applyFill="1" applyBorder="1" applyAlignment="1">
      <alignment horizontal="center" vertical="center"/>
    </xf>
    <xf numFmtId="0" fontId="2" fillId="0" borderId="69" xfId="0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/>
    </xf>
    <xf numFmtId="179" fontId="4" fillId="7" borderId="10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 applyProtection="1">
      <alignment horizontal="center" vertical="center"/>
    </xf>
    <xf numFmtId="0" fontId="26" fillId="7" borderId="5" xfId="0" applyFont="1" applyFill="1" applyBorder="1" applyAlignment="1">
      <alignment horizontal="center" vertical="center"/>
    </xf>
    <xf numFmtId="0" fontId="26" fillId="0" borderId="52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6" fillId="0" borderId="38" xfId="0" applyFont="1" applyFill="1" applyBorder="1" applyAlignment="1">
      <alignment horizontal="center" vertical="center"/>
    </xf>
    <xf numFmtId="0" fontId="26" fillId="0" borderId="15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0" fontId="26" fillId="0" borderId="50" xfId="0" applyFont="1" applyFill="1" applyBorder="1" applyAlignment="1">
      <alignment horizontal="center" vertical="center"/>
    </xf>
    <xf numFmtId="0" fontId="26" fillId="0" borderId="3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26" fillId="0" borderId="17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26" fillId="0" borderId="1" xfId="0" quotePrefix="1" applyFont="1" applyFill="1" applyBorder="1" applyAlignment="1">
      <alignment horizontal="center" vertical="center"/>
    </xf>
    <xf numFmtId="0" fontId="26" fillId="0" borderId="28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26" fillId="7" borderId="28" xfId="0" applyFont="1" applyFill="1" applyBorder="1" applyAlignment="1">
      <alignment horizontal="center" vertical="center"/>
    </xf>
    <xf numFmtId="0" fontId="26" fillId="7" borderId="38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/>
    </xf>
    <xf numFmtId="0" fontId="26" fillId="7" borderId="50" xfId="0" applyFont="1" applyFill="1" applyBorder="1" applyAlignment="1">
      <alignment horizontal="center" vertical="center"/>
    </xf>
    <xf numFmtId="0" fontId="26" fillId="7" borderId="33" xfId="0" applyFont="1" applyFill="1" applyBorder="1" applyAlignment="1">
      <alignment horizontal="center" vertical="center"/>
    </xf>
    <xf numFmtId="0" fontId="4" fillId="8" borderId="5" xfId="0" quotePrefix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8" borderId="33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8" borderId="50" xfId="0" applyFont="1" applyFill="1" applyBorder="1" applyAlignment="1">
      <alignment horizontal="center" vertical="center"/>
    </xf>
    <xf numFmtId="0" fontId="4" fillId="8" borderId="55" xfId="0" applyFont="1" applyFill="1" applyBorder="1" applyAlignment="1">
      <alignment horizontal="center" vertical="center"/>
    </xf>
    <xf numFmtId="0" fontId="4" fillId="8" borderId="1" xfId="0" quotePrefix="1" applyFont="1" applyFill="1" applyBorder="1" applyAlignment="1">
      <alignment horizontal="center" vertical="center"/>
    </xf>
    <xf numFmtId="0" fontId="26" fillId="7" borderId="15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4" fillId="7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4" fillId="0" borderId="38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0" borderId="60" xfId="0" applyFont="1" applyFill="1" applyBorder="1" applyAlignment="1">
      <alignment horizontal="center" vertical="center"/>
    </xf>
    <xf numFmtId="0" fontId="4" fillId="0" borderId="5" xfId="0" quotePrefix="1" applyFont="1" applyFill="1" applyBorder="1" applyAlignment="1">
      <alignment horizontal="center" vertical="center"/>
    </xf>
    <xf numFmtId="0" fontId="4" fillId="8" borderId="69" xfId="0" quotePrefix="1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4" fillId="8" borderId="70" xfId="0" applyFont="1" applyFill="1" applyBorder="1" applyAlignment="1">
      <alignment horizontal="center" vertical="center"/>
    </xf>
    <xf numFmtId="0" fontId="4" fillId="8" borderId="73" xfId="0" applyFont="1" applyFill="1" applyBorder="1" applyAlignment="1">
      <alignment horizontal="center" vertical="center"/>
    </xf>
    <xf numFmtId="0" fontId="4" fillId="8" borderId="74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4" fillId="8" borderId="75" xfId="0" applyFont="1" applyFill="1" applyBorder="1" applyAlignment="1">
      <alignment horizontal="center" vertical="center"/>
    </xf>
    <xf numFmtId="0" fontId="4" fillId="8" borderId="69" xfId="0" applyFont="1" applyFill="1" applyBorder="1" applyAlignment="1">
      <alignment horizontal="center" vertical="center"/>
    </xf>
    <xf numFmtId="0" fontId="4" fillId="8" borderId="76" xfId="0" applyFont="1" applyFill="1" applyBorder="1" applyAlignment="1">
      <alignment horizontal="center" vertical="center"/>
    </xf>
    <xf numFmtId="0" fontId="4" fillId="8" borderId="77" xfId="0" applyFont="1" applyFill="1" applyBorder="1" applyAlignment="1">
      <alignment horizontal="center" vertical="center"/>
    </xf>
    <xf numFmtId="0" fontId="4" fillId="8" borderId="60" xfId="0" quotePrefix="1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center" vertical="center"/>
    </xf>
    <xf numFmtId="0" fontId="26" fillId="0" borderId="53" xfId="0" applyFont="1" applyFill="1" applyBorder="1" applyAlignment="1">
      <alignment horizontal="center" vertical="center"/>
    </xf>
    <xf numFmtId="0" fontId="26" fillId="0" borderId="25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53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52" xfId="0" applyFont="1" applyFill="1" applyBorder="1" applyAlignment="1">
      <alignment horizontal="center" vertical="center"/>
    </xf>
    <xf numFmtId="0" fontId="4" fillId="7" borderId="1" xfId="0" quotePrefix="1" applyFont="1" applyFill="1" applyBorder="1" applyAlignment="1">
      <alignment horizontal="center" vertical="center"/>
    </xf>
    <xf numFmtId="0" fontId="4" fillId="7" borderId="28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/>
    </xf>
    <xf numFmtId="0" fontId="4" fillId="0" borderId="2" xfId="0" quotePrefix="1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0" borderId="10" xfId="0" quotePrefix="1" applyFont="1" applyFill="1" applyBorder="1" applyAlignment="1">
      <alignment horizontal="center" vertical="center"/>
    </xf>
    <xf numFmtId="0" fontId="4" fillId="0" borderId="58" xfId="0" applyFont="1" applyFill="1" applyBorder="1" applyAlignment="1">
      <alignment horizontal="center" vertical="center"/>
    </xf>
    <xf numFmtId="0" fontId="4" fillId="7" borderId="50" xfId="0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center" vertical="center"/>
    </xf>
    <xf numFmtId="0" fontId="4" fillId="0" borderId="54" xfId="0" applyFont="1" applyFill="1" applyBorder="1" applyAlignment="1">
      <alignment horizontal="center" vertical="center"/>
    </xf>
    <xf numFmtId="0" fontId="26" fillId="0" borderId="55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72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78" xfId="0" applyFont="1" applyFill="1" applyBorder="1" applyAlignment="1">
      <alignment horizontal="center" vertical="center"/>
    </xf>
    <xf numFmtId="0" fontId="4" fillId="8" borderId="79" xfId="0" applyFont="1" applyFill="1" applyBorder="1" applyAlignment="1">
      <alignment horizontal="center" vertical="center"/>
    </xf>
    <xf numFmtId="0" fontId="4" fillId="8" borderId="36" xfId="0" applyFont="1" applyFill="1" applyBorder="1" applyAlignment="1">
      <alignment horizontal="center" vertical="center"/>
    </xf>
    <xf numFmtId="0" fontId="4" fillId="8" borderId="35" xfId="0" applyFont="1" applyFill="1" applyBorder="1" applyAlignment="1">
      <alignment horizontal="center" vertical="center"/>
    </xf>
    <xf numFmtId="0" fontId="4" fillId="8" borderId="71" xfId="0" applyFont="1" applyFill="1" applyBorder="1" applyAlignment="1">
      <alignment horizontal="center" vertical="center"/>
    </xf>
    <xf numFmtId="0" fontId="4" fillId="8" borderId="80" xfId="0" applyFont="1" applyFill="1" applyBorder="1" applyAlignment="1">
      <alignment horizontal="center" vertical="center"/>
    </xf>
    <xf numFmtId="0" fontId="4" fillId="8" borderId="72" xfId="0" quotePrefix="1" applyFont="1" applyFill="1" applyBorder="1" applyAlignment="1">
      <alignment horizontal="center" vertical="center"/>
    </xf>
    <xf numFmtId="0" fontId="26" fillId="0" borderId="30" xfId="0" applyFont="1" applyFill="1" applyBorder="1" applyAlignment="1">
      <alignment horizontal="center" vertical="center"/>
    </xf>
    <xf numFmtId="0" fontId="26" fillId="0" borderId="28" xfId="0" quotePrefix="1" applyFont="1" applyFill="1" applyBorder="1" applyAlignment="1">
      <alignment horizontal="center" vertical="center"/>
    </xf>
    <xf numFmtId="179" fontId="4" fillId="0" borderId="10" xfId="0" applyNumberFormat="1" applyFont="1" applyFill="1" applyBorder="1" applyAlignment="1">
      <alignment horizontal="center" vertical="center"/>
    </xf>
    <xf numFmtId="0" fontId="26" fillId="0" borderId="9" xfId="0" applyFont="1" applyFill="1" applyBorder="1" applyAlignment="1">
      <alignment horizontal="center" vertical="center"/>
    </xf>
    <xf numFmtId="0" fontId="26" fillId="0" borderId="23" xfId="0" applyFont="1" applyFill="1" applyBorder="1" applyAlignment="1">
      <alignment horizontal="center" vertical="center"/>
    </xf>
    <xf numFmtId="0" fontId="33" fillId="8" borderId="72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/>
    </xf>
    <xf numFmtId="0" fontId="33" fillId="8" borderId="60" xfId="0" applyFont="1" applyFill="1" applyBorder="1" applyAlignment="1">
      <alignment horizontal="center" vertical="center"/>
    </xf>
    <xf numFmtId="0" fontId="26" fillId="7" borderId="1" xfId="0" quotePrefix="1" applyFont="1" applyFill="1" applyBorder="1" applyAlignment="1">
      <alignment horizontal="center" vertical="center"/>
    </xf>
    <xf numFmtId="0" fontId="22" fillId="0" borderId="64" xfId="0" applyFont="1" applyBorder="1" applyAlignment="1">
      <alignment horizontal="center" vertical="center" wrapText="1"/>
    </xf>
    <xf numFmtId="0" fontId="22" fillId="0" borderId="59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39" xfId="0" applyFont="1" applyFill="1" applyBorder="1" applyAlignment="1">
      <alignment horizontal="left" vertical="center" wrapText="1"/>
    </xf>
    <xf numFmtId="0" fontId="2" fillId="0" borderId="32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1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43" fontId="2" fillId="0" borderId="47" xfId="48" applyFont="1" applyBorder="1" applyAlignment="1">
      <alignment horizontal="center" vertical="center"/>
    </xf>
    <xf numFmtId="43" fontId="2" fillId="0" borderId="48" xfId="48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77" fontId="9" fillId="9" borderId="37" xfId="5" applyNumberFormat="1" applyFont="1" applyFill="1" applyBorder="1" applyAlignment="1" applyProtection="1">
      <alignment horizontal="center" vertical="center" wrapText="1"/>
    </xf>
    <xf numFmtId="177" fontId="9" fillId="9" borderId="64" xfId="5" applyNumberFormat="1" applyFont="1" applyFill="1" applyBorder="1" applyAlignment="1" applyProtection="1">
      <alignment horizontal="center" vertical="center" wrapText="1"/>
    </xf>
    <xf numFmtId="0" fontId="16" fillId="0" borderId="0" xfId="0" applyFont="1" applyFill="1" applyAlignment="1" applyProtection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178" fontId="25" fillId="0" borderId="17" xfId="0" applyNumberFormat="1" applyFont="1" applyFill="1" applyBorder="1" applyAlignment="1">
      <alignment horizontal="center" vertical="center" wrapText="1"/>
    </xf>
    <xf numFmtId="177" fontId="9" fillId="8" borderId="37" xfId="5" applyNumberFormat="1" applyFont="1" applyFill="1" applyBorder="1" applyAlignment="1" applyProtection="1">
      <alignment horizontal="center" vertical="center" wrapText="1"/>
    </xf>
    <xf numFmtId="177" fontId="9" fillId="8" borderId="64" xfId="5" applyNumberFormat="1" applyFont="1" applyFill="1" applyBorder="1" applyAlignment="1" applyProtection="1">
      <alignment horizontal="center" vertical="center" wrapText="1"/>
    </xf>
    <xf numFmtId="0" fontId="2" fillId="0" borderId="27" xfId="0" applyFont="1" applyFill="1" applyBorder="1" applyAlignment="1" applyProtection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</cellXfs>
  <cellStyles count="66">
    <cellStyle name="Normal_OJT DOCS" xfId="19"/>
    <cellStyle name="TableStyleLight1" xfId="6"/>
    <cellStyle name="一般" xfId="0" builtinId="0"/>
    <cellStyle name="一般 10" xfId="3"/>
    <cellStyle name="一般 10 2" xfId="7"/>
    <cellStyle name="一般 10 3" xfId="53"/>
    <cellStyle name="一般 11" xfId="8"/>
    <cellStyle name="一般 2" xfId="9"/>
    <cellStyle name="一般 2 2" xfId="10"/>
    <cellStyle name="一般 2 3" xfId="11"/>
    <cellStyle name="一般 3" xfId="12"/>
    <cellStyle name="一般 3 2" xfId="20"/>
    <cellStyle name="一般 3 2 2" xfId="21"/>
    <cellStyle name="一般 3 2 3" xfId="22"/>
    <cellStyle name="一般 3 2_個人班表小月曆" xfId="23"/>
    <cellStyle name="一般 3 3" xfId="24"/>
    <cellStyle name="一般 3 4" xfId="25"/>
    <cellStyle name="一般 3_個人班表小月曆" xfId="26"/>
    <cellStyle name="一般 4" xfId="13"/>
    <cellStyle name="一般 4 2" xfId="27"/>
    <cellStyle name="一般 4 2 2" xfId="28"/>
    <cellStyle name="一般 4 3" xfId="29"/>
    <cellStyle name="一般 4 3 2" xfId="30"/>
    <cellStyle name="一般 4 3_個人班表小月曆" xfId="31"/>
    <cellStyle name="一般 4 4" xfId="32"/>
    <cellStyle name="一般 4 5" xfId="33"/>
    <cellStyle name="一般 4_個人班表小月曆" xfId="34"/>
    <cellStyle name="一般 5" xfId="14"/>
    <cellStyle name="一般 5 2" xfId="35"/>
    <cellStyle name="一般 5 2 2" xfId="36"/>
    <cellStyle name="一般 5 2 3" xfId="37"/>
    <cellStyle name="一般 5 2_個人班表小月曆" xfId="38"/>
    <cellStyle name="一般 5 3" xfId="39"/>
    <cellStyle name="一般 5 4" xfId="40"/>
    <cellStyle name="一般 5_個人班表小月曆" xfId="41"/>
    <cellStyle name="一般 6" xfId="15"/>
    <cellStyle name="一般 6 2" xfId="42"/>
    <cellStyle name="一般 6 3" xfId="43"/>
    <cellStyle name="一般 6 4" xfId="44"/>
    <cellStyle name="一般 6_個人班表小月曆" xfId="45"/>
    <cellStyle name="一般 7" xfId="1"/>
    <cellStyle name="一般 8" xfId="16"/>
    <cellStyle name="一般 9" xfId="4"/>
    <cellStyle name="一般 9 3 2" xfId="17"/>
    <cellStyle name="一般 9 4" xfId="18"/>
    <cellStyle name="一般 9 7 2 2 2 2 2 2" xfId="49"/>
    <cellStyle name="一般_AB班表早晚班交錯POR_2007-roster_2007-roster" xfId="5"/>
    <cellStyle name="一般_AB班表早晚班交錯POR_PC SHIFT ROSTER OF AUG 2006 25-8-2006 revised UPDATED" xfId="2"/>
    <cellStyle name="千分位" xfId="48" builtinId="3"/>
    <cellStyle name="千分位 2" xfId="50"/>
    <cellStyle name="千分位 2 2" xfId="52"/>
    <cellStyle name="千分位 2 2 2" xfId="57"/>
    <cellStyle name="千分位 2 2 2 2" xfId="65"/>
    <cellStyle name="千分位 2 2 3" xfId="61"/>
    <cellStyle name="千分位 2 3" xfId="55"/>
    <cellStyle name="千分位 2 3 2" xfId="63"/>
    <cellStyle name="千分位 2 4" xfId="59"/>
    <cellStyle name="千分位 3" xfId="51"/>
    <cellStyle name="千分位 3 2" xfId="56"/>
    <cellStyle name="千分位 3 2 2" xfId="64"/>
    <cellStyle name="千分位 3 3" xfId="60"/>
    <cellStyle name="千分位 4" xfId="54"/>
    <cellStyle name="千分位 4 2" xfId="62"/>
    <cellStyle name="千分位 5" xfId="58"/>
    <cellStyle name="好_個人班表小月曆" xfId="46"/>
    <cellStyle name="壞_個人班表小月曆" xfId="47"/>
  </cellStyles>
  <dxfs count="29">
    <dxf>
      <fill>
        <patternFill>
          <bgColor rgb="FFC0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 patternType="none">
          <bgColor indexed="65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indexed="6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B050"/>
      <color rgb="FFFF00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6" fmlaLink="工作表1!$C$1" max="2030" min="2021" page="10" val="2026"/>
</file>

<file path=xl/ctrlProps/ctrlProp2.xml><?xml version="1.0" encoding="utf-8"?>
<formControlPr xmlns="http://schemas.microsoft.com/office/spreadsheetml/2009/9/main" objectType="Spin" dx="26" fmlaLink="$H$1" max="12" min="1" page="10" val="4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8.png@01DBF756.9B0955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73</xdr:row>
      <xdr:rowOff>14286</xdr:rowOff>
    </xdr:from>
    <xdr:to>
      <xdr:col>24</xdr:col>
      <xdr:colOff>161925</xdr:colOff>
      <xdr:row>76</xdr:row>
      <xdr:rowOff>368378</xdr:rowOff>
    </xdr:to>
    <xdr:pic>
      <xdr:nvPicPr>
        <xdr:cNvPr id="3" name="圖片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2479" y="38971536"/>
          <a:ext cx="30627071" cy="1520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38100</xdr:colOff>
          <xdr:row>0</xdr:row>
          <xdr:rowOff>28575</xdr:rowOff>
        </xdr:from>
        <xdr:to>
          <xdr:col>3</xdr:col>
          <xdr:colOff>447675</xdr:colOff>
          <xdr:row>1</xdr:row>
          <xdr:rowOff>0</xdr:rowOff>
        </xdr:to>
        <xdr:sp macro="" textlink="">
          <xdr:nvSpPr>
            <xdr:cNvPr id="17409" name="Spinner 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57150</xdr:colOff>
          <xdr:row>0</xdr:row>
          <xdr:rowOff>9525</xdr:rowOff>
        </xdr:from>
        <xdr:to>
          <xdr:col>8</xdr:col>
          <xdr:colOff>438150</xdr:colOff>
          <xdr:row>1</xdr:row>
          <xdr:rowOff>0</xdr:rowOff>
        </xdr:to>
        <xdr:sp macro="" textlink="">
          <xdr:nvSpPr>
            <xdr:cNvPr id="17410" name="Spinner 2" hidden="1">
              <a:extLst>
                <a:ext uri="{63B3BB69-23CF-44E3-9099-C40C66FF867C}">
                  <a14:compatExt spid="_x0000_s174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171450</xdr:colOff>
          <xdr:row>0</xdr:row>
          <xdr:rowOff>57150</xdr:rowOff>
        </xdr:from>
        <xdr:to>
          <xdr:col>11</xdr:col>
          <xdr:colOff>133350</xdr:colOff>
          <xdr:row>1</xdr:row>
          <xdr:rowOff>0</xdr:rowOff>
        </xdr:to>
        <xdr:sp macro="" textlink="">
          <xdr:nvSpPr>
            <xdr:cNvPr id="17411" name="Button 3" hidden="1">
              <a:extLst>
                <a:ext uri="{63B3BB69-23CF-44E3-9099-C40C66FF867C}">
                  <a14:compatExt spid="_x0000_s174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TW" altLang="en-US" sz="1200" b="0" i="0" u="none" strike="noStrike" baseline="0">
                  <a:solidFill>
                    <a:srgbClr val="000000"/>
                  </a:solidFill>
                  <a:latin typeface="新細明體"/>
                  <a:ea typeface="新細明體"/>
                </a:rPr>
                <a:t>清除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5613;&#23567;&#32160;\2.&#24046;&#21220;\0.&#21271;&#27573;&#29677;&#34920;\112&#24180;\&#31684;&#2036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工作表1"/>
      <sheetName val="工作表2"/>
      <sheetName val="範例"/>
    </sheetNames>
    <definedNames>
      <definedName name="清除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Q114"/>
  <sheetViews>
    <sheetView tabSelected="1" zoomScale="40" zoomScaleNormal="40" zoomScaleSheetLayoutView="40" zoomScalePageLayoutView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H28" sqref="AH28"/>
    </sheetView>
  </sheetViews>
  <sheetFormatPr defaultColWidth="8.875" defaultRowHeight="16.5"/>
  <cols>
    <col min="1" max="1" width="11.875" style="5" customWidth="1"/>
    <col min="2" max="2" width="20.125" style="5" bestFit="1" customWidth="1"/>
    <col min="3" max="3" width="18.875" style="5" customWidth="1"/>
    <col min="4" max="6" width="19.875" style="36" customWidth="1"/>
    <col min="7" max="7" width="22.75" style="10" customWidth="1"/>
    <col min="8" max="8" width="24" style="10" customWidth="1"/>
    <col min="9" max="9" width="23.25" style="10" customWidth="1"/>
    <col min="10" max="16" width="19.875" style="10" customWidth="1"/>
    <col min="17" max="17" width="19.875" style="71" customWidth="1"/>
    <col min="18" max="18" width="19.875" style="69" customWidth="1"/>
    <col min="19" max="24" width="19.875" style="10" customWidth="1"/>
    <col min="25" max="25" width="19.875" style="5" customWidth="1"/>
    <col min="26" max="28" width="19.875" style="90" customWidth="1"/>
    <col min="29" max="32" width="19.875" style="10" customWidth="1"/>
    <col min="33" max="38" width="19.875" style="90" customWidth="1"/>
    <col min="39" max="39" width="16.75" style="10" customWidth="1"/>
    <col min="40" max="41" width="8.5" style="21" customWidth="1"/>
    <col min="42" max="47" width="8" style="21" customWidth="1"/>
    <col min="48" max="60" width="7.375" style="99" customWidth="1"/>
    <col min="61" max="65" width="8.125" style="99" customWidth="1"/>
    <col min="66" max="66" width="7.875" style="99" customWidth="1"/>
    <col min="67" max="67" width="8.875" style="5" customWidth="1"/>
    <col min="68" max="69" width="8.375" style="5" customWidth="1"/>
    <col min="70" max="16384" width="8.875" style="5"/>
  </cols>
  <sheetData>
    <row r="1" spans="1:69" ht="63.75" customHeight="1" thickBot="1">
      <c r="A1" s="295"/>
      <c r="B1" s="297" t="s">
        <v>0</v>
      </c>
      <c r="C1" s="299" t="s">
        <v>107</v>
      </c>
      <c r="D1" s="137">
        <v>46201</v>
      </c>
      <c r="E1" s="137">
        <v>46202</v>
      </c>
      <c r="F1" s="137">
        <v>46203</v>
      </c>
      <c r="G1" s="137">
        <v>46204</v>
      </c>
      <c r="H1" s="137">
        <v>46205</v>
      </c>
      <c r="I1" s="137">
        <v>46206</v>
      </c>
      <c r="J1" s="137">
        <v>46207</v>
      </c>
      <c r="K1" s="135">
        <v>46208</v>
      </c>
      <c r="L1" s="133">
        <v>46209</v>
      </c>
      <c r="M1" s="133">
        <v>46210</v>
      </c>
      <c r="N1" s="133">
        <v>46211</v>
      </c>
      <c r="O1" s="133">
        <v>46212</v>
      </c>
      <c r="P1" s="133">
        <v>46213</v>
      </c>
      <c r="Q1" s="135">
        <v>46214</v>
      </c>
      <c r="R1" s="135">
        <v>46215</v>
      </c>
      <c r="S1" s="133">
        <v>46216</v>
      </c>
      <c r="T1" s="133">
        <v>46217</v>
      </c>
      <c r="U1" s="133">
        <v>46218</v>
      </c>
      <c r="V1" s="133">
        <v>46219</v>
      </c>
      <c r="W1" s="133">
        <v>46220</v>
      </c>
      <c r="X1" s="135">
        <v>46221</v>
      </c>
      <c r="Y1" s="135">
        <v>46222</v>
      </c>
      <c r="Z1" s="133">
        <v>46223</v>
      </c>
      <c r="AA1" s="133">
        <v>46224</v>
      </c>
      <c r="AB1" s="133">
        <v>46225</v>
      </c>
      <c r="AC1" s="133">
        <v>46226</v>
      </c>
      <c r="AD1" s="133">
        <v>46227</v>
      </c>
      <c r="AE1" s="135">
        <v>46228</v>
      </c>
      <c r="AF1" s="135">
        <v>46229</v>
      </c>
      <c r="AG1" s="133">
        <v>46230</v>
      </c>
      <c r="AH1" s="133">
        <v>46231</v>
      </c>
      <c r="AI1" s="133">
        <v>46232</v>
      </c>
      <c r="AJ1" s="133">
        <v>46233</v>
      </c>
      <c r="AK1" s="133">
        <v>46234</v>
      </c>
      <c r="AL1" s="135">
        <v>46235</v>
      </c>
      <c r="AM1" s="301" t="s">
        <v>287</v>
      </c>
      <c r="AN1" s="302" t="s">
        <v>286</v>
      </c>
      <c r="AO1" s="303"/>
      <c r="AP1" s="289" t="s">
        <v>284</v>
      </c>
      <c r="AQ1" s="290"/>
      <c r="AR1" s="289" t="s">
        <v>311</v>
      </c>
      <c r="AS1" s="290"/>
      <c r="AT1" s="289" t="s">
        <v>285</v>
      </c>
      <c r="AU1" s="290"/>
      <c r="AV1" s="269" t="s">
        <v>306</v>
      </c>
      <c r="AW1" s="270"/>
      <c r="AX1" s="270"/>
      <c r="AY1" s="270"/>
      <c r="AZ1" s="270"/>
      <c r="BA1" s="270"/>
      <c r="BB1" s="270"/>
      <c r="BC1" s="271"/>
      <c r="BD1" s="269" t="s">
        <v>307</v>
      </c>
      <c r="BE1" s="270"/>
      <c r="BF1" s="270"/>
      <c r="BG1" s="270"/>
      <c r="BH1" s="271"/>
      <c r="BI1" s="141" t="s">
        <v>276</v>
      </c>
      <c r="BJ1" s="141" t="s">
        <v>288</v>
      </c>
      <c r="BK1" s="142" t="s">
        <v>289</v>
      </c>
      <c r="BL1" s="143" t="s">
        <v>290</v>
      </c>
      <c r="BM1" s="143" t="s">
        <v>291</v>
      </c>
      <c r="BN1" s="267" t="s">
        <v>292</v>
      </c>
      <c r="BP1" s="144" t="s">
        <v>275</v>
      </c>
      <c r="BQ1" s="144" t="s">
        <v>293</v>
      </c>
    </row>
    <row r="2" spans="1:69" ht="43.5" customHeight="1" thickBot="1">
      <c r="A2" s="296"/>
      <c r="B2" s="298"/>
      <c r="C2" s="300"/>
      <c r="D2" s="136" t="str">
        <f t="shared" ref="D2:F2" si="0">RIGHT(TEXT(D1,"[$-404]aaaa;@"),1)</f>
        <v>日</v>
      </c>
      <c r="E2" s="136" t="str">
        <f t="shared" si="0"/>
        <v>一</v>
      </c>
      <c r="F2" s="136" t="str">
        <f t="shared" si="0"/>
        <v>二</v>
      </c>
      <c r="G2" s="136" t="str">
        <f>RIGHT(TEXT(G1,"[$-404]aaaa;@"),1)</f>
        <v>三</v>
      </c>
      <c r="H2" s="136" t="str">
        <f t="shared" ref="H2:AL2" si="1">RIGHT(TEXT(H1,"[$-404]aaaa;@"),1)</f>
        <v>四</v>
      </c>
      <c r="I2" s="136" t="str">
        <f t="shared" si="1"/>
        <v>五</v>
      </c>
      <c r="J2" s="136" t="str">
        <f t="shared" si="1"/>
        <v>六</v>
      </c>
      <c r="K2" s="155" t="str">
        <f t="shared" si="1"/>
        <v>日</v>
      </c>
      <c r="L2" s="260" t="str">
        <f t="shared" si="1"/>
        <v>一</v>
      </c>
      <c r="M2" s="260" t="str">
        <f t="shared" si="1"/>
        <v>二</v>
      </c>
      <c r="N2" s="260" t="str">
        <f t="shared" si="1"/>
        <v>三</v>
      </c>
      <c r="O2" s="260" t="str">
        <f t="shared" si="1"/>
        <v>四</v>
      </c>
      <c r="P2" s="260" t="str">
        <f t="shared" si="1"/>
        <v>五</v>
      </c>
      <c r="Q2" s="155" t="str">
        <f t="shared" si="1"/>
        <v>六</v>
      </c>
      <c r="R2" s="155" t="str">
        <f t="shared" si="1"/>
        <v>日</v>
      </c>
      <c r="S2" s="260" t="str">
        <f t="shared" si="1"/>
        <v>一</v>
      </c>
      <c r="T2" s="260" t="str">
        <f t="shared" si="1"/>
        <v>二</v>
      </c>
      <c r="U2" s="260" t="str">
        <f t="shared" si="1"/>
        <v>三</v>
      </c>
      <c r="V2" s="260" t="str">
        <f t="shared" si="1"/>
        <v>四</v>
      </c>
      <c r="W2" s="260" t="str">
        <f t="shared" si="1"/>
        <v>五</v>
      </c>
      <c r="X2" s="155" t="str">
        <f t="shared" si="1"/>
        <v>六</v>
      </c>
      <c r="Y2" s="155" t="str">
        <f t="shared" si="1"/>
        <v>日</v>
      </c>
      <c r="Z2" s="260" t="str">
        <f t="shared" si="1"/>
        <v>一</v>
      </c>
      <c r="AA2" s="260" t="str">
        <f t="shared" si="1"/>
        <v>二</v>
      </c>
      <c r="AB2" s="260" t="str">
        <f t="shared" si="1"/>
        <v>三</v>
      </c>
      <c r="AC2" s="260" t="str">
        <f t="shared" si="1"/>
        <v>四</v>
      </c>
      <c r="AD2" s="260" t="str">
        <f t="shared" si="1"/>
        <v>五</v>
      </c>
      <c r="AE2" s="155" t="str">
        <f t="shared" si="1"/>
        <v>六</v>
      </c>
      <c r="AF2" s="155" t="str">
        <f t="shared" si="1"/>
        <v>日</v>
      </c>
      <c r="AG2" s="260" t="str">
        <f t="shared" si="1"/>
        <v>一</v>
      </c>
      <c r="AH2" s="260" t="str">
        <f t="shared" si="1"/>
        <v>二</v>
      </c>
      <c r="AI2" s="260" t="str">
        <f t="shared" si="1"/>
        <v>三</v>
      </c>
      <c r="AJ2" s="260" t="str">
        <f t="shared" si="1"/>
        <v>四</v>
      </c>
      <c r="AK2" s="260" t="str">
        <f t="shared" si="1"/>
        <v>五</v>
      </c>
      <c r="AL2" s="155" t="str">
        <f t="shared" si="1"/>
        <v>六</v>
      </c>
      <c r="AM2" s="301"/>
      <c r="AN2" s="148" t="s">
        <v>244</v>
      </c>
      <c r="AO2" s="148" t="s">
        <v>114</v>
      </c>
      <c r="AP2" s="149" t="s">
        <v>244</v>
      </c>
      <c r="AQ2" s="149" t="s">
        <v>114</v>
      </c>
      <c r="AR2" s="149" t="s">
        <v>244</v>
      </c>
      <c r="AS2" s="149" t="s">
        <v>114</v>
      </c>
      <c r="AT2" s="149" t="s">
        <v>244</v>
      </c>
      <c r="AU2" s="149" t="s">
        <v>114</v>
      </c>
      <c r="AV2" s="139" t="s">
        <v>163</v>
      </c>
      <c r="AW2" s="115" t="s">
        <v>112</v>
      </c>
      <c r="AX2" s="116" t="s">
        <v>2</v>
      </c>
      <c r="AY2" s="116" t="s">
        <v>3</v>
      </c>
      <c r="AZ2" s="116" t="s">
        <v>113</v>
      </c>
      <c r="BA2" s="116" t="s">
        <v>4</v>
      </c>
      <c r="BB2" s="116" t="s">
        <v>5</v>
      </c>
      <c r="BC2" s="140" t="s">
        <v>1</v>
      </c>
      <c r="BD2" s="119" t="s">
        <v>6</v>
      </c>
      <c r="BE2" s="116" t="s">
        <v>7</v>
      </c>
      <c r="BF2" s="116" t="s">
        <v>8</v>
      </c>
      <c r="BG2" s="116" t="s">
        <v>9</v>
      </c>
      <c r="BH2" s="120" t="s">
        <v>10</v>
      </c>
      <c r="BI2" s="115" t="s">
        <v>7</v>
      </c>
      <c r="BJ2" s="116" t="s">
        <v>7</v>
      </c>
      <c r="BK2" s="116" t="s">
        <v>114</v>
      </c>
      <c r="BL2" s="116" t="s">
        <v>114</v>
      </c>
      <c r="BM2" s="116" t="s">
        <v>114</v>
      </c>
      <c r="BN2" s="268"/>
    </row>
    <row r="3" spans="1:69" ht="39.75" hidden="1" customHeight="1">
      <c r="A3" s="275" t="s">
        <v>108</v>
      </c>
      <c r="B3" s="48" t="s">
        <v>236</v>
      </c>
      <c r="C3" s="73" t="s">
        <v>11</v>
      </c>
      <c r="D3" s="182" t="s">
        <v>7</v>
      </c>
      <c r="E3" s="181" t="s">
        <v>245</v>
      </c>
      <c r="F3" s="181" t="s">
        <v>245</v>
      </c>
      <c r="G3" s="181" t="s">
        <v>245</v>
      </c>
      <c r="H3" s="211" t="s">
        <v>245</v>
      </c>
      <c r="I3" s="246" t="s">
        <v>245</v>
      </c>
      <c r="J3" s="219" t="s">
        <v>125</v>
      </c>
      <c r="K3" s="200"/>
      <c r="L3" s="201"/>
      <c r="M3" s="210"/>
      <c r="N3" s="210"/>
      <c r="O3" s="210"/>
      <c r="P3" s="210"/>
      <c r="Q3" s="200"/>
      <c r="R3" s="200"/>
      <c r="S3" s="210"/>
      <c r="T3" s="210"/>
      <c r="U3" s="210"/>
      <c r="V3" s="210"/>
      <c r="W3" s="210"/>
      <c r="X3" s="200"/>
      <c r="Y3" s="200"/>
      <c r="Z3" s="210"/>
      <c r="AA3" s="210"/>
      <c r="AB3" s="210"/>
      <c r="AC3" s="210"/>
      <c r="AD3" s="210"/>
      <c r="AE3" s="200"/>
      <c r="AF3" s="200"/>
      <c r="AG3" s="210"/>
      <c r="AH3" s="210"/>
      <c r="AI3" s="210"/>
      <c r="AJ3" s="210"/>
      <c r="AK3" s="210"/>
      <c r="AL3" s="223"/>
      <c r="AM3" s="147">
        <f>BP3+BQ3</f>
        <v>11</v>
      </c>
      <c r="AN3" s="146">
        <v>2</v>
      </c>
      <c r="AO3" s="146">
        <v>2</v>
      </c>
      <c r="AP3" s="150">
        <v>4</v>
      </c>
      <c r="AQ3" s="150">
        <v>4</v>
      </c>
      <c r="AR3" s="150">
        <f>COUNTIF(K3:X3,"r'*")</f>
        <v>0</v>
      </c>
      <c r="AS3" s="150">
        <f>COUNTIF(K3:X3,"R")</f>
        <v>0</v>
      </c>
      <c r="AT3" s="150">
        <f>8-AN3-AP3-AR3</f>
        <v>2</v>
      </c>
      <c r="AU3" s="150">
        <f>8-AO3-AQ3-AS3</f>
        <v>2</v>
      </c>
      <c r="AV3" s="101">
        <f>COUNTIF(G3:AK3,"*早*")-AW3</f>
        <v>0</v>
      </c>
      <c r="AW3" s="101">
        <f>COUNTIF(G3:AK3,"*早A")</f>
        <v>0</v>
      </c>
      <c r="AX3" s="101">
        <f>COUNTIF(G3:AK3,"*中*")</f>
        <v>0</v>
      </c>
      <c r="AY3" s="101">
        <f>COUNTIF(G3:AK3,"*午*")-AZ3</f>
        <v>0</v>
      </c>
      <c r="AZ3" s="101">
        <f>COUNTIF(G3:AK3,"*午F")</f>
        <v>0</v>
      </c>
      <c r="BA3" s="101">
        <f>COUNTIF(G3:AK3,"*夜*")</f>
        <v>0</v>
      </c>
      <c r="BB3" s="101">
        <f>COUNTIF(G3:AK3,"*T*")</f>
        <v>0</v>
      </c>
      <c r="BC3" s="101">
        <f>COUNTIF(G3:AK3,"*日*")</f>
        <v>3</v>
      </c>
      <c r="BD3" s="101">
        <f>COUNTIF(G3:AK3,"L")</f>
        <v>0</v>
      </c>
      <c r="BE3" s="101" cm="1">
        <f t="array" ref="BE3">SUMPRODUCT(1*ISNUMBER(FIND("R",G3:AK3)))</f>
        <v>0</v>
      </c>
      <c r="BF3" s="101" cm="1">
        <f t="array" ref="BF3">SUMPRODUCT(1*ISNUMBER(FIND("r",G3:AK3)))</f>
        <v>1</v>
      </c>
      <c r="BG3" s="101" cm="1">
        <f t="array" ref="BG3">SUMPRODUCT(1*ISNUMBER(FIND("P",G3:AK3)))-SUMPRODUCT(1*ISNUMBER(FIND("午P",G3:AK3)))</f>
        <v>0</v>
      </c>
      <c r="BH3" s="101">
        <f>SUM(BE3:BG3)</f>
        <v>1</v>
      </c>
      <c r="BI3" s="101" cm="1">
        <f t="array" ref="BI3">SUMPRODUCT(1*ISNUMBER(FIND("R",D3:J3)))</f>
        <v>1</v>
      </c>
      <c r="BJ3" s="101" cm="1">
        <f t="array" ref="BJ3">SUMPRODUCT(1*ISNUMBER(FIND("R",K3:Q3)))</f>
        <v>0</v>
      </c>
      <c r="BK3" s="101" cm="1">
        <f t="array" ref="BK3">SUMPRODUCT(1*ISNUMBER(FIND("R",R3:X3)))</f>
        <v>0</v>
      </c>
      <c r="BL3" s="101" cm="1">
        <f t="array" ref="BL3">SUMPRODUCT(1*ISNUMBER(FIND("R",Y3:AE3)))</f>
        <v>0</v>
      </c>
      <c r="BM3" s="101" cm="1">
        <f t="array" ref="BM3">SUMPRODUCT(1*ISNUMBER(FIND("R",AF3:AL3)))</f>
        <v>0</v>
      </c>
      <c r="BN3" s="101">
        <f>SUM(AV3:BG3)</f>
        <v>4</v>
      </c>
      <c r="BP3" s="138">
        <v>11</v>
      </c>
      <c r="BQ3" s="138" cm="1">
        <f t="array" ref="BQ3">SUMPRODUCT(1*ISNUMBER(FIND("P",K3:AL3)))-SUMPRODUCT(1*ISNUMBER(FIND("午P",K3:AL3)))</f>
        <v>0</v>
      </c>
    </row>
    <row r="4" spans="1:69" ht="39.75" hidden="1" customHeight="1">
      <c r="A4" s="276"/>
      <c r="B4" s="49" t="s">
        <v>12</v>
      </c>
      <c r="C4" s="78" t="s">
        <v>281</v>
      </c>
      <c r="D4" s="183" t="s">
        <v>143</v>
      </c>
      <c r="E4" s="183" t="s">
        <v>126</v>
      </c>
      <c r="F4" s="183" t="s">
        <v>126</v>
      </c>
      <c r="G4" s="183" t="s">
        <v>126</v>
      </c>
      <c r="H4" s="212" t="s">
        <v>7</v>
      </c>
      <c r="I4" s="247" t="s">
        <v>124</v>
      </c>
      <c r="J4" s="212" t="s">
        <v>124</v>
      </c>
      <c r="K4" s="202"/>
      <c r="L4" s="160"/>
      <c r="M4" s="160"/>
      <c r="N4" s="160"/>
      <c r="O4" s="160"/>
      <c r="P4" s="160"/>
      <c r="Q4" s="202"/>
      <c r="R4" s="202"/>
      <c r="S4" s="160"/>
      <c r="T4" s="160"/>
      <c r="U4" s="160"/>
      <c r="V4" s="203"/>
      <c r="W4" s="159"/>
      <c r="X4" s="202"/>
      <c r="Y4" s="202"/>
      <c r="Z4" s="160"/>
      <c r="AA4" s="160"/>
      <c r="AB4" s="160"/>
      <c r="AC4" s="160"/>
      <c r="AD4" s="159"/>
      <c r="AE4" s="202"/>
      <c r="AF4" s="202"/>
      <c r="AG4" s="160"/>
      <c r="AH4" s="160"/>
      <c r="AI4" s="160"/>
      <c r="AJ4" s="160"/>
      <c r="AK4" s="160"/>
      <c r="AL4" s="202"/>
      <c r="AM4" s="147">
        <f t="shared" ref="AM4:AM67" si="2">BP4+BQ4</f>
        <v>9</v>
      </c>
      <c r="AN4" s="146">
        <v>2</v>
      </c>
      <c r="AO4" s="146">
        <v>2</v>
      </c>
      <c r="AP4" s="150">
        <v>4</v>
      </c>
      <c r="AQ4" s="150">
        <v>4</v>
      </c>
      <c r="AR4" s="150">
        <f t="shared" ref="AR4:AR67" si="3">COUNTIF(K4:X4,"r'*")</f>
        <v>0</v>
      </c>
      <c r="AS4" s="150">
        <f t="shared" ref="AS4:AS67" si="4">COUNTIF(K4:X4,"R")</f>
        <v>0</v>
      </c>
      <c r="AT4" s="150">
        <f t="shared" ref="AT4:AT67" si="5">8-AN4-AP4-AR4</f>
        <v>2</v>
      </c>
      <c r="AU4" s="150">
        <f t="shared" ref="AU4:AU67" si="6">8-AO4-AQ4-AS4</f>
        <v>2</v>
      </c>
      <c r="AV4" s="101">
        <f t="shared" ref="AV4:AV67" si="7">COUNTIF(E4:AH4,"*早*")-AW4</f>
        <v>2</v>
      </c>
      <c r="AW4" s="101">
        <f t="shared" ref="AW4:AW67" si="8">COUNTIF(E4:AH4,"*早A")</f>
        <v>0</v>
      </c>
      <c r="AX4" s="101">
        <f t="shared" ref="AX4:AX67" si="9">COUNTIF(E4:AH4,"*中*")</f>
        <v>0</v>
      </c>
      <c r="AY4" s="101">
        <f t="shared" ref="AY4:AY67" si="10">COUNTIF(E4:AH4,"*午*")-AZ4</f>
        <v>3</v>
      </c>
      <c r="AZ4" s="101">
        <f t="shared" ref="AZ4:AZ67" si="11">COUNTIF(E4:AH4,"*午F")</f>
        <v>0</v>
      </c>
      <c r="BA4" s="101">
        <f t="shared" ref="BA4:BA67" si="12">COUNTIF(E4:AH4,"*夜*")</f>
        <v>0</v>
      </c>
      <c r="BB4" s="101">
        <f t="shared" ref="BB4:BB67" si="13">COUNTIF(E4:AH4,"*T*")</f>
        <v>0</v>
      </c>
      <c r="BC4" s="101">
        <f t="shared" ref="BC4:BC67" si="14">COUNTIF(E4:AH4,"*日*")</f>
        <v>0</v>
      </c>
      <c r="BD4" s="101">
        <f t="shared" ref="BD4:BD67" si="15">COUNTIF(E4:AH4,"L")</f>
        <v>0</v>
      </c>
      <c r="BE4" s="101" cm="1">
        <f t="array" ref="BE4">SUMPRODUCT(1*ISNUMBER(FIND("R",E4:AH4)))</f>
        <v>1</v>
      </c>
      <c r="BF4" s="101" cm="1">
        <f t="array" ref="BF4">SUMPRODUCT(1*ISNUMBER(FIND("r",E4:AH4)))</f>
        <v>0</v>
      </c>
      <c r="BG4" s="101" cm="1">
        <f t="array" ref="BG4">SUMPRODUCT(1*ISNUMBER(FIND("P",E4:AH4)))-SUMPRODUCT(1*ISNUMBER(FIND("午P",E4:AH4)))</f>
        <v>0</v>
      </c>
      <c r="BH4" s="101">
        <f t="shared" ref="BH4:BH67" si="16">SUM(BE4:BG4)</f>
        <v>1</v>
      </c>
      <c r="BI4" s="101" cm="1">
        <f t="array" ref="BI4">SUMPRODUCT(1*ISNUMBER(FIND("R",D4:J4)))</f>
        <v>1</v>
      </c>
      <c r="BJ4" s="101" cm="1">
        <f t="array" ref="BJ4">SUMPRODUCT(1*ISNUMBER(FIND("R",K4:Q4)))</f>
        <v>0</v>
      </c>
      <c r="BK4" s="101" cm="1">
        <f t="array" ref="BK4">SUMPRODUCT(1*ISNUMBER(FIND("R",R4:X4)))</f>
        <v>0</v>
      </c>
      <c r="BL4" s="101" cm="1">
        <f t="array" ref="BL4">SUMPRODUCT(1*ISNUMBER(FIND("R",Y4:AE4)))</f>
        <v>0</v>
      </c>
      <c r="BM4" s="101" cm="1">
        <f t="array" ref="BM4">SUMPRODUCT(1*ISNUMBER(FIND("R",AF4:AL4)))</f>
        <v>0</v>
      </c>
      <c r="BN4" s="101">
        <f t="shared" ref="BN4:BN33" si="17">SUM(AV4:BG4)</f>
        <v>6</v>
      </c>
      <c r="BP4" s="138">
        <v>9</v>
      </c>
      <c r="BQ4" s="138" cm="1">
        <f t="array" ref="BQ4">SUMPRODUCT(1*ISNUMBER(FIND("P",K4:AL4)))-SUMPRODUCT(1*ISNUMBER(FIND("午P",K4:AL4)))</f>
        <v>0</v>
      </c>
    </row>
    <row r="5" spans="1:69" ht="39.75" hidden="1" customHeight="1">
      <c r="A5" s="276"/>
      <c r="B5" s="49" t="s">
        <v>13</v>
      </c>
      <c r="C5" s="78" t="s">
        <v>269</v>
      </c>
      <c r="D5" s="183" t="s">
        <v>7</v>
      </c>
      <c r="E5" s="183" t="s">
        <v>127</v>
      </c>
      <c r="F5" s="183" t="s">
        <v>127</v>
      </c>
      <c r="G5" s="183" t="s">
        <v>127</v>
      </c>
      <c r="H5" s="212" t="s">
        <v>127</v>
      </c>
      <c r="I5" s="247" t="s">
        <v>127</v>
      </c>
      <c r="J5" s="212" t="s">
        <v>127</v>
      </c>
      <c r="K5" s="202"/>
      <c r="L5" s="159"/>
      <c r="M5" s="160"/>
      <c r="N5" s="160"/>
      <c r="O5" s="160"/>
      <c r="P5" s="160"/>
      <c r="Q5" s="202"/>
      <c r="R5" s="202"/>
      <c r="S5" s="160"/>
      <c r="T5" s="160"/>
      <c r="U5" s="160"/>
      <c r="V5" s="160"/>
      <c r="W5" s="160"/>
      <c r="X5" s="202"/>
      <c r="Y5" s="202"/>
      <c r="Z5" s="160"/>
      <c r="AA5" s="160"/>
      <c r="AB5" s="160"/>
      <c r="AC5" s="160"/>
      <c r="AD5" s="160"/>
      <c r="AE5" s="202"/>
      <c r="AF5" s="202"/>
      <c r="AG5" s="160"/>
      <c r="AH5" s="160"/>
      <c r="AI5" s="160"/>
      <c r="AJ5" s="160"/>
      <c r="AK5" s="160"/>
      <c r="AL5" s="202"/>
      <c r="AM5" s="147">
        <f t="shared" si="2"/>
        <v>9</v>
      </c>
      <c r="AN5" s="146">
        <v>2</v>
      </c>
      <c r="AO5" s="146">
        <v>2</v>
      </c>
      <c r="AP5" s="150">
        <v>3</v>
      </c>
      <c r="AQ5" s="150">
        <v>4</v>
      </c>
      <c r="AR5" s="150">
        <f t="shared" si="3"/>
        <v>0</v>
      </c>
      <c r="AS5" s="150">
        <f t="shared" si="4"/>
        <v>0</v>
      </c>
      <c r="AT5" s="150">
        <f t="shared" si="5"/>
        <v>3</v>
      </c>
      <c r="AU5" s="150">
        <f t="shared" si="6"/>
        <v>2</v>
      </c>
      <c r="AV5" s="101">
        <f t="shared" si="7"/>
        <v>0</v>
      </c>
      <c r="AW5" s="101">
        <f t="shared" si="8"/>
        <v>0</v>
      </c>
      <c r="AX5" s="101">
        <f t="shared" si="9"/>
        <v>0</v>
      </c>
      <c r="AY5" s="101">
        <f t="shared" si="10"/>
        <v>0</v>
      </c>
      <c r="AZ5" s="101">
        <f t="shared" si="11"/>
        <v>0</v>
      </c>
      <c r="BA5" s="101">
        <f t="shared" si="12"/>
        <v>6</v>
      </c>
      <c r="BB5" s="101">
        <f t="shared" si="13"/>
        <v>0</v>
      </c>
      <c r="BC5" s="101">
        <f t="shared" si="14"/>
        <v>0</v>
      </c>
      <c r="BD5" s="101">
        <f t="shared" si="15"/>
        <v>0</v>
      </c>
      <c r="BE5" s="101" cm="1">
        <f t="array" ref="BE5">SUMPRODUCT(1*ISNUMBER(FIND("R",E5:AH5)))</f>
        <v>0</v>
      </c>
      <c r="BF5" s="101" cm="1">
        <f t="array" ref="BF5">SUMPRODUCT(1*ISNUMBER(FIND("r",E5:AH5)))</f>
        <v>0</v>
      </c>
      <c r="BG5" s="101" cm="1">
        <f t="array" ref="BG5">SUMPRODUCT(1*ISNUMBER(FIND("P",E5:AH5)))-SUMPRODUCT(1*ISNUMBER(FIND("午P",E5:AH5)))</f>
        <v>0</v>
      </c>
      <c r="BH5" s="101">
        <f t="shared" si="16"/>
        <v>0</v>
      </c>
      <c r="BI5" s="101" cm="1">
        <f t="array" ref="BI5">SUMPRODUCT(1*ISNUMBER(FIND("R",D5:J5)))</f>
        <v>1</v>
      </c>
      <c r="BJ5" s="101" cm="1">
        <f t="array" ref="BJ5">SUMPRODUCT(1*ISNUMBER(FIND("R",K5:Q5)))</f>
        <v>0</v>
      </c>
      <c r="BK5" s="101" cm="1">
        <f t="array" ref="BK5">SUMPRODUCT(1*ISNUMBER(FIND("R",R5:X5)))</f>
        <v>0</v>
      </c>
      <c r="BL5" s="101" cm="1">
        <f t="array" ref="BL5">SUMPRODUCT(1*ISNUMBER(FIND("R",Y5:AE5)))</f>
        <v>0</v>
      </c>
      <c r="BM5" s="101" cm="1">
        <f t="array" ref="BM5">SUMPRODUCT(1*ISNUMBER(FIND("R",AF5:AL5)))</f>
        <v>0</v>
      </c>
      <c r="BN5" s="101">
        <f t="shared" si="17"/>
        <v>6</v>
      </c>
      <c r="BP5" s="138">
        <v>9</v>
      </c>
      <c r="BQ5" s="138" cm="1">
        <f t="array" ref="BQ5">SUMPRODUCT(1*ISNUMBER(FIND("P",K5:AL5)))-SUMPRODUCT(1*ISNUMBER(FIND("午P",K5:AL5)))</f>
        <v>0</v>
      </c>
    </row>
    <row r="6" spans="1:69" ht="39.75" hidden="1" customHeight="1">
      <c r="A6" s="276"/>
      <c r="B6" s="49" t="s">
        <v>14</v>
      </c>
      <c r="C6" s="78" t="s">
        <v>282</v>
      </c>
      <c r="D6" s="183" t="s">
        <v>7</v>
      </c>
      <c r="E6" s="183" t="s">
        <v>124</v>
      </c>
      <c r="F6" s="183" t="s">
        <v>124</v>
      </c>
      <c r="G6" s="183" t="s">
        <v>124</v>
      </c>
      <c r="H6" s="212" t="s">
        <v>124</v>
      </c>
      <c r="I6" s="263" t="s">
        <v>309</v>
      </c>
      <c r="J6" s="212" t="s">
        <v>144</v>
      </c>
      <c r="K6" s="202"/>
      <c r="L6" s="160"/>
      <c r="M6" s="160"/>
      <c r="N6" s="160"/>
      <c r="O6" s="160"/>
      <c r="P6" s="160"/>
      <c r="Q6" s="202"/>
      <c r="R6" s="202"/>
      <c r="S6" s="160"/>
      <c r="T6" s="160"/>
      <c r="U6" s="160"/>
      <c r="V6" s="160"/>
      <c r="W6" s="160"/>
      <c r="X6" s="202"/>
      <c r="Y6" s="202"/>
      <c r="Z6" s="160"/>
      <c r="AA6" s="160" t="s">
        <v>312</v>
      </c>
      <c r="AB6" s="160"/>
      <c r="AC6" s="160"/>
      <c r="AD6" s="159"/>
      <c r="AE6" s="202"/>
      <c r="AF6" s="202"/>
      <c r="AG6" s="160"/>
      <c r="AH6" s="160"/>
      <c r="AI6" s="160"/>
      <c r="AJ6" s="160"/>
      <c r="AK6" s="160"/>
      <c r="AL6" s="202"/>
      <c r="AM6" s="147">
        <f t="shared" si="2"/>
        <v>8</v>
      </c>
      <c r="AN6" s="146">
        <v>2</v>
      </c>
      <c r="AO6" s="146">
        <v>2</v>
      </c>
      <c r="AP6" s="150">
        <v>3</v>
      </c>
      <c r="AQ6" s="150">
        <v>4</v>
      </c>
      <c r="AR6" s="150">
        <f t="shared" si="3"/>
        <v>0</v>
      </c>
      <c r="AS6" s="150">
        <f t="shared" si="4"/>
        <v>0</v>
      </c>
      <c r="AT6" s="150">
        <f t="shared" si="5"/>
        <v>3</v>
      </c>
      <c r="AU6" s="150">
        <f t="shared" si="6"/>
        <v>2</v>
      </c>
      <c r="AV6" s="101">
        <f t="shared" si="7"/>
        <v>5</v>
      </c>
      <c r="AW6" s="101">
        <f t="shared" si="8"/>
        <v>0</v>
      </c>
      <c r="AX6" s="101">
        <f t="shared" si="9"/>
        <v>0</v>
      </c>
      <c r="AY6" s="101">
        <f t="shared" si="10"/>
        <v>0</v>
      </c>
      <c r="AZ6" s="101">
        <f t="shared" si="11"/>
        <v>0</v>
      </c>
      <c r="BA6" s="101">
        <f t="shared" si="12"/>
        <v>0</v>
      </c>
      <c r="BB6" s="101">
        <f t="shared" si="13"/>
        <v>0</v>
      </c>
      <c r="BC6" s="101">
        <f t="shared" si="14"/>
        <v>1</v>
      </c>
      <c r="BD6" s="101">
        <f t="shared" si="15"/>
        <v>0</v>
      </c>
      <c r="BE6" s="101" cm="1">
        <f t="array" ref="BE6">SUMPRODUCT(1*ISNUMBER(FIND("R",E6:AH6)))</f>
        <v>0</v>
      </c>
      <c r="BF6" s="101" cm="1">
        <f t="array" ref="BF6">SUMPRODUCT(1*ISNUMBER(FIND("r",E6:AH6)))</f>
        <v>0</v>
      </c>
      <c r="BG6" s="101" cm="1">
        <f t="array" ref="BG6">SUMPRODUCT(1*ISNUMBER(FIND("P",E6:AH6)))-SUMPRODUCT(1*ISNUMBER(FIND("午P",E6:AH6)))</f>
        <v>0</v>
      </c>
      <c r="BH6" s="101">
        <f t="shared" si="16"/>
        <v>0</v>
      </c>
      <c r="BI6" s="101" cm="1">
        <f t="array" ref="BI6">SUMPRODUCT(1*ISNUMBER(FIND("R",D6:J6)))</f>
        <v>1</v>
      </c>
      <c r="BJ6" s="101" cm="1">
        <f t="array" ref="BJ6">SUMPRODUCT(1*ISNUMBER(FIND("R",K6:Q6)))</f>
        <v>0</v>
      </c>
      <c r="BK6" s="101" cm="1">
        <f t="array" ref="BK6">SUMPRODUCT(1*ISNUMBER(FIND("R",R6:X6)))</f>
        <v>0</v>
      </c>
      <c r="BL6" s="101" cm="1">
        <f t="array" ref="BL6">SUMPRODUCT(1*ISNUMBER(FIND("R",Y6:AE6)))</f>
        <v>0</v>
      </c>
      <c r="BM6" s="101" cm="1">
        <f t="array" ref="BM6">SUMPRODUCT(1*ISNUMBER(FIND("R",AF6:AL6)))</f>
        <v>0</v>
      </c>
      <c r="BN6" s="101">
        <f t="shared" si="17"/>
        <v>6</v>
      </c>
      <c r="BP6" s="138">
        <v>8</v>
      </c>
      <c r="BQ6" s="138" cm="1">
        <f t="array" ref="BQ6">SUMPRODUCT(1*ISNUMBER(FIND("P",K6:AL6)))-SUMPRODUCT(1*ISNUMBER(FIND("午P",K6:AL6)))</f>
        <v>0</v>
      </c>
    </row>
    <row r="7" spans="1:69" ht="39.75" hidden="1" customHeight="1">
      <c r="A7" s="276"/>
      <c r="B7" s="49" t="s">
        <v>15</v>
      </c>
      <c r="C7" s="78" t="s">
        <v>283</v>
      </c>
      <c r="D7" s="183" t="s">
        <v>124</v>
      </c>
      <c r="E7" s="183" t="s">
        <v>246</v>
      </c>
      <c r="F7" s="183" t="s">
        <v>114</v>
      </c>
      <c r="G7" s="264" t="s">
        <v>309</v>
      </c>
      <c r="H7" s="212" t="s">
        <v>126</v>
      </c>
      <c r="I7" s="247" t="s">
        <v>126</v>
      </c>
      <c r="J7" s="212" t="s">
        <v>126</v>
      </c>
      <c r="K7" s="202"/>
      <c r="L7" s="160"/>
      <c r="M7" s="160"/>
      <c r="N7" s="160"/>
      <c r="O7" s="160"/>
      <c r="P7" s="159"/>
      <c r="Q7" s="202"/>
      <c r="R7" s="202"/>
      <c r="S7" s="160"/>
      <c r="T7" s="160"/>
      <c r="U7" s="160"/>
      <c r="V7" s="204"/>
      <c r="W7" s="159"/>
      <c r="X7" s="202"/>
      <c r="Y7" s="202"/>
      <c r="Z7" s="160"/>
      <c r="AA7" s="160"/>
      <c r="AB7" s="160"/>
      <c r="AC7" s="160"/>
      <c r="AD7" s="159"/>
      <c r="AE7" s="202"/>
      <c r="AF7" s="202"/>
      <c r="AG7" s="160"/>
      <c r="AH7" s="160"/>
      <c r="AI7" s="160"/>
      <c r="AJ7" s="160"/>
      <c r="AK7" s="160"/>
      <c r="AL7" s="202"/>
      <c r="AM7" s="147">
        <f t="shared" si="2"/>
        <v>7</v>
      </c>
      <c r="AN7" s="146">
        <v>2</v>
      </c>
      <c r="AO7" s="146">
        <v>2</v>
      </c>
      <c r="AP7" s="150">
        <v>3</v>
      </c>
      <c r="AQ7" s="150">
        <v>4</v>
      </c>
      <c r="AR7" s="150">
        <f t="shared" si="3"/>
        <v>0</v>
      </c>
      <c r="AS7" s="150">
        <f t="shared" si="4"/>
        <v>0</v>
      </c>
      <c r="AT7" s="150">
        <f t="shared" si="5"/>
        <v>3</v>
      </c>
      <c r="AU7" s="150">
        <f t="shared" si="6"/>
        <v>2</v>
      </c>
      <c r="AV7" s="101">
        <f t="shared" si="7"/>
        <v>1</v>
      </c>
      <c r="AW7" s="101">
        <f t="shared" si="8"/>
        <v>0</v>
      </c>
      <c r="AX7" s="101">
        <f t="shared" si="9"/>
        <v>0</v>
      </c>
      <c r="AY7" s="101">
        <f t="shared" si="10"/>
        <v>3</v>
      </c>
      <c r="AZ7" s="101">
        <f t="shared" si="11"/>
        <v>0</v>
      </c>
      <c r="BA7" s="101">
        <f t="shared" si="12"/>
        <v>0</v>
      </c>
      <c r="BB7" s="101">
        <f t="shared" si="13"/>
        <v>0</v>
      </c>
      <c r="BC7" s="101">
        <f t="shared" si="14"/>
        <v>1</v>
      </c>
      <c r="BD7" s="101">
        <f t="shared" si="15"/>
        <v>0</v>
      </c>
      <c r="BE7" s="101" cm="1">
        <f t="array" ref="BE7">SUMPRODUCT(1*ISNUMBER(FIND("R",E7:AH7)))</f>
        <v>1</v>
      </c>
      <c r="BF7" s="101" cm="1">
        <f t="array" ref="BF7">SUMPRODUCT(1*ISNUMBER(FIND("r",E7:AH7)))</f>
        <v>0</v>
      </c>
      <c r="BG7" s="101" cm="1">
        <f t="array" ref="BG7">SUMPRODUCT(1*ISNUMBER(FIND("P",E7:AH7)))-SUMPRODUCT(1*ISNUMBER(FIND("午P",E7:AH7)))</f>
        <v>0</v>
      </c>
      <c r="BH7" s="101">
        <f t="shared" si="16"/>
        <v>1</v>
      </c>
      <c r="BI7" s="101" cm="1">
        <f t="array" ref="BI7">SUMPRODUCT(1*ISNUMBER(FIND("R",D7:J7)))</f>
        <v>1</v>
      </c>
      <c r="BJ7" s="101" cm="1">
        <f t="array" ref="BJ7">SUMPRODUCT(1*ISNUMBER(FIND("R",K7:Q7)))</f>
        <v>0</v>
      </c>
      <c r="BK7" s="101" cm="1">
        <f t="array" ref="BK7">SUMPRODUCT(1*ISNUMBER(FIND("R",R7:X7)))</f>
        <v>0</v>
      </c>
      <c r="BL7" s="101" cm="1">
        <f t="array" ref="BL7">SUMPRODUCT(1*ISNUMBER(FIND("R",Y7:AE7)))</f>
        <v>0</v>
      </c>
      <c r="BM7" s="101" cm="1">
        <f t="array" ref="BM7">SUMPRODUCT(1*ISNUMBER(FIND("R",AF7:AL7)))</f>
        <v>0</v>
      </c>
      <c r="BN7" s="101">
        <f t="shared" si="17"/>
        <v>6</v>
      </c>
      <c r="BP7" s="138">
        <v>7</v>
      </c>
      <c r="BQ7" s="138" cm="1">
        <f t="array" ref="BQ7">SUMPRODUCT(1*ISNUMBER(FIND("P",K7:AL7)))-SUMPRODUCT(1*ISNUMBER(FIND("午P",K7:AL7)))</f>
        <v>0</v>
      </c>
    </row>
    <row r="8" spans="1:69" s="36" customFormat="1" ht="39.75" hidden="1" customHeight="1">
      <c r="A8" s="276"/>
      <c r="B8" s="49" t="s">
        <v>221</v>
      </c>
      <c r="C8" s="78" t="s">
        <v>261</v>
      </c>
      <c r="D8" s="184" t="s">
        <v>126</v>
      </c>
      <c r="E8" s="184" t="s">
        <v>7</v>
      </c>
      <c r="F8" s="184" t="s">
        <v>6</v>
      </c>
      <c r="G8" s="184" t="s">
        <v>6</v>
      </c>
      <c r="H8" s="213" t="s">
        <v>6</v>
      </c>
      <c r="I8" s="248" t="s">
        <v>9</v>
      </c>
      <c r="J8" s="213" t="s">
        <v>125</v>
      </c>
      <c r="K8" s="202" t="s">
        <v>295</v>
      </c>
      <c r="L8" s="203" t="s">
        <v>294</v>
      </c>
      <c r="M8" s="160"/>
      <c r="N8" s="160"/>
      <c r="O8" s="160"/>
      <c r="P8" s="160"/>
      <c r="Q8" s="202"/>
      <c r="R8" s="202"/>
      <c r="S8" s="159"/>
      <c r="T8" s="159"/>
      <c r="U8" s="159"/>
      <c r="V8" s="159"/>
      <c r="W8" s="159"/>
      <c r="X8" s="198"/>
      <c r="Y8" s="202"/>
      <c r="Z8" s="160"/>
      <c r="AA8" s="205"/>
      <c r="AB8" s="160"/>
      <c r="AC8" s="160"/>
      <c r="AD8" s="159"/>
      <c r="AE8" s="198"/>
      <c r="AF8" s="198"/>
      <c r="AG8" s="170"/>
      <c r="AH8" s="170"/>
      <c r="AI8" s="170"/>
      <c r="AJ8" s="170"/>
      <c r="AK8" s="170"/>
      <c r="AL8" s="178"/>
      <c r="AM8" s="147">
        <f t="shared" si="2"/>
        <v>10</v>
      </c>
      <c r="AN8" s="146">
        <v>2</v>
      </c>
      <c r="AO8" s="146">
        <v>2</v>
      </c>
      <c r="AP8" s="150">
        <v>4</v>
      </c>
      <c r="AQ8" s="150">
        <v>4</v>
      </c>
      <c r="AR8" s="150">
        <f t="shared" si="3"/>
        <v>0</v>
      </c>
      <c r="AS8" s="150">
        <f t="shared" si="4"/>
        <v>0</v>
      </c>
      <c r="AT8" s="150">
        <f t="shared" si="5"/>
        <v>2</v>
      </c>
      <c r="AU8" s="150">
        <f t="shared" si="6"/>
        <v>2</v>
      </c>
      <c r="AV8" s="101">
        <f t="shared" si="7"/>
        <v>0</v>
      </c>
      <c r="AW8" s="101">
        <f t="shared" si="8"/>
        <v>0</v>
      </c>
      <c r="AX8" s="101">
        <f t="shared" si="9"/>
        <v>0</v>
      </c>
      <c r="AY8" s="101">
        <f t="shared" si="10"/>
        <v>0</v>
      </c>
      <c r="AZ8" s="101">
        <f t="shared" si="11"/>
        <v>0</v>
      </c>
      <c r="BA8" s="101">
        <f t="shared" si="12"/>
        <v>0</v>
      </c>
      <c r="BB8" s="101">
        <f t="shared" si="13"/>
        <v>0</v>
      </c>
      <c r="BC8" s="101">
        <f t="shared" si="14"/>
        <v>0</v>
      </c>
      <c r="BD8" s="101">
        <f t="shared" si="15"/>
        <v>3</v>
      </c>
      <c r="BE8" s="101" cm="1">
        <f t="array" ref="BE8">SUMPRODUCT(1*ISNUMBER(FIND("R",E8:AH8)))</f>
        <v>1</v>
      </c>
      <c r="BF8" s="101" cm="1">
        <f t="array" ref="BF8">SUMPRODUCT(1*ISNUMBER(FIND("r",E8:AH8)))</f>
        <v>1</v>
      </c>
      <c r="BG8" s="101" cm="1">
        <f t="array" ref="BG8">SUMPRODUCT(1*ISNUMBER(FIND("P",E8:AH8)))-SUMPRODUCT(1*ISNUMBER(FIND("午P",E8:AH8)))</f>
        <v>1</v>
      </c>
      <c r="BH8" s="101">
        <f t="shared" si="16"/>
        <v>3</v>
      </c>
      <c r="BI8" s="101" cm="1">
        <f t="array" ref="BI8">SUMPRODUCT(1*ISNUMBER(FIND("R",D8:J8)))</f>
        <v>1</v>
      </c>
      <c r="BJ8" s="101" cm="1">
        <f t="array" ref="BJ8">SUMPRODUCT(1*ISNUMBER(FIND("R",K8:Q8)))</f>
        <v>0</v>
      </c>
      <c r="BK8" s="101" cm="1">
        <f t="array" ref="BK8">SUMPRODUCT(1*ISNUMBER(FIND("R",R8:X8)))</f>
        <v>0</v>
      </c>
      <c r="BL8" s="101" cm="1">
        <f t="array" ref="BL8">SUMPRODUCT(1*ISNUMBER(FIND("R",Y8:AE8)))</f>
        <v>0</v>
      </c>
      <c r="BM8" s="101" cm="1">
        <f t="array" ref="BM8">SUMPRODUCT(1*ISNUMBER(FIND("R",AF8:AL8)))</f>
        <v>0</v>
      </c>
      <c r="BN8" s="101">
        <f t="shared" si="17"/>
        <v>6</v>
      </c>
      <c r="BP8" s="138">
        <v>10</v>
      </c>
      <c r="BQ8" s="138" cm="1">
        <f t="array" ref="BQ8">SUMPRODUCT(1*ISNUMBER(FIND("P",K8:AL8)))-SUMPRODUCT(1*ISNUMBER(FIND("午P",K8:AL8)))</f>
        <v>0</v>
      </c>
    </row>
    <row r="9" spans="1:69" ht="39.75" hidden="1" customHeight="1">
      <c r="A9" s="276"/>
      <c r="B9" s="49" t="s">
        <v>117</v>
      </c>
      <c r="C9" s="78" t="s">
        <v>118</v>
      </c>
      <c r="D9" s="184" t="s">
        <v>257</v>
      </c>
      <c r="E9" s="184" t="s">
        <v>140</v>
      </c>
      <c r="F9" s="184" t="s">
        <v>245</v>
      </c>
      <c r="G9" s="184" t="s">
        <v>245</v>
      </c>
      <c r="H9" s="213" t="s">
        <v>245</v>
      </c>
      <c r="I9" s="248" t="s">
        <v>245</v>
      </c>
      <c r="J9" s="213" t="s">
        <v>7</v>
      </c>
      <c r="K9" s="198" t="s">
        <v>294</v>
      </c>
      <c r="L9" s="160" t="s">
        <v>294</v>
      </c>
      <c r="M9" s="160" t="s">
        <v>294</v>
      </c>
      <c r="N9" s="160" t="s">
        <v>294</v>
      </c>
      <c r="O9" s="160" t="s">
        <v>294</v>
      </c>
      <c r="P9" s="160" t="s">
        <v>294</v>
      </c>
      <c r="Q9" s="202" t="s">
        <v>294</v>
      </c>
      <c r="R9" s="202" t="s">
        <v>294</v>
      </c>
      <c r="S9" s="205"/>
      <c r="T9" s="205"/>
      <c r="U9" s="160"/>
      <c r="V9" s="203"/>
      <c r="W9" s="159"/>
      <c r="X9" s="198"/>
      <c r="Y9" s="198"/>
      <c r="Z9" s="205"/>
      <c r="AA9" s="205"/>
      <c r="AB9" s="160"/>
      <c r="AC9" s="160"/>
      <c r="AD9" s="159"/>
      <c r="AE9" s="198"/>
      <c r="AF9" s="198"/>
      <c r="AG9" s="205"/>
      <c r="AH9" s="205"/>
      <c r="AI9" s="205"/>
      <c r="AJ9" s="205"/>
      <c r="AK9" s="205"/>
      <c r="AL9" s="198"/>
      <c r="AM9" s="147">
        <f t="shared" si="2"/>
        <v>11</v>
      </c>
      <c r="AN9" s="146">
        <v>2</v>
      </c>
      <c r="AO9" s="146">
        <v>2</v>
      </c>
      <c r="AP9" s="150">
        <v>4</v>
      </c>
      <c r="AQ9" s="150">
        <v>4</v>
      </c>
      <c r="AR9" s="150">
        <f t="shared" si="3"/>
        <v>0</v>
      </c>
      <c r="AS9" s="150">
        <f t="shared" si="4"/>
        <v>0</v>
      </c>
      <c r="AT9" s="150">
        <f t="shared" si="5"/>
        <v>2</v>
      </c>
      <c r="AU9" s="150">
        <f t="shared" si="6"/>
        <v>2</v>
      </c>
      <c r="AV9" s="101">
        <f t="shared" si="7"/>
        <v>1</v>
      </c>
      <c r="AW9" s="101">
        <f t="shared" si="8"/>
        <v>0</v>
      </c>
      <c r="AX9" s="101">
        <f t="shared" si="9"/>
        <v>0</v>
      </c>
      <c r="AY9" s="101">
        <f t="shared" si="10"/>
        <v>0</v>
      </c>
      <c r="AZ9" s="101">
        <f t="shared" si="11"/>
        <v>0</v>
      </c>
      <c r="BA9" s="101">
        <f t="shared" si="12"/>
        <v>0</v>
      </c>
      <c r="BB9" s="101">
        <f t="shared" si="13"/>
        <v>0</v>
      </c>
      <c r="BC9" s="101">
        <f t="shared" si="14"/>
        <v>4</v>
      </c>
      <c r="BD9" s="101">
        <f t="shared" si="15"/>
        <v>0</v>
      </c>
      <c r="BE9" s="101" cm="1">
        <f t="array" ref="BE9">SUMPRODUCT(1*ISNUMBER(FIND("R",E9:AH9)))</f>
        <v>1</v>
      </c>
      <c r="BF9" s="101" cm="1">
        <f t="array" ref="BF9">SUMPRODUCT(1*ISNUMBER(FIND("r",E9:AH9)))</f>
        <v>0</v>
      </c>
      <c r="BG9" s="101" cm="1">
        <f t="array" ref="BG9">SUMPRODUCT(1*ISNUMBER(FIND("P",E9:AH9)))-SUMPRODUCT(1*ISNUMBER(FIND("午P",E9:AH9)))</f>
        <v>0</v>
      </c>
      <c r="BH9" s="101">
        <f t="shared" si="16"/>
        <v>1</v>
      </c>
      <c r="BI9" s="101" cm="1">
        <f t="array" ref="BI9">SUMPRODUCT(1*ISNUMBER(FIND("R",D9:J9)))</f>
        <v>1</v>
      </c>
      <c r="BJ9" s="101" cm="1">
        <f t="array" ref="BJ9">SUMPRODUCT(1*ISNUMBER(FIND("R",K9:Q9)))</f>
        <v>0</v>
      </c>
      <c r="BK9" s="101" cm="1">
        <f t="array" ref="BK9">SUMPRODUCT(1*ISNUMBER(FIND("R",R9:X9)))</f>
        <v>0</v>
      </c>
      <c r="BL9" s="101" cm="1">
        <f t="array" ref="BL9">SUMPRODUCT(1*ISNUMBER(FIND("R",Y9:AE9)))</f>
        <v>0</v>
      </c>
      <c r="BM9" s="101" cm="1">
        <f t="array" ref="BM9">SUMPRODUCT(1*ISNUMBER(FIND("R",AF9:AL9)))</f>
        <v>0</v>
      </c>
      <c r="BN9" s="101">
        <f t="shared" si="17"/>
        <v>6</v>
      </c>
      <c r="BP9" s="138">
        <v>11</v>
      </c>
      <c r="BQ9" s="138" cm="1">
        <f t="array" ref="BQ9">SUMPRODUCT(1*ISNUMBER(FIND("P",K9:AL9)))-SUMPRODUCT(1*ISNUMBER(FIND("午P",K9:AL9)))</f>
        <v>0</v>
      </c>
    </row>
    <row r="10" spans="1:69" ht="39.75" hidden="1" customHeight="1">
      <c r="A10" s="276"/>
      <c r="B10" s="49" t="s">
        <v>16</v>
      </c>
      <c r="C10" s="78" t="s">
        <v>17</v>
      </c>
      <c r="D10" s="183" t="s">
        <v>7</v>
      </c>
      <c r="E10" s="183" t="s">
        <v>245</v>
      </c>
      <c r="F10" s="184" t="s">
        <v>245</v>
      </c>
      <c r="G10" s="184" t="s">
        <v>245</v>
      </c>
      <c r="H10" s="212" t="s">
        <v>245</v>
      </c>
      <c r="I10" s="249" t="s">
        <v>245</v>
      </c>
      <c r="J10" s="212" t="s">
        <v>125</v>
      </c>
      <c r="K10" s="202"/>
      <c r="L10" s="160"/>
      <c r="M10" s="205"/>
      <c r="N10" s="160"/>
      <c r="O10" s="160"/>
      <c r="P10" s="160"/>
      <c r="Q10" s="202"/>
      <c r="R10" s="202"/>
      <c r="S10" s="160"/>
      <c r="T10" s="205"/>
      <c r="U10" s="160"/>
      <c r="V10" s="160"/>
      <c r="W10" s="160"/>
      <c r="X10" s="202"/>
      <c r="Y10" s="202"/>
      <c r="Z10" s="160"/>
      <c r="AA10" s="160"/>
      <c r="AB10" s="160"/>
      <c r="AC10" s="160"/>
      <c r="AD10" s="160"/>
      <c r="AE10" s="202"/>
      <c r="AF10" s="202"/>
      <c r="AG10" s="160"/>
      <c r="AH10" s="205"/>
      <c r="AI10" s="205"/>
      <c r="AJ10" s="205"/>
      <c r="AK10" s="205"/>
      <c r="AL10" s="198"/>
      <c r="AM10" s="147">
        <f t="shared" si="2"/>
        <v>11</v>
      </c>
      <c r="AN10" s="146">
        <v>2</v>
      </c>
      <c r="AO10" s="146">
        <v>2</v>
      </c>
      <c r="AP10" s="150">
        <v>4</v>
      </c>
      <c r="AQ10" s="150">
        <v>4</v>
      </c>
      <c r="AR10" s="150">
        <f t="shared" si="3"/>
        <v>0</v>
      </c>
      <c r="AS10" s="150">
        <f t="shared" si="4"/>
        <v>0</v>
      </c>
      <c r="AT10" s="150">
        <f t="shared" si="5"/>
        <v>2</v>
      </c>
      <c r="AU10" s="150">
        <f t="shared" si="6"/>
        <v>2</v>
      </c>
      <c r="AV10" s="101">
        <f t="shared" si="7"/>
        <v>0</v>
      </c>
      <c r="AW10" s="101">
        <f t="shared" si="8"/>
        <v>0</v>
      </c>
      <c r="AX10" s="101">
        <f>COUNTIF(E10:AH10,"*中*")</f>
        <v>0</v>
      </c>
      <c r="AY10" s="101">
        <f t="shared" si="10"/>
        <v>0</v>
      </c>
      <c r="AZ10" s="101">
        <f t="shared" si="11"/>
        <v>0</v>
      </c>
      <c r="BA10" s="101">
        <f t="shared" si="12"/>
        <v>0</v>
      </c>
      <c r="BB10" s="101">
        <f t="shared" si="13"/>
        <v>0</v>
      </c>
      <c r="BC10" s="101">
        <f t="shared" si="14"/>
        <v>5</v>
      </c>
      <c r="BD10" s="101">
        <f t="shared" si="15"/>
        <v>0</v>
      </c>
      <c r="BE10" s="101" cm="1">
        <f t="array" ref="BE10">SUMPRODUCT(1*ISNUMBER(FIND("R",E10:AH10)))</f>
        <v>0</v>
      </c>
      <c r="BF10" s="101" cm="1">
        <f t="array" ref="BF10">SUMPRODUCT(1*ISNUMBER(FIND("r",E10:AH10)))</f>
        <v>1</v>
      </c>
      <c r="BG10" s="101" cm="1">
        <f t="array" ref="BG10">SUMPRODUCT(1*ISNUMBER(FIND("P",E10:AH10)))-SUMPRODUCT(1*ISNUMBER(FIND("午P",E10:AH10)))</f>
        <v>0</v>
      </c>
      <c r="BH10" s="101">
        <f t="shared" si="16"/>
        <v>1</v>
      </c>
      <c r="BI10" s="101" cm="1">
        <f t="array" ref="BI10">SUMPRODUCT(1*ISNUMBER(FIND("R",D10:J10)))</f>
        <v>1</v>
      </c>
      <c r="BJ10" s="101" cm="1">
        <f t="array" ref="BJ10">SUMPRODUCT(1*ISNUMBER(FIND("R",K10:Q10)))</f>
        <v>0</v>
      </c>
      <c r="BK10" s="101" cm="1">
        <f t="array" ref="BK10">SUMPRODUCT(1*ISNUMBER(FIND("R",R10:X10)))</f>
        <v>0</v>
      </c>
      <c r="BL10" s="101" cm="1">
        <f t="array" ref="BL10">SUMPRODUCT(1*ISNUMBER(FIND("R",Y10:AE10)))</f>
        <v>0</v>
      </c>
      <c r="BM10" s="101" cm="1">
        <f t="array" ref="BM10">SUMPRODUCT(1*ISNUMBER(FIND("R",AF10:AL10)))</f>
        <v>0</v>
      </c>
      <c r="BN10" s="101">
        <f t="shared" si="17"/>
        <v>6</v>
      </c>
      <c r="BP10" s="138">
        <v>11</v>
      </c>
      <c r="BQ10" s="138" cm="1">
        <f t="array" ref="BQ10">SUMPRODUCT(1*ISNUMBER(FIND("P",K10:AL10)))-SUMPRODUCT(1*ISNUMBER(FIND("午P",K10:AL10)))</f>
        <v>0</v>
      </c>
    </row>
    <row r="11" spans="1:69" ht="39.75" hidden="1" customHeight="1">
      <c r="A11" s="276"/>
      <c r="B11" s="49" t="s">
        <v>18</v>
      </c>
      <c r="C11" s="78" t="s">
        <v>19</v>
      </c>
      <c r="D11" s="183" t="s">
        <v>7</v>
      </c>
      <c r="E11" s="183" t="s">
        <v>245</v>
      </c>
      <c r="F11" s="184" t="s">
        <v>245</v>
      </c>
      <c r="G11" s="184" t="s">
        <v>6</v>
      </c>
      <c r="H11" s="212" t="s">
        <v>6</v>
      </c>
      <c r="I11" s="248" t="s">
        <v>6</v>
      </c>
      <c r="J11" s="213" t="s">
        <v>308</v>
      </c>
      <c r="K11" s="202" t="s">
        <v>294</v>
      </c>
      <c r="L11" s="160" t="s">
        <v>294</v>
      </c>
      <c r="M11" s="160" t="s">
        <v>294</v>
      </c>
      <c r="N11" s="160" t="s">
        <v>294</v>
      </c>
      <c r="O11" s="160" t="s">
        <v>294</v>
      </c>
      <c r="P11" s="160" t="s">
        <v>294</v>
      </c>
      <c r="Q11" s="202" t="s">
        <v>294</v>
      </c>
      <c r="R11" s="202" t="s">
        <v>294</v>
      </c>
      <c r="S11" s="160"/>
      <c r="T11" s="160"/>
      <c r="U11" s="160"/>
      <c r="V11" s="160"/>
      <c r="W11" s="160"/>
      <c r="X11" s="233"/>
      <c r="Y11" s="202"/>
      <c r="Z11" s="160"/>
      <c r="AA11" s="205"/>
      <c r="AB11" s="160"/>
      <c r="AC11" s="160"/>
      <c r="AD11" s="160"/>
      <c r="AE11" s="202"/>
      <c r="AF11" s="202"/>
      <c r="AG11" s="160"/>
      <c r="AH11" s="205"/>
      <c r="AI11" s="170"/>
      <c r="AJ11" s="170"/>
      <c r="AK11" s="170"/>
      <c r="AL11" s="178"/>
      <c r="AM11" s="147">
        <f t="shared" si="2"/>
        <v>11</v>
      </c>
      <c r="AN11" s="146">
        <v>2</v>
      </c>
      <c r="AO11" s="146">
        <v>2</v>
      </c>
      <c r="AP11" s="150">
        <v>4</v>
      </c>
      <c r="AQ11" s="150">
        <v>4</v>
      </c>
      <c r="AR11" s="150">
        <f t="shared" si="3"/>
        <v>0</v>
      </c>
      <c r="AS11" s="150">
        <f t="shared" si="4"/>
        <v>0</v>
      </c>
      <c r="AT11" s="150">
        <f t="shared" si="5"/>
        <v>2</v>
      </c>
      <c r="AU11" s="150">
        <f t="shared" si="6"/>
        <v>2</v>
      </c>
      <c r="AV11" s="101">
        <f t="shared" si="7"/>
        <v>0</v>
      </c>
      <c r="AW11" s="101">
        <f t="shared" si="8"/>
        <v>0</v>
      </c>
      <c r="AX11" s="101">
        <f t="shared" si="9"/>
        <v>0</v>
      </c>
      <c r="AY11" s="101">
        <f t="shared" si="10"/>
        <v>0</v>
      </c>
      <c r="AZ11" s="101">
        <f t="shared" si="11"/>
        <v>0</v>
      </c>
      <c r="BA11" s="101">
        <f t="shared" si="12"/>
        <v>0</v>
      </c>
      <c r="BB11" s="101">
        <f t="shared" si="13"/>
        <v>0</v>
      </c>
      <c r="BC11" s="101">
        <f t="shared" si="14"/>
        <v>2</v>
      </c>
      <c r="BD11" s="101">
        <f t="shared" si="15"/>
        <v>3</v>
      </c>
      <c r="BE11" s="101" cm="1">
        <f t="array" ref="BE11">SUMPRODUCT(1*ISNUMBER(FIND("R",E11:AH11)))</f>
        <v>0</v>
      </c>
      <c r="BF11" s="101" cm="1">
        <f t="array" ref="BF11">SUMPRODUCT(1*ISNUMBER(FIND("r",E11:AH11)))</f>
        <v>1</v>
      </c>
      <c r="BG11" s="101" cm="1">
        <f t="array" ref="BG11">SUMPRODUCT(1*ISNUMBER(FIND("P",E11:AH11)))-SUMPRODUCT(1*ISNUMBER(FIND("午P",E11:AH11)))</f>
        <v>0</v>
      </c>
      <c r="BH11" s="101">
        <f t="shared" si="16"/>
        <v>1</v>
      </c>
      <c r="BI11" s="101" cm="1">
        <f t="array" ref="BI11">SUMPRODUCT(1*ISNUMBER(FIND("R",D11:J11)))</f>
        <v>1</v>
      </c>
      <c r="BJ11" s="101" cm="1">
        <f t="array" ref="BJ11">SUMPRODUCT(1*ISNUMBER(FIND("R",K11:Q11)))</f>
        <v>0</v>
      </c>
      <c r="BK11" s="101" cm="1">
        <f t="array" ref="BK11">SUMPRODUCT(1*ISNUMBER(FIND("R",R11:X11)))</f>
        <v>0</v>
      </c>
      <c r="BL11" s="101" cm="1">
        <f t="array" ref="BL11">SUMPRODUCT(1*ISNUMBER(FIND("R",Y11:AE11)))</f>
        <v>0</v>
      </c>
      <c r="BM11" s="101" cm="1">
        <f t="array" ref="BM11">SUMPRODUCT(1*ISNUMBER(FIND("R",AF11:AL11)))</f>
        <v>0</v>
      </c>
      <c r="BN11" s="101">
        <f t="shared" si="17"/>
        <v>6</v>
      </c>
      <c r="BP11" s="138">
        <v>11</v>
      </c>
      <c r="BQ11" s="138" cm="1">
        <f t="array" ref="BQ11">SUMPRODUCT(1*ISNUMBER(FIND("P",K11:AL11)))-SUMPRODUCT(1*ISNUMBER(FIND("午P",K11:AL11)))</f>
        <v>0</v>
      </c>
    </row>
    <row r="12" spans="1:69" ht="39.75" hidden="1" customHeight="1" thickBot="1">
      <c r="A12" s="277"/>
      <c r="B12" s="50" t="s">
        <v>22</v>
      </c>
      <c r="C12" s="79" t="s">
        <v>23</v>
      </c>
      <c r="D12" s="185" t="s">
        <v>7</v>
      </c>
      <c r="E12" s="192" t="s">
        <v>245</v>
      </c>
      <c r="F12" s="192" t="s">
        <v>245</v>
      </c>
      <c r="G12" s="192" t="s">
        <v>245</v>
      </c>
      <c r="H12" s="214" t="s">
        <v>245</v>
      </c>
      <c r="I12" s="250" t="s">
        <v>245</v>
      </c>
      <c r="J12" s="214" t="s">
        <v>125</v>
      </c>
      <c r="K12" s="196"/>
      <c r="L12" s="226"/>
      <c r="M12" s="226"/>
      <c r="N12" s="226"/>
      <c r="O12" s="197"/>
      <c r="P12" s="226"/>
      <c r="Q12" s="196"/>
      <c r="R12" s="196"/>
      <c r="S12" s="226"/>
      <c r="T12" s="226"/>
      <c r="U12" s="226"/>
      <c r="V12" s="226"/>
      <c r="W12" s="226"/>
      <c r="X12" s="196"/>
      <c r="Y12" s="196"/>
      <c r="Z12" s="226"/>
      <c r="AA12" s="226"/>
      <c r="AB12" s="226"/>
      <c r="AC12" s="197"/>
      <c r="AD12" s="226"/>
      <c r="AE12" s="196"/>
      <c r="AF12" s="196"/>
      <c r="AG12" s="226"/>
      <c r="AH12" s="226"/>
      <c r="AI12" s="226"/>
      <c r="AJ12" s="226"/>
      <c r="AK12" s="226"/>
      <c r="AL12" s="196"/>
      <c r="AM12" s="147">
        <f t="shared" si="2"/>
        <v>10</v>
      </c>
      <c r="AN12" s="146">
        <v>2</v>
      </c>
      <c r="AO12" s="146">
        <v>2</v>
      </c>
      <c r="AP12" s="150">
        <v>4</v>
      </c>
      <c r="AQ12" s="150">
        <v>4</v>
      </c>
      <c r="AR12" s="150">
        <f t="shared" si="3"/>
        <v>0</v>
      </c>
      <c r="AS12" s="150">
        <f t="shared" si="4"/>
        <v>0</v>
      </c>
      <c r="AT12" s="150">
        <f t="shared" si="5"/>
        <v>2</v>
      </c>
      <c r="AU12" s="150">
        <f t="shared" si="6"/>
        <v>2</v>
      </c>
      <c r="AV12" s="101">
        <f t="shared" si="7"/>
        <v>0</v>
      </c>
      <c r="AW12" s="101">
        <f t="shared" si="8"/>
        <v>0</v>
      </c>
      <c r="AX12" s="101">
        <f t="shared" si="9"/>
        <v>0</v>
      </c>
      <c r="AY12" s="101">
        <f t="shared" si="10"/>
        <v>0</v>
      </c>
      <c r="AZ12" s="101">
        <f t="shared" si="11"/>
        <v>0</v>
      </c>
      <c r="BA12" s="101">
        <f t="shared" si="12"/>
        <v>0</v>
      </c>
      <c r="BB12" s="101">
        <f t="shared" si="13"/>
        <v>0</v>
      </c>
      <c r="BC12" s="101">
        <f t="shared" si="14"/>
        <v>5</v>
      </c>
      <c r="BD12" s="101">
        <f t="shared" si="15"/>
        <v>0</v>
      </c>
      <c r="BE12" s="101" cm="1">
        <f t="array" ref="BE12">SUMPRODUCT(1*ISNUMBER(FIND("R",E12:AH12)))</f>
        <v>0</v>
      </c>
      <c r="BF12" s="101" cm="1">
        <f t="array" ref="BF12">SUMPRODUCT(1*ISNUMBER(FIND("r",E12:AH12)))</f>
        <v>1</v>
      </c>
      <c r="BG12" s="101" cm="1">
        <f t="array" ref="BG12">SUMPRODUCT(1*ISNUMBER(FIND("P",E12:AH12)))-SUMPRODUCT(1*ISNUMBER(FIND("午P",E12:AH12)))</f>
        <v>0</v>
      </c>
      <c r="BH12" s="101">
        <f t="shared" si="16"/>
        <v>1</v>
      </c>
      <c r="BI12" s="101" cm="1">
        <f t="array" ref="BI12">SUMPRODUCT(1*ISNUMBER(FIND("R",D12:J12)))</f>
        <v>1</v>
      </c>
      <c r="BJ12" s="101" cm="1">
        <f t="array" ref="BJ12">SUMPRODUCT(1*ISNUMBER(FIND("R",K12:Q12)))</f>
        <v>0</v>
      </c>
      <c r="BK12" s="101" cm="1">
        <f t="array" ref="BK12">SUMPRODUCT(1*ISNUMBER(FIND("R",R12:X12)))</f>
        <v>0</v>
      </c>
      <c r="BL12" s="101" cm="1">
        <f t="array" ref="BL12">SUMPRODUCT(1*ISNUMBER(FIND("R",Y12:AE12)))</f>
        <v>0</v>
      </c>
      <c r="BM12" s="101" cm="1">
        <f t="array" ref="BM12">SUMPRODUCT(1*ISNUMBER(FIND("R",AF12:AL12)))</f>
        <v>0</v>
      </c>
      <c r="BN12" s="101">
        <f t="shared" si="17"/>
        <v>6</v>
      </c>
      <c r="BP12" s="199">
        <v>10</v>
      </c>
      <c r="BQ12" s="138" cm="1">
        <f t="array" ref="BQ12">SUMPRODUCT(1*ISNUMBER(FIND("P",K12:AL12)))-SUMPRODUCT(1*ISNUMBER(FIND("午P",K12:AL12)))</f>
        <v>0</v>
      </c>
    </row>
    <row r="13" spans="1:69" s="36" customFormat="1" ht="39.75" customHeight="1">
      <c r="A13" s="284"/>
      <c r="B13" s="58" t="s">
        <v>25</v>
      </c>
      <c r="C13" s="74" t="s">
        <v>26</v>
      </c>
      <c r="D13" s="183" t="s">
        <v>299</v>
      </c>
      <c r="E13" s="183" t="s">
        <v>300</v>
      </c>
      <c r="F13" s="183" t="s">
        <v>7</v>
      </c>
      <c r="G13" s="183" t="s">
        <v>301</v>
      </c>
      <c r="H13" s="212" t="s">
        <v>296</v>
      </c>
      <c r="I13" s="247" t="s">
        <v>301</v>
      </c>
      <c r="J13" s="212" t="s">
        <v>296</v>
      </c>
      <c r="K13" s="175"/>
      <c r="L13" s="166"/>
      <c r="M13" s="166"/>
      <c r="N13" s="166"/>
      <c r="O13" s="166"/>
      <c r="P13" s="168"/>
      <c r="Q13" s="175"/>
      <c r="R13" s="175"/>
      <c r="S13" s="166"/>
      <c r="T13" s="166"/>
      <c r="U13" s="166" t="s">
        <v>314</v>
      </c>
      <c r="V13" s="161" t="s">
        <v>314</v>
      </c>
      <c r="W13" s="168"/>
      <c r="X13" s="175"/>
      <c r="Y13" s="175"/>
      <c r="Z13" s="166"/>
      <c r="AA13" s="166"/>
      <c r="AB13" s="166"/>
      <c r="AC13" s="166"/>
      <c r="AD13" s="168"/>
      <c r="AE13" s="175" t="s">
        <v>114</v>
      </c>
      <c r="AF13" s="175" t="s">
        <v>114</v>
      </c>
      <c r="AG13" s="166"/>
      <c r="AH13" s="166"/>
      <c r="AI13" s="166"/>
      <c r="AJ13" s="166"/>
      <c r="AK13" s="166"/>
      <c r="AL13" s="175"/>
      <c r="AM13" s="147">
        <f t="shared" si="2"/>
        <v>10</v>
      </c>
      <c r="AN13" s="146">
        <v>2</v>
      </c>
      <c r="AO13" s="146">
        <v>2</v>
      </c>
      <c r="AP13" s="150">
        <v>4</v>
      </c>
      <c r="AQ13" s="150">
        <v>4</v>
      </c>
      <c r="AR13" s="150">
        <f t="shared" si="3"/>
        <v>0</v>
      </c>
      <c r="AS13" s="150">
        <f t="shared" si="4"/>
        <v>0</v>
      </c>
      <c r="AT13" s="150">
        <f t="shared" si="5"/>
        <v>2</v>
      </c>
      <c r="AU13" s="150">
        <f t="shared" si="6"/>
        <v>2</v>
      </c>
      <c r="AV13" s="101">
        <f t="shared" si="7"/>
        <v>0</v>
      </c>
      <c r="AW13" s="101">
        <f t="shared" si="8"/>
        <v>0</v>
      </c>
      <c r="AX13" s="101">
        <f t="shared" si="9"/>
        <v>0</v>
      </c>
      <c r="AY13" s="101">
        <f t="shared" si="10"/>
        <v>1</v>
      </c>
      <c r="AZ13" s="101">
        <f t="shared" si="11"/>
        <v>0</v>
      </c>
      <c r="BA13" s="101">
        <f t="shared" si="12"/>
        <v>4</v>
      </c>
      <c r="BB13" s="101">
        <f t="shared" si="13"/>
        <v>0</v>
      </c>
      <c r="BC13" s="101">
        <f t="shared" si="14"/>
        <v>0</v>
      </c>
      <c r="BD13" s="101">
        <f>COUNTIF(E13:AL13,"L")</f>
        <v>2</v>
      </c>
      <c r="BE13" s="101" cm="1">
        <f t="array" ref="BE13">SUMPRODUCT(1*ISNUMBER(FIND("R",E13:AH13)))</f>
        <v>3</v>
      </c>
      <c r="BF13" s="101" cm="1">
        <f t="array" ref="BF13">SUMPRODUCT(1*ISNUMBER(FIND("r",E13:AH13)))</f>
        <v>0</v>
      </c>
      <c r="BG13" s="101" cm="1">
        <f t="array" ref="BG13">SUMPRODUCT(1*ISNUMBER(FIND("P",E13:AH13)))-SUMPRODUCT(1*ISNUMBER(FIND("午P",E13:AH13)))</f>
        <v>0</v>
      </c>
      <c r="BH13" s="101">
        <f t="shared" si="16"/>
        <v>3</v>
      </c>
      <c r="BI13" s="101" cm="1">
        <f t="array" ref="BI13">SUMPRODUCT(1*ISNUMBER(FIND("R",D13:J13)))</f>
        <v>1</v>
      </c>
      <c r="BJ13" s="101" cm="1">
        <f t="array" ref="BJ13">SUMPRODUCT(1*ISNUMBER(FIND("R",K13:Q13)))</f>
        <v>0</v>
      </c>
      <c r="BK13" s="101" cm="1">
        <f t="array" ref="BK13">SUMPRODUCT(1*ISNUMBER(FIND("R",R13:X13)))</f>
        <v>0</v>
      </c>
      <c r="BL13" s="101" cm="1">
        <f t="array" ref="BL13">SUMPRODUCT(1*ISNUMBER(FIND("R",Y13:AE13)))</f>
        <v>1</v>
      </c>
      <c r="BM13" s="101" cm="1">
        <f t="array" ref="BM13">SUMPRODUCT(1*ISNUMBER(FIND("R",AF13:AL13)))</f>
        <v>1</v>
      </c>
      <c r="BN13" s="101">
        <f>SUM(AV13:BG13)</f>
        <v>10</v>
      </c>
      <c r="BP13" s="138">
        <v>10</v>
      </c>
      <c r="BQ13" s="138" cm="1">
        <f t="array" ref="BQ13">SUMPRODUCT(1*ISNUMBER(FIND("P",K13:AL13)))-SUMPRODUCT(1*ISNUMBER(FIND("午P",K13:AL13)))</f>
        <v>0</v>
      </c>
    </row>
    <row r="14" spans="1:69" s="36" customFormat="1" ht="39.75" customHeight="1">
      <c r="A14" s="284"/>
      <c r="B14" s="49" t="s">
        <v>27</v>
      </c>
      <c r="C14" s="77" t="s">
        <v>263</v>
      </c>
      <c r="D14" s="183" t="s">
        <v>297</v>
      </c>
      <c r="E14" s="183" t="s">
        <v>297</v>
      </c>
      <c r="F14" s="183" t="s">
        <v>300</v>
      </c>
      <c r="G14" s="183" t="s">
        <v>9</v>
      </c>
      <c r="H14" s="212" t="s">
        <v>7</v>
      </c>
      <c r="I14" s="247" t="s">
        <v>299</v>
      </c>
      <c r="J14" s="212" t="s">
        <v>300</v>
      </c>
      <c r="K14" s="175"/>
      <c r="L14" s="166"/>
      <c r="M14" s="166"/>
      <c r="N14" s="166"/>
      <c r="O14" s="166"/>
      <c r="P14" s="168"/>
      <c r="Q14" s="175"/>
      <c r="R14" s="175"/>
      <c r="S14" s="166"/>
      <c r="T14" s="166"/>
      <c r="U14" s="166"/>
      <c r="V14" s="166"/>
      <c r="W14" s="168"/>
      <c r="X14" s="175"/>
      <c r="Y14" s="175"/>
      <c r="Z14" s="166"/>
      <c r="AA14" s="166"/>
      <c r="AB14" s="166"/>
      <c r="AC14" s="166"/>
      <c r="AD14" s="168"/>
      <c r="AE14" s="175"/>
      <c r="AF14" s="175"/>
      <c r="AG14" s="166" t="s">
        <v>114</v>
      </c>
      <c r="AH14" s="166" t="s">
        <v>331</v>
      </c>
      <c r="AI14" s="166" t="s">
        <v>332</v>
      </c>
      <c r="AJ14" s="166" t="s">
        <v>333</v>
      </c>
      <c r="AK14" s="166"/>
      <c r="AL14" s="175"/>
      <c r="AM14" s="147">
        <f t="shared" si="2"/>
        <v>10</v>
      </c>
      <c r="AN14" s="146">
        <v>2</v>
      </c>
      <c r="AO14" s="146">
        <v>2</v>
      </c>
      <c r="AP14" s="150">
        <v>4</v>
      </c>
      <c r="AQ14" s="150">
        <v>4</v>
      </c>
      <c r="AR14" s="150">
        <f t="shared" si="3"/>
        <v>0</v>
      </c>
      <c r="AS14" s="150">
        <f t="shared" si="4"/>
        <v>0</v>
      </c>
      <c r="AT14" s="150">
        <f t="shared" si="5"/>
        <v>2</v>
      </c>
      <c r="AU14" s="150">
        <f t="shared" si="6"/>
        <v>2</v>
      </c>
      <c r="AV14" s="101">
        <f t="shared" si="7"/>
        <v>1</v>
      </c>
      <c r="AW14" s="101">
        <f t="shared" si="8"/>
        <v>0</v>
      </c>
      <c r="AX14" s="101">
        <f t="shared" si="9"/>
        <v>0</v>
      </c>
      <c r="AY14" s="101">
        <f t="shared" si="10"/>
        <v>3</v>
      </c>
      <c r="AZ14" s="101">
        <f t="shared" si="11"/>
        <v>0</v>
      </c>
      <c r="BA14" s="101">
        <f t="shared" si="12"/>
        <v>0</v>
      </c>
      <c r="BB14" s="101">
        <f t="shared" si="13"/>
        <v>0</v>
      </c>
      <c r="BC14" s="101">
        <f t="shared" si="14"/>
        <v>0</v>
      </c>
      <c r="BD14" s="101">
        <f t="shared" si="15"/>
        <v>1</v>
      </c>
      <c r="BE14" s="101" cm="1">
        <f t="array" ref="BE14">SUMPRODUCT(1*ISNUMBER(FIND("R",E14:AH14)))</f>
        <v>2</v>
      </c>
      <c r="BF14" s="101" cm="1">
        <f t="array" ref="BF14">SUMPRODUCT(1*ISNUMBER(FIND("r",E14:AH14)))</f>
        <v>0</v>
      </c>
      <c r="BG14" s="101" cm="1">
        <f t="array" ref="BG14">SUMPRODUCT(1*ISNUMBER(FIND("P",E14:AH14)))-SUMPRODUCT(1*ISNUMBER(FIND("午P",E14:AH14)))</f>
        <v>1</v>
      </c>
      <c r="BH14" s="101">
        <f t="shared" si="16"/>
        <v>3</v>
      </c>
      <c r="BI14" s="101" cm="1">
        <f t="array" ref="BI14">SUMPRODUCT(1*ISNUMBER(FIND("R",D14:J14)))</f>
        <v>1</v>
      </c>
      <c r="BJ14" s="101" cm="1">
        <f t="array" ref="BJ14">SUMPRODUCT(1*ISNUMBER(FIND("R",K14:Q14)))</f>
        <v>0</v>
      </c>
      <c r="BK14" s="101" cm="1">
        <f t="array" ref="BK14">SUMPRODUCT(1*ISNUMBER(FIND("R",R14:X14)))</f>
        <v>0</v>
      </c>
      <c r="BL14" s="101" cm="1">
        <f t="array" ref="BL14">SUMPRODUCT(1*ISNUMBER(FIND("R",Y14:AE14)))</f>
        <v>0</v>
      </c>
      <c r="BM14" s="101" cm="1">
        <f t="array" ref="BM14">SUMPRODUCT(1*ISNUMBER(FIND("R",AF14:AL14)))</f>
        <v>1</v>
      </c>
      <c r="BN14" s="101">
        <f t="shared" si="17"/>
        <v>8</v>
      </c>
      <c r="BP14" s="138">
        <v>10</v>
      </c>
      <c r="BQ14" s="138" cm="1">
        <f t="array" ref="BQ14">SUMPRODUCT(1*ISNUMBER(FIND("P",K14:AL14)))-SUMPRODUCT(1*ISNUMBER(FIND("午P",K14:AL14)))</f>
        <v>0</v>
      </c>
    </row>
    <row r="15" spans="1:69" s="36" customFormat="1" ht="39.75" customHeight="1">
      <c r="A15" s="284"/>
      <c r="B15" s="49" t="s">
        <v>28</v>
      </c>
      <c r="C15" s="77" t="s">
        <v>262</v>
      </c>
      <c r="D15" s="183" t="s">
        <v>300</v>
      </c>
      <c r="E15" s="183" t="s">
        <v>302</v>
      </c>
      <c r="F15" s="183" t="s">
        <v>7</v>
      </c>
      <c r="G15" s="183" t="s">
        <v>299</v>
      </c>
      <c r="H15" s="212" t="s">
        <v>299</v>
      </c>
      <c r="I15" s="247" t="s">
        <v>302</v>
      </c>
      <c r="J15" s="212" t="s">
        <v>299</v>
      </c>
      <c r="K15" s="175"/>
      <c r="L15" s="166"/>
      <c r="M15" s="166"/>
      <c r="N15" s="166"/>
      <c r="O15" s="166"/>
      <c r="P15" s="168"/>
      <c r="Q15" s="175"/>
      <c r="R15" s="175"/>
      <c r="S15" s="166"/>
      <c r="T15" s="166"/>
      <c r="U15" s="166" t="s">
        <v>314</v>
      </c>
      <c r="V15" s="166" t="s">
        <v>314</v>
      </c>
      <c r="W15" s="168"/>
      <c r="X15" s="175"/>
      <c r="Y15" s="175"/>
      <c r="Z15" s="166"/>
      <c r="AA15" s="166"/>
      <c r="AB15" s="166"/>
      <c r="AC15" s="166"/>
      <c r="AD15" s="168"/>
      <c r="AE15" s="175" t="s">
        <v>314</v>
      </c>
      <c r="AF15" s="175" t="s">
        <v>314</v>
      </c>
      <c r="AG15" s="166"/>
      <c r="AH15" s="166"/>
      <c r="AI15" s="166"/>
      <c r="AJ15" s="166"/>
      <c r="AK15" s="166"/>
      <c r="AL15" s="175"/>
      <c r="AM15" s="147">
        <f t="shared" si="2"/>
        <v>10</v>
      </c>
      <c r="AN15" s="146">
        <v>2</v>
      </c>
      <c r="AO15" s="146">
        <v>2</v>
      </c>
      <c r="AP15" s="150">
        <v>4</v>
      </c>
      <c r="AQ15" s="150">
        <v>4</v>
      </c>
      <c r="AR15" s="150">
        <f t="shared" si="3"/>
        <v>0</v>
      </c>
      <c r="AS15" s="150">
        <f t="shared" si="4"/>
        <v>0</v>
      </c>
      <c r="AT15" s="150">
        <f t="shared" si="5"/>
        <v>2</v>
      </c>
      <c r="AU15" s="150">
        <f t="shared" si="6"/>
        <v>2</v>
      </c>
      <c r="AV15" s="101">
        <f t="shared" si="7"/>
        <v>0</v>
      </c>
      <c r="AW15" s="101">
        <f t="shared" si="8"/>
        <v>0</v>
      </c>
      <c r="AX15" s="101">
        <f t="shared" si="9"/>
        <v>0</v>
      </c>
      <c r="AY15" s="101">
        <f t="shared" si="10"/>
        <v>5</v>
      </c>
      <c r="AZ15" s="101">
        <f t="shared" si="11"/>
        <v>0</v>
      </c>
      <c r="BA15" s="101">
        <f t="shared" si="12"/>
        <v>0</v>
      </c>
      <c r="BB15" s="101">
        <f t="shared" si="13"/>
        <v>0</v>
      </c>
      <c r="BC15" s="101">
        <f t="shared" si="14"/>
        <v>0</v>
      </c>
      <c r="BD15" s="101">
        <f t="shared" si="15"/>
        <v>4</v>
      </c>
      <c r="BE15" s="101" cm="1">
        <f t="array" ref="BE15">SUMPRODUCT(1*ISNUMBER(FIND("R",E15:AH15)))</f>
        <v>1</v>
      </c>
      <c r="BF15" s="101" cm="1">
        <f t="array" ref="BF15">SUMPRODUCT(1*ISNUMBER(FIND("r",E15:AH15)))</f>
        <v>0</v>
      </c>
      <c r="BG15" s="101" cm="1">
        <f t="array" ref="BG15">SUMPRODUCT(1*ISNUMBER(FIND("P",E15:AH15)))-SUMPRODUCT(1*ISNUMBER(FIND("午P",E15:AH15)))</f>
        <v>0</v>
      </c>
      <c r="BH15" s="101">
        <f t="shared" si="16"/>
        <v>1</v>
      </c>
      <c r="BI15" s="101" cm="1">
        <f t="array" ref="BI15">SUMPRODUCT(1*ISNUMBER(FIND("R",D15:J15)))</f>
        <v>1</v>
      </c>
      <c r="BJ15" s="101" cm="1">
        <f t="array" ref="BJ15">SUMPRODUCT(1*ISNUMBER(FIND("R",K15:Q15)))</f>
        <v>0</v>
      </c>
      <c r="BK15" s="101" cm="1">
        <f t="array" ref="BK15">SUMPRODUCT(1*ISNUMBER(FIND("R",R15:X15)))</f>
        <v>0</v>
      </c>
      <c r="BL15" s="101" cm="1">
        <f t="array" ref="BL15">SUMPRODUCT(1*ISNUMBER(FIND("R",Y15:AE15)))</f>
        <v>0</v>
      </c>
      <c r="BM15" s="101" cm="1">
        <f t="array" ref="BM15">SUMPRODUCT(1*ISNUMBER(FIND("R",AF15:AL15)))</f>
        <v>0</v>
      </c>
      <c r="BN15" s="101">
        <f t="shared" si="17"/>
        <v>10</v>
      </c>
      <c r="BP15" s="138">
        <v>10</v>
      </c>
      <c r="BQ15" s="138" cm="1">
        <f t="array" ref="BQ15">SUMPRODUCT(1*ISNUMBER(FIND("P",K15:AL15)))-SUMPRODUCT(1*ISNUMBER(FIND("午P",K15:AL15)))</f>
        <v>0</v>
      </c>
    </row>
    <row r="16" spans="1:69" s="36" customFormat="1" ht="39.75" customHeight="1">
      <c r="A16" s="284"/>
      <c r="B16" s="49" t="s">
        <v>32</v>
      </c>
      <c r="C16" s="77" t="s">
        <v>33</v>
      </c>
      <c r="D16" s="183" t="s">
        <v>298</v>
      </c>
      <c r="E16" s="183" t="s">
        <v>7</v>
      </c>
      <c r="F16" s="183" t="s">
        <v>298</v>
      </c>
      <c r="G16" s="183" t="s">
        <v>297</v>
      </c>
      <c r="H16" s="212" t="s">
        <v>298</v>
      </c>
      <c r="I16" s="247" t="s">
        <v>297</v>
      </c>
      <c r="J16" s="212" t="s">
        <v>297</v>
      </c>
      <c r="K16" s="175" t="s">
        <v>294</v>
      </c>
      <c r="L16" s="166" t="s">
        <v>294</v>
      </c>
      <c r="M16" s="166" t="s">
        <v>334</v>
      </c>
      <c r="N16" s="166" t="s">
        <v>334</v>
      </c>
      <c r="O16" s="166" t="s">
        <v>334</v>
      </c>
      <c r="P16" s="168"/>
      <c r="Q16" s="175"/>
      <c r="R16" s="175"/>
      <c r="S16" s="166"/>
      <c r="T16" s="166"/>
      <c r="U16" s="166"/>
      <c r="V16" s="166"/>
      <c r="W16" s="166"/>
      <c r="X16" s="175"/>
      <c r="Y16" s="175"/>
      <c r="Z16" s="166"/>
      <c r="AA16" s="166"/>
      <c r="AB16" s="166"/>
      <c r="AC16" s="166"/>
      <c r="AD16" s="168"/>
      <c r="AE16" s="175"/>
      <c r="AF16" s="175"/>
      <c r="AG16" s="166"/>
      <c r="AH16" s="166"/>
      <c r="AI16" s="166"/>
      <c r="AJ16" s="166"/>
      <c r="AK16" s="166"/>
      <c r="AL16" s="175"/>
      <c r="AM16" s="147">
        <f t="shared" si="2"/>
        <v>9</v>
      </c>
      <c r="AN16" s="146">
        <v>2</v>
      </c>
      <c r="AO16" s="146">
        <v>2</v>
      </c>
      <c r="AP16" s="150">
        <v>4</v>
      </c>
      <c r="AQ16" s="150">
        <v>4</v>
      </c>
      <c r="AR16" s="150">
        <f t="shared" si="3"/>
        <v>0</v>
      </c>
      <c r="AS16" s="150">
        <f t="shared" si="4"/>
        <v>0</v>
      </c>
      <c r="AT16" s="150">
        <f t="shared" si="5"/>
        <v>2</v>
      </c>
      <c r="AU16" s="150">
        <f t="shared" si="6"/>
        <v>2</v>
      </c>
      <c r="AV16" s="101">
        <f t="shared" si="7"/>
        <v>5</v>
      </c>
      <c r="AW16" s="101">
        <f t="shared" si="8"/>
        <v>0</v>
      </c>
      <c r="AX16" s="101">
        <f t="shared" si="9"/>
        <v>0</v>
      </c>
      <c r="AY16" s="101">
        <f t="shared" si="10"/>
        <v>0</v>
      </c>
      <c r="AZ16" s="101">
        <f t="shared" si="11"/>
        <v>0</v>
      </c>
      <c r="BA16" s="101">
        <f t="shared" si="12"/>
        <v>0</v>
      </c>
      <c r="BB16" s="101">
        <f t="shared" si="13"/>
        <v>0</v>
      </c>
      <c r="BC16" s="101">
        <f t="shared" si="14"/>
        <v>0</v>
      </c>
      <c r="BD16" s="101">
        <f t="shared" si="15"/>
        <v>0</v>
      </c>
      <c r="BE16" s="101" cm="1">
        <f t="array" ref="BE16">SUMPRODUCT(1*ISNUMBER(FIND("R",E16:AH16)))</f>
        <v>1</v>
      </c>
      <c r="BF16" s="101" cm="1">
        <f t="array" ref="BF16">SUMPRODUCT(1*ISNUMBER(FIND("r",E16:AH16)))</f>
        <v>0</v>
      </c>
      <c r="BG16" s="101" cm="1">
        <f t="array" ref="BG16">SUMPRODUCT(1*ISNUMBER(FIND("P",E16:AH16)))-SUMPRODUCT(1*ISNUMBER(FIND("午P",E16:AH16)))</f>
        <v>0</v>
      </c>
      <c r="BH16" s="101">
        <f t="shared" si="16"/>
        <v>1</v>
      </c>
      <c r="BI16" s="101" cm="1">
        <f t="array" ref="BI16">SUMPRODUCT(1*ISNUMBER(FIND("R",D16:J16)))</f>
        <v>1</v>
      </c>
      <c r="BJ16" s="101" cm="1">
        <f t="array" ref="BJ16">SUMPRODUCT(1*ISNUMBER(FIND("R",K16:Q16)))</f>
        <v>0</v>
      </c>
      <c r="BK16" s="101" cm="1">
        <f t="array" ref="BK16">SUMPRODUCT(1*ISNUMBER(FIND("R",R16:X16)))</f>
        <v>0</v>
      </c>
      <c r="BL16" s="101" cm="1">
        <f t="array" ref="BL16">SUMPRODUCT(1*ISNUMBER(FIND("R",Y16:AE16)))</f>
        <v>0</v>
      </c>
      <c r="BM16" s="101" cm="1">
        <f t="array" ref="BM16">SUMPRODUCT(1*ISNUMBER(FIND("R",AF16:AL16)))</f>
        <v>0</v>
      </c>
      <c r="BN16" s="101">
        <f t="shared" si="17"/>
        <v>6</v>
      </c>
      <c r="BP16" s="138">
        <v>9</v>
      </c>
      <c r="BQ16" s="138" cm="1">
        <f t="array" ref="BQ16">SUMPRODUCT(1*ISNUMBER(FIND("P",K16:AL16)))-SUMPRODUCT(1*ISNUMBER(FIND("午P",K16:AL16)))</f>
        <v>0</v>
      </c>
    </row>
    <row r="17" spans="1:69" s="36" customFormat="1" ht="39.75" customHeight="1">
      <c r="A17" s="284"/>
      <c r="B17" s="58" t="s">
        <v>223</v>
      </c>
      <c r="C17" s="74" t="s">
        <v>270</v>
      </c>
      <c r="D17" s="183" t="s">
        <v>7</v>
      </c>
      <c r="E17" s="183" t="s">
        <v>9</v>
      </c>
      <c r="F17" s="183" t="s">
        <v>153</v>
      </c>
      <c r="G17" s="183" t="s">
        <v>305</v>
      </c>
      <c r="H17" s="212" t="s">
        <v>297</v>
      </c>
      <c r="I17" s="247" t="s">
        <v>298</v>
      </c>
      <c r="J17" s="212" t="s">
        <v>125</v>
      </c>
      <c r="K17" s="175" t="s">
        <v>295</v>
      </c>
      <c r="L17" s="166" t="s">
        <v>335</v>
      </c>
      <c r="M17" s="166" t="s">
        <v>335</v>
      </c>
      <c r="N17" s="166" t="s">
        <v>334</v>
      </c>
      <c r="O17" s="166" t="s">
        <v>334</v>
      </c>
      <c r="P17" s="166" t="s">
        <v>334</v>
      </c>
      <c r="Q17" s="175" t="s">
        <v>294</v>
      </c>
      <c r="R17" s="175" t="s">
        <v>294</v>
      </c>
      <c r="S17" s="166" t="s">
        <v>334</v>
      </c>
      <c r="T17" s="166" t="s">
        <v>334</v>
      </c>
      <c r="U17" s="166" t="s">
        <v>334</v>
      </c>
      <c r="V17" s="166" t="s">
        <v>334</v>
      </c>
      <c r="W17" s="166" t="s">
        <v>334</v>
      </c>
      <c r="X17" s="175" t="s">
        <v>294</v>
      </c>
      <c r="Y17" s="175" t="s">
        <v>294</v>
      </c>
      <c r="Z17" s="166" t="s">
        <v>294</v>
      </c>
      <c r="AA17" s="166"/>
      <c r="AB17" s="166"/>
      <c r="AC17" s="166"/>
      <c r="AD17" s="168"/>
      <c r="AE17" s="175"/>
      <c r="AF17" s="175"/>
      <c r="AG17" s="166"/>
      <c r="AH17" s="166"/>
      <c r="AI17" s="166"/>
      <c r="AJ17" s="166"/>
      <c r="AK17" s="166"/>
      <c r="AL17" s="175"/>
      <c r="AM17" s="147">
        <f t="shared" si="2"/>
        <v>11</v>
      </c>
      <c r="AN17" s="146">
        <v>2</v>
      </c>
      <c r="AO17" s="146">
        <v>2</v>
      </c>
      <c r="AP17" s="150">
        <v>4</v>
      </c>
      <c r="AQ17" s="150">
        <v>4</v>
      </c>
      <c r="AR17" s="150">
        <f t="shared" si="3"/>
        <v>0</v>
      </c>
      <c r="AS17" s="150">
        <f t="shared" si="4"/>
        <v>0</v>
      </c>
      <c r="AT17" s="150">
        <f t="shared" si="5"/>
        <v>2</v>
      </c>
      <c r="AU17" s="150">
        <f t="shared" si="6"/>
        <v>2</v>
      </c>
      <c r="AV17" s="101">
        <f t="shared" si="7"/>
        <v>3</v>
      </c>
      <c r="AW17" s="101">
        <f t="shared" si="8"/>
        <v>0</v>
      </c>
      <c r="AX17" s="101">
        <f t="shared" si="9"/>
        <v>1</v>
      </c>
      <c r="AY17" s="101">
        <f t="shared" si="10"/>
        <v>0</v>
      </c>
      <c r="AZ17" s="101">
        <f t="shared" si="11"/>
        <v>0</v>
      </c>
      <c r="BA17" s="101">
        <f t="shared" si="12"/>
        <v>0</v>
      </c>
      <c r="BB17" s="101">
        <f t="shared" si="13"/>
        <v>0</v>
      </c>
      <c r="BC17" s="101">
        <f t="shared" si="14"/>
        <v>0</v>
      </c>
      <c r="BD17" s="101">
        <f t="shared" si="15"/>
        <v>0</v>
      </c>
      <c r="BE17" s="101" cm="1">
        <f t="array" ref="BE17">SUMPRODUCT(1*ISNUMBER(FIND("R",E17:AH17)))</f>
        <v>0</v>
      </c>
      <c r="BF17" s="101" cm="1">
        <f t="array" ref="BF17">SUMPRODUCT(1*ISNUMBER(FIND("r",E17:AH17)))</f>
        <v>1</v>
      </c>
      <c r="BG17" s="101" cm="1">
        <f t="array" ref="BG17">SUMPRODUCT(1*ISNUMBER(FIND("P",E17:AH17)))-SUMPRODUCT(1*ISNUMBER(FIND("午P",E17:AH17)))</f>
        <v>1</v>
      </c>
      <c r="BH17" s="101">
        <f t="shared" si="16"/>
        <v>2</v>
      </c>
      <c r="BI17" s="101" cm="1">
        <f t="array" ref="BI17">SUMPRODUCT(1*ISNUMBER(FIND("R",D17:J17)))</f>
        <v>1</v>
      </c>
      <c r="BJ17" s="101" cm="1">
        <f t="array" ref="BJ17">SUMPRODUCT(1*ISNUMBER(FIND("R",K17:Q17)))</f>
        <v>0</v>
      </c>
      <c r="BK17" s="101" cm="1">
        <f t="array" ref="BK17">SUMPRODUCT(1*ISNUMBER(FIND("R",R17:X17)))</f>
        <v>0</v>
      </c>
      <c r="BL17" s="101" cm="1">
        <f t="array" ref="BL17">SUMPRODUCT(1*ISNUMBER(FIND("R",Y17:AE17)))</f>
        <v>0</v>
      </c>
      <c r="BM17" s="101" cm="1">
        <f t="array" ref="BM17">SUMPRODUCT(1*ISNUMBER(FIND("R",AF17:AL17)))</f>
        <v>0</v>
      </c>
      <c r="BN17" s="101">
        <f t="shared" si="17"/>
        <v>6</v>
      </c>
      <c r="BP17" s="138">
        <v>11</v>
      </c>
      <c r="BQ17" s="138" cm="1">
        <f t="array" ref="BQ17">SUMPRODUCT(1*ISNUMBER(FIND("P",K17:AL17)))-SUMPRODUCT(1*ISNUMBER(FIND("午P",K17:AL17)))</f>
        <v>0</v>
      </c>
    </row>
    <row r="18" spans="1:69" s="36" customFormat="1" ht="39.75" customHeight="1">
      <c r="A18" s="284"/>
      <c r="B18" s="45" t="s">
        <v>217</v>
      </c>
      <c r="C18" s="76" t="s">
        <v>218</v>
      </c>
      <c r="D18" s="183" t="s">
        <v>7</v>
      </c>
      <c r="E18" s="183" t="s">
        <v>125</v>
      </c>
      <c r="F18" s="183" t="s">
        <v>297</v>
      </c>
      <c r="G18" s="183" t="s">
        <v>298</v>
      </c>
      <c r="H18" s="212" t="s">
        <v>153</v>
      </c>
      <c r="I18" s="247" t="s">
        <v>125</v>
      </c>
      <c r="J18" s="212" t="s">
        <v>298</v>
      </c>
      <c r="K18" s="175"/>
      <c r="L18" s="166"/>
      <c r="M18" s="166"/>
      <c r="N18" s="166"/>
      <c r="O18" s="166"/>
      <c r="P18" s="168"/>
      <c r="Q18" s="175"/>
      <c r="R18" s="175"/>
      <c r="S18" s="166"/>
      <c r="T18" s="166"/>
      <c r="U18" s="166"/>
      <c r="V18" s="166"/>
      <c r="W18" s="168"/>
      <c r="X18" s="175"/>
      <c r="Y18" s="175" t="s">
        <v>316</v>
      </c>
      <c r="Z18" s="166" t="s">
        <v>308</v>
      </c>
      <c r="AA18" s="166"/>
      <c r="AB18" s="166"/>
      <c r="AC18" s="161"/>
      <c r="AD18" s="168"/>
      <c r="AE18" s="175"/>
      <c r="AF18" s="175"/>
      <c r="AG18" s="166"/>
      <c r="AH18" s="166"/>
      <c r="AI18" s="166"/>
      <c r="AJ18" s="166"/>
      <c r="AK18" s="166"/>
      <c r="AL18" s="175"/>
      <c r="AM18" s="147">
        <f t="shared" si="2"/>
        <v>9</v>
      </c>
      <c r="AN18" s="146">
        <v>2</v>
      </c>
      <c r="AO18" s="146">
        <v>2</v>
      </c>
      <c r="AP18" s="150">
        <v>4</v>
      </c>
      <c r="AQ18" s="150">
        <v>4</v>
      </c>
      <c r="AR18" s="150">
        <f t="shared" si="3"/>
        <v>0</v>
      </c>
      <c r="AS18" s="150">
        <f t="shared" si="4"/>
        <v>0</v>
      </c>
      <c r="AT18" s="150">
        <f t="shared" si="5"/>
        <v>2</v>
      </c>
      <c r="AU18" s="150">
        <f t="shared" si="6"/>
        <v>2</v>
      </c>
      <c r="AV18" s="101">
        <f t="shared" si="7"/>
        <v>3</v>
      </c>
      <c r="AW18" s="101">
        <f t="shared" si="8"/>
        <v>0</v>
      </c>
      <c r="AX18" s="101">
        <f t="shared" si="9"/>
        <v>1</v>
      </c>
      <c r="AY18" s="101">
        <f t="shared" si="10"/>
        <v>0</v>
      </c>
      <c r="AZ18" s="101">
        <f t="shared" si="11"/>
        <v>0</v>
      </c>
      <c r="BA18" s="101">
        <f t="shared" si="12"/>
        <v>0</v>
      </c>
      <c r="BB18" s="101">
        <f t="shared" si="13"/>
        <v>0</v>
      </c>
      <c r="BC18" s="101">
        <f t="shared" si="14"/>
        <v>0</v>
      </c>
      <c r="BD18" s="101">
        <f t="shared" si="15"/>
        <v>0</v>
      </c>
      <c r="BE18" s="101" cm="1">
        <f t="array" ref="BE18">SUMPRODUCT(1*ISNUMBER(FIND("R",E18:AH18)))</f>
        <v>1</v>
      </c>
      <c r="BF18" s="101" cm="1">
        <f t="array" ref="BF18">SUMPRODUCT(1*ISNUMBER(FIND("r",E18:AH18)))</f>
        <v>3</v>
      </c>
      <c r="BG18" s="101" cm="1">
        <f t="array" ref="BG18">SUMPRODUCT(1*ISNUMBER(FIND("P",E18:AH18)))-SUMPRODUCT(1*ISNUMBER(FIND("午P",E18:AH18)))</f>
        <v>0</v>
      </c>
      <c r="BH18" s="101">
        <f t="shared" si="16"/>
        <v>4</v>
      </c>
      <c r="BI18" s="101" cm="1">
        <f t="array" ref="BI18">SUMPRODUCT(1*ISNUMBER(FIND("R",D18:J18)))</f>
        <v>1</v>
      </c>
      <c r="BJ18" s="101" cm="1">
        <f t="array" ref="BJ18">SUMPRODUCT(1*ISNUMBER(FIND("R",K18:Q18)))</f>
        <v>0</v>
      </c>
      <c r="BK18" s="101" cm="1">
        <f t="array" ref="BK18">SUMPRODUCT(1*ISNUMBER(FIND("R",R18:X18)))</f>
        <v>0</v>
      </c>
      <c r="BL18" s="101" cm="1">
        <f t="array" ref="BL18">SUMPRODUCT(1*ISNUMBER(FIND("R",Y18:AE18)))</f>
        <v>1</v>
      </c>
      <c r="BM18" s="101" cm="1">
        <f t="array" ref="BM18">SUMPRODUCT(1*ISNUMBER(FIND("R",AF18:AL18)))</f>
        <v>0</v>
      </c>
      <c r="BN18" s="101">
        <f t="shared" si="17"/>
        <v>8</v>
      </c>
      <c r="BP18" s="138">
        <v>9</v>
      </c>
      <c r="BQ18" s="138" cm="1">
        <f t="array" ref="BQ18">SUMPRODUCT(1*ISNUMBER(FIND("P",K18:AL18)))-SUMPRODUCT(1*ISNUMBER(FIND("午P",K18:AL18)))</f>
        <v>0</v>
      </c>
    </row>
    <row r="19" spans="1:69" s="99" customFormat="1" ht="39.75" customHeight="1">
      <c r="A19" s="284"/>
      <c r="B19" s="103" t="s">
        <v>219</v>
      </c>
      <c r="C19" s="76" t="s">
        <v>266</v>
      </c>
      <c r="D19" s="183" t="s">
        <v>296</v>
      </c>
      <c r="E19" s="183" t="s">
        <v>301</v>
      </c>
      <c r="F19" s="183" t="s">
        <v>296</v>
      </c>
      <c r="G19" s="183" t="s">
        <v>7</v>
      </c>
      <c r="H19" s="212" t="s">
        <v>301</v>
      </c>
      <c r="I19" s="247" t="s">
        <v>296</v>
      </c>
      <c r="J19" s="212" t="s">
        <v>301</v>
      </c>
      <c r="K19" s="175"/>
      <c r="L19" s="166"/>
      <c r="M19" s="166"/>
      <c r="N19" s="166"/>
      <c r="O19" s="166"/>
      <c r="P19" s="168"/>
      <c r="Q19" s="175"/>
      <c r="R19" s="175"/>
      <c r="S19" s="166"/>
      <c r="T19" s="166"/>
      <c r="U19" s="166"/>
      <c r="V19" s="166"/>
      <c r="W19" s="168"/>
      <c r="X19" s="175"/>
      <c r="Y19" s="175"/>
      <c r="Z19" s="166"/>
      <c r="AA19" s="166"/>
      <c r="AB19" s="166"/>
      <c r="AC19" s="166"/>
      <c r="AD19" s="168"/>
      <c r="AE19" s="175"/>
      <c r="AF19" s="175"/>
      <c r="AG19" s="166"/>
      <c r="AH19" s="166"/>
      <c r="AI19" s="166"/>
      <c r="AJ19" s="166"/>
      <c r="AK19" s="168"/>
      <c r="AL19" s="175"/>
      <c r="AM19" s="147">
        <f t="shared" si="2"/>
        <v>10</v>
      </c>
      <c r="AN19" s="146">
        <v>2</v>
      </c>
      <c r="AO19" s="146">
        <v>2</v>
      </c>
      <c r="AP19" s="150">
        <v>4</v>
      </c>
      <c r="AQ19" s="150">
        <v>4</v>
      </c>
      <c r="AR19" s="150">
        <f t="shared" si="3"/>
        <v>0</v>
      </c>
      <c r="AS19" s="150">
        <f t="shared" si="4"/>
        <v>0</v>
      </c>
      <c r="AT19" s="150">
        <f t="shared" si="5"/>
        <v>2</v>
      </c>
      <c r="AU19" s="150">
        <f t="shared" si="6"/>
        <v>2</v>
      </c>
      <c r="AV19" s="101">
        <f t="shared" si="7"/>
        <v>0</v>
      </c>
      <c r="AW19" s="101">
        <f t="shared" si="8"/>
        <v>0</v>
      </c>
      <c r="AX19" s="101">
        <f t="shared" si="9"/>
        <v>0</v>
      </c>
      <c r="AY19" s="101">
        <f t="shared" si="10"/>
        <v>0</v>
      </c>
      <c r="AZ19" s="101">
        <f t="shared" si="11"/>
        <v>0</v>
      </c>
      <c r="BA19" s="101">
        <f t="shared" si="12"/>
        <v>5</v>
      </c>
      <c r="BB19" s="101">
        <f t="shared" si="13"/>
        <v>0</v>
      </c>
      <c r="BC19" s="101">
        <f t="shared" si="14"/>
        <v>0</v>
      </c>
      <c r="BD19" s="101">
        <f t="shared" si="15"/>
        <v>0</v>
      </c>
      <c r="BE19" s="101" cm="1">
        <f t="array" ref="BE19">SUMPRODUCT(1*ISNUMBER(FIND("R",E19:AH19)))</f>
        <v>1</v>
      </c>
      <c r="BF19" s="101" cm="1">
        <f t="array" ref="BF19">SUMPRODUCT(1*ISNUMBER(FIND("r",E19:AH19)))</f>
        <v>0</v>
      </c>
      <c r="BG19" s="101" cm="1">
        <f t="array" ref="BG19">SUMPRODUCT(1*ISNUMBER(FIND("P",E19:AH19)))-SUMPRODUCT(1*ISNUMBER(FIND("午P",E19:AH19)))</f>
        <v>0</v>
      </c>
      <c r="BH19" s="101">
        <f t="shared" si="16"/>
        <v>1</v>
      </c>
      <c r="BI19" s="101" cm="1">
        <f t="array" ref="BI19">SUMPRODUCT(1*ISNUMBER(FIND("R",D19:J19)))</f>
        <v>1</v>
      </c>
      <c r="BJ19" s="101" cm="1">
        <f t="array" ref="BJ19">SUMPRODUCT(1*ISNUMBER(FIND("R",K19:Q19)))</f>
        <v>0</v>
      </c>
      <c r="BK19" s="101" cm="1">
        <f t="array" ref="BK19">SUMPRODUCT(1*ISNUMBER(FIND("R",R19:X19)))</f>
        <v>0</v>
      </c>
      <c r="BL19" s="101" cm="1">
        <f t="array" ref="BL19">SUMPRODUCT(1*ISNUMBER(FIND("R",Y19:AE19)))</f>
        <v>0</v>
      </c>
      <c r="BM19" s="101" cm="1">
        <f t="array" ref="BM19">SUMPRODUCT(1*ISNUMBER(FIND("R",AF19:AL19)))</f>
        <v>0</v>
      </c>
      <c r="BN19" s="101">
        <f t="shared" si="17"/>
        <v>6</v>
      </c>
      <c r="BP19" s="138">
        <v>10</v>
      </c>
      <c r="BQ19" s="138" cm="1">
        <f t="array" ref="BQ19">SUMPRODUCT(1*ISNUMBER(FIND("P",K19:AL19)))-SUMPRODUCT(1*ISNUMBER(FIND("午P",K19:AL19)))</f>
        <v>0</v>
      </c>
    </row>
    <row r="20" spans="1:69" s="99" customFormat="1" ht="39.75" customHeight="1">
      <c r="A20" s="284"/>
      <c r="B20" s="103" t="s">
        <v>255</v>
      </c>
      <c r="C20" s="76" t="s">
        <v>256</v>
      </c>
      <c r="D20" s="183" t="s">
        <v>302</v>
      </c>
      <c r="E20" s="183" t="s">
        <v>299</v>
      </c>
      <c r="F20" s="183" t="s">
        <v>299</v>
      </c>
      <c r="G20" s="183" t="s">
        <v>125</v>
      </c>
      <c r="H20" s="212" t="s">
        <v>7</v>
      </c>
      <c r="I20" s="247" t="s">
        <v>300</v>
      </c>
      <c r="J20" s="212" t="s">
        <v>302</v>
      </c>
      <c r="K20" s="175"/>
      <c r="L20" s="166"/>
      <c r="M20" s="166"/>
      <c r="N20" s="166"/>
      <c r="O20" s="166"/>
      <c r="P20" s="168"/>
      <c r="Q20" s="175"/>
      <c r="R20" s="175"/>
      <c r="S20" s="166"/>
      <c r="T20" s="166"/>
      <c r="U20" s="166"/>
      <c r="V20" s="166"/>
      <c r="W20" s="168"/>
      <c r="X20" s="175"/>
      <c r="Y20" s="175"/>
      <c r="Z20" s="166"/>
      <c r="AA20" s="166"/>
      <c r="AB20" s="166"/>
      <c r="AC20" s="166" t="s">
        <v>114</v>
      </c>
      <c r="AD20" s="166" t="s">
        <v>308</v>
      </c>
      <c r="AE20" s="175" t="s">
        <v>321</v>
      </c>
      <c r="AF20" s="175" t="s">
        <v>321</v>
      </c>
      <c r="AG20" s="166"/>
      <c r="AH20" s="166"/>
      <c r="AI20" s="166"/>
      <c r="AJ20" s="166"/>
      <c r="AK20" s="166"/>
      <c r="AL20" s="175"/>
      <c r="AM20" s="147">
        <f t="shared" si="2"/>
        <v>9</v>
      </c>
      <c r="AN20" s="146">
        <v>2</v>
      </c>
      <c r="AO20" s="146">
        <v>2</v>
      </c>
      <c r="AP20" s="150">
        <v>4</v>
      </c>
      <c r="AQ20" s="150">
        <v>4</v>
      </c>
      <c r="AR20" s="150">
        <f t="shared" si="3"/>
        <v>0</v>
      </c>
      <c r="AS20" s="150">
        <f t="shared" si="4"/>
        <v>0</v>
      </c>
      <c r="AT20" s="150">
        <f t="shared" si="5"/>
        <v>2</v>
      </c>
      <c r="AU20" s="150">
        <f t="shared" si="6"/>
        <v>2</v>
      </c>
      <c r="AV20" s="101">
        <f t="shared" si="7"/>
        <v>0</v>
      </c>
      <c r="AW20" s="101">
        <f t="shared" si="8"/>
        <v>0</v>
      </c>
      <c r="AX20" s="101">
        <f t="shared" si="9"/>
        <v>0</v>
      </c>
      <c r="AY20" s="101">
        <f t="shared" si="10"/>
        <v>4</v>
      </c>
      <c r="AZ20" s="101">
        <f t="shared" si="11"/>
        <v>0</v>
      </c>
      <c r="BA20" s="101">
        <f t="shared" si="12"/>
        <v>0</v>
      </c>
      <c r="BB20" s="101">
        <f t="shared" si="13"/>
        <v>0</v>
      </c>
      <c r="BC20" s="101">
        <f t="shared" si="14"/>
        <v>0</v>
      </c>
      <c r="BD20" s="101">
        <f t="shared" si="15"/>
        <v>2</v>
      </c>
      <c r="BE20" s="101" cm="1">
        <f t="array" ref="BE20">SUMPRODUCT(1*ISNUMBER(FIND("R",E20:AH20)))</f>
        <v>2</v>
      </c>
      <c r="BF20" s="101" cm="1">
        <f t="array" ref="BF20">SUMPRODUCT(1*ISNUMBER(FIND("r",E20:AH20)))</f>
        <v>2</v>
      </c>
      <c r="BG20" s="101" cm="1">
        <f t="array" ref="BG20">SUMPRODUCT(1*ISNUMBER(FIND("P",E20:AH20)))-SUMPRODUCT(1*ISNUMBER(FIND("午P",E20:AH20)))</f>
        <v>0</v>
      </c>
      <c r="BH20" s="101">
        <f t="shared" si="16"/>
        <v>4</v>
      </c>
      <c r="BI20" s="101" cm="1">
        <f t="array" ref="BI20">SUMPRODUCT(1*ISNUMBER(FIND("R",D20:J20)))</f>
        <v>1</v>
      </c>
      <c r="BJ20" s="101" cm="1">
        <f t="array" ref="BJ20">SUMPRODUCT(1*ISNUMBER(FIND("R",K20:Q20)))</f>
        <v>0</v>
      </c>
      <c r="BK20" s="101" cm="1">
        <f t="array" ref="BK20">SUMPRODUCT(1*ISNUMBER(FIND("R",R20:X20)))</f>
        <v>0</v>
      </c>
      <c r="BL20" s="101" cm="1">
        <f t="array" ref="BL20">SUMPRODUCT(1*ISNUMBER(FIND("R",Y20:AE20)))</f>
        <v>1</v>
      </c>
      <c r="BM20" s="101" cm="1">
        <f t="array" ref="BM20">SUMPRODUCT(1*ISNUMBER(FIND("R",AF20:AL20)))</f>
        <v>0</v>
      </c>
      <c r="BN20" s="101">
        <f t="shared" si="17"/>
        <v>10</v>
      </c>
      <c r="BP20" s="138">
        <v>9</v>
      </c>
      <c r="BQ20" s="138" cm="1">
        <f t="array" ref="BQ20">SUMPRODUCT(1*ISNUMBER(FIND("P",K20:AL20)))-SUMPRODUCT(1*ISNUMBER(FIND("午P",K20:AL20)))</f>
        <v>0</v>
      </c>
    </row>
    <row r="21" spans="1:69" s="99" customFormat="1" ht="39.75" customHeight="1" thickBot="1">
      <c r="A21" s="284"/>
      <c r="B21" s="103" t="s">
        <v>224</v>
      </c>
      <c r="C21" s="76" t="s">
        <v>271</v>
      </c>
      <c r="D21" s="188" t="s">
        <v>301</v>
      </c>
      <c r="E21" s="188" t="s">
        <v>296</v>
      </c>
      <c r="F21" s="188" t="s">
        <v>301</v>
      </c>
      <c r="G21" s="188" t="s">
        <v>296</v>
      </c>
      <c r="H21" s="215" t="s">
        <v>7</v>
      </c>
      <c r="I21" s="251" t="s">
        <v>9</v>
      </c>
      <c r="J21" s="215" t="s">
        <v>125</v>
      </c>
      <c r="K21" s="194"/>
      <c r="L21" s="162"/>
      <c r="M21" s="166"/>
      <c r="N21" s="162"/>
      <c r="O21" s="162"/>
      <c r="P21" s="224"/>
      <c r="Q21" s="194"/>
      <c r="R21" s="194"/>
      <c r="S21" s="162"/>
      <c r="T21" s="162"/>
      <c r="U21" s="162"/>
      <c r="V21" s="162"/>
      <c r="W21" s="166"/>
      <c r="X21" s="194"/>
      <c r="Y21" s="194"/>
      <c r="Z21" s="162"/>
      <c r="AA21" s="162"/>
      <c r="AB21" s="162"/>
      <c r="AC21" s="166" t="s">
        <v>114</v>
      </c>
      <c r="AD21" s="166" t="s">
        <v>308</v>
      </c>
      <c r="AE21" s="194" t="s">
        <v>321</v>
      </c>
      <c r="AF21" s="194" t="s">
        <v>321</v>
      </c>
      <c r="AG21" s="162"/>
      <c r="AH21" s="162"/>
      <c r="AI21" s="162"/>
      <c r="AJ21" s="162"/>
      <c r="AK21" s="162"/>
      <c r="AL21" s="194"/>
      <c r="AM21" s="147">
        <f t="shared" si="2"/>
        <v>10</v>
      </c>
      <c r="AN21" s="146">
        <v>2</v>
      </c>
      <c r="AO21" s="146">
        <v>2</v>
      </c>
      <c r="AP21" s="150">
        <v>4</v>
      </c>
      <c r="AQ21" s="150">
        <v>4</v>
      </c>
      <c r="AR21" s="150">
        <f t="shared" si="3"/>
        <v>0</v>
      </c>
      <c r="AS21" s="150">
        <f t="shared" si="4"/>
        <v>0</v>
      </c>
      <c r="AT21" s="150">
        <f t="shared" si="5"/>
        <v>2</v>
      </c>
      <c r="AU21" s="150">
        <f t="shared" si="6"/>
        <v>2</v>
      </c>
      <c r="AV21" s="101">
        <f t="shared" si="7"/>
        <v>0</v>
      </c>
      <c r="AW21" s="101">
        <f t="shared" si="8"/>
        <v>0</v>
      </c>
      <c r="AX21" s="101">
        <f t="shared" si="9"/>
        <v>0</v>
      </c>
      <c r="AY21" s="101">
        <f t="shared" si="10"/>
        <v>0</v>
      </c>
      <c r="AZ21" s="101">
        <f t="shared" si="11"/>
        <v>0</v>
      </c>
      <c r="BA21" s="101">
        <f t="shared" si="12"/>
        <v>3</v>
      </c>
      <c r="BB21" s="101">
        <f t="shared" si="13"/>
        <v>0</v>
      </c>
      <c r="BC21" s="101">
        <f t="shared" si="14"/>
        <v>0</v>
      </c>
      <c r="BD21" s="101">
        <f t="shared" si="15"/>
        <v>2</v>
      </c>
      <c r="BE21" s="101" cm="1">
        <f t="array" ref="BE21">SUMPRODUCT(1*ISNUMBER(FIND("R",E21:AH21)))</f>
        <v>2</v>
      </c>
      <c r="BF21" s="101" cm="1">
        <f t="array" ref="BF21">SUMPRODUCT(1*ISNUMBER(FIND("r",E21:AH21)))</f>
        <v>2</v>
      </c>
      <c r="BG21" s="101" cm="1">
        <f t="array" ref="BG21">SUMPRODUCT(1*ISNUMBER(FIND("P",E21:AH21)))-SUMPRODUCT(1*ISNUMBER(FIND("午P",E21:AH21)))</f>
        <v>1</v>
      </c>
      <c r="BH21" s="101">
        <f t="shared" si="16"/>
        <v>5</v>
      </c>
      <c r="BI21" s="101" cm="1">
        <f t="array" ref="BI21">SUMPRODUCT(1*ISNUMBER(FIND("R",D21:J21)))</f>
        <v>1</v>
      </c>
      <c r="BJ21" s="101" cm="1">
        <f t="array" ref="BJ21">SUMPRODUCT(1*ISNUMBER(FIND("R",K21:Q21)))</f>
        <v>0</v>
      </c>
      <c r="BK21" s="101" cm="1">
        <f t="array" ref="BK21">SUMPRODUCT(1*ISNUMBER(FIND("R",R21:X21)))</f>
        <v>0</v>
      </c>
      <c r="BL21" s="101" cm="1">
        <f t="array" ref="BL21">SUMPRODUCT(1*ISNUMBER(FIND("R",Y21:AE21)))</f>
        <v>1</v>
      </c>
      <c r="BM21" s="101" cm="1">
        <f t="array" ref="BM21">SUMPRODUCT(1*ISNUMBER(FIND("R",AF21:AL21)))</f>
        <v>0</v>
      </c>
      <c r="BN21" s="101">
        <f t="shared" si="17"/>
        <v>10</v>
      </c>
      <c r="BP21" s="138">
        <v>10</v>
      </c>
      <c r="BQ21" s="138" cm="1">
        <f t="array" ref="BQ21">SUMPRODUCT(1*ISNUMBER(FIND("P",K21:AL21)))-SUMPRODUCT(1*ISNUMBER(FIND("午P",K21:AL21)))</f>
        <v>0</v>
      </c>
    </row>
    <row r="22" spans="1:69" s="36" customFormat="1" ht="39.75" customHeight="1" thickTop="1">
      <c r="A22" s="284"/>
      <c r="B22" s="51" t="s">
        <v>213</v>
      </c>
      <c r="C22" s="75" t="s">
        <v>214</v>
      </c>
      <c r="D22" s="183" t="s">
        <v>304</v>
      </c>
      <c r="E22" s="189" t="s">
        <v>125</v>
      </c>
      <c r="F22" s="189" t="s">
        <v>6</v>
      </c>
      <c r="G22" s="189" t="s">
        <v>7</v>
      </c>
      <c r="H22" s="216" t="s">
        <v>305</v>
      </c>
      <c r="I22" s="252" t="s">
        <v>305</v>
      </c>
      <c r="J22" s="216" t="s">
        <v>125</v>
      </c>
      <c r="K22" s="180"/>
      <c r="L22" s="166"/>
      <c r="M22" s="165"/>
      <c r="N22" s="165"/>
      <c r="O22" s="165"/>
      <c r="P22" s="158" t="s">
        <v>314</v>
      </c>
      <c r="Q22" s="180" t="s">
        <v>315</v>
      </c>
      <c r="R22" s="180" t="s">
        <v>315</v>
      </c>
      <c r="S22" s="165"/>
      <c r="T22" s="165"/>
      <c r="U22" s="165"/>
      <c r="V22" s="165"/>
      <c r="W22" s="158"/>
      <c r="X22" s="180"/>
      <c r="Y22" s="180"/>
      <c r="Z22" s="165" t="s">
        <v>315</v>
      </c>
      <c r="AA22" s="165"/>
      <c r="AB22" s="165"/>
      <c r="AC22" s="165"/>
      <c r="AD22" s="158"/>
      <c r="AE22" s="180"/>
      <c r="AF22" s="175"/>
      <c r="AG22" s="165"/>
      <c r="AH22" s="165"/>
      <c r="AI22" s="165"/>
      <c r="AJ22" s="165"/>
      <c r="AK22" s="165"/>
      <c r="AL22" s="180"/>
      <c r="AM22" s="147">
        <f>BP22+BQ22</f>
        <v>8</v>
      </c>
      <c r="AN22" s="146">
        <v>2</v>
      </c>
      <c r="AO22" s="146">
        <v>2</v>
      </c>
      <c r="AP22" s="150">
        <v>4</v>
      </c>
      <c r="AQ22" s="150">
        <v>4</v>
      </c>
      <c r="AR22" s="150">
        <f t="shared" si="3"/>
        <v>0</v>
      </c>
      <c r="AS22" s="150">
        <f t="shared" si="4"/>
        <v>2</v>
      </c>
      <c r="AT22" s="150">
        <f t="shared" si="5"/>
        <v>2</v>
      </c>
      <c r="AU22" s="150">
        <f t="shared" si="6"/>
        <v>0</v>
      </c>
      <c r="AV22" s="101">
        <f t="shared" si="7"/>
        <v>2</v>
      </c>
      <c r="AW22" s="101">
        <f t="shared" si="8"/>
        <v>0</v>
      </c>
      <c r="AX22" s="101">
        <f t="shared" si="9"/>
        <v>0</v>
      </c>
      <c r="AY22" s="101">
        <f t="shared" si="10"/>
        <v>0</v>
      </c>
      <c r="AZ22" s="101">
        <f t="shared" si="11"/>
        <v>0</v>
      </c>
      <c r="BA22" s="101">
        <f t="shared" si="12"/>
        <v>0</v>
      </c>
      <c r="BB22" s="101">
        <f t="shared" si="13"/>
        <v>0</v>
      </c>
      <c r="BC22" s="101">
        <f t="shared" si="14"/>
        <v>0</v>
      </c>
      <c r="BD22" s="101">
        <f t="shared" si="15"/>
        <v>2</v>
      </c>
      <c r="BE22" s="101" cm="1">
        <f t="array" ref="BE22">SUMPRODUCT(1*ISNUMBER(FIND("R",E22:AH22)))</f>
        <v>4</v>
      </c>
      <c r="BF22" s="101" cm="1">
        <f t="array" ref="BF22">SUMPRODUCT(1*ISNUMBER(FIND("r",E22:AH22)))</f>
        <v>2</v>
      </c>
      <c r="BG22" s="101" cm="1">
        <f t="array" ref="BG22">SUMPRODUCT(1*ISNUMBER(FIND("P",E22:AH22)))-SUMPRODUCT(1*ISNUMBER(FIND("午P",E22:AH22)))</f>
        <v>0</v>
      </c>
      <c r="BH22" s="101">
        <f t="shared" si="16"/>
        <v>6</v>
      </c>
      <c r="BI22" s="101" cm="1">
        <f t="array" ref="BI22">SUMPRODUCT(1*ISNUMBER(FIND("R",D22:J22)))</f>
        <v>1</v>
      </c>
      <c r="BJ22" s="101" cm="1">
        <f t="array" ref="BJ22">SUMPRODUCT(1*ISNUMBER(FIND("R",K22:Q22)))</f>
        <v>1</v>
      </c>
      <c r="BK22" s="101" cm="1">
        <f t="array" ref="BK22">SUMPRODUCT(1*ISNUMBER(FIND("R",R22:X22)))</f>
        <v>1</v>
      </c>
      <c r="BL22" s="101" cm="1">
        <f t="array" ref="BL22">SUMPRODUCT(1*ISNUMBER(FIND("R",Y22:AE22)))</f>
        <v>1</v>
      </c>
      <c r="BM22" s="101" cm="1">
        <f t="array" ref="BM22">SUMPRODUCT(1*ISNUMBER(FIND("R",AF22:AL22)))</f>
        <v>0</v>
      </c>
      <c r="BN22" s="101">
        <f t="shared" si="17"/>
        <v>10</v>
      </c>
      <c r="BP22" s="145">
        <v>8</v>
      </c>
      <c r="BQ22" s="138" cm="1">
        <f t="array" ref="BQ22">SUMPRODUCT(1*ISNUMBER(FIND("P",K22:AL22)))-SUMPRODUCT(1*ISNUMBER(FIND("午P",K22:AL22)))</f>
        <v>0</v>
      </c>
    </row>
    <row r="23" spans="1:69" s="36" customFormat="1" ht="39.75" customHeight="1">
      <c r="A23" s="284"/>
      <c r="B23" s="106" t="s">
        <v>29</v>
      </c>
      <c r="C23" s="107" t="s">
        <v>30</v>
      </c>
      <c r="D23" s="183" t="s">
        <v>302</v>
      </c>
      <c r="E23" s="183" t="s">
        <v>303</v>
      </c>
      <c r="F23" s="183" t="s">
        <v>7</v>
      </c>
      <c r="G23" s="183" t="s">
        <v>305</v>
      </c>
      <c r="H23" s="212" t="s">
        <v>304</v>
      </c>
      <c r="I23" s="247" t="s">
        <v>153</v>
      </c>
      <c r="J23" s="212" t="s">
        <v>125</v>
      </c>
      <c r="K23" s="175" t="s">
        <v>295</v>
      </c>
      <c r="L23" s="166" t="s">
        <v>294</v>
      </c>
      <c r="M23" s="166" t="s">
        <v>318</v>
      </c>
      <c r="N23" s="166" t="s">
        <v>318</v>
      </c>
      <c r="O23" s="166" t="s">
        <v>318</v>
      </c>
      <c r="P23" s="166" t="s">
        <v>318</v>
      </c>
      <c r="Q23" s="175" t="s">
        <v>294</v>
      </c>
      <c r="R23" s="175" t="s">
        <v>294</v>
      </c>
      <c r="S23" s="166"/>
      <c r="T23" s="166"/>
      <c r="U23" s="166"/>
      <c r="V23" s="166"/>
      <c r="W23" s="166"/>
      <c r="X23" s="175"/>
      <c r="Y23" s="175"/>
      <c r="Z23" s="166"/>
      <c r="AA23" s="166"/>
      <c r="AB23" s="166"/>
      <c r="AC23" s="166"/>
      <c r="AD23" s="168"/>
      <c r="AE23" s="175"/>
      <c r="AF23" s="175"/>
      <c r="AG23" s="166"/>
      <c r="AH23" s="166"/>
      <c r="AI23" s="166"/>
      <c r="AJ23" s="166"/>
      <c r="AK23" s="166"/>
      <c r="AL23" s="175"/>
      <c r="AM23" s="147">
        <f t="shared" si="2"/>
        <v>10</v>
      </c>
      <c r="AN23" s="146">
        <v>2</v>
      </c>
      <c r="AO23" s="146">
        <v>2</v>
      </c>
      <c r="AP23" s="150">
        <v>4</v>
      </c>
      <c r="AQ23" s="150">
        <v>4</v>
      </c>
      <c r="AR23" s="150">
        <f t="shared" si="3"/>
        <v>0</v>
      </c>
      <c r="AS23" s="150">
        <f t="shared" si="4"/>
        <v>0</v>
      </c>
      <c r="AT23" s="150">
        <f t="shared" si="5"/>
        <v>2</v>
      </c>
      <c r="AU23" s="150">
        <f t="shared" si="6"/>
        <v>2</v>
      </c>
      <c r="AV23" s="101">
        <f t="shared" si="7"/>
        <v>2</v>
      </c>
      <c r="AW23" s="101">
        <f t="shared" si="8"/>
        <v>0</v>
      </c>
      <c r="AX23" s="101">
        <f t="shared" si="9"/>
        <v>1</v>
      </c>
      <c r="AY23" s="101">
        <f t="shared" si="10"/>
        <v>1</v>
      </c>
      <c r="AZ23" s="101">
        <f t="shared" si="11"/>
        <v>0</v>
      </c>
      <c r="BA23" s="101">
        <f t="shared" si="12"/>
        <v>0</v>
      </c>
      <c r="BB23" s="101">
        <f t="shared" si="13"/>
        <v>0</v>
      </c>
      <c r="BC23" s="101">
        <f t="shared" si="14"/>
        <v>0</v>
      </c>
      <c r="BD23" s="101">
        <f t="shared" si="15"/>
        <v>0</v>
      </c>
      <c r="BE23" s="101" cm="1">
        <f t="array" ref="BE23">SUMPRODUCT(1*ISNUMBER(FIND("R",E23:AH23)))</f>
        <v>1</v>
      </c>
      <c r="BF23" s="101" cm="1">
        <f t="array" ref="BF23">SUMPRODUCT(1*ISNUMBER(FIND("r",E23:AH23)))</f>
        <v>1</v>
      </c>
      <c r="BG23" s="101" cm="1">
        <f t="array" ref="BG23">SUMPRODUCT(1*ISNUMBER(FIND("P",E23:AH23)))-SUMPRODUCT(1*ISNUMBER(FIND("午P",E23:AH23)))</f>
        <v>4</v>
      </c>
      <c r="BH23" s="101">
        <f t="shared" si="16"/>
        <v>6</v>
      </c>
      <c r="BI23" s="101" cm="1">
        <f t="array" ref="BI23">SUMPRODUCT(1*ISNUMBER(FIND("R",D23:J23)))</f>
        <v>1</v>
      </c>
      <c r="BJ23" s="101" cm="1">
        <f t="array" ref="BJ23">SUMPRODUCT(1*ISNUMBER(FIND("R",K23:Q23)))</f>
        <v>0</v>
      </c>
      <c r="BK23" s="101" cm="1">
        <f t="array" ref="BK23">SUMPRODUCT(1*ISNUMBER(FIND("R",R23:X23)))</f>
        <v>0</v>
      </c>
      <c r="BL23" s="101" cm="1">
        <f t="array" ref="BL23">SUMPRODUCT(1*ISNUMBER(FIND("R",Y23:AE23)))</f>
        <v>0</v>
      </c>
      <c r="BM23" s="101" cm="1">
        <f t="array" ref="BM23">SUMPRODUCT(1*ISNUMBER(FIND("R",AF23:AL23)))</f>
        <v>0</v>
      </c>
      <c r="BN23" s="101">
        <f t="shared" si="17"/>
        <v>10</v>
      </c>
      <c r="BP23" s="138">
        <v>6</v>
      </c>
      <c r="BQ23" s="138" cm="1">
        <f t="array" ref="BQ23">SUMPRODUCT(1*ISNUMBER(FIND("P",K23:AL23)))-SUMPRODUCT(1*ISNUMBER(FIND("午P",K23:AL23)))</f>
        <v>4</v>
      </c>
    </row>
    <row r="24" spans="1:69" s="36" customFormat="1" ht="39.75" customHeight="1">
      <c r="A24" s="284"/>
      <c r="B24" s="106" t="s">
        <v>215</v>
      </c>
      <c r="C24" s="107" t="s">
        <v>31</v>
      </c>
      <c r="D24" s="183" t="s">
        <v>7</v>
      </c>
      <c r="E24" s="183" t="s">
        <v>125</v>
      </c>
      <c r="F24" s="183" t="s">
        <v>302</v>
      </c>
      <c r="G24" s="183" t="s">
        <v>303</v>
      </c>
      <c r="H24" s="212" t="s">
        <v>302</v>
      </c>
      <c r="I24" s="247" t="s">
        <v>303</v>
      </c>
      <c r="J24" s="212" t="s">
        <v>302</v>
      </c>
      <c r="K24" s="175"/>
      <c r="L24" s="166"/>
      <c r="M24" s="166"/>
      <c r="N24" s="166"/>
      <c r="O24" s="166"/>
      <c r="P24" s="168"/>
      <c r="Q24" s="175"/>
      <c r="R24" s="175" t="s">
        <v>328</v>
      </c>
      <c r="S24" s="166" t="s">
        <v>329</v>
      </c>
      <c r="T24" s="166"/>
      <c r="U24" s="166"/>
      <c r="V24" s="166"/>
      <c r="W24" s="168"/>
      <c r="X24" s="175"/>
      <c r="Y24" s="175"/>
      <c r="Z24" s="166"/>
      <c r="AA24" s="166"/>
      <c r="AB24" s="166"/>
      <c r="AC24" s="166"/>
      <c r="AD24" s="168"/>
      <c r="AE24" s="175"/>
      <c r="AF24" s="175" t="s">
        <v>328</v>
      </c>
      <c r="AG24" s="166" t="s">
        <v>329</v>
      </c>
      <c r="AH24" s="166"/>
      <c r="AI24" s="166"/>
      <c r="AJ24" s="166"/>
      <c r="AK24" s="166"/>
      <c r="AL24" s="175"/>
      <c r="AM24" s="147">
        <f t="shared" si="2"/>
        <v>9</v>
      </c>
      <c r="AN24" s="146">
        <v>2</v>
      </c>
      <c r="AO24" s="146">
        <v>2</v>
      </c>
      <c r="AP24" s="150">
        <v>4</v>
      </c>
      <c r="AQ24" s="150">
        <v>4</v>
      </c>
      <c r="AR24" s="150">
        <f t="shared" si="3"/>
        <v>0</v>
      </c>
      <c r="AS24" s="150">
        <f t="shared" si="4"/>
        <v>1</v>
      </c>
      <c r="AT24" s="150">
        <f t="shared" si="5"/>
        <v>2</v>
      </c>
      <c r="AU24" s="150">
        <f t="shared" si="6"/>
        <v>1</v>
      </c>
      <c r="AV24" s="101">
        <f t="shared" si="7"/>
        <v>0</v>
      </c>
      <c r="AW24" s="101">
        <f t="shared" si="8"/>
        <v>0</v>
      </c>
      <c r="AX24" s="101">
        <f t="shared" si="9"/>
        <v>0</v>
      </c>
      <c r="AY24" s="101">
        <f t="shared" si="10"/>
        <v>5</v>
      </c>
      <c r="AZ24" s="101">
        <f t="shared" si="11"/>
        <v>0</v>
      </c>
      <c r="BA24" s="101">
        <f t="shared" si="12"/>
        <v>0</v>
      </c>
      <c r="BB24" s="101">
        <f t="shared" si="13"/>
        <v>0</v>
      </c>
      <c r="BC24" s="101">
        <f t="shared" si="14"/>
        <v>0</v>
      </c>
      <c r="BD24" s="101">
        <f t="shared" si="15"/>
        <v>2</v>
      </c>
      <c r="BE24" s="101" cm="1">
        <f t="array" ref="BE24">SUMPRODUCT(1*ISNUMBER(FIND("R",E24:AH24)))</f>
        <v>2</v>
      </c>
      <c r="BF24" s="101" cm="1">
        <f t="array" ref="BF24">SUMPRODUCT(1*ISNUMBER(FIND("r",E24:AH24)))</f>
        <v>1</v>
      </c>
      <c r="BG24" s="101" cm="1">
        <f t="array" ref="BG24">SUMPRODUCT(1*ISNUMBER(FIND("P",E24:AH24)))-SUMPRODUCT(1*ISNUMBER(FIND("午P",E24:AH24)))</f>
        <v>0</v>
      </c>
      <c r="BH24" s="101">
        <f t="shared" si="16"/>
        <v>3</v>
      </c>
      <c r="BI24" s="101" cm="1">
        <f t="array" ref="BI24">SUMPRODUCT(1*ISNUMBER(FIND("R",D24:J24)))</f>
        <v>1</v>
      </c>
      <c r="BJ24" s="101" cm="1">
        <f t="array" ref="BJ24">SUMPRODUCT(1*ISNUMBER(FIND("R",K24:Q24)))</f>
        <v>0</v>
      </c>
      <c r="BK24" s="101" cm="1">
        <f t="array" ref="BK24">SUMPRODUCT(1*ISNUMBER(FIND("R",R24:X24)))</f>
        <v>1</v>
      </c>
      <c r="BL24" s="101" cm="1">
        <f t="array" ref="BL24">SUMPRODUCT(1*ISNUMBER(FIND("R",Y24:AE24)))</f>
        <v>0</v>
      </c>
      <c r="BM24" s="101" cm="1">
        <f t="array" ref="BM24">SUMPRODUCT(1*ISNUMBER(FIND("R",AF24:AL24)))</f>
        <v>1</v>
      </c>
      <c r="BN24" s="101">
        <f t="shared" si="17"/>
        <v>10</v>
      </c>
      <c r="BP24" s="138">
        <v>9</v>
      </c>
      <c r="BQ24" s="138" cm="1">
        <f t="array" ref="BQ24">SUMPRODUCT(1*ISNUMBER(FIND("P",K24:AL24)))-SUMPRODUCT(1*ISNUMBER(FIND("午P",K24:AL24)))</f>
        <v>0</v>
      </c>
    </row>
    <row r="25" spans="1:69" s="99" customFormat="1" ht="39.75" customHeight="1">
      <c r="A25" s="284"/>
      <c r="B25" s="103" t="s">
        <v>110</v>
      </c>
      <c r="C25" s="112" t="s">
        <v>111</v>
      </c>
      <c r="D25" s="183" t="s">
        <v>7</v>
      </c>
      <c r="E25" s="183" t="s">
        <v>9</v>
      </c>
      <c r="F25" s="183" t="s">
        <v>125</v>
      </c>
      <c r="G25" s="183" t="s">
        <v>304</v>
      </c>
      <c r="H25" s="212" t="s">
        <v>305</v>
      </c>
      <c r="I25" s="247" t="s">
        <v>305</v>
      </c>
      <c r="J25" s="212" t="s">
        <v>125</v>
      </c>
      <c r="K25" s="175"/>
      <c r="L25" s="166"/>
      <c r="M25" s="166"/>
      <c r="N25" s="166"/>
      <c r="O25" s="166"/>
      <c r="P25" s="168"/>
      <c r="Q25" s="175"/>
      <c r="R25" s="175"/>
      <c r="S25" s="166"/>
      <c r="T25" s="166"/>
      <c r="U25" s="166"/>
      <c r="V25" s="166"/>
      <c r="W25" s="168"/>
      <c r="X25" s="175"/>
      <c r="Y25" s="175"/>
      <c r="Z25" s="166"/>
      <c r="AA25" s="166"/>
      <c r="AB25" s="166"/>
      <c r="AC25" s="166"/>
      <c r="AD25" s="168"/>
      <c r="AE25" s="175" t="s">
        <v>336</v>
      </c>
      <c r="AF25" s="175" t="s">
        <v>337</v>
      </c>
      <c r="AG25" s="166" t="s">
        <v>338</v>
      </c>
      <c r="AH25" s="166"/>
      <c r="AI25" s="166"/>
      <c r="AJ25" s="166"/>
      <c r="AK25" s="166"/>
      <c r="AL25" s="175"/>
      <c r="AM25" s="147">
        <f t="shared" si="2"/>
        <v>10</v>
      </c>
      <c r="AN25" s="146">
        <v>2</v>
      </c>
      <c r="AO25" s="146">
        <v>2</v>
      </c>
      <c r="AP25" s="150">
        <v>4</v>
      </c>
      <c r="AQ25" s="150">
        <v>4</v>
      </c>
      <c r="AR25" s="150">
        <f t="shared" si="3"/>
        <v>0</v>
      </c>
      <c r="AS25" s="150">
        <f t="shared" si="4"/>
        <v>0</v>
      </c>
      <c r="AT25" s="150">
        <f t="shared" si="5"/>
        <v>2</v>
      </c>
      <c r="AU25" s="150">
        <f t="shared" si="6"/>
        <v>2</v>
      </c>
      <c r="AV25" s="101">
        <f t="shared" si="7"/>
        <v>3</v>
      </c>
      <c r="AW25" s="101">
        <f t="shared" si="8"/>
        <v>0</v>
      </c>
      <c r="AX25" s="101">
        <f t="shared" si="9"/>
        <v>0</v>
      </c>
      <c r="AY25" s="101">
        <f t="shared" si="10"/>
        <v>0</v>
      </c>
      <c r="AZ25" s="101">
        <f t="shared" si="11"/>
        <v>0</v>
      </c>
      <c r="BA25" s="101">
        <f t="shared" si="12"/>
        <v>0</v>
      </c>
      <c r="BB25" s="101">
        <f t="shared" si="13"/>
        <v>0</v>
      </c>
      <c r="BC25" s="101">
        <f t="shared" si="14"/>
        <v>0</v>
      </c>
      <c r="BD25" s="101">
        <f t="shared" si="15"/>
        <v>1</v>
      </c>
      <c r="BE25" s="101" cm="1">
        <f t="array" ref="BE25">SUMPRODUCT(1*ISNUMBER(FIND("R",E25:AH25)))</f>
        <v>2</v>
      </c>
      <c r="BF25" s="101" cm="1">
        <f t="array" ref="BF25">SUMPRODUCT(1*ISNUMBER(FIND("r",E25:AH25)))</f>
        <v>2</v>
      </c>
      <c r="BG25" s="101" cm="1">
        <f t="array" ref="BG25">SUMPRODUCT(1*ISNUMBER(FIND("P",E25:AH25)))-SUMPRODUCT(1*ISNUMBER(FIND("午P",E25:AH25)))</f>
        <v>1</v>
      </c>
      <c r="BH25" s="101">
        <f t="shared" si="16"/>
        <v>5</v>
      </c>
      <c r="BI25" s="101" cm="1">
        <f t="array" ref="BI25">SUMPRODUCT(1*ISNUMBER(FIND("R",D25:J25)))</f>
        <v>1</v>
      </c>
      <c r="BJ25" s="101" cm="1">
        <f t="array" ref="BJ25">SUMPRODUCT(1*ISNUMBER(FIND("R",K25:Q25)))</f>
        <v>0</v>
      </c>
      <c r="BK25" s="101" cm="1">
        <f t="array" ref="BK25">SUMPRODUCT(1*ISNUMBER(FIND("R",R25:X25)))</f>
        <v>0</v>
      </c>
      <c r="BL25" s="101" cm="1">
        <f t="array" ref="BL25">SUMPRODUCT(1*ISNUMBER(FIND("R",Y25:AE25)))</f>
        <v>1</v>
      </c>
      <c r="BM25" s="101" cm="1">
        <f t="array" ref="BM25">SUMPRODUCT(1*ISNUMBER(FIND("R",AF25:AL25)))</f>
        <v>1</v>
      </c>
      <c r="BN25" s="101">
        <f t="shared" si="17"/>
        <v>9</v>
      </c>
      <c r="BP25" s="138">
        <v>10</v>
      </c>
      <c r="BQ25" s="138" cm="1">
        <f t="array" ref="BQ25">SUMPRODUCT(1*ISNUMBER(FIND("P",K25:AL25)))-SUMPRODUCT(1*ISNUMBER(FIND("午P",K25:AL25)))</f>
        <v>0</v>
      </c>
    </row>
    <row r="26" spans="1:69" s="36" customFormat="1" ht="39.75" customHeight="1">
      <c r="A26" s="284"/>
      <c r="B26" s="106" t="s">
        <v>37</v>
      </c>
      <c r="C26" s="107" t="s">
        <v>38</v>
      </c>
      <c r="D26" s="183" t="s">
        <v>305</v>
      </c>
      <c r="E26" s="183" t="s">
        <v>305</v>
      </c>
      <c r="F26" s="183" t="s">
        <v>303</v>
      </c>
      <c r="G26" s="183" t="s">
        <v>303</v>
      </c>
      <c r="H26" s="212" t="s">
        <v>302</v>
      </c>
      <c r="I26" s="247" t="s">
        <v>7</v>
      </c>
      <c r="J26" s="212" t="s">
        <v>125</v>
      </c>
      <c r="K26" s="175" t="s">
        <v>308</v>
      </c>
      <c r="L26" s="166" t="s">
        <v>313</v>
      </c>
      <c r="M26" s="166"/>
      <c r="N26" s="166"/>
      <c r="O26" s="166"/>
      <c r="P26" s="168" t="s">
        <v>313</v>
      </c>
      <c r="Q26" s="175"/>
      <c r="R26" s="175" t="s">
        <v>326</v>
      </c>
      <c r="S26" s="166"/>
      <c r="T26" s="166"/>
      <c r="U26" s="166"/>
      <c r="V26" s="173"/>
      <c r="W26" s="166"/>
      <c r="X26" s="266"/>
      <c r="Y26" s="266"/>
      <c r="Z26" s="173"/>
      <c r="AA26" s="166"/>
      <c r="AB26" s="166"/>
      <c r="AC26" s="166"/>
      <c r="AD26" s="168"/>
      <c r="AE26" s="175"/>
      <c r="AF26" s="175"/>
      <c r="AG26" s="166"/>
      <c r="AH26" s="166"/>
      <c r="AI26" s="166"/>
      <c r="AJ26" s="166"/>
      <c r="AK26" s="166"/>
      <c r="AL26" s="175"/>
      <c r="AM26" s="147">
        <f t="shared" si="2"/>
        <v>9</v>
      </c>
      <c r="AN26" s="146">
        <v>2</v>
      </c>
      <c r="AO26" s="146">
        <v>2</v>
      </c>
      <c r="AP26" s="150">
        <v>4</v>
      </c>
      <c r="AQ26" s="150">
        <v>4</v>
      </c>
      <c r="AR26" s="150">
        <f t="shared" si="3"/>
        <v>2</v>
      </c>
      <c r="AS26" s="150">
        <f t="shared" si="4"/>
        <v>2</v>
      </c>
      <c r="AT26" s="150">
        <f t="shared" si="5"/>
        <v>0</v>
      </c>
      <c r="AU26" s="150">
        <f t="shared" si="6"/>
        <v>0</v>
      </c>
      <c r="AV26" s="101">
        <f t="shared" si="7"/>
        <v>1</v>
      </c>
      <c r="AW26" s="101">
        <f t="shared" si="8"/>
        <v>0</v>
      </c>
      <c r="AX26" s="101">
        <f t="shared" si="9"/>
        <v>0</v>
      </c>
      <c r="AY26" s="101">
        <f t="shared" si="10"/>
        <v>3</v>
      </c>
      <c r="AZ26" s="101">
        <f t="shared" si="11"/>
        <v>0</v>
      </c>
      <c r="BA26" s="101">
        <f t="shared" si="12"/>
        <v>0</v>
      </c>
      <c r="BB26" s="101">
        <f t="shared" si="13"/>
        <v>0</v>
      </c>
      <c r="BC26" s="101">
        <f t="shared" si="14"/>
        <v>0</v>
      </c>
      <c r="BD26" s="101">
        <f t="shared" si="15"/>
        <v>0</v>
      </c>
      <c r="BE26" s="101" cm="1">
        <f t="array" ref="BE26">SUMPRODUCT(1*ISNUMBER(FIND("R",E26:AH26)))</f>
        <v>3</v>
      </c>
      <c r="BF26" s="101" cm="1">
        <f t="array" ref="BF26">SUMPRODUCT(1*ISNUMBER(FIND("r",E26:AH26)))</f>
        <v>3</v>
      </c>
      <c r="BG26" s="101" cm="1">
        <f t="array" ref="BG26">SUMPRODUCT(1*ISNUMBER(FIND("P",E26:AH26)))-SUMPRODUCT(1*ISNUMBER(FIND("午P",E26:AH26)))</f>
        <v>0</v>
      </c>
      <c r="BH26" s="101">
        <f t="shared" si="16"/>
        <v>6</v>
      </c>
      <c r="BI26" s="101" cm="1">
        <f t="array" ref="BI26">SUMPRODUCT(1*ISNUMBER(FIND("R",D26:J26)))</f>
        <v>1</v>
      </c>
      <c r="BJ26" s="101" cm="1">
        <f t="array" ref="BJ26">SUMPRODUCT(1*ISNUMBER(FIND("R",K26:Q26)))</f>
        <v>2</v>
      </c>
      <c r="BK26" s="101" cm="1">
        <f t="array" ref="BK26">SUMPRODUCT(1*ISNUMBER(FIND("R",R26:X26)))</f>
        <v>0</v>
      </c>
      <c r="BL26" s="101" cm="1">
        <f t="array" ref="BL26">SUMPRODUCT(1*ISNUMBER(FIND("R",Y26:AE26)))</f>
        <v>0</v>
      </c>
      <c r="BM26" s="101" cm="1">
        <f t="array" ref="BM26">SUMPRODUCT(1*ISNUMBER(FIND("R",AF26:AL26)))</f>
        <v>0</v>
      </c>
      <c r="BN26" s="101">
        <f t="shared" si="17"/>
        <v>10</v>
      </c>
      <c r="BP26" s="138">
        <v>9</v>
      </c>
      <c r="BQ26" s="138" cm="1">
        <f t="array" ref="BQ26">SUMPRODUCT(1*ISNUMBER(FIND("P",K26:AL26)))-SUMPRODUCT(1*ISNUMBER(FIND("午P",K26:AL26)))</f>
        <v>0</v>
      </c>
    </row>
    <row r="27" spans="1:69" s="99" customFormat="1" ht="39.75" customHeight="1">
      <c r="A27" s="284"/>
      <c r="B27" s="102" t="s">
        <v>279</v>
      </c>
      <c r="C27" s="154" t="s">
        <v>280</v>
      </c>
      <c r="D27" s="183" t="s">
        <v>305</v>
      </c>
      <c r="E27" s="183" t="s">
        <v>304</v>
      </c>
      <c r="F27" s="183" t="s">
        <v>305</v>
      </c>
      <c r="G27" s="183" t="s">
        <v>153</v>
      </c>
      <c r="H27" s="212" t="s">
        <v>125</v>
      </c>
      <c r="I27" s="247" t="s">
        <v>7</v>
      </c>
      <c r="J27" s="212" t="s">
        <v>304</v>
      </c>
      <c r="K27" s="175"/>
      <c r="L27" s="166"/>
      <c r="M27" s="166"/>
      <c r="N27" s="166"/>
      <c r="O27" s="166"/>
      <c r="P27" s="168"/>
      <c r="Q27" s="175"/>
      <c r="R27" s="175"/>
      <c r="S27" s="166"/>
      <c r="T27" s="166"/>
      <c r="U27" s="166"/>
      <c r="V27" s="166"/>
      <c r="W27" s="168"/>
      <c r="X27" s="175"/>
      <c r="Y27" s="175"/>
      <c r="Z27" s="166"/>
      <c r="AA27" s="166" t="s">
        <v>312</v>
      </c>
      <c r="AB27" s="166"/>
      <c r="AC27" s="166"/>
      <c r="AD27" s="168"/>
      <c r="AE27" s="175"/>
      <c r="AF27" s="175" t="s">
        <v>317</v>
      </c>
      <c r="AG27" s="166" t="s">
        <v>324</v>
      </c>
      <c r="AH27" s="166"/>
      <c r="AI27" s="166"/>
      <c r="AJ27" s="166"/>
      <c r="AK27" s="166"/>
      <c r="AL27" s="175"/>
      <c r="AM27" s="147">
        <f t="shared" si="2"/>
        <v>10</v>
      </c>
      <c r="AN27" s="146">
        <v>2</v>
      </c>
      <c r="AO27" s="146">
        <v>2</v>
      </c>
      <c r="AP27" s="150">
        <v>4</v>
      </c>
      <c r="AQ27" s="150">
        <v>4</v>
      </c>
      <c r="AR27" s="150">
        <f t="shared" si="3"/>
        <v>0</v>
      </c>
      <c r="AS27" s="150">
        <f t="shared" si="4"/>
        <v>0</v>
      </c>
      <c r="AT27" s="150">
        <f t="shared" si="5"/>
        <v>2</v>
      </c>
      <c r="AU27" s="150">
        <f t="shared" si="6"/>
        <v>2</v>
      </c>
      <c r="AV27" s="101">
        <f t="shared" si="7"/>
        <v>3</v>
      </c>
      <c r="AW27" s="101">
        <f t="shared" si="8"/>
        <v>0</v>
      </c>
      <c r="AX27" s="101">
        <f t="shared" si="9"/>
        <v>1</v>
      </c>
      <c r="AY27" s="101">
        <f t="shared" si="10"/>
        <v>0</v>
      </c>
      <c r="AZ27" s="101">
        <f t="shared" si="11"/>
        <v>0</v>
      </c>
      <c r="BA27" s="101">
        <f t="shared" si="12"/>
        <v>0</v>
      </c>
      <c r="BB27" s="101">
        <f t="shared" si="13"/>
        <v>0</v>
      </c>
      <c r="BC27" s="101">
        <f t="shared" si="14"/>
        <v>0</v>
      </c>
      <c r="BD27" s="101">
        <f t="shared" si="15"/>
        <v>0</v>
      </c>
      <c r="BE27" s="101" cm="1">
        <f t="array" ref="BE27">SUMPRODUCT(1*ISNUMBER(FIND("R",E27:AH27)))</f>
        <v>2</v>
      </c>
      <c r="BF27" s="101" cm="1">
        <f t="array" ref="BF27">SUMPRODUCT(1*ISNUMBER(FIND("r",E27:AH27)))</f>
        <v>2</v>
      </c>
      <c r="BG27" s="101" cm="1">
        <f t="array" ref="BG27">SUMPRODUCT(1*ISNUMBER(FIND("P",E27:AH27)))-SUMPRODUCT(1*ISNUMBER(FIND("午P",E27:AH27)))</f>
        <v>0</v>
      </c>
      <c r="BH27" s="101">
        <f t="shared" si="16"/>
        <v>4</v>
      </c>
      <c r="BI27" s="101" cm="1">
        <f t="array" ref="BI27">SUMPRODUCT(1*ISNUMBER(FIND("R",D27:J27)))</f>
        <v>1</v>
      </c>
      <c r="BJ27" s="101" cm="1">
        <f t="array" ref="BJ27">SUMPRODUCT(1*ISNUMBER(FIND("R",K27:Q27)))</f>
        <v>0</v>
      </c>
      <c r="BK27" s="101" cm="1">
        <f t="array" ref="BK27">SUMPRODUCT(1*ISNUMBER(FIND("R",R27:X27)))</f>
        <v>0</v>
      </c>
      <c r="BL27" s="101" cm="1">
        <f t="array" ref="BL27">SUMPRODUCT(1*ISNUMBER(FIND("R",Y27:AE27)))</f>
        <v>0</v>
      </c>
      <c r="BM27" s="101" cm="1">
        <f t="array" ref="BM27">SUMPRODUCT(1*ISNUMBER(FIND("R",AF27:AL27)))</f>
        <v>1</v>
      </c>
      <c r="BN27" s="101">
        <f t="shared" si="17"/>
        <v>8</v>
      </c>
      <c r="BP27" s="138">
        <v>10</v>
      </c>
      <c r="BQ27" s="138" cm="1">
        <f t="array" ref="BQ27">SUMPRODUCT(1*ISNUMBER(FIND("P",K27:AL27)))-SUMPRODUCT(1*ISNUMBER(FIND("午P",K27:AL27)))</f>
        <v>0</v>
      </c>
    </row>
    <row r="28" spans="1:69" s="36" customFormat="1" ht="39.75" customHeight="1">
      <c r="A28" s="284"/>
      <c r="B28" s="102" t="s">
        <v>192</v>
      </c>
      <c r="C28" s="108" t="s">
        <v>193</v>
      </c>
      <c r="D28" s="183" t="s">
        <v>9</v>
      </c>
      <c r="E28" s="183" t="s">
        <v>304</v>
      </c>
      <c r="F28" s="183" t="s">
        <v>305</v>
      </c>
      <c r="G28" s="183" t="s">
        <v>125</v>
      </c>
      <c r="H28" s="212" t="s">
        <v>7</v>
      </c>
      <c r="I28" s="247" t="s">
        <v>304</v>
      </c>
      <c r="J28" s="212" t="s">
        <v>305</v>
      </c>
      <c r="K28" s="175"/>
      <c r="L28" s="166"/>
      <c r="M28" s="166" t="s">
        <v>330</v>
      </c>
      <c r="N28" s="166"/>
      <c r="O28" s="166"/>
      <c r="P28" s="168"/>
      <c r="Q28" s="175"/>
      <c r="R28" s="175"/>
      <c r="S28" s="166"/>
      <c r="T28" s="166"/>
      <c r="U28" s="166"/>
      <c r="V28" s="166"/>
      <c r="W28" s="168" t="s">
        <v>330</v>
      </c>
      <c r="X28" s="175" t="s">
        <v>330</v>
      </c>
      <c r="Y28" s="175" t="s">
        <v>330</v>
      </c>
      <c r="Z28" s="166"/>
      <c r="AA28" s="166"/>
      <c r="AB28" s="166"/>
      <c r="AC28" s="166"/>
      <c r="AD28" s="168"/>
      <c r="AE28" s="175"/>
      <c r="AF28" s="175"/>
      <c r="AG28" s="166"/>
      <c r="AH28" s="166"/>
      <c r="AI28" s="166"/>
      <c r="AJ28" s="166"/>
      <c r="AK28" s="166"/>
      <c r="AL28" s="175"/>
      <c r="AM28" s="147">
        <f t="shared" si="2"/>
        <v>10</v>
      </c>
      <c r="AN28" s="146">
        <v>1</v>
      </c>
      <c r="AO28" s="146">
        <v>2</v>
      </c>
      <c r="AP28" s="150">
        <v>4</v>
      </c>
      <c r="AQ28" s="150">
        <v>4</v>
      </c>
      <c r="AR28" s="150">
        <f t="shared" si="3"/>
        <v>0</v>
      </c>
      <c r="AS28" s="150">
        <f t="shared" si="4"/>
        <v>0</v>
      </c>
      <c r="AT28" s="150">
        <f t="shared" si="5"/>
        <v>3</v>
      </c>
      <c r="AU28" s="150">
        <f t="shared" si="6"/>
        <v>2</v>
      </c>
      <c r="AV28" s="101">
        <f t="shared" si="7"/>
        <v>4</v>
      </c>
      <c r="AW28" s="101">
        <f t="shared" si="8"/>
        <v>0</v>
      </c>
      <c r="AX28" s="101">
        <f t="shared" si="9"/>
        <v>0</v>
      </c>
      <c r="AY28" s="101">
        <f t="shared" si="10"/>
        <v>0</v>
      </c>
      <c r="AZ28" s="101">
        <f t="shared" si="11"/>
        <v>0</v>
      </c>
      <c r="BA28" s="101">
        <f t="shared" si="12"/>
        <v>0</v>
      </c>
      <c r="BB28" s="101">
        <f t="shared" si="13"/>
        <v>0</v>
      </c>
      <c r="BC28" s="101">
        <f t="shared" si="14"/>
        <v>0</v>
      </c>
      <c r="BD28" s="101">
        <f t="shared" si="15"/>
        <v>4</v>
      </c>
      <c r="BE28" s="101" cm="1">
        <f t="array" ref="BE28">SUMPRODUCT(1*ISNUMBER(FIND("R",E28:AH28)))</f>
        <v>1</v>
      </c>
      <c r="BF28" s="101" cm="1">
        <f t="array" ref="BF28">SUMPRODUCT(1*ISNUMBER(FIND("r",E28:AH28)))</f>
        <v>1</v>
      </c>
      <c r="BG28" s="101" cm="1">
        <f t="array" ref="BG28">SUMPRODUCT(1*ISNUMBER(FIND("P",E28:AH28)))-SUMPRODUCT(1*ISNUMBER(FIND("午P",E28:AH28)))</f>
        <v>0</v>
      </c>
      <c r="BH28" s="101">
        <f t="shared" si="16"/>
        <v>2</v>
      </c>
      <c r="BI28" s="101" cm="1">
        <f t="array" ref="BI28">SUMPRODUCT(1*ISNUMBER(FIND("R",D28:J28)))</f>
        <v>1</v>
      </c>
      <c r="BJ28" s="101" cm="1">
        <f t="array" ref="BJ28">SUMPRODUCT(1*ISNUMBER(FIND("R",K28:Q28)))</f>
        <v>0</v>
      </c>
      <c r="BK28" s="101" cm="1">
        <f t="array" ref="BK28">SUMPRODUCT(1*ISNUMBER(FIND("R",R28:X28)))</f>
        <v>0</v>
      </c>
      <c r="BL28" s="101" cm="1">
        <f t="array" ref="BL28">SUMPRODUCT(1*ISNUMBER(FIND("R",Y28:AE28)))</f>
        <v>0</v>
      </c>
      <c r="BM28" s="101" cm="1">
        <f t="array" ref="BM28">SUMPRODUCT(1*ISNUMBER(FIND("R",AF28:AL28)))</f>
        <v>0</v>
      </c>
      <c r="BN28" s="101">
        <f t="shared" si="17"/>
        <v>10</v>
      </c>
      <c r="BP28" s="138">
        <v>10</v>
      </c>
      <c r="BQ28" s="138" cm="1">
        <f t="array" ref="BQ28">SUMPRODUCT(1*ISNUMBER(FIND("P",K28:AL28)))-SUMPRODUCT(1*ISNUMBER(FIND("午P",K28:AL28)))</f>
        <v>0</v>
      </c>
    </row>
    <row r="29" spans="1:69" s="99" customFormat="1" ht="39.75" customHeight="1">
      <c r="A29" s="284"/>
      <c r="B29" s="102" t="s">
        <v>225</v>
      </c>
      <c r="C29" s="108" t="s">
        <v>226</v>
      </c>
      <c r="D29" s="183" t="s">
        <v>153</v>
      </c>
      <c r="E29" s="183" t="s">
        <v>302</v>
      </c>
      <c r="F29" s="183" t="s">
        <v>302</v>
      </c>
      <c r="G29" s="183" t="s">
        <v>125</v>
      </c>
      <c r="H29" s="212" t="s">
        <v>303</v>
      </c>
      <c r="I29" s="247" t="s">
        <v>302</v>
      </c>
      <c r="J29" s="212" t="s">
        <v>7</v>
      </c>
      <c r="K29" s="175" t="s">
        <v>295</v>
      </c>
      <c r="L29" s="166" t="s">
        <v>294</v>
      </c>
      <c r="M29" s="166" t="s">
        <v>294</v>
      </c>
      <c r="N29" s="166" t="s">
        <v>294</v>
      </c>
      <c r="O29" s="166" t="s">
        <v>294</v>
      </c>
      <c r="P29" s="168" t="s">
        <v>294</v>
      </c>
      <c r="Q29" s="175"/>
      <c r="R29" s="175"/>
      <c r="S29" s="166"/>
      <c r="T29" s="166"/>
      <c r="U29" s="166"/>
      <c r="V29" s="166"/>
      <c r="W29" s="168"/>
      <c r="X29" s="175"/>
      <c r="Y29" s="175"/>
      <c r="Z29" s="166"/>
      <c r="AA29" s="166"/>
      <c r="AB29" s="166"/>
      <c r="AC29" s="166"/>
      <c r="AD29" s="168"/>
      <c r="AE29" s="175"/>
      <c r="AF29" s="175"/>
      <c r="AG29" s="166"/>
      <c r="AH29" s="166"/>
      <c r="AI29" s="166"/>
      <c r="AJ29" s="166"/>
      <c r="AK29" s="166"/>
      <c r="AL29" s="175"/>
      <c r="AM29" s="147">
        <f t="shared" si="2"/>
        <v>9</v>
      </c>
      <c r="AN29" s="146">
        <v>2</v>
      </c>
      <c r="AO29" s="146">
        <v>2</v>
      </c>
      <c r="AP29" s="150">
        <v>4</v>
      </c>
      <c r="AQ29" s="150">
        <v>4</v>
      </c>
      <c r="AR29" s="150">
        <f t="shared" si="3"/>
        <v>0</v>
      </c>
      <c r="AS29" s="150">
        <f t="shared" si="4"/>
        <v>0</v>
      </c>
      <c r="AT29" s="150">
        <f t="shared" si="5"/>
        <v>2</v>
      </c>
      <c r="AU29" s="150">
        <f t="shared" si="6"/>
        <v>2</v>
      </c>
      <c r="AV29" s="101">
        <f t="shared" si="7"/>
        <v>0</v>
      </c>
      <c r="AW29" s="101">
        <f t="shared" si="8"/>
        <v>0</v>
      </c>
      <c r="AX29" s="101">
        <f t="shared" si="9"/>
        <v>0</v>
      </c>
      <c r="AY29" s="101">
        <f t="shared" si="10"/>
        <v>4</v>
      </c>
      <c r="AZ29" s="101">
        <f t="shared" si="11"/>
        <v>0</v>
      </c>
      <c r="BA29" s="101">
        <f t="shared" si="12"/>
        <v>0</v>
      </c>
      <c r="BB29" s="101">
        <f t="shared" si="13"/>
        <v>0</v>
      </c>
      <c r="BC29" s="101">
        <f t="shared" si="14"/>
        <v>0</v>
      </c>
      <c r="BD29" s="101">
        <f t="shared" si="15"/>
        <v>0</v>
      </c>
      <c r="BE29" s="101" cm="1">
        <f t="array" ref="BE29">SUMPRODUCT(1*ISNUMBER(FIND("R",E29:AH29)))</f>
        <v>1</v>
      </c>
      <c r="BF29" s="101" cm="1">
        <f t="array" ref="BF29">SUMPRODUCT(1*ISNUMBER(FIND("r",E29:AH29)))</f>
        <v>1</v>
      </c>
      <c r="BG29" s="101" cm="1">
        <f t="array" ref="BG29">SUMPRODUCT(1*ISNUMBER(FIND("P",E29:AH29)))-SUMPRODUCT(1*ISNUMBER(FIND("午P",E29:AH29)))</f>
        <v>0</v>
      </c>
      <c r="BH29" s="101">
        <f t="shared" si="16"/>
        <v>2</v>
      </c>
      <c r="BI29" s="101" cm="1">
        <f t="array" ref="BI29">SUMPRODUCT(1*ISNUMBER(FIND("R",D29:J29)))</f>
        <v>1</v>
      </c>
      <c r="BJ29" s="101" cm="1">
        <f t="array" ref="BJ29">SUMPRODUCT(1*ISNUMBER(FIND("R",K29:Q29)))</f>
        <v>0</v>
      </c>
      <c r="BK29" s="101" cm="1">
        <f t="array" ref="BK29">SUMPRODUCT(1*ISNUMBER(FIND("R",R29:X29)))</f>
        <v>0</v>
      </c>
      <c r="BL29" s="101" cm="1">
        <f t="array" ref="BL29">SUMPRODUCT(1*ISNUMBER(FIND("R",Y29:AE29)))</f>
        <v>0</v>
      </c>
      <c r="BM29" s="101" cm="1">
        <f t="array" ref="BM29">SUMPRODUCT(1*ISNUMBER(FIND("R",AF29:AL29)))</f>
        <v>0</v>
      </c>
      <c r="BN29" s="101">
        <f t="shared" si="17"/>
        <v>6</v>
      </c>
      <c r="BP29" s="138">
        <v>9</v>
      </c>
      <c r="BQ29" s="138" cm="1">
        <f t="array" ref="BQ29">SUMPRODUCT(1*ISNUMBER(FIND("P",K29:AL29)))-SUMPRODUCT(1*ISNUMBER(FIND("午P",K29:AL29)))</f>
        <v>0</v>
      </c>
    </row>
    <row r="30" spans="1:69" s="99" customFormat="1" ht="39.75" customHeight="1">
      <c r="A30" s="284"/>
      <c r="B30" s="117" t="s">
        <v>232</v>
      </c>
      <c r="C30" s="118" t="s">
        <v>233</v>
      </c>
      <c r="D30" s="190" t="s">
        <v>7</v>
      </c>
      <c r="E30" s="190" t="s">
        <v>305</v>
      </c>
      <c r="F30" s="190" t="s">
        <v>304</v>
      </c>
      <c r="G30" s="190" t="s">
        <v>302</v>
      </c>
      <c r="H30" s="217" t="s">
        <v>125</v>
      </c>
      <c r="I30" s="253" t="s">
        <v>125</v>
      </c>
      <c r="J30" s="217" t="s">
        <v>305</v>
      </c>
      <c r="K30" s="176"/>
      <c r="L30" s="174"/>
      <c r="M30" s="174"/>
      <c r="N30" s="174"/>
      <c r="O30" s="174"/>
      <c r="P30" s="225"/>
      <c r="Q30" s="176"/>
      <c r="R30" s="176" t="s">
        <v>322</v>
      </c>
      <c r="S30" s="174"/>
      <c r="T30" s="174"/>
      <c r="U30" s="174"/>
      <c r="V30" s="166"/>
      <c r="W30" s="166"/>
      <c r="X30" s="176"/>
      <c r="Y30" s="176"/>
      <c r="Z30" s="174"/>
      <c r="AA30" s="174"/>
      <c r="AB30" s="174"/>
      <c r="AC30" s="174"/>
      <c r="AD30" s="225"/>
      <c r="AE30" s="176"/>
      <c r="AF30" s="176" t="s">
        <v>319</v>
      </c>
      <c r="AG30" s="174"/>
      <c r="AH30" s="174"/>
      <c r="AI30" s="174"/>
      <c r="AJ30" s="174"/>
      <c r="AK30" s="174"/>
      <c r="AL30" s="176"/>
      <c r="AM30" s="147">
        <f t="shared" si="2"/>
        <v>8</v>
      </c>
      <c r="AN30" s="146">
        <v>2</v>
      </c>
      <c r="AO30" s="146">
        <v>2</v>
      </c>
      <c r="AP30" s="150">
        <v>4</v>
      </c>
      <c r="AQ30" s="150">
        <v>4</v>
      </c>
      <c r="AR30" s="150">
        <f t="shared" si="3"/>
        <v>0</v>
      </c>
      <c r="AS30" s="150">
        <f t="shared" si="4"/>
        <v>1</v>
      </c>
      <c r="AT30" s="150">
        <f t="shared" si="5"/>
        <v>2</v>
      </c>
      <c r="AU30" s="150">
        <f t="shared" si="6"/>
        <v>1</v>
      </c>
      <c r="AV30" s="101">
        <f t="shared" si="7"/>
        <v>3</v>
      </c>
      <c r="AW30" s="101">
        <f t="shared" si="8"/>
        <v>0</v>
      </c>
      <c r="AX30" s="101">
        <f t="shared" si="9"/>
        <v>0</v>
      </c>
      <c r="AY30" s="101">
        <f t="shared" si="10"/>
        <v>1</v>
      </c>
      <c r="AZ30" s="101">
        <f t="shared" si="11"/>
        <v>0</v>
      </c>
      <c r="BA30" s="101">
        <f t="shared" si="12"/>
        <v>0</v>
      </c>
      <c r="BB30" s="101">
        <f t="shared" si="13"/>
        <v>0</v>
      </c>
      <c r="BC30" s="101">
        <f t="shared" si="14"/>
        <v>0</v>
      </c>
      <c r="BD30" s="101">
        <f t="shared" si="15"/>
        <v>0</v>
      </c>
      <c r="BE30" s="101" cm="1">
        <f t="array" ref="BE30">SUMPRODUCT(1*ISNUMBER(FIND("R",E30:AH30)))</f>
        <v>2</v>
      </c>
      <c r="BF30" s="101" cm="1">
        <f t="array" ref="BF30">SUMPRODUCT(1*ISNUMBER(FIND("r",E30:AH30)))</f>
        <v>2</v>
      </c>
      <c r="BG30" s="101" cm="1">
        <f t="array" ref="BG30">SUMPRODUCT(1*ISNUMBER(FIND("P",E30:AH30)))-SUMPRODUCT(1*ISNUMBER(FIND("午P",E30:AH30)))</f>
        <v>0</v>
      </c>
      <c r="BH30" s="101">
        <f t="shared" si="16"/>
        <v>4</v>
      </c>
      <c r="BI30" s="101" cm="1">
        <f t="array" ref="BI30">SUMPRODUCT(1*ISNUMBER(FIND("R",D30:J30)))</f>
        <v>1</v>
      </c>
      <c r="BJ30" s="101" cm="1">
        <f t="array" ref="BJ30">SUMPRODUCT(1*ISNUMBER(FIND("R",K30:Q30)))</f>
        <v>0</v>
      </c>
      <c r="BK30" s="101" cm="1">
        <f t="array" ref="BK30">SUMPRODUCT(1*ISNUMBER(FIND("R",R30:X30)))</f>
        <v>1</v>
      </c>
      <c r="BL30" s="101" cm="1">
        <f t="array" ref="BL30">SUMPRODUCT(1*ISNUMBER(FIND("R",Y30:AE30)))</f>
        <v>0</v>
      </c>
      <c r="BM30" s="101" cm="1">
        <f t="array" ref="BM30">SUMPRODUCT(1*ISNUMBER(FIND("R",AF30:AL30)))</f>
        <v>1</v>
      </c>
      <c r="BN30" s="101">
        <f t="shared" si="17"/>
        <v>8</v>
      </c>
      <c r="BP30" s="138">
        <v>8</v>
      </c>
      <c r="BQ30" s="138" cm="1">
        <f t="array" ref="BQ30">SUMPRODUCT(1*ISNUMBER(FIND("P",K30:AL30)))-SUMPRODUCT(1*ISNUMBER(FIND("午P",K30:AL30)))</f>
        <v>0</v>
      </c>
    </row>
    <row r="31" spans="1:69" s="99" customFormat="1" ht="39.75" customHeight="1" thickBot="1">
      <c r="A31" s="284"/>
      <c r="B31" s="72" t="s">
        <v>234</v>
      </c>
      <c r="C31" s="113" t="s">
        <v>235</v>
      </c>
      <c r="D31" s="187" t="s">
        <v>303</v>
      </c>
      <c r="E31" s="187" t="s">
        <v>153</v>
      </c>
      <c r="F31" s="187" t="s">
        <v>7</v>
      </c>
      <c r="G31" s="187" t="s">
        <v>302</v>
      </c>
      <c r="H31" s="218" t="s">
        <v>303</v>
      </c>
      <c r="I31" s="254" t="s">
        <v>125</v>
      </c>
      <c r="J31" s="218" t="s">
        <v>303</v>
      </c>
      <c r="K31" s="195"/>
      <c r="L31" s="169"/>
      <c r="M31" s="169"/>
      <c r="N31" s="169"/>
      <c r="O31" s="169"/>
      <c r="P31" s="261"/>
      <c r="Q31" s="195"/>
      <c r="R31" s="195"/>
      <c r="S31" s="169"/>
      <c r="T31" s="169"/>
      <c r="U31" s="169" t="s">
        <v>320</v>
      </c>
      <c r="V31" s="169"/>
      <c r="W31" s="261"/>
      <c r="X31" s="195"/>
      <c r="Y31" s="195"/>
      <c r="Z31" s="169"/>
      <c r="AA31" s="169"/>
      <c r="AB31" s="169"/>
      <c r="AC31" s="169"/>
      <c r="AD31" s="261"/>
      <c r="AE31" s="195" t="s">
        <v>323</v>
      </c>
      <c r="AF31" s="195" t="s">
        <v>325</v>
      </c>
      <c r="AG31" s="169"/>
      <c r="AH31" s="169"/>
      <c r="AI31" s="169"/>
      <c r="AJ31" s="169"/>
      <c r="AK31" s="169" t="s">
        <v>327</v>
      </c>
      <c r="AL31" s="195"/>
      <c r="AM31" s="147">
        <f t="shared" si="2"/>
        <v>8</v>
      </c>
      <c r="AN31" s="146">
        <v>2</v>
      </c>
      <c r="AO31" s="146">
        <v>2</v>
      </c>
      <c r="AP31" s="150">
        <v>4</v>
      </c>
      <c r="AQ31" s="150">
        <v>4</v>
      </c>
      <c r="AR31" s="150">
        <f t="shared" si="3"/>
        <v>0</v>
      </c>
      <c r="AS31" s="150">
        <f t="shared" si="4"/>
        <v>1</v>
      </c>
      <c r="AT31" s="150">
        <f t="shared" si="5"/>
        <v>2</v>
      </c>
      <c r="AU31" s="150">
        <f t="shared" si="6"/>
        <v>1</v>
      </c>
      <c r="AV31" s="101">
        <f t="shared" si="7"/>
        <v>0</v>
      </c>
      <c r="AW31" s="101">
        <f t="shared" si="8"/>
        <v>0</v>
      </c>
      <c r="AX31" s="101">
        <f t="shared" si="9"/>
        <v>1</v>
      </c>
      <c r="AY31" s="101">
        <f t="shared" si="10"/>
        <v>3</v>
      </c>
      <c r="AZ31" s="101">
        <f t="shared" si="11"/>
        <v>0</v>
      </c>
      <c r="BA31" s="101">
        <f t="shared" si="12"/>
        <v>0</v>
      </c>
      <c r="BB31" s="101">
        <f t="shared" si="13"/>
        <v>0</v>
      </c>
      <c r="BC31" s="101">
        <f t="shared" si="14"/>
        <v>0</v>
      </c>
      <c r="BD31" s="101">
        <f t="shared" si="15"/>
        <v>0</v>
      </c>
      <c r="BE31" s="101" cm="1">
        <f t="array" ref="BE31">SUMPRODUCT(1*ISNUMBER(FIND("R",E31:AH31)))</f>
        <v>3</v>
      </c>
      <c r="BF31" s="101" cm="1">
        <f t="array" ref="BF31">SUMPRODUCT(1*ISNUMBER(FIND("r",E31:AH31)))</f>
        <v>2</v>
      </c>
      <c r="BG31" s="101" cm="1">
        <f t="array" ref="BG31">SUMPRODUCT(1*ISNUMBER(FIND("P",E31:AH31)))-SUMPRODUCT(1*ISNUMBER(FIND("午P",E31:AH31)))</f>
        <v>0</v>
      </c>
      <c r="BH31" s="101">
        <f t="shared" si="16"/>
        <v>5</v>
      </c>
      <c r="BI31" s="101" cm="1">
        <f t="array" ref="BI31">SUMPRODUCT(1*ISNUMBER(FIND("R",D31:J31)))</f>
        <v>1</v>
      </c>
      <c r="BJ31" s="101" cm="1">
        <f t="array" ref="BJ31">SUMPRODUCT(1*ISNUMBER(FIND("R",K31:Q31)))</f>
        <v>0</v>
      </c>
      <c r="BK31" s="101" cm="1">
        <f t="array" ref="BK31">SUMPRODUCT(1*ISNUMBER(FIND("R",R31:X31)))</f>
        <v>1</v>
      </c>
      <c r="BL31" s="101" cm="1">
        <f t="array" ref="BL31">SUMPRODUCT(1*ISNUMBER(FIND("R",Y31:AE31)))</f>
        <v>1</v>
      </c>
      <c r="BM31" s="101" cm="1">
        <f t="array" ref="BM31">SUMPRODUCT(1*ISNUMBER(FIND("R",AF31:AL31)))</f>
        <v>0</v>
      </c>
      <c r="BN31" s="101">
        <f t="shared" si="17"/>
        <v>9</v>
      </c>
      <c r="BP31" s="138">
        <v>8</v>
      </c>
      <c r="BQ31" s="138" cm="1">
        <f t="array" ref="BQ31">SUMPRODUCT(1*ISNUMBER(FIND("P",K31:AL31)))-SUMPRODUCT(1*ISNUMBER(FIND("午P",K31:AL31)))</f>
        <v>0</v>
      </c>
    </row>
    <row r="32" spans="1:69" ht="39.75" hidden="1" customHeight="1">
      <c r="A32" s="285" t="s">
        <v>39</v>
      </c>
      <c r="B32" s="43" t="s">
        <v>274</v>
      </c>
      <c r="C32" s="110" t="s">
        <v>273</v>
      </c>
      <c r="D32" s="182" t="s">
        <v>6</v>
      </c>
      <c r="E32" s="182" t="s">
        <v>7</v>
      </c>
      <c r="F32" s="182" t="s">
        <v>129</v>
      </c>
      <c r="G32" s="182" t="s">
        <v>129</v>
      </c>
      <c r="H32" s="219" t="s">
        <v>129</v>
      </c>
      <c r="I32" s="246" t="s">
        <v>125</v>
      </c>
      <c r="J32" s="219" t="s">
        <v>129</v>
      </c>
      <c r="K32" s="198"/>
      <c r="L32" s="205"/>
      <c r="M32" s="205"/>
      <c r="N32" s="205"/>
      <c r="O32" s="205"/>
      <c r="P32" s="206"/>
      <c r="Q32" s="198"/>
      <c r="R32" s="198"/>
      <c r="S32" s="205"/>
      <c r="T32" s="205"/>
      <c r="U32" s="205"/>
      <c r="V32" s="205" t="s">
        <v>295</v>
      </c>
      <c r="W32" s="206" t="s">
        <v>294</v>
      </c>
      <c r="X32" s="198" t="s">
        <v>294</v>
      </c>
      <c r="Y32" s="198" t="s">
        <v>294</v>
      </c>
      <c r="Z32" s="205" t="s">
        <v>294</v>
      </c>
      <c r="AA32" s="205" t="s">
        <v>294</v>
      </c>
      <c r="AB32" s="205" t="s">
        <v>294</v>
      </c>
      <c r="AC32" s="205" t="s">
        <v>294</v>
      </c>
      <c r="AD32" s="206" t="s">
        <v>294</v>
      </c>
      <c r="AE32" s="178"/>
      <c r="AF32" s="178"/>
      <c r="AG32" s="170"/>
      <c r="AH32" s="205"/>
      <c r="AI32" s="205"/>
      <c r="AJ32" s="205"/>
      <c r="AK32" s="205"/>
      <c r="AL32" s="198"/>
      <c r="AM32" s="147">
        <f t="shared" si="2"/>
        <v>10</v>
      </c>
      <c r="AN32" s="146">
        <v>2</v>
      </c>
      <c r="AO32" s="146">
        <v>2</v>
      </c>
      <c r="AP32" s="150">
        <v>5</v>
      </c>
      <c r="AQ32" s="150">
        <v>4</v>
      </c>
      <c r="AR32" s="150">
        <f t="shared" si="3"/>
        <v>0</v>
      </c>
      <c r="AS32" s="150">
        <f t="shared" si="4"/>
        <v>0</v>
      </c>
      <c r="AT32" s="150">
        <f t="shared" si="5"/>
        <v>1</v>
      </c>
      <c r="AU32" s="150">
        <f t="shared" si="6"/>
        <v>2</v>
      </c>
      <c r="AV32" s="101">
        <f t="shared" si="7"/>
        <v>0</v>
      </c>
      <c r="AW32" s="101">
        <f t="shared" si="8"/>
        <v>0</v>
      </c>
      <c r="AX32" s="101">
        <f t="shared" si="9"/>
        <v>0</v>
      </c>
      <c r="AY32" s="101">
        <f t="shared" si="10"/>
        <v>4</v>
      </c>
      <c r="AZ32" s="101">
        <f t="shared" si="11"/>
        <v>0</v>
      </c>
      <c r="BA32" s="101">
        <f t="shared" si="12"/>
        <v>0</v>
      </c>
      <c r="BB32" s="101">
        <f t="shared" si="13"/>
        <v>0</v>
      </c>
      <c r="BC32" s="101">
        <f t="shared" si="14"/>
        <v>0</v>
      </c>
      <c r="BD32" s="101">
        <f t="shared" si="15"/>
        <v>0</v>
      </c>
      <c r="BE32" s="101" cm="1">
        <f t="array" ref="BE32">SUMPRODUCT(1*ISNUMBER(FIND("R",E32:AH32)))</f>
        <v>1</v>
      </c>
      <c r="BF32" s="101" cm="1">
        <f t="array" ref="BF32">SUMPRODUCT(1*ISNUMBER(FIND("r",E32:AH32)))</f>
        <v>1</v>
      </c>
      <c r="BG32" s="101" cm="1">
        <f t="array" ref="BG32">SUMPRODUCT(1*ISNUMBER(FIND("P",E32:AH32)))-SUMPRODUCT(1*ISNUMBER(FIND("午P",E32:AH32)))</f>
        <v>0</v>
      </c>
      <c r="BH32" s="101">
        <f t="shared" si="16"/>
        <v>2</v>
      </c>
      <c r="BI32" s="101" cm="1">
        <f t="array" ref="BI32">SUMPRODUCT(1*ISNUMBER(FIND("R",D32:J32)))</f>
        <v>1</v>
      </c>
      <c r="BJ32" s="101" cm="1">
        <f t="array" ref="BJ32">SUMPRODUCT(1*ISNUMBER(FIND("R",K32:Q32)))</f>
        <v>0</v>
      </c>
      <c r="BK32" s="101" cm="1">
        <f t="array" ref="BK32">SUMPRODUCT(1*ISNUMBER(FIND("R",R32:X32)))</f>
        <v>0</v>
      </c>
      <c r="BL32" s="101" cm="1">
        <f t="array" ref="BL32">SUMPRODUCT(1*ISNUMBER(FIND("R",Y32:AE32)))</f>
        <v>0</v>
      </c>
      <c r="BM32" s="101" cm="1">
        <f t="array" ref="BM32">SUMPRODUCT(1*ISNUMBER(FIND("R",AF32:AL32)))</f>
        <v>0</v>
      </c>
      <c r="BN32" s="101">
        <f t="shared" si="17"/>
        <v>6</v>
      </c>
      <c r="BP32" s="145">
        <v>10</v>
      </c>
      <c r="BQ32" s="138" cm="1">
        <f t="array" ref="BQ32">SUMPRODUCT(1*ISNUMBER(FIND("P",K32:AL32)))-SUMPRODUCT(1*ISNUMBER(FIND("午P",K32:AL32)))</f>
        <v>0</v>
      </c>
    </row>
    <row r="33" spans="1:69" ht="39.75" hidden="1" customHeight="1">
      <c r="A33" s="284"/>
      <c r="B33" s="102" t="s">
        <v>42</v>
      </c>
      <c r="C33" s="108" t="s">
        <v>250</v>
      </c>
      <c r="D33" s="183" t="s">
        <v>129</v>
      </c>
      <c r="E33" s="183" t="s">
        <v>129</v>
      </c>
      <c r="F33" s="183" t="s">
        <v>9</v>
      </c>
      <c r="G33" s="183" t="s">
        <v>7</v>
      </c>
      <c r="H33" s="212" t="s">
        <v>128</v>
      </c>
      <c r="I33" s="247" t="s">
        <v>128</v>
      </c>
      <c r="J33" s="212" t="s">
        <v>128</v>
      </c>
      <c r="K33" s="175"/>
      <c r="L33" s="166"/>
      <c r="M33" s="160"/>
      <c r="N33" s="160"/>
      <c r="O33" s="160"/>
      <c r="P33" s="159"/>
      <c r="Q33" s="202"/>
      <c r="R33" s="202"/>
      <c r="S33" s="160"/>
      <c r="T33" s="160"/>
      <c r="U33" s="160"/>
      <c r="V33" s="204"/>
      <c r="W33" s="168"/>
      <c r="X33" s="202"/>
      <c r="Y33" s="202"/>
      <c r="Z33" s="160"/>
      <c r="AA33" s="160"/>
      <c r="AB33" s="160"/>
      <c r="AC33" s="160"/>
      <c r="AD33" s="159"/>
      <c r="AE33" s="202"/>
      <c r="AF33" s="202"/>
      <c r="AG33" s="160"/>
      <c r="AH33" s="160"/>
      <c r="AI33" s="160"/>
      <c r="AJ33" s="209"/>
      <c r="AK33" s="160"/>
      <c r="AL33" s="202"/>
      <c r="AM33" s="147">
        <f t="shared" si="2"/>
        <v>10</v>
      </c>
      <c r="AN33" s="146">
        <v>3</v>
      </c>
      <c r="AO33" s="146">
        <v>2</v>
      </c>
      <c r="AP33" s="150">
        <v>5</v>
      </c>
      <c r="AQ33" s="150">
        <v>4</v>
      </c>
      <c r="AR33" s="150">
        <f t="shared" si="3"/>
        <v>0</v>
      </c>
      <c r="AS33" s="150">
        <f t="shared" si="4"/>
        <v>0</v>
      </c>
      <c r="AT33" s="150">
        <f t="shared" si="5"/>
        <v>0</v>
      </c>
      <c r="AU33" s="150">
        <f t="shared" si="6"/>
        <v>2</v>
      </c>
      <c r="AV33" s="101">
        <f t="shared" si="7"/>
        <v>3</v>
      </c>
      <c r="AW33" s="101">
        <f t="shared" si="8"/>
        <v>0</v>
      </c>
      <c r="AX33" s="101">
        <f t="shared" si="9"/>
        <v>0</v>
      </c>
      <c r="AY33" s="101">
        <f t="shared" si="10"/>
        <v>1</v>
      </c>
      <c r="AZ33" s="101">
        <f t="shared" si="11"/>
        <v>0</v>
      </c>
      <c r="BA33" s="101">
        <f t="shared" si="12"/>
        <v>0</v>
      </c>
      <c r="BB33" s="101">
        <f t="shared" si="13"/>
        <v>0</v>
      </c>
      <c r="BC33" s="101">
        <f t="shared" si="14"/>
        <v>0</v>
      </c>
      <c r="BD33" s="101">
        <f t="shared" si="15"/>
        <v>0</v>
      </c>
      <c r="BE33" s="101" cm="1">
        <f t="array" ref="BE33">SUMPRODUCT(1*ISNUMBER(FIND("R",E33:AH33)))</f>
        <v>1</v>
      </c>
      <c r="BF33" s="101" cm="1">
        <f t="array" ref="BF33">SUMPRODUCT(1*ISNUMBER(FIND("r",E33:AH33)))</f>
        <v>0</v>
      </c>
      <c r="BG33" s="101" cm="1">
        <f t="array" ref="BG33">SUMPRODUCT(1*ISNUMBER(FIND("P",E33:AH33)))-SUMPRODUCT(1*ISNUMBER(FIND("午P",E33:AH33)))</f>
        <v>1</v>
      </c>
      <c r="BH33" s="101">
        <f t="shared" si="16"/>
        <v>2</v>
      </c>
      <c r="BI33" s="101" cm="1">
        <f t="array" ref="BI33">SUMPRODUCT(1*ISNUMBER(FIND("R",D33:J33)))</f>
        <v>1</v>
      </c>
      <c r="BJ33" s="101" cm="1">
        <f t="array" ref="BJ33">SUMPRODUCT(1*ISNUMBER(FIND("R",K33:Q33)))</f>
        <v>0</v>
      </c>
      <c r="BK33" s="101" cm="1">
        <f t="array" ref="BK33">SUMPRODUCT(1*ISNUMBER(FIND("R",R33:X33)))</f>
        <v>0</v>
      </c>
      <c r="BL33" s="101" cm="1">
        <f t="array" ref="BL33">SUMPRODUCT(1*ISNUMBER(FIND("R",Y33:AE33)))</f>
        <v>0</v>
      </c>
      <c r="BM33" s="101" cm="1">
        <f t="array" ref="BM33">SUMPRODUCT(1*ISNUMBER(FIND("R",AF33:AL33)))</f>
        <v>0</v>
      </c>
      <c r="BN33" s="101">
        <f t="shared" si="17"/>
        <v>6</v>
      </c>
      <c r="BP33" s="138">
        <v>10</v>
      </c>
      <c r="BQ33" s="138" cm="1">
        <f t="array" ref="BQ33">SUMPRODUCT(1*ISNUMBER(FIND("P",K33:AL33)))-SUMPRODUCT(1*ISNUMBER(FIND("午P",K33:AL33)))</f>
        <v>0</v>
      </c>
    </row>
    <row r="34" spans="1:69" s="99" customFormat="1" ht="39.75" hidden="1" customHeight="1">
      <c r="A34" s="284"/>
      <c r="B34" s="106" t="s">
        <v>212</v>
      </c>
      <c r="C34" s="107" t="s">
        <v>272</v>
      </c>
      <c r="D34" s="183" t="s">
        <v>125</v>
      </c>
      <c r="E34" s="183" t="s">
        <v>7</v>
      </c>
      <c r="F34" s="183" t="s">
        <v>125</v>
      </c>
      <c r="G34" s="183" t="s">
        <v>130</v>
      </c>
      <c r="H34" s="212" t="s">
        <v>130</v>
      </c>
      <c r="I34" s="247" t="s">
        <v>130</v>
      </c>
      <c r="J34" s="212" t="s">
        <v>130</v>
      </c>
      <c r="K34" s="202"/>
      <c r="L34" s="160"/>
      <c r="M34" s="160"/>
      <c r="N34" s="160"/>
      <c r="O34" s="160"/>
      <c r="P34" s="159"/>
      <c r="Q34" s="202"/>
      <c r="R34" s="202"/>
      <c r="S34" s="160"/>
      <c r="T34" s="160"/>
      <c r="U34" s="160"/>
      <c r="V34" s="160"/>
      <c r="W34" s="159"/>
      <c r="X34" s="175"/>
      <c r="Y34" s="175"/>
      <c r="Z34" s="160"/>
      <c r="AA34" s="160"/>
      <c r="AB34" s="160"/>
      <c r="AC34" s="166"/>
      <c r="AD34" s="159"/>
      <c r="AE34" s="202"/>
      <c r="AF34" s="202"/>
      <c r="AG34" s="160"/>
      <c r="AH34" s="160"/>
      <c r="AI34" s="160" t="s">
        <v>294</v>
      </c>
      <c r="AJ34" s="160" t="s">
        <v>294</v>
      </c>
      <c r="AK34" s="160" t="s">
        <v>294</v>
      </c>
      <c r="AL34" s="202" t="s">
        <v>294</v>
      </c>
      <c r="AM34" s="147">
        <f t="shared" si="2"/>
        <v>9</v>
      </c>
      <c r="AN34" s="146">
        <v>2</v>
      </c>
      <c r="AO34" s="146">
        <v>2</v>
      </c>
      <c r="AP34" s="150">
        <v>4</v>
      </c>
      <c r="AQ34" s="150">
        <v>4</v>
      </c>
      <c r="AR34" s="150">
        <f t="shared" si="3"/>
        <v>0</v>
      </c>
      <c r="AS34" s="150">
        <f t="shared" si="4"/>
        <v>0</v>
      </c>
      <c r="AT34" s="150">
        <f t="shared" si="5"/>
        <v>2</v>
      </c>
      <c r="AU34" s="150">
        <f t="shared" si="6"/>
        <v>2</v>
      </c>
      <c r="AV34" s="101">
        <f t="shared" si="7"/>
        <v>0</v>
      </c>
      <c r="AW34" s="101">
        <f t="shared" si="8"/>
        <v>0</v>
      </c>
      <c r="AX34" s="101">
        <f t="shared" si="9"/>
        <v>0</v>
      </c>
      <c r="AY34" s="101">
        <f t="shared" si="10"/>
        <v>0</v>
      </c>
      <c r="AZ34" s="101">
        <f t="shared" si="11"/>
        <v>0</v>
      </c>
      <c r="BA34" s="101">
        <f t="shared" si="12"/>
        <v>4</v>
      </c>
      <c r="BB34" s="101">
        <f t="shared" si="13"/>
        <v>0</v>
      </c>
      <c r="BC34" s="101">
        <f t="shared" si="14"/>
        <v>0</v>
      </c>
      <c r="BD34" s="101">
        <f t="shared" si="15"/>
        <v>0</v>
      </c>
      <c r="BE34" s="101" cm="1">
        <f t="array" ref="BE34">SUMPRODUCT(1*ISNUMBER(FIND("R",E34:AH34)))</f>
        <v>1</v>
      </c>
      <c r="BF34" s="101" cm="1">
        <f t="array" ref="BF34">SUMPRODUCT(1*ISNUMBER(FIND("r",E34:AH34)))</f>
        <v>1</v>
      </c>
      <c r="BG34" s="101" cm="1">
        <f t="array" ref="BG34">SUMPRODUCT(1*ISNUMBER(FIND("P",E34:AH34)))-SUMPRODUCT(1*ISNUMBER(FIND("午P",E34:AH34)))</f>
        <v>0</v>
      </c>
      <c r="BH34" s="101">
        <f t="shared" si="16"/>
        <v>2</v>
      </c>
      <c r="BI34" s="101" cm="1">
        <f t="array" ref="BI34">SUMPRODUCT(1*ISNUMBER(FIND("R",D34:J34)))</f>
        <v>1</v>
      </c>
      <c r="BJ34" s="101" cm="1">
        <f t="array" ref="BJ34">SUMPRODUCT(1*ISNUMBER(FIND("R",K34:Q34)))</f>
        <v>0</v>
      </c>
      <c r="BK34" s="101" cm="1">
        <f t="array" ref="BK34">SUMPRODUCT(1*ISNUMBER(FIND("R",R34:X34)))</f>
        <v>0</v>
      </c>
      <c r="BL34" s="101" cm="1">
        <f t="array" ref="BL34">SUMPRODUCT(1*ISNUMBER(FIND("R",Y34:AE34)))</f>
        <v>0</v>
      </c>
      <c r="BM34" s="101" cm="1">
        <f t="array" ref="BM34">SUMPRODUCT(1*ISNUMBER(FIND("R",AF34:AL34)))</f>
        <v>0</v>
      </c>
      <c r="BN34" s="101">
        <f t="shared" ref="BN34:BN65" si="18">SUM(AV34:BG34)</f>
        <v>6</v>
      </c>
      <c r="BP34" s="138">
        <v>9</v>
      </c>
      <c r="BQ34" s="138" cm="1">
        <f t="array" ref="BQ34">SUMPRODUCT(1*ISNUMBER(FIND("P",K34:AL34)))-SUMPRODUCT(1*ISNUMBER(FIND("午P",K34:AL34)))</f>
        <v>0</v>
      </c>
    </row>
    <row r="35" spans="1:69" ht="39.75" hidden="1" customHeight="1">
      <c r="A35" s="284"/>
      <c r="B35" s="102" t="s">
        <v>43</v>
      </c>
      <c r="C35" s="108" t="s">
        <v>267</v>
      </c>
      <c r="D35" s="183" t="s">
        <v>128</v>
      </c>
      <c r="E35" s="183" t="s">
        <v>128</v>
      </c>
      <c r="F35" s="183" t="s">
        <v>128</v>
      </c>
      <c r="G35" s="183" t="s">
        <v>128</v>
      </c>
      <c r="H35" s="265" t="s">
        <v>310</v>
      </c>
      <c r="I35" s="247" t="s">
        <v>125</v>
      </c>
      <c r="J35" s="212" t="s">
        <v>7</v>
      </c>
      <c r="K35" s="202"/>
      <c r="L35" s="160"/>
      <c r="M35" s="160"/>
      <c r="N35" s="160" t="s">
        <v>295</v>
      </c>
      <c r="O35" s="160" t="s">
        <v>294</v>
      </c>
      <c r="P35" s="159" t="s">
        <v>294</v>
      </c>
      <c r="Q35" s="202" t="s">
        <v>294</v>
      </c>
      <c r="R35" s="202" t="s">
        <v>294</v>
      </c>
      <c r="S35" s="160"/>
      <c r="T35" s="160"/>
      <c r="U35" s="160"/>
      <c r="V35" s="160"/>
      <c r="W35" s="160"/>
      <c r="X35" s="202"/>
      <c r="Y35" s="202"/>
      <c r="Z35" s="160"/>
      <c r="AA35" s="160"/>
      <c r="AB35" s="160"/>
      <c r="AC35" s="160"/>
      <c r="AD35" s="168"/>
      <c r="AE35" s="202"/>
      <c r="AF35" s="202"/>
      <c r="AG35" s="160"/>
      <c r="AH35" s="160"/>
      <c r="AI35" s="160"/>
      <c r="AJ35" s="160"/>
      <c r="AK35" s="160"/>
      <c r="AL35" s="202"/>
      <c r="AM35" s="147">
        <f t="shared" si="2"/>
        <v>10</v>
      </c>
      <c r="AN35" s="146">
        <v>2</v>
      </c>
      <c r="AO35" s="146">
        <v>2</v>
      </c>
      <c r="AP35" s="150">
        <v>4</v>
      </c>
      <c r="AQ35" s="150">
        <v>4</v>
      </c>
      <c r="AR35" s="150">
        <f t="shared" si="3"/>
        <v>0</v>
      </c>
      <c r="AS35" s="150">
        <f t="shared" si="4"/>
        <v>0</v>
      </c>
      <c r="AT35" s="150">
        <f t="shared" si="5"/>
        <v>2</v>
      </c>
      <c r="AU35" s="150">
        <f t="shared" si="6"/>
        <v>2</v>
      </c>
      <c r="AV35" s="101">
        <f t="shared" si="7"/>
        <v>3</v>
      </c>
      <c r="AW35" s="101">
        <f t="shared" si="8"/>
        <v>0</v>
      </c>
      <c r="AX35" s="101">
        <f t="shared" si="9"/>
        <v>0</v>
      </c>
      <c r="AY35" s="101">
        <f t="shared" si="10"/>
        <v>0</v>
      </c>
      <c r="AZ35" s="101">
        <f t="shared" si="11"/>
        <v>0</v>
      </c>
      <c r="BA35" s="101">
        <f t="shared" si="12"/>
        <v>0</v>
      </c>
      <c r="BB35" s="101">
        <f t="shared" si="13"/>
        <v>0</v>
      </c>
      <c r="BC35" s="101">
        <f t="shared" si="14"/>
        <v>1</v>
      </c>
      <c r="BD35" s="101">
        <f t="shared" si="15"/>
        <v>0</v>
      </c>
      <c r="BE35" s="101" cm="1">
        <f t="array" ref="BE35">SUMPRODUCT(1*ISNUMBER(FIND("R",E35:AH35)))</f>
        <v>1</v>
      </c>
      <c r="BF35" s="101" cm="1">
        <f t="array" ref="BF35">SUMPRODUCT(1*ISNUMBER(FIND("r",E35:AH35)))</f>
        <v>1</v>
      </c>
      <c r="BG35" s="101" cm="1">
        <f t="array" ref="BG35">SUMPRODUCT(1*ISNUMBER(FIND("P",E35:AH35)))-SUMPRODUCT(1*ISNUMBER(FIND("午P",E35:AH35)))</f>
        <v>0</v>
      </c>
      <c r="BH35" s="101">
        <f t="shared" si="16"/>
        <v>2</v>
      </c>
      <c r="BI35" s="101" cm="1">
        <f t="array" ref="BI35">SUMPRODUCT(1*ISNUMBER(FIND("R",D35:J35)))</f>
        <v>1</v>
      </c>
      <c r="BJ35" s="101" cm="1">
        <f t="array" ref="BJ35">SUMPRODUCT(1*ISNUMBER(FIND("R",K35:Q35)))</f>
        <v>0</v>
      </c>
      <c r="BK35" s="101" cm="1">
        <f t="array" ref="BK35">SUMPRODUCT(1*ISNUMBER(FIND("R",R35:X35)))</f>
        <v>0</v>
      </c>
      <c r="BL35" s="101" cm="1">
        <f t="array" ref="BL35">SUMPRODUCT(1*ISNUMBER(FIND("R",Y35:AE35)))</f>
        <v>0</v>
      </c>
      <c r="BM35" s="101" cm="1">
        <f t="array" ref="BM35">SUMPRODUCT(1*ISNUMBER(FIND("R",AF35:AL35)))</f>
        <v>0</v>
      </c>
      <c r="BN35" s="101">
        <f t="shared" si="18"/>
        <v>6</v>
      </c>
      <c r="BP35" s="138">
        <v>10</v>
      </c>
      <c r="BQ35" s="138" cm="1">
        <f t="array" ref="BQ35">SUMPRODUCT(1*ISNUMBER(FIND("P",K35:AL35)))-SUMPRODUCT(1*ISNUMBER(FIND("午P",K35:AL35)))</f>
        <v>0</v>
      </c>
    </row>
    <row r="36" spans="1:69" s="99" customFormat="1" ht="39.75" hidden="1" customHeight="1" thickBot="1">
      <c r="A36" s="284"/>
      <c r="B36" s="105" t="s">
        <v>227</v>
      </c>
      <c r="C36" s="111" t="s">
        <v>251</v>
      </c>
      <c r="D36" s="188" t="s">
        <v>130</v>
      </c>
      <c r="E36" s="188" t="s">
        <v>130</v>
      </c>
      <c r="F36" s="188" t="s">
        <v>130</v>
      </c>
      <c r="G36" s="188" t="s">
        <v>7</v>
      </c>
      <c r="H36" s="215" t="s">
        <v>9</v>
      </c>
      <c r="I36" s="251" t="s">
        <v>129</v>
      </c>
      <c r="J36" s="215" t="s">
        <v>125</v>
      </c>
      <c r="K36" s="227" t="s">
        <v>294</v>
      </c>
      <c r="L36" s="228" t="s">
        <v>294</v>
      </c>
      <c r="M36" s="228" t="s">
        <v>294</v>
      </c>
      <c r="N36" s="228" t="s">
        <v>294</v>
      </c>
      <c r="O36" s="228" t="s">
        <v>294</v>
      </c>
      <c r="P36" s="229"/>
      <c r="Q36" s="227"/>
      <c r="R36" s="227"/>
      <c r="S36" s="228"/>
      <c r="T36" s="228"/>
      <c r="U36" s="228"/>
      <c r="V36" s="228"/>
      <c r="W36" s="224"/>
      <c r="X36" s="194"/>
      <c r="Y36" s="227"/>
      <c r="Z36" s="228"/>
      <c r="AA36" s="228"/>
      <c r="AB36" s="228"/>
      <c r="AC36" s="228"/>
      <c r="AD36" s="229"/>
      <c r="AE36" s="227"/>
      <c r="AF36" s="227"/>
      <c r="AG36" s="228"/>
      <c r="AH36" s="228"/>
      <c r="AI36" s="228"/>
      <c r="AJ36" s="228"/>
      <c r="AK36" s="228"/>
      <c r="AL36" s="227"/>
      <c r="AM36" s="147">
        <f t="shared" si="2"/>
        <v>9</v>
      </c>
      <c r="AN36" s="146">
        <v>2</v>
      </c>
      <c r="AO36" s="146">
        <v>2</v>
      </c>
      <c r="AP36" s="150">
        <v>5</v>
      </c>
      <c r="AQ36" s="150">
        <v>4</v>
      </c>
      <c r="AR36" s="150">
        <f t="shared" si="3"/>
        <v>0</v>
      </c>
      <c r="AS36" s="150">
        <f t="shared" si="4"/>
        <v>0</v>
      </c>
      <c r="AT36" s="150">
        <f t="shared" si="5"/>
        <v>1</v>
      </c>
      <c r="AU36" s="150">
        <f t="shared" si="6"/>
        <v>2</v>
      </c>
      <c r="AV36" s="101">
        <f t="shared" si="7"/>
        <v>0</v>
      </c>
      <c r="AW36" s="101">
        <f t="shared" si="8"/>
        <v>0</v>
      </c>
      <c r="AX36" s="101">
        <f t="shared" si="9"/>
        <v>0</v>
      </c>
      <c r="AY36" s="101">
        <f t="shared" si="10"/>
        <v>1</v>
      </c>
      <c r="AZ36" s="101">
        <f t="shared" si="11"/>
        <v>0</v>
      </c>
      <c r="BA36" s="101">
        <f t="shared" si="12"/>
        <v>2</v>
      </c>
      <c r="BB36" s="101">
        <f t="shared" si="13"/>
        <v>0</v>
      </c>
      <c r="BC36" s="101">
        <f t="shared" si="14"/>
        <v>0</v>
      </c>
      <c r="BD36" s="101">
        <f t="shared" si="15"/>
        <v>0</v>
      </c>
      <c r="BE36" s="101" cm="1">
        <f t="array" ref="BE36">SUMPRODUCT(1*ISNUMBER(FIND("R",E36:AH36)))</f>
        <v>1</v>
      </c>
      <c r="BF36" s="101" cm="1">
        <f t="array" ref="BF36">SUMPRODUCT(1*ISNUMBER(FIND("r",E36:AH36)))</f>
        <v>1</v>
      </c>
      <c r="BG36" s="101" cm="1">
        <f t="array" ref="BG36">SUMPRODUCT(1*ISNUMBER(FIND("P",E36:AH36)))-SUMPRODUCT(1*ISNUMBER(FIND("午P",E36:AH36)))</f>
        <v>1</v>
      </c>
      <c r="BH36" s="101">
        <f t="shared" si="16"/>
        <v>3</v>
      </c>
      <c r="BI36" s="101" cm="1">
        <f t="array" ref="BI36">SUMPRODUCT(1*ISNUMBER(FIND("R",D36:J36)))</f>
        <v>1</v>
      </c>
      <c r="BJ36" s="101" cm="1">
        <f t="array" ref="BJ36">SUMPRODUCT(1*ISNUMBER(FIND("R",K36:Q36)))</f>
        <v>0</v>
      </c>
      <c r="BK36" s="101" cm="1">
        <f t="array" ref="BK36">SUMPRODUCT(1*ISNUMBER(FIND("R",R36:X36)))</f>
        <v>0</v>
      </c>
      <c r="BL36" s="101" cm="1">
        <f t="array" ref="BL36">SUMPRODUCT(1*ISNUMBER(FIND("R",Y36:AE36)))</f>
        <v>0</v>
      </c>
      <c r="BM36" s="101" cm="1">
        <f t="array" ref="BM36">SUMPRODUCT(1*ISNUMBER(FIND("R",AF36:AL36)))</f>
        <v>0</v>
      </c>
      <c r="BN36" s="101">
        <f t="shared" si="18"/>
        <v>6</v>
      </c>
      <c r="BP36" s="138">
        <v>9</v>
      </c>
      <c r="BQ36" s="138" cm="1">
        <f t="array" ref="BQ36">SUMPRODUCT(1*ISNUMBER(FIND("P",K36:AL36)))-SUMPRODUCT(1*ISNUMBER(FIND("午P",K36:AL36)))</f>
        <v>0</v>
      </c>
    </row>
    <row r="37" spans="1:69" ht="39.75" hidden="1" customHeight="1" thickTop="1">
      <c r="A37" s="284"/>
      <c r="B37" s="103" t="s">
        <v>40</v>
      </c>
      <c r="C37" s="112" t="s">
        <v>41</v>
      </c>
      <c r="D37" s="184" t="s">
        <v>7</v>
      </c>
      <c r="E37" s="184" t="s">
        <v>6</v>
      </c>
      <c r="F37" s="184" t="s">
        <v>6</v>
      </c>
      <c r="G37" s="184" t="s">
        <v>6</v>
      </c>
      <c r="H37" s="213" t="s">
        <v>6</v>
      </c>
      <c r="I37" s="248" t="s">
        <v>6</v>
      </c>
      <c r="J37" s="213" t="s">
        <v>125</v>
      </c>
      <c r="K37" s="198"/>
      <c r="L37" s="205"/>
      <c r="M37" s="205"/>
      <c r="N37" s="205"/>
      <c r="O37" s="205"/>
      <c r="P37" s="206"/>
      <c r="Q37" s="198"/>
      <c r="R37" s="198"/>
      <c r="S37" s="205"/>
      <c r="T37" s="205"/>
      <c r="U37" s="205"/>
      <c r="V37" s="238"/>
      <c r="W37" s="206"/>
      <c r="X37" s="198"/>
      <c r="Y37" s="198"/>
      <c r="Z37" s="205"/>
      <c r="AA37" s="205"/>
      <c r="AB37" s="205"/>
      <c r="AC37" s="205"/>
      <c r="AD37" s="206"/>
      <c r="AE37" s="198"/>
      <c r="AF37" s="198"/>
      <c r="AG37" s="205"/>
      <c r="AH37" s="205"/>
      <c r="AI37" s="205"/>
      <c r="AJ37" s="205"/>
      <c r="AK37" s="205"/>
      <c r="AL37" s="198"/>
      <c r="AM37" s="147">
        <f t="shared" si="2"/>
        <v>11</v>
      </c>
      <c r="AN37" s="146">
        <v>2</v>
      </c>
      <c r="AO37" s="146">
        <v>2</v>
      </c>
      <c r="AP37" s="150">
        <v>4</v>
      </c>
      <c r="AQ37" s="150">
        <v>4</v>
      </c>
      <c r="AR37" s="150">
        <f t="shared" si="3"/>
        <v>0</v>
      </c>
      <c r="AS37" s="150">
        <f t="shared" si="4"/>
        <v>0</v>
      </c>
      <c r="AT37" s="150">
        <f t="shared" si="5"/>
        <v>2</v>
      </c>
      <c r="AU37" s="150">
        <f t="shared" si="6"/>
        <v>2</v>
      </c>
      <c r="AV37" s="101">
        <f t="shared" si="7"/>
        <v>0</v>
      </c>
      <c r="AW37" s="101">
        <f t="shared" si="8"/>
        <v>0</v>
      </c>
      <c r="AX37" s="101">
        <f t="shared" si="9"/>
        <v>0</v>
      </c>
      <c r="AY37" s="101">
        <f t="shared" si="10"/>
        <v>0</v>
      </c>
      <c r="AZ37" s="101">
        <f t="shared" si="11"/>
        <v>0</v>
      </c>
      <c r="BA37" s="101">
        <f t="shared" si="12"/>
        <v>0</v>
      </c>
      <c r="BB37" s="101">
        <f t="shared" si="13"/>
        <v>0</v>
      </c>
      <c r="BC37" s="101">
        <f t="shared" si="14"/>
        <v>0</v>
      </c>
      <c r="BD37" s="101">
        <f t="shared" si="15"/>
        <v>5</v>
      </c>
      <c r="BE37" s="101" cm="1">
        <f t="array" ref="BE37">SUMPRODUCT(1*ISNUMBER(FIND("R",E37:AH37)))</f>
        <v>0</v>
      </c>
      <c r="BF37" s="101" cm="1">
        <f t="array" ref="BF37">SUMPRODUCT(1*ISNUMBER(FIND("r",E37:AH37)))</f>
        <v>1</v>
      </c>
      <c r="BG37" s="101" cm="1">
        <f t="array" ref="BG37">SUMPRODUCT(1*ISNUMBER(FIND("P",E37:AH37)))-SUMPRODUCT(1*ISNUMBER(FIND("午P",E37:AH37)))</f>
        <v>0</v>
      </c>
      <c r="BH37" s="101">
        <f t="shared" si="16"/>
        <v>1</v>
      </c>
      <c r="BI37" s="101" cm="1">
        <f t="array" ref="BI37">SUMPRODUCT(1*ISNUMBER(FIND("R",D37:J37)))</f>
        <v>1</v>
      </c>
      <c r="BJ37" s="101" cm="1">
        <f t="array" ref="BJ37">SUMPRODUCT(1*ISNUMBER(FIND("R",K37:Q37)))</f>
        <v>0</v>
      </c>
      <c r="BK37" s="101" cm="1">
        <f t="array" ref="BK37">SUMPRODUCT(1*ISNUMBER(FIND("R",R37:X37)))</f>
        <v>0</v>
      </c>
      <c r="BL37" s="101" cm="1">
        <f t="array" ref="BL37">SUMPRODUCT(1*ISNUMBER(FIND("R",Y37:AE37)))</f>
        <v>0</v>
      </c>
      <c r="BM37" s="101" cm="1">
        <f t="array" ref="BM37">SUMPRODUCT(1*ISNUMBER(FIND("R",AF37:AL37)))</f>
        <v>0</v>
      </c>
      <c r="BN37" s="101">
        <f t="shared" si="18"/>
        <v>6</v>
      </c>
      <c r="BP37" s="138">
        <v>11</v>
      </c>
      <c r="BQ37" s="138" cm="1">
        <f t="array" ref="BQ37">SUMPRODUCT(1*ISNUMBER(FIND("P",K37:AL37)))-SUMPRODUCT(1*ISNUMBER(FIND("午P",K37:AL37)))</f>
        <v>0</v>
      </c>
    </row>
    <row r="38" spans="1:69" ht="39.75" hidden="1" customHeight="1">
      <c r="A38" s="284"/>
      <c r="B38" s="45" t="s">
        <v>44</v>
      </c>
      <c r="C38" s="82" t="s">
        <v>45</v>
      </c>
      <c r="D38" s="184" t="s">
        <v>7</v>
      </c>
      <c r="E38" s="184" t="s">
        <v>125</v>
      </c>
      <c r="F38" s="184" t="s">
        <v>128</v>
      </c>
      <c r="G38" s="184" t="s">
        <v>128</v>
      </c>
      <c r="H38" s="213" t="s">
        <v>125</v>
      </c>
      <c r="I38" s="248" t="s">
        <v>9</v>
      </c>
      <c r="J38" s="213" t="s">
        <v>128</v>
      </c>
      <c r="K38" s="198"/>
      <c r="L38" s="205"/>
      <c r="M38" s="205"/>
      <c r="N38" s="160"/>
      <c r="O38" s="205"/>
      <c r="P38" s="206"/>
      <c r="Q38" s="178"/>
      <c r="R38" s="198"/>
      <c r="S38" s="205"/>
      <c r="T38" s="205"/>
      <c r="U38" s="205"/>
      <c r="V38" s="205"/>
      <c r="W38" s="206"/>
      <c r="X38" s="198"/>
      <c r="Y38" s="198"/>
      <c r="Z38" s="170"/>
      <c r="AA38" s="160" t="s">
        <v>312</v>
      </c>
      <c r="AB38" s="205"/>
      <c r="AC38" s="205"/>
      <c r="AD38" s="206"/>
      <c r="AE38" s="198"/>
      <c r="AF38" s="198"/>
      <c r="AG38" s="205"/>
      <c r="AH38" s="205"/>
      <c r="AI38" s="205"/>
      <c r="AJ38" s="205"/>
      <c r="AK38" s="205"/>
      <c r="AL38" s="198"/>
      <c r="AM38" s="147">
        <f t="shared" si="2"/>
        <v>7</v>
      </c>
      <c r="AN38" s="146">
        <v>2</v>
      </c>
      <c r="AO38" s="146">
        <v>2</v>
      </c>
      <c r="AP38" s="150">
        <v>4</v>
      </c>
      <c r="AQ38" s="150">
        <v>4</v>
      </c>
      <c r="AR38" s="150">
        <f t="shared" si="3"/>
        <v>0</v>
      </c>
      <c r="AS38" s="150">
        <f t="shared" si="4"/>
        <v>0</v>
      </c>
      <c r="AT38" s="150">
        <f t="shared" si="5"/>
        <v>2</v>
      </c>
      <c r="AU38" s="150">
        <f t="shared" si="6"/>
        <v>2</v>
      </c>
      <c r="AV38" s="101">
        <f t="shared" si="7"/>
        <v>3</v>
      </c>
      <c r="AW38" s="101">
        <f t="shared" si="8"/>
        <v>0</v>
      </c>
      <c r="AX38" s="101">
        <f t="shared" si="9"/>
        <v>0</v>
      </c>
      <c r="AY38" s="101">
        <f t="shared" si="10"/>
        <v>0</v>
      </c>
      <c r="AZ38" s="101">
        <f t="shared" si="11"/>
        <v>0</v>
      </c>
      <c r="BA38" s="101">
        <f t="shared" si="12"/>
        <v>0</v>
      </c>
      <c r="BB38" s="101">
        <f t="shared" si="13"/>
        <v>0</v>
      </c>
      <c r="BC38" s="101">
        <f t="shared" si="14"/>
        <v>0</v>
      </c>
      <c r="BD38" s="101">
        <f t="shared" si="15"/>
        <v>0</v>
      </c>
      <c r="BE38" s="101" cm="1">
        <f t="array" ref="BE38">SUMPRODUCT(1*ISNUMBER(FIND("R",E38:AH38)))</f>
        <v>0</v>
      </c>
      <c r="BF38" s="101" cm="1">
        <f t="array" ref="BF38">SUMPRODUCT(1*ISNUMBER(FIND("r",E38:AH38)))</f>
        <v>2</v>
      </c>
      <c r="BG38" s="101" cm="1">
        <f t="array" ref="BG38">SUMPRODUCT(1*ISNUMBER(FIND("P",E38:AH38)))-SUMPRODUCT(1*ISNUMBER(FIND("午P",E38:AH38)))</f>
        <v>1</v>
      </c>
      <c r="BH38" s="101">
        <f t="shared" si="16"/>
        <v>3</v>
      </c>
      <c r="BI38" s="101" cm="1">
        <f t="array" ref="BI38">SUMPRODUCT(1*ISNUMBER(FIND("R",D38:J38)))</f>
        <v>1</v>
      </c>
      <c r="BJ38" s="101" cm="1">
        <f t="array" ref="BJ38">SUMPRODUCT(1*ISNUMBER(FIND("R",K38:Q38)))</f>
        <v>0</v>
      </c>
      <c r="BK38" s="101" cm="1">
        <f t="array" ref="BK38">SUMPRODUCT(1*ISNUMBER(FIND("R",R38:X38)))</f>
        <v>0</v>
      </c>
      <c r="BL38" s="101" cm="1">
        <f t="array" ref="BL38">SUMPRODUCT(1*ISNUMBER(FIND("R",Y38:AE38)))</f>
        <v>0</v>
      </c>
      <c r="BM38" s="101" cm="1">
        <f t="array" ref="BM38">SUMPRODUCT(1*ISNUMBER(FIND("R",AF38:AL38)))</f>
        <v>0</v>
      </c>
      <c r="BN38" s="101">
        <f t="shared" si="18"/>
        <v>6</v>
      </c>
      <c r="BP38" s="138">
        <v>7</v>
      </c>
      <c r="BQ38" s="138" cm="1">
        <f t="array" ref="BQ38">SUMPRODUCT(1*ISNUMBER(FIND("P",K38:AL38)))-SUMPRODUCT(1*ISNUMBER(FIND("午P",K38:AL38)))</f>
        <v>0</v>
      </c>
    </row>
    <row r="39" spans="1:69" s="99" customFormat="1" ht="39.75" hidden="1" customHeight="1">
      <c r="A39" s="284"/>
      <c r="B39" s="106" t="s">
        <v>35</v>
      </c>
      <c r="C39" s="107" t="s">
        <v>36</v>
      </c>
      <c r="D39" s="183" t="s">
        <v>129</v>
      </c>
      <c r="E39" s="183" t="s">
        <v>9</v>
      </c>
      <c r="F39" s="183" t="s">
        <v>125</v>
      </c>
      <c r="G39" s="183" t="s">
        <v>129</v>
      </c>
      <c r="H39" s="212" t="s">
        <v>129</v>
      </c>
      <c r="I39" s="247" t="s">
        <v>7</v>
      </c>
      <c r="J39" s="212" t="s">
        <v>125</v>
      </c>
      <c r="K39" s="175"/>
      <c r="L39" s="160"/>
      <c r="M39" s="160"/>
      <c r="N39" s="160"/>
      <c r="O39" s="160"/>
      <c r="P39" s="159"/>
      <c r="Q39" s="202"/>
      <c r="R39" s="175"/>
      <c r="S39" s="166"/>
      <c r="T39" s="160"/>
      <c r="U39" s="160"/>
      <c r="V39" s="203"/>
      <c r="W39" s="159"/>
      <c r="X39" s="202"/>
      <c r="Y39" s="202"/>
      <c r="Z39" s="160"/>
      <c r="AA39" s="160"/>
      <c r="AB39" s="160"/>
      <c r="AC39" s="160"/>
      <c r="AD39" s="159"/>
      <c r="AE39" s="202"/>
      <c r="AF39" s="202"/>
      <c r="AG39" s="160"/>
      <c r="AH39" s="160"/>
      <c r="AI39" s="160"/>
      <c r="AJ39" s="160"/>
      <c r="AK39" s="166"/>
      <c r="AL39" s="202" t="s">
        <v>295</v>
      </c>
      <c r="AM39" s="147">
        <f t="shared" si="2"/>
        <v>8</v>
      </c>
      <c r="AN39" s="146">
        <v>2</v>
      </c>
      <c r="AO39" s="146">
        <v>2</v>
      </c>
      <c r="AP39" s="150">
        <v>4</v>
      </c>
      <c r="AQ39" s="150">
        <v>4</v>
      </c>
      <c r="AR39" s="150">
        <f t="shared" si="3"/>
        <v>0</v>
      </c>
      <c r="AS39" s="150">
        <f t="shared" si="4"/>
        <v>0</v>
      </c>
      <c r="AT39" s="150">
        <f t="shared" si="5"/>
        <v>2</v>
      </c>
      <c r="AU39" s="150">
        <f t="shared" si="6"/>
        <v>2</v>
      </c>
      <c r="AV39" s="101">
        <f t="shared" si="7"/>
        <v>0</v>
      </c>
      <c r="AW39" s="101">
        <f t="shared" si="8"/>
        <v>0</v>
      </c>
      <c r="AX39" s="101">
        <f t="shared" si="9"/>
        <v>0</v>
      </c>
      <c r="AY39" s="101">
        <f t="shared" si="10"/>
        <v>2</v>
      </c>
      <c r="AZ39" s="101">
        <f t="shared" si="11"/>
        <v>0</v>
      </c>
      <c r="BA39" s="101">
        <f t="shared" si="12"/>
        <v>0</v>
      </c>
      <c r="BB39" s="101">
        <f t="shared" si="13"/>
        <v>0</v>
      </c>
      <c r="BC39" s="101">
        <f t="shared" si="14"/>
        <v>0</v>
      </c>
      <c r="BD39" s="101">
        <f t="shared" si="15"/>
        <v>0</v>
      </c>
      <c r="BE39" s="101" cm="1">
        <f t="array" ref="BE39">SUMPRODUCT(1*ISNUMBER(FIND("R",E39:AH39)))</f>
        <v>1</v>
      </c>
      <c r="BF39" s="101" cm="1">
        <f t="array" ref="BF39">SUMPRODUCT(1*ISNUMBER(FIND("r",E39:AH39)))</f>
        <v>2</v>
      </c>
      <c r="BG39" s="101" cm="1">
        <f t="array" ref="BG39">SUMPRODUCT(1*ISNUMBER(FIND("P",E39:AH39)))-SUMPRODUCT(1*ISNUMBER(FIND("午P",E39:AH39)))</f>
        <v>1</v>
      </c>
      <c r="BH39" s="101">
        <f t="shared" si="16"/>
        <v>4</v>
      </c>
      <c r="BI39" s="101" cm="1">
        <f t="array" ref="BI39">SUMPRODUCT(1*ISNUMBER(FIND("R",D39:J39)))</f>
        <v>1</v>
      </c>
      <c r="BJ39" s="101" cm="1">
        <f t="array" ref="BJ39">SUMPRODUCT(1*ISNUMBER(FIND("R",K39:Q39)))</f>
        <v>0</v>
      </c>
      <c r="BK39" s="101" cm="1">
        <f t="array" ref="BK39">SUMPRODUCT(1*ISNUMBER(FIND("R",R39:X39)))</f>
        <v>0</v>
      </c>
      <c r="BL39" s="101" cm="1">
        <f t="array" ref="BL39">SUMPRODUCT(1*ISNUMBER(FIND("R",Y39:AE39)))</f>
        <v>0</v>
      </c>
      <c r="BM39" s="101" cm="1">
        <f t="array" ref="BM39">SUMPRODUCT(1*ISNUMBER(FIND("R",AF39:AL39)))</f>
        <v>0</v>
      </c>
      <c r="BN39" s="101">
        <f t="shared" si="18"/>
        <v>6</v>
      </c>
      <c r="BP39" s="138">
        <v>8</v>
      </c>
      <c r="BQ39" s="138" cm="1">
        <f t="array" ref="BQ39">SUMPRODUCT(1*ISNUMBER(FIND("P",K39:AL39)))-SUMPRODUCT(1*ISNUMBER(FIND("午P",K39:AL39)))</f>
        <v>0</v>
      </c>
    </row>
    <row r="40" spans="1:69" ht="39.75" hidden="1" customHeight="1" thickBot="1">
      <c r="A40" s="284"/>
      <c r="B40" s="44" t="s">
        <v>49</v>
      </c>
      <c r="C40" s="78" t="s">
        <v>50</v>
      </c>
      <c r="D40" s="186" t="s">
        <v>128</v>
      </c>
      <c r="E40" s="185" t="s">
        <v>128</v>
      </c>
      <c r="F40" s="185" t="s">
        <v>129</v>
      </c>
      <c r="G40" s="185" t="s">
        <v>7</v>
      </c>
      <c r="H40" s="220" t="s">
        <v>128</v>
      </c>
      <c r="I40" s="247" t="s">
        <v>129</v>
      </c>
      <c r="J40" s="212" t="s">
        <v>129</v>
      </c>
      <c r="K40" s="196"/>
      <c r="L40" s="226"/>
      <c r="M40" s="226"/>
      <c r="N40" s="226"/>
      <c r="O40" s="226"/>
      <c r="P40" s="172"/>
      <c r="Q40" s="196"/>
      <c r="R40" s="196"/>
      <c r="S40" s="226"/>
      <c r="T40" s="226"/>
      <c r="U40" s="226"/>
      <c r="V40" s="169"/>
      <c r="W40" s="261"/>
      <c r="X40" s="195"/>
      <c r="Y40" s="195"/>
      <c r="Z40" s="169"/>
      <c r="AA40" s="169"/>
      <c r="AB40" s="197"/>
      <c r="AC40" s="197"/>
      <c r="AD40" s="197"/>
      <c r="AE40" s="239"/>
      <c r="AF40" s="239"/>
      <c r="AG40" s="226"/>
      <c r="AH40" s="226"/>
      <c r="AI40" s="226"/>
      <c r="AJ40" s="226"/>
      <c r="AK40" s="226"/>
      <c r="AL40" s="196"/>
      <c r="AM40" s="147">
        <f t="shared" si="2"/>
        <v>8</v>
      </c>
      <c r="AN40" s="146">
        <v>2</v>
      </c>
      <c r="AO40" s="146">
        <v>2</v>
      </c>
      <c r="AP40" s="150">
        <v>5</v>
      </c>
      <c r="AQ40" s="150">
        <v>4</v>
      </c>
      <c r="AR40" s="150">
        <f t="shared" si="3"/>
        <v>0</v>
      </c>
      <c r="AS40" s="150">
        <f t="shared" si="4"/>
        <v>0</v>
      </c>
      <c r="AT40" s="150">
        <f t="shared" si="5"/>
        <v>1</v>
      </c>
      <c r="AU40" s="150">
        <f t="shared" si="6"/>
        <v>2</v>
      </c>
      <c r="AV40" s="101">
        <f t="shared" si="7"/>
        <v>2</v>
      </c>
      <c r="AW40" s="101">
        <f t="shared" si="8"/>
        <v>0</v>
      </c>
      <c r="AX40" s="101">
        <f t="shared" si="9"/>
        <v>0</v>
      </c>
      <c r="AY40" s="101">
        <f t="shared" si="10"/>
        <v>3</v>
      </c>
      <c r="AZ40" s="101">
        <f t="shared" si="11"/>
        <v>0</v>
      </c>
      <c r="BA40" s="101">
        <f t="shared" si="12"/>
        <v>0</v>
      </c>
      <c r="BB40" s="101">
        <f t="shared" si="13"/>
        <v>0</v>
      </c>
      <c r="BC40" s="101">
        <f t="shared" si="14"/>
        <v>0</v>
      </c>
      <c r="BD40" s="101">
        <f t="shared" si="15"/>
        <v>0</v>
      </c>
      <c r="BE40" s="101" cm="1">
        <f t="array" ref="BE40">SUMPRODUCT(1*ISNUMBER(FIND("R",E40:AH40)))</f>
        <v>1</v>
      </c>
      <c r="BF40" s="101" cm="1">
        <f t="array" ref="BF40">SUMPRODUCT(1*ISNUMBER(FIND("r",E40:AH40)))</f>
        <v>0</v>
      </c>
      <c r="BG40" s="101" cm="1">
        <f t="array" ref="BG40">SUMPRODUCT(1*ISNUMBER(FIND("P",E40:AH40)))-SUMPRODUCT(1*ISNUMBER(FIND("午P",E40:AH40)))</f>
        <v>0</v>
      </c>
      <c r="BH40" s="101">
        <f t="shared" si="16"/>
        <v>1</v>
      </c>
      <c r="BI40" s="101" cm="1">
        <f t="array" ref="BI40">SUMPRODUCT(1*ISNUMBER(FIND("R",D40:J40)))</f>
        <v>1</v>
      </c>
      <c r="BJ40" s="101" cm="1">
        <f t="array" ref="BJ40">SUMPRODUCT(1*ISNUMBER(FIND("R",K40:Q40)))</f>
        <v>0</v>
      </c>
      <c r="BK40" s="101" cm="1">
        <f t="array" ref="BK40">SUMPRODUCT(1*ISNUMBER(FIND("R",R40:X40)))</f>
        <v>0</v>
      </c>
      <c r="BL40" s="101" cm="1">
        <f t="array" ref="BL40">SUMPRODUCT(1*ISNUMBER(FIND("R",Y40:AE40)))</f>
        <v>0</v>
      </c>
      <c r="BM40" s="101" cm="1">
        <f t="array" ref="BM40">SUMPRODUCT(1*ISNUMBER(FIND("R",AF40:AL40)))</f>
        <v>0</v>
      </c>
      <c r="BN40" s="101">
        <f t="shared" si="18"/>
        <v>6</v>
      </c>
      <c r="BP40" s="138">
        <v>8</v>
      </c>
      <c r="BQ40" s="138" cm="1">
        <f t="array" ref="BQ40">SUMPRODUCT(1*ISNUMBER(FIND("P",K40:AL40)))-SUMPRODUCT(1*ISNUMBER(FIND("午P",K40:AL40)))</f>
        <v>0</v>
      </c>
    </row>
    <row r="41" spans="1:69" s="36" customFormat="1" ht="39.75" hidden="1" customHeight="1">
      <c r="A41" s="286" t="s">
        <v>229</v>
      </c>
      <c r="B41" s="43" t="s">
        <v>52</v>
      </c>
      <c r="C41" s="80" t="s">
        <v>53</v>
      </c>
      <c r="D41" s="184" t="s">
        <v>247</v>
      </c>
      <c r="E41" s="184" t="s">
        <v>131</v>
      </c>
      <c r="F41" s="184" t="s">
        <v>131</v>
      </c>
      <c r="G41" s="184" t="s">
        <v>131</v>
      </c>
      <c r="H41" s="213" t="s">
        <v>131</v>
      </c>
      <c r="I41" s="246" t="s">
        <v>6</v>
      </c>
      <c r="J41" s="219" t="s">
        <v>7</v>
      </c>
      <c r="K41" s="198"/>
      <c r="L41" s="166"/>
      <c r="M41" s="170"/>
      <c r="N41" s="205"/>
      <c r="O41" s="205"/>
      <c r="P41" s="206"/>
      <c r="Q41" s="198"/>
      <c r="R41" s="198"/>
      <c r="S41" s="205"/>
      <c r="T41" s="205"/>
      <c r="U41" s="205"/>
      <c r="V41" s="205"/>
      <c r="W41" s="205"/>
      <c r="X41" s="198"/>
      <c r="Y41" s="198"/>
      <c r="Z41" s="205"/>
      <c r="AA41" s="205"/>
      <c r="AB41" s="205"/>
      <c r="AC41" s="205"/>
      <c r="AD41" s="206"/>
      <c r="AE41" s="178"/>
      <c r="AF41" s="178"/>
      <c r="AG41" s="205"/>
      <c r="AH41" s="205"/>
      <c r="AI41" s="205"/>
      <c r="AJ41" s="205"/>
      <c r="AK41" s="205"/>
      <c r="AL41" s="198"/>
      <c r="AM41" s="147">
        <f t="shared" si="2"/>
        <v>9</v>
      </c>
      <c r="AN41" s="146">
        <v>2</v>
      </c>
      <c r="AO41" s="146">
        <v>2</v>
      </c>
      <c r="AP41" s="150">
        <v>4</v>
      </c>
      <c r="AQ41" s="150">
        <v>4</v>
      </c>
      <c r="AR41" s="150">
        <f t="shared" si="3"/>
        <v>0</v>
      </c>
      <c r="AS41" s="150">
        <f t="shared" si="4"/>
        <v>0</v>
      </c>
      <c r="AT41" s="150">
        <f t="shared" si="5"/>
        <v>2</v>
      </c>
      <c r="AU41" s="150">
        <f t="shared" si="6"/>
        <v>2</v>
      </c>
      <c r="AV41" s="101">
        <f t="shared" si="7"/>
        <v>0</v>
      </c>
      <c r="AW41" s="101">
        <f t="shared" si="8"/>
        <v>0</v>
      </c>
      <c r="AX41" s="101">
        <f t="shared" si="9"/>
        <v>0</v>
      </c>
      <c r="AY41" s="101">
        <f t="shared" si="10"/>
        <v>4</v>
      </c>
      <c r="AZ41" s="101">
        <f t="shared" si="11"/>
        <v>0</v>
      </c>
      <c r="BA41" s="101">
        <f t="shared" si="12"/>
        <v>0</v>
      </c>
      <c r="BB41" s="101">
        <f t="shared" si="13"/>
        <v>0</v>
      </c>
      <c r="BC41" s="101">
        <f t="shared" si="14"/>
        <v>0</v>
      </c>
      <c r="BD41" s="101">
        <f t="shared" si="15"/>
        <v>1</v>
      </c>
      <c r="BE41" s="101" cm="1">
        <f t="array" ref="BE41">SUMPRODUCT(1*ISNUMBER(FIND("R",E41:AH41)))</f>
        <v>1</v>
      </c>
      <c r="BF41" s="101" cm="1">
        <f t="array" ref="BF41">SUMPRODUCT(1*ISNUMBER(FIND("r",E41:AH41)))</f>
        <v>0</v>
      </c>
      <c r="BG41" s="101" cm="1">
        <f t="array" ref="BG41">SUMPRODUCT(1*ISNUMBER(FIND("P",E41:AH41)))-SUMPRODUCT(1*ISNUMBER(FIND("午P",E41:AH41)))</f>
        <v>0</v>
      </c>
      <c r="BH41" s="101">
        <f t="shared" si="16"/>
        <v>1</v>
      </c>
      <c r="BI41" s="101" cm="1">
        <f t="array" ref="BI41">SUMPRODUCT(1*ISNUMBER(FIND("R",D41:J41)))</f>
        <v>1</v>
      </c>
      <c r="BJ41" s="101" cm="1">
        <f t="array" ref="BJ41">SUMPRODUCT(1*ISNUMBER(FIND("R",K41:Q41)))</f>
        <v>0</v>
      </c>
      <c r="BK41" s="101" cm="1">
        <f t="array" ref="BK41">SUMPRODUCT(1*ISNUMBER(FIND("R",R41:X41)))</f>
        <v>0</v>
      </c>
      <c r="BL41" s="101" cm="1">
        <f t="array" ref="BL41">SUMPRODUCT(1*ISNUMBER(FIND("R",Y41:AE41)))</f>
        <v>0</v>
      </c>
      <c r="BM41" s="101" cm="1">
        <f t="array" ref="BM41">SUMPRODUCT(1*ISNUMBER(FIND("R",AF41:AL41)))</f>
        <v>0</v>
      </c>
      <c r="BN41" s="101">
        <f t="shared" si="18"/>
        <v>6</v>
      </c>
      <c r="BP41" s="138">
        <v>9</v>
      </c>
      <c r="BQ41" s="138" cm="1">
        <f t="array" ref="BQ41">SUMPRODUCT(1*ISNUMBER(FIND("P",K41:AL41)))-SUMPRODUCT(1*ISNUMBER(FIND("午P",K41:AL41)))</f>
        <v>0</v>
      </c>
    </row>
    <row r="42" spans="1:69" s="99" customFormat="1" ht="39.75" hidden="1" customHeight="1">
      <c r="A42" s="287"/>
      <c r="B42" s="72" t="s">
        <v>48</v>
      </c>
      <c r="C42" s="113" t="s">
        <v>265</v>
      </c>
      <c r="D42" s="187" t="s">
        <v>125</v>
      </c>
      <c r="E42" s="187" t="s">
        <v>7</v>
      </c>
      <c r="F42" s="187" t="s">
        <v>246</v>
      </c>
      <c r="G42" s="187" t="s">
        <v>246</v>
      </c>
      <c r="H42" s="218" t="s">
        <v>246</v>
      </c>
      <c r="I42" s="254" t="s">
        <v>131</v>
      </c>
      <c r="J42" s="218" t="s">
        <v>131</v>
      </c>
      <c r="K42" s="237"/>
      <c r="L42" s="204"/>
      <c r="M42" s="161"/>
      <c r="N42" s="204"/>
      <c r="O42" s="204"/>
      <c r="P42" s="207"/>
      <c r="Q42" s="177"/>
      <c r="R42" s="237"/>
      <c r="S42" s="204"/>
      <c r="T42" s="204"/>
      <c r="U42" s="204"/>
      <c r="V42" s="204"/>
      <c r="W42" s="207"/>
      <c r="X42" s="237"/>
      <c r="Y42" s="237"/>
      <c r="Z42" s="204"/>
      <c r="AA42" s="204"/>
      <c r="AB42" s="161"/>
      <c r="AC42" s="204"/>
      <c r="AD42" s="207"/>
      <c r="AE42" s="237"/>
      <c r="AF42" s="177"/>
      <c r="AG42" s="204"/>
      <c r="AH42" s="204"/>
      <c r="AI42" s="204"/>
      <c r="AJ42" s="204"/>
      <c r="AK42" s="204"/>
      <c r="AL42" s="237"/>
      <c r="AM42" s="147">
        <f t="shared" si="2"/>
        <v>9</v>
      </c>
      <c r="AN42" s="146">
        <v>2</v>
      </c>
      <c r="AO42" s="146">
        <v>2</v>
      </c>
      <c r="AP42" s="150">
        <v>4</v>
      </c>
      <c r="AQ42" s="150">
        <v>4</v>
      </c>
      <c r="AR42" s="150">
        <f t="shared" si="3"/>
        <v>0</v>
      </c>
      <c r="AS42" s="150">
        <f t="shared" si="4"/>
        <v>0</v>
      </c>
      <c r="AT42" s="150">
        <f t="shared" si="5"/>
        <v>2</v>
      </c>
      <c r="AU42" s="150">
        <f t="shared" si="6"/>
        <v>2</v>
      </c>
      <c r="AV42" s="101">
        <f t="shared" si="7"/>
        <v>3</v>
      </c>
      <c r="AW42" s="101">
        <f t="shared" si="8"/>
        <v>0</v>
      </c>
      <c r="AX42" s="101">
        <f t="shared" si="9"/>
        <v>0</v>
      </c>
      <c r="AY42" s="101">
        <f t="shared" si="10"/>
        <v>2</v>
      </c>
      <c r="AZ42" s="101">
        <f t="shared" si="11"/>
        <v>0</v>
      </c>
      <c r="BA42" s="101">
        <f t="shared" si="12"/>
        <v>0</v>
      </c>
      <c r="BB42" s="101">
        <f t="shared" si="13"/>
        <v>0</v>
      </c>
      <c r="BC42" s="101">
        <f t="shared" si="14"/>
        <v>0</v>
      </c>
      <c r="BD42" s="101">
        <f t="shared" si="15"/>
        <v>0</v>
      </c>
      <c r="BE42" s="101" cm="1">
        <f t="array" ref="BE42">SUMPRODUCT(1*ISNUMBER(FIND("R",E42:AH42)))</f>
        <v>1</v>
      </c>
      <c r="BF42" s="101" cm="1">
        <f t="array" ref="BF42">SUMPRODUCT(1*ISNUMBER(FIND("r",E42:AH42)))</f>
        <v>0</v>
      </c>
      <c r="BG42" s="101" cm="1">
        <f t="array" ref="BG42">SUMPRODUCT(1*ISNUMBER(FIND("P",E42:AH42)))-SUMPRODUCT(1*ISNUMBER(FIND("午P",E42:AH42)))</f>
        <v>0</v>
      </c>
      <c r="BH42" s="101">
        <f t="shared" si="16"/>
        <v>1</v>
      </c>
      <c r="BI42" s="101" cm="1">
        <f t="array" ref="BI42">SUMPRODUCT(1*ISNUMBER(FIND("R",D42:J42)))</f>
        <v>1</v>
      </c>
      <c r="BJ42" s="101" cm="1">
        <f t="array" ref="BJ42">SUMPRODUCT(1*ISNUMBER(FIND("R",K42:Q42)))</f>
        <v>0</v>
      </c>
      <c r="BK42" s="101" cm="1">
        <f t="array" ref="BK42">SUMPRODUCT(1*ISNUMBER(FIND("R",R42:X42)))</f>
        <v>0</v>
      </c>
      <c r="BL42" s="101" cm="1">
        <f t="array" ref="BL42">SUMPRODUCT(1*ISNUMBER(FIND("R",Y42:AE42)))</f>
        <v>0</v>
      </c>
      <c r="BM42" s="101" cm="1">
        <f t="array" ref="BM42">SUMPRODUCT(1*ISNUMBER(FIND("R",AF42:AL42)))</f>
        <v>0</v>
      </c>
      <c r="BN42" s="101">
        <f t="shared" si="18"/>
        <v>6</v>
      </c>
      <c r="BP42" s="138">
        <v>9</v>
      </c>
      <c r="BQ42" s="138" cm="1">
        <f t="array" ref="BQ42">SUMPRODUCT(1*ISNUMBER(FIND("P",K42:AL42)))-SUMPRODUCT(1*ISNUMBER(FIND("午P",K42:AL42)))</f>
        <v>0</v>
      </c>
    </row>
    <row r="43" spans="1:69" s="99" customFormat="1" ht="39.75" hidden="1" customHeight="1">
      <c r="A43" s="287"/>
      <c r="B43" s="72" t="s">
        <v>228</v>
      </c>
      <c r="C43" s="113" t="s">
        <v>243</v>
      </c>
      <c r="D43" s="187" t="s">
        <v>246</v>
      </c>
      <c r="E43" s="187" t="s">
        <v>7</v>
      </c>
      <c r="F43" s="187" t="s">
        <v>132</v>
      </c>
      <c r="G43" s="187" t="s">
        <v>132</v>
      </c>
      <c r="H43" s="218" t="s">
        <v>132</v>
      </c>
      <c r="I43" s="254" t="s">
        <v>132</v>
      </c>
      <c r="J43" s="218" t="s">
        <v>132</v>
      </c>
      <c r="K43" s="237"/>
      <c r="L43" s="204"/>
      <c r="M43" s="204"/>
      <c r="N43" s="204"/>
      <c r="O43" s="204"/>
      <c r="P43" s="207"/>
      <c r="Q43" s="177"/>
      <c r="R43" s="177"/>
      <c r="S43" s="204"/>
      <c r="T43" s="204"/>
      <c r="U43" s="204"/>
      <c r="V43" s="204"/>
      <c r="W43" s="207"/>
      <c r="X43" s="237"/>
      <c r="Y43" s="237"/>
      <c r="Z43" s="161"/>
      <c r="AA43" s="161"/>
      <c r="AB43" s="204"/>
      <c r="AC43" s="204"/>
      <c r="AD43" s="207"/>
      <c r="AE43" s="202"/>
      <c r="AF43" s="237"/>
      <c r="AG43" s="204"/>
      <c r="AH43" s="204"/>
      <c r="AI43" s="204"/>
      <c r="AJ43" s="204"/>
      <c r="AK43" s="204"/>
      <c r="AL43" s="237"/>
      <c r="AM43" s="147">
        <f t="shared" si="2"/>
        <v>9</v>
      </c>
      <c r="AN43" s="146">
        <v>2</v>
      </c>
      <c r="AO43" s="146">
        <v>2</v>
      </c>
      <c r="AP43" s="150">
        <v>4</v>
      </c>
      <c r="AQ43" s="150">
        <v>4</v>
      </c>
      <c r="AR43" s="150">
        <f t="shared" si="3"/>
        <v>0</v>
      </c>
      <c r="AS43" s="150">
        <f t="shared" si="4"/>
        <v>0</v>
      </c>
      <c r="AT43" s="150">
        <f t="shared" si="5"/>
        <v>2</v>
      </c>
      <c r="AU43" s="150">
        <f t="shared" si="6"/>
        <v>2</v>
      </c>
      <c r="AV43" s="101">
        <f t="shared" si="7"/>
        <v>0</v>
      </c>
      <c r="AW43" s="101">
        <f t="shared" si="8"/>
        <v>0</v>
      </c>
      <c r="AX43" s="101">
        <f t="shared" si="9"/>
        <v>0</v>
      </c>
      <c r="AY43" s="101">
        <f t="shared" si="10"/>
        <v>0</v>
      </c>
      <c r="AZ43" s="101">
        <f t="shared" si="11"/>
        <v>0</v>
      </c>
      <c r="BA43" s="101">
        <f t="shared" si="12"/>
        <v>5</v>
      </c>
      <c r="BB43" s="101">
        <f t="shared" si="13"/>
        <v>0</v>
      </c>
      <c r="BC43" s="101">
        <f t="shared" si="14"/>
        <v>0</v>
      </c>
      <c r="BD43" s="101">
        <f t="shared" si="15"/>
        <v>0</v>
      </c>
      <c r="BE43" s="101" cm="1">
        <f t="array" ref="BE43">SUMPRODUCT(1*ISNUMBER(FIND("R",E43:AH43)))</f>
        <v>1</v>
      </c>
      <c r="BF43" s="101" cm="1">
        <f t="array" ref="BF43">SUMPRODUCT(1*ISNUMBER(FIND("r",E43:AH43)))</f>
        <v>0</v>
      </c>
      <c r="BG43" s="101" cm="1">
        <f t="array" ref="BG43">SUMPRODUCT(1*ISNUMBER(FIND("P",E43:AH43)))-SUMPRODUCT(1*ISNUMBER(FIND("午P",E43:AH43)))</f>
        <v>0</v>
      </c>
      <c r="BH43" s="101">
        <f t="shared" si="16"/>
        <v>1</v>
      </c>
      <c r="BI43" s="101" cm="1">
        <f t="array" ref="BI43">SUMPRODUCT(1*ISNUMBER(FIND("R",D43:J43)))</f>
        <v>1</v>
      </c>
      <c r="BJ43" s="101" cm="1">
        <f t="array" ref="BJ43">SUMPRODUCT(1*ISNUMBER(FIND("R",K43:Q43)))</f>
        <v>0</v>
      </c>
      <c r="BK43" s="101" cm="1">
        <f t="array" ref="BK43">SUMPRODUCT(1*ISNUMBER(FIND("R",R43:X43)))</f>
        <v>0</v>
      </c>
      <c r="BL43" s="101" cm="1">
        <f t="array" ref="BL43">SUMPRODUCT(1*ISNUMBER(FIND("R",Y43:AE43)))</f>
        <v>0</v>
      </c>
      <c r="BM43" s="101" cm="1">
        <f t="array" ref="BM43">SUMPRODUCT(1*ISNUMBER(FIND("R",AF43:AL43)))</f>
        <v>0</v>
      </c>
      <c r="BN43" s="101">
        <f t="shared" si="18"/>
        <v>6</v>
      </c>
      <c r="BP43" s="138">
        <v>9</v>
      </c>
      <c r="BQ43" s="138" cm="1">
        <f t="array" ref="BQ43">SUMPRODUCT(1*ISNUMBER(FIND("P",K43:AL43)))-SUMPRODUCT(1*ISNUMBER(FIND("午P",K43:AL43)))</f>
        <v>0</v>
      </c>
    </row>
    <row r="44" spans="1:69" s="99" customFormat="1" ht="39.75" hidden="1" customHeight="1" thickBot="1">
      <c r="A44" s="287"/>
      <c r="B44" s="105" t="s">
        <v>230</v>
      </c>
      <c r="C44" s="111" t="s">
        <v>231</v>
      </c>
      <c r="D44" s="188" t="s">
        <v>132</v>
      </c>
      <c r="E44" s="188" t="s">
        <v>132</v>
      </c>
      <c r="F44" s="188" t="s">
        <v>7</v>
      </c>
      <c r="G44" s="188" t="s">
        <v>9</v>
      </c>
      <c r="H44" s="215" t="s">
        <v>125</v>
      </c>
      <c r="I44" s="251" t="s">
        <v>246</v>
      </c>
      <c r="J44" s="215" t="s">
        <v>246</v>
      </c>
      <c r="K44" s="227"/>
      <c r="L44" s="228"/>
      <c r="M44" s="228"/>
      <c r="N44" s="228"/>
      <c r="O44" s="228"/>
      <c r="P44" s="228"/>
      <c r="Q44" s="194"/>
      <c r="R44" s="194"/>
      <c r="S44" s="228"/>
      <c r="T44" s="228"/>
      <c r="U44" s="228"/>
      <c r="V44" s="228"/>
      <c r="W44" s="228"/>
      <c r="X44" s="227"/>
      <c r="Y44" s="227"/>
      <c r="Z44" s="162"/>
      <c r="AA44" s="162"/>
      <c r="AB44" s="228"/>
      <c r="AC44" s="228"/>
      <c r="AD44" s="228"/>
      <c r="AE44" s="227"/>
      <c r="AF44" s="227"/>
      <c r="AG44" s="228"/>
      <c r="AH44" s="228"/>
      <c r="AI44" s="228"/>
      <c r="AJ44" s="228"/>
      <c r="AK44" s="228"/>
      <c r="AL44" s="227"/>
      <c r="AM44" s="147">
        <f t="shared" si="2"/>
        <v>11</v>
      </c>
      <c r="AN44" s="146">
        <v>2</v>
      </c>
      <c r="AO44" s="146">
        <v>2</v>
      </c>
      <c r="AP44" s="150">
        <v>4</v>
      </c>
      <c r="AQ44" s="150">
        <v>4</v>
      </c>
      <c r="AR44" s="150">
        <f t="shared" si="3"/>
        <v>0</v>
      </c>
      <c r="AS44" s="150">
        <f t="shared" si="4"/>
        <v>0</v>
      </c>
      <c r="AT44" s="150">
        <f t="shared" si="5"/>
        <v>2</v>
      </c>
      <c r="AU44" s="150">
        <f t="shared" si="6"/>
        <v>2</v>
      </c>
      <c r="AV44" s="101">
        <f t="shared" si="7"/>
        <v>2</v>
      </c>
      <c r="AW44" s="101">
        <f t="shared" si="8"/>
        <v>0</v>
      </c>
      <c r="AX44" s="101">
        <f t="shared" si="9"/>
        <v>0</v>
      </c>
      <c r="AY44" s="101">
        <f t="shared" si="10"/>
        <v>0</v>
      </c>
      <c r="AZ44" s="101">
        <f t="shared" si="11"/>
        <v>0</v>
      </c>
      <c r="BA44" s="101">
        <f t="shared" si="12"/>
        <v>1</v>
      </c>
      <c r="BB44" s="101">
        <f t="shared" si="13"/>
        <v>0</v>
      </c>
      <c r="BC44" s="101">
        <f t="shared" si="14"/>
        <v>0</v>
      </c>
      <c r="BD44" s="101">
        <f t="shared" si="15"/>
        <v>0</v>
      </c>
      <c r="BE44" s="101" cm="1">
        <f t="array" ref="BE44">SUMPRODUCT(1*ISNUMBER(FIND("R",E44:AH44)))</f>
        <v>1</v>
      </c>
      <c r="BF44" s="101" cm="1">
        <f t="array" ref="BF44">SUMPRODUCT(1*ISNUMBER(FIND("r",E44:AH44)))</f>
        <v>1</v>
      </c>
      <c r="BG44" s="101" cm="1">
        <f t="array" ref="BG44">SUMPRODUCT(1*ISNUMBER(FIND("P",E44:AH44)))-SUMPRODUCT(1*ISNUMBER(FIND("午P",E44:AH44)))</f>
        <v>1</v>
      </c>
      <c r="BH44" s="101">
        <f t="shared" si="16"/>
        <v>3</v>
      </c>
      <c r="BI44" s="101" cm="1">
        <f t="array" ref="BI44">SUMPRODUCT(1*ISNUMBER(FIND("R",D44:J44)))</f>
        <v>1</v>
      </c>
      <c r="BJ44" s="101" cm="1">
        <f t="array" ref="BJ44">SUMPRODUCT(1*ISNUMBER(FIND("R",K44:Q44)))</f>
        <v>0</v>
      </c>
      <c r="BK44" s="101" cm="1">
        <f t="array" ref="BK44">SUMPRODUCT(1*ISNUMBER(FIND("R",R44:X44)))</f>
        <v>0</v>
      </c>
      <c r="BL44" s="101" cm="1">
        <f t="array" ref="BL44">SUMPRODUCT(1*ISNUMBER(FIND("R",Y44:AE44)))</f>
        <v>0</v>
      </c>
      <c r="BM44" s="101" cm="1">
        <f t="array" ref="BM44">SUMPRODUCT(1*ISNUMBER(FIND("R",AF44:AL44)))</f>
        <v>0</v>
      </c>
      <c r="BN44" s="101">
        <f t="shared" si="18"/>
        <v>6</v>
      </c>
      <c r="BP44" s="138">
        <v>11</v>
      </c>
      <c r="BQ44" s="138" cm="1">
        <f t="array" ref="BQ44">SUMPRODUCT(1*ISNUMBER(FIND("P",K44:AL44)))-SUMPRODUCT(1*ISNUMBER(FIND("午P",K44:AL44)))</f>
        <v>0</v>
      </c>
    </row>
    <row r="45" spans="1:69" s="36" customFormat="1" ht="37.5" hidden="1" customHeight="1" thickTop="1">
      <c r="A45" s="287"/>
      <c r="B45" s="103" t="s">
        <v>122</v>
      </c>
      <c r="C45" s="112" t="s">
        <v>123</v>
      </c>
      <c r="D45" s="183" t="s">
        <v>125</v>
      </c>
      <c r="E45" s="184" t="s">
        <v>7</v>
      </c>
      <c r="F45" s="184" t="s">
        <v>246</v>
      </c>
      <c r="G45" s="184" t="s">
        <v>131</v>
      </c>
      <c r="H45" s="213" t="s">
        <v>131</v>
      </c>
      <c r="I45" s="248" t="s">
        <v>131</v>
      </c>
      <c r="J45" s="213" t="s">
        <v>131</v>
      </c>
      <c r="K45" s="178"/>
      <c r="L45" s="170"/>
      <c r="M45" s="160"/>
      <c r="N45" s="205"/>
      <c r="O45" s="160"/>
      <c r="P45" s="206"/>
      <c r="Q45" s="198"/>
      <c r="R45" s="198"/>
      <c r="S45" s="205"/>
      <c r="T45" s="205"/>
      <c r="U45" s="205"/>
      <c r="V45" s="205"/>
      <c r="W45" s="206"/>
      <c r="X45" s="198" t="s">
        <v>295</v>
      </c>
      <c r="Y45" s="198" t="s">
        <v>294</v>
      </c>
      <c r="Z45" s="205" t="s">
        <v>294</v>
      </c>
      <c r="AA45" s="205" t="s">
        <v>294</v>
      </c>
      <c r="AB45" s="205" t="s">
        <v>294</v>
      </c>
      <c r="AC45" s="205" t="s">
        <v>294</v>
      </c>
      <c r="AD45" s="206" t="s">
        <v>294</v>
      </c>
      <c r="AE45" s="198" t="s">
        <v>294</v>
      </c>
      <c r="AF45" s="202" t="s">
        <v>294</v>
      </c>
      <c r="AG45" s="205" t="s">
        <v>294</v>
      </c>
      <c r="AH45" s="205"/>
      <c r="AI45" s="205"/>
      <c r="AJ45" s="205"/>
      <c r="AK45" s="205"/>
      <c r="AL45" s="198"/>
      <c r="AM45" s="147">
        <f t="shared" si="2"/>
        <v>9</v>
      </c>
      <c r="AN45" s="146">
        <v>2</v>
      </c>
      <c r="AO45" s="146">
        <v>2</v>
      </c>
      <c r="AP45" s="150">
        <v>4</v>
      </c>
      <c r="AQ45" s="150">
        <v>4</v>
      </c>
      <c r="AR45" s="150">
        <f t="shared" si="3"/>
        <v>0</v>
      </c>
      <c r="AS45" s="150">
        <f t="shared" si="4"/>
        <v>0</v>
      </c>
      <c r="AT45" s="150">
        <f t="shared" si="5"/>
        <v>2</v>
      </c>
      <c r="AU45" s="150">
        <f t="shared" si="6"/>
        <v>2</v>
      </c>
      <c r="AV45" s="101">
        <f t="shared" si="7"/>
        <v>1</v>
      </c>
      <c r="AW45" s="101">
        <f t="shared" si="8"/>
        <v>0</v>
      </c>
      <c r="AX45" s="101">
        <f t="shared" si="9"/>
        <v>0</v>
      </c>
      <c r="AY45" s="101">
        <f t="shared" si="10"/>
        <v>4</v>
      </c>
      <c r="AZ45" s="101">
        <f t="shared" si="11"/>
        <v>0</v>
      </c>
      <c r="BA45" s="101">
        <f t="shared" si="12"/>
        <v>0</v>
      </c>
      <c r="BB45" s="101">
        <f t="shared" si="13"/>
        <v>0</v>
      </c>
      <c r="BC45" s="101">
        <f t="shared" si="14"/>
        <v>0</v>
      </c>
      <c r="BD45" s="101">
        <f t="shared" si="15"/>
        <v>0</v>
      </c>
      <c r="BE45" s="101" cm="1">
        <f t="array" ref="BE45">SUMPRODUCT(1*ISNUMBER(FIND("R",E45:AH45)))</f>
        <v>1</v>
      </c>
      <c r="BF45" s="101" cm="1">
        <f t="array" ref="BF45">SUMPRODUCT(1*ISNUMBER(FIND("r",E45:AH45)))</f>
        <v>0</v>
      </c>
      <c r="BG45" s="101" cm="1">
        <f t="array" ref="BG45">SUMPRODUCT(1*ISNUMBER(FIND("P",E45:AH45)))-SUMPRODUCT(1*ISNUMBER(FIND("午P",E45:AH45)))</f>
        <v>0</v>
      </c>
      <c r="BH45" s="101">
        <f t="shared" si="16"/>
        <v>1</v>
      </c>
      <c r="BI45" s="101" cm="1">
        <f t="array" ref="BI45">SUMPRODUCT(1*ISNUMBER(FIND("R",D45:J45)))</f>
        <v>1</v>
      </c>
      <c r="BJ45" s="101" cm="1">
        <f t="array" ref="BJ45">SUMPRODUCT(1*ISNUMBER(FIND("R",K45:Q45)))</f>
        <v>0</v>
      </c>
      <c r="BK45" s="101" cm="1">
        <f t="array" ref="BK45">SUMPRODUCT(1*ISNUMBER(FIND("R",R45:X45)))</f>
        <v>0</v>
      </c>
      <c r="BL45" s="101" cm="1">
        <f t="array" ref="BL45">SUMPRODUCT(1*ISNUMBER(FIND("R",Y45:AE45)))</f>
        <v>0</v>
      </c>
      <c r="BM45" s="101" cm="1">
        <f t="array" ref="BM45">SUMPRODUCT(1*ISNUMBER(FIND("R",AF45:AL45)))</f>
        <v>0</v>
      </c>
      <c r="BN45" s="101">
        <f t="shared" si="18"/>
        <v>6</v>
      </c>
      <c r="BP45" s="138">
        <v>9</v>
      </c>
      <c r="BQ45" s="138" cm="1">
        <f t="array" ref="BQ45">SUMPRODUCT(1*ISNUMBER(FIND("P",K45:AL45)))-SUMPRODUCT(1*ISNUMBER(FIND("午P",K45:AL45)))</f>
        <v>0</v>
      </c>
    </row>
    <row r="46" spans="1:69" s="36" customFormat="1" ht="39.75" hidden="1" customHeight="1">
      <c r="A46" s="287"/>
      <c r="B46" s="45" t="s">
        <v>58</v>
      </c>
      <c r="C46" s="82" t="s">
        <v>59</v>
      </c>
      <c r="D46" s="184" t="s">
        <v>9</v>
      </c>
      <c r="E46" s="184" t="s">
        <v>134</v>
      </c>
      <c r="F46" s="184" t="s">
        <v>134</v>
      </c>
      <c r="G46" s="184" t="s">
        <v>134</v>
      </c>
      <c r="H46" s="213" t="s">
        <v>134</v>
      </c>
      <c r="I46" s="248" t="s">
        <v>125</v>
      </c>
      <c r="J46" s="213" t="s">
        <v>7</v>
      </c>
      <c r="K46" s="202"/>
      <c r="L46" s="205"/>
      <c r="M46" s="205"/>
      <c r="N46" s="205"/>
      <c r="O46" s="160"/>
      <c r="P46" s="163"/>
      <c r="Q46" s="178"/>
      <c r="R46" s="198"/>
      <c r="S46" s="160"/>
      <c r="T46" s="205"/>
      <c r="U46" s="205"/>
      <c r="V46" s="160"/>
      <c r="W46" s="160"/>
      <c r="X46" s="198"/>
      <c r="Y46" s="198"/>
      <c r="Z46" s="205"/>
      <c r="AA46" s="205"/>
      <c r="AB46" s="205"/>
      <c r="AC46" s="205"/>
      <c r="AD46" s="163"/>
      <c r="AE46" s="178"/>
      <c r="AF46" s="198"/>
      <c r="AG46" s="205"/>
      <c r="AH46" s="205"/>
      <c r="AI46" s="205"/>
      <c r="AJ46" s="205"/>
      <c r="AK46" s="205"/>
      <c r="AL46" s="198"/>
      <c r="AM46" s="147">
        <f t="shared" si="2"/>
        <v>9</v>
      </c>
      <c r="AN46" s="146">
        <v>2</v>
      </c>
      <c r="AO46" s="146">
        <v>2</v>
      </c>
      <c r="AP46" s="150">
        <v>4</v>
      </c>
      <c r="AQ46" s="150">
        <v>4</v>
      </c>
      <c r="AR46" s="150">
        <f t="shared" si="3"/>
        <v>0</v>
      </c>
      <c r="AS46" s="150">
        <f t="shared" si="4"/>
        <v>0</v>
      </c>
      <c r="AT46" s="150">
        <f t="shared" si="5"/>
        <v>2</v>
      </c>
      <c r="AU46" s="150">
        <f t="shared" si="6"/>
        <v>2</v>
      </c>
      <c r="AV46" s="101">
        <f t="shared" si="7"/>
        <v>0</v>
      </c>
      <c r="AW46" s="101">
        <f t="shared" si="8"/>
        <v>0</v>
      </c>
      <c r="AX46" s="101">
        <f t="shared" si="9"/>
        <v>0</v>
      </c>
      <c r="AY46" s="101">
        <f t="shared" si="10"/>
        <v>0</v>
      </c>
      <c r="AZ46" s="101">
        <f t="shared" si="11"/>
        <v>4</v>
      </c>
      <c r="BA46" s="101">
        <f t="shared" si="12"/>
        <v>0</v>
      </c>
      <c r="BB46" s="101">
        <f t="shared" si="13"/>
        <v>0</v>
      </c>
      <c r="BC46" s="101">
        <f t="shared" si="14"/>
        <v>0</v>
      </c>
      <c r="BD46" s="101">
        <f t="shared" si="15"/>
        <v>0</v>
      </c>
      <c r="BE46" s="101" cm="1">
        <f t="array" ref="BE46">SUMPRODUCT(1*ISNUMBER(FIND("R",E46:AH46)))</f>
        <v>1</v>
      </c>
      <c r="BF46" s="101" cm="1">
        <f t="array" ref="BF46">SUMPRODUCT(1*ISNUMBER(FIND("r",E46:AH46)))</f>
        <v>1</v>
      </c>
      <c r="BG46" s="101" cm="1">
        <f t="array" ref="BG46">SUMPRODUCT(1*ISNUMBER(FIND("P",E46:AH46)))-SUMPRODUCT(1*ISNUMBER(FIND("午P",E46:AH46)))</f>
        <v>0</v>
      </c>
      <c r="BH46" s="101">
        <f t="shared" si="16"/>
        <v>2</v>
      </c>
      <c r="BI46" s="101" cm="1">
        <f t="array" ref="BI46">SUMPRODUCT(1*ISNUMBER(FIND("R",D46:J46)))</f>
        <v>1</v>
      </c>
      <c r="BJ46" s="101" cm="1">
        <f t="array" ref="BJ46">SUMPRODUCT(1*ISNUMBER(FIND("R",K46:Q46)))</f>
        <v>0</v>
      </c>
      <c r="BK46" s="101" cm="1">
        <f t="array" ref="BK46">SUMPRODUCT(1*ISNUMBER(FIND("R",R46:X46)))</f>
        <v>0</v>
      </c>
      <c r="BL46" s="101" cm="1">
        <f t="array" ref="BL46">SUMPRODUCT(1*ISNUMBER(FIND("R",Y46:AE46)))</f>
        <v>0</v>
      </c>
      <c r="BM46" s="101" cm="1">
        <f t="array" ref="BM46">SUMPRODUCT(1*ISNUMBER(FIND("R",AF46:AL46)))</f>
        <v>0</v>
      </c>
      <c r="BN46" s="101">
        <f t="shared" si="18"/>
        <v>6</v>
      </c>
      <c r="BP46" s="138">
        <v>9</v>
      </c>
      <c r="BQ46" s="138" cm="1">
        <f t="array" ref="BQ46">SUMPRODUCT(1*ISNUMBER(FIND("P",K46:AL46)))-SUMPRODUCT(1*ISNUMBER(FIND("午P",K46:AL46)))</f>
        <v>0</v>
      </c>
    </row>
    <row r="47" spans="1:69" s="36" customFormat="1" ht="39.75" hidden="1" customHeight="1">
      <c r="A47" s="287"/>
      <c r="B47" s="45" t="s">
        <v>60</v>
      </c>
      <c r="C47" s="82" t="s">
        <v>61</v>
      </c>
      <c r="D47" s="183" t="s">
        <v>131</v>
      </c>
      <c r="E47" s="183" t="s">
        <v>131</v>
      </c>
      <c r="F47" s="183" t="s">
        <v>7</v>
      </c>
      <c r="G47" s="183" t="s">
        <v>9</v>
      </c>
      <c r="H47" s="212" t="s">
        <v>125</v>
      </c>
      <c r="I47" s="247" t="s">
        <v>133</v>
      </c>
      <c r="J47" s="212" t="s">
        <v>246</v>
      </c>
      <c r="K47" s="202"/>
      <c r="L47" s="160" t="s">
        <v>295</v>
      </c>
      <c r="M47" s="160" t="s">
        <v>295</v>
      </c>
      <c r="N47" s="160" t="s">
        <v>295</v>
      </c>
      <c r="O47" s="160" t="s">
        <v>295</v>
      </c>
      <c r="P47" s="160" t="s">
        <v>295</v>
      </c>
      <c r="Q47" s="202" t="s">
        <v>295</v>
      </c>
      <c r="R47" s="202" t="s">
        <v>295</v>
      </c>
      <c r="S47" s="160"/>
      <c r="T47" s="160"/>
      <c r="U47" s="160"/>
      <c r="V47" s="160"/>
      <c r="W47" s="159"/>
      <c r="X47" s="175"/>
      <c r="Y47" s="202"/>
      <c r="Z47" s="160"/>
      <c r="AA47" s="160"/>
      <c r="AB47" s="160"/>
      <c r="AC47" s="166"/>
      <c r="AD47" s="168"/>
      <c r="AE47" s="202"/>
      <c r="AF47" s="202"/>
      <c r="AG47" s="160"/>
      <c r="AH47" s="160"/>
      <c r="AI47" s="160"/>
      <c r="AJ47" s="160"/>
      <c r="AK47" s="160"/>
      <c r="AL47" s="202"/>
      <c r="AM47" s="147">
        <f t="shared" si="2"/>
        <v>9</v>
      </c>
      <c r="AN47" s="156">
        <v>2</v>
      </c>
      <c r="AO47" s="146">
        <v>2</v>
      </c>
      <c r="AP47" s="150">
        <v>4</v>
      </c>
      <c r="AQ47" s="150">
        <v>4</v>
      </c>
      <c r="AR47" s="150">
        <f t="shared" si="3"/>
        <v>0</v>
      </c>
      <c r="AS47" s="150">
        <f t="shared" si="4"/>
        <v>0</v>
      </c>
      <c r="AT47" s="150">
        <f t="shared" si="5"/>
        <v>2</v>
      </c>
      <c r="AU47" s="150">
        <f t="shared" si="6"/>
        <v>2</v>
      </c>
      <c r="AV47" s="101">
        <f t="shared" si="7"/>
        <v>1</v>
      </c>
      <c r="AW47" s="101">
        <f t="shared" si="8"/>
        <v>1</v>
      </c>
      <c r="AX47" s="101">
        <f t="shared" si="9"/>
        <v>0</v>
      </c>
      <c r="AY47" s="101">
        <f t="shared" si="10"/>
        <v>1</v>
      </c>
      <c r="AZ47" s="101">
        <f t="shared" si="11"/>
        <v>0</v>
      </c>
      <c r="BA47" s="101">
        <f t="shared" si="12"/>
        <v>0</v>
      </c>
      <c r="BB47" s="101">
        <f t="shared" si="13"/>
        <v>0</v>
      </c>
      <c r="BC47" s="101">
        <f t="shared" si="14"/>
        <v>0</v>
      </c>
      <c r="BD47" s="101">
        <f t="shared" si="15"/>
        <v>0</v>
      </c>
      <c r="BE47" s="101" cm="1">
        <f t="array" ref="BE47">SUMPRODUCT(1*ISNUMBER(FIND("R",E47:AH47)))</f>
        <v>1</v>
      </c>
      <c r="BF47" s="101" cm="1">
        <f t="array" ref="BF47">SUMPRODUCT(1*ISNUMBER(FIND("r",E47:AH47)))</f>
        <v>1</v>
      </c>
      <c r="BG47" s="101" cm="1">
        <f t="array" ref="BG47">SUMPRODUCT(1*ISNUMBER(FIND("P",E47:AH47)))-SUMPRODUCT(1*ISNUMBER(FIND("午P",E47:AH47)))</f>
        <v>1</v>
      </c>
      <c r="BH47" s="101">
        <f t="shared" si="16"/>
        <v>3</v>
      </c>
      <c r="BI47" s="101" cm="1">
        <f t="array" ref="BI47">SUMPRODUCT(1*ISNUMBER(FIND("R",D47:J47)))</f>
        <v>1</v>
      </c>
      <c r="BJ47" s="101" cm="1">
        <f t="array" ref="BJ47">SUMPRODUCT(1*ISNUMBER(FIND("R",K47:Q47)))</f>
        <v>0</v>
      </c>
      <c r="BK47" s="101" cm="1">
        <f t="array" ref="BK47">SUMPRODUCT(1*ISNUMBER(FIND("R",R47:X47)))</f>
        <v>0</v>
      </c>
      <c r="BL47" s="101" cm="1">
        <f t="array" ref="BL47">SUMPRODUCT(1*ISNUMBER(FIND("R",Y47:AE47)))</f>
        <v>0</v>
      </c>
      <c r="BM47" s="101" cm="1">
        <f t="array" ref="BM47">SUMPRODUCT(1*ISNUMBER(FIND("R",AF47:AL47)))</f>
        <v>0</v>
      </c>
      <c r="BN47" s="101">
        <f t="shared" si="18"/>
        <v>6</v>
      </c>
      <c r="BP47" s="138">
        <v>9</v>
      </c>
      <c r="BQ47" s="138" cm="1">
        <f t="array" ref="BQ47">SUMPRODUCT(1*ISNUMBER(FIND("P",K47:AL47)))-SUMPRODUCT(1*ISNUMBER(FIND("午P",K47:AL47)))</f>
        <v>0</v>
      </c>
    </row>
    <row r="48" spans="1:69" s="36" customFormat="1" ht="39.75" hidden="1" customHeight="1">
      <c r="A48" s="287"/>
      <c r="B48" s="44" t="s">
        <v>183</v>
      </c>
      <c r="C48" s="78" t="s">
        <v>184</v>
      </c>
      <c r="D48" s="183" t="s">
        <v>134</v>
      </c>
      <c r="E48" s="183" t="s">
        <v>7</v>
      </c>
      <c r="F48" s="183" t="s">
        <v>125</v>
      </c>
      <c r="G48" s="183" t="s">
        <v>9</v>
      </c>
      <c r="H48" s="212" t="s">
        <v>133</v>
      </c>
      <c r="I48" s="247" t="s">
        <v>134</v>
      </c>
      <c r="J48" s="212" t="s">
        <v>134</v>
      </c>
      <c r="K48" s="202"/>
      <c r="L48" s="160"/>
      <c r="M48" s="203"/>
      <c r="N48" s="166"/>
      <c r="O48" s="166"/>
      <c r="P48" s="159"/>
      <c r="Q48" s="202"/>
      <c r="R48" s="202"/>
      <c r="S48" s="160"/>
      <c r="T48" s="160"/>
      <c r="U48" s="160"/>
      <c r="V48" s="160"/>
      <c r="W48" s="159"/>
      <c r="X48" s="175"/>
      <c r="Y48" s="175"/>
      <c r="Z48" s="160"/>
      <c r="AA48" s="160"/>
      <c r="AB48" s="160"/>
      <c r="AC48" s="160"/>
      <c r="AD48" s="159"/>
      <c r="AE48" s="202"/>
      <c r="AF48" s="202"/>
      <c r="AG48" s="160"/>
      <c r="AH48" s="160"/>
      <c r="AI48" s="160"/>
      <c r="AJ48" s="160"/>
      <c r="AK48" s="160"/>
      <c r="AL48" s="202"/>
      <c r="AM48" s="147">
        <f t="shared" si="2"/>
        <v>9</v>
      </c>
      <c r="AN48" s="156">
        <v>2</v>
      </c>
      <c r="AO48" s="146">
        <v>2</v>
      </c>
      <c r="AP48" s="150">
        <v>4</v>
      </c>
      <c r="AQ48" s="150">
        <v>4</v>
      </c>
      <c r="AR48" s="150">
        <f t="shared" si="3"/>
        <v>0</v>
      </c>
      <c r="AS48" s="150">
        <f t="shared" si="4"/>
        <v>0</v>
      </c>
      <c r="AT48" s="150">
        <f t="shared" si="5"/>
        <v>2</v>
      </c>
      <c r="AU48" s="150">
        <f t="shared" si="6"/>
        <v>2</v>
      </c>
      <c r="AV48" s="101">
        <f t="shared" si="7"/>
        <v>0</v>
      </c>
      <c r="AW48" s="101">
        <f t="shared" si="8"/>
        <v>1</v>
      </c>
      <c r="AX48" s="101">
        <f t="shared" si="9"/>
        <v>0</v>
      </c>
      <c r="AY48" s="101">
        <f t="shared" si="10"/>
        <v>0</v>
      </c>
      <c r="AZ48" s="101">
        <f t="shared" si="11"/>
        <v>2</v>
      </c>
      <c r="BA48" s="101">
        <f t="shared" si="12"/>
        <v>0</v>
      </c>
      <c r="BB48" s="101">
        <f t="shared" si="13"/>
        <v>0</v>
      </c>
      <c r="BC48" s="101">
        <f t="shared" si="14"/>
        <v>0</v>
      </c>
      <c r="BD48" s="101">
        <f t="shared" si="15"/>
        <v>0</v>
      </c>
      <c r="BE48" s="101" cm="1">
        <f t="array" ref="BE48">SUMPRODUCT(1*ISNUMBER(FIND("R",E48:AH48)))</f>
        <v>1</v>
      </c>
      <c r="BF48" s="101" cm="1">
        <f t="array" ref="BF48">SUMPRODUCT(1*ISNUMBER(FIND("r",E48:AH48)))</f>
        <v>1</v>
      </c>
      <c r="BG48" s="101" cm="1">
        <f t="array" ref="BG48">SUMPRODUCT(1*ISNUMBER(FIND("P",E48:AH48)))-SUMPRODUCT(1*ISNUMBER(FIND("午P",E48:AH48)))</f>
        <v>1</v>
      </c>
      <c r="BH48" s="101">
        <f t="shared" si="16"/>
        <v>3</v>
      </c>
      <c r="BI48" s="101" cm="1">
        <f t="array" ref="BI48">SUMPRODUCT(1*ISNUMBER(FIND("R",D48:J48)))</f>
        <v>1</v>
      </c>
      <c r="BJ48" s="101" cm="1">
        <f t="array" ref="BJ48">SUMPRODUCT(1*ISNUMBER(FIND("R",K48:Q48)))</f>
        <v>0</v>
      </c>
      <c r="BK48" s="101" cm="1">
        <f t="array" ref="BK48">SUMPRODUCT(1*ISNUMBER(FIND("R",R48:X48)))</f>
        <v>0</v>
      </c>
      <c r="BL48" s="101" cm="1">
        <f t="array" ref="BL48">SUMPRODUCT(1*ISNUMBER(FIND("R",Y48:AE48)))</f>
        <v>0</v>
      </c>
      <c r="BM48" s="101" cm="1">
        <f t="array" ref="BM48">SUMPRODUCT(1*ISNUMBER(FIND("R",AF48:AL48)))</f>
        <v>0</v>
      </c>
      <c r="BN48" s="101">
        <f t="shared" si="18"/>
        <v>6</v>
      </c>
      <c r="BP48" s="138">
        <v>9</v>
      </c>
      <c r="BQ48" s="138" cm="1">
        <f t="array" ref="BQ48">SUMPRODUCT(1*ISNUMBER(FIND("P",K48:AL48)))-SUMPRODUCT(1*ISNUMBER(FIND("午P",K48:AL48)))</f>
        <v>0</v>
      </c>
    </row>
    <row r="49" spans="1:69" s="36" customFormat="1" ht="39.75" hidden="1" customHeight="1">
      <c r="A49" s="287"/>
      <c r="B49" s="72" t="s">
        <v>185</v>
      </c>
      <c r="C49" s="85" t="s">
        <v>186</v>
      </c>
      <c r="D49" s="187" t="s">
        <v>246</v>
      </c>
      <c r="E49" s="187" t="s">
        <v>246</v>
      </c>
      <c r="F49" s="187" t="s">
        <v>7</v>
      </c>
      <c r="G49" s="187" t="s">
        <v>9</v>
      </c>
      <c r="H49" s="217" t="s">
        <v>246</v>
      </c>
      <c r="I49" s="254" t="s">
        <v>246</v>
      </c>
      <c r="J49" s="218" t="s">
        <v>125</v>
      </c>
      <c r="K49" s="237"/>
      <c r="L49" s="204"/>
      <c r="M49" s="204"/>
      <c r="N49" s="204"/>
      <c r="O49" s="204"/>
      <c r="P49" s="258"/>
      <c r="Q49" s="177"/>
      <c r="R49" s="237"/>
      <c r="S49" s="161"/>
      <c r="T49" s="204"/>
      <c r="U49" s="204"/>
      <c r="V49" s="204"/>
      <c r="W49" s="160"/>
      <c r="X49" s="237"/>
      <c r="Y49" s="237"/>
      <c r="Z49" s="160"/>
      <c r="AA49" s="160"/>
      <c r="AB49" s="204"/>
      <c r="AC49" s="204"/>
      <c r="AD49" s="207"/>
      <c r="AE49" s="237"/>
      <c r="AF49" s="237"/>
      <c r="AG49" s="204"/>
      <c r="AH49" s="204"/>
      <c r="AI49" s="204"/>
      <c r="AJ49" s="204"/>
      <c r="AK49" s="204"/>
      <c r="AL49" s="177"/>
      <c r="AM49" s="147">
        <f t="shared" si="2"/>
        <v>9</v>
      </c>
      <c r="AN49" s="156">
        <v>1</v>
      </c>
      <c r="AO49" s="146">
        <v>2</v>
      </c>
      <c r="AP49" s="150">
        <v>5</v>
      </c>
      <c r="AQ49" s="150">
        <v>4</v>
      </c>
      <c r="AR49" s="150">
        <f t="shared" si="3"/>
        <v>0</v>
      </c>
      <c r="AS49" s="150">
        <f t="shared" si="4"/>
        <v>0</v>
      </c>
      <c r="AT49" s="150">
        <f t="shared" si="5"/>
        <v>2</v>
      </c>
      <c r="AU49" s="150">
        <f t="shared" si="6"/>
        <v>2</v>
      </c>
      <c r="AV49" s="101">
        <f t="shared" si="7"/>
        <v>3</v>
      </c>
      <c r="AW49" s="101">
        <f t="shared" si="8"/>
        <v>0</v>
      </c>
      <c r="AX49" s="101">
        <f t="shared" si="9"/>
        <v>0</v>
      </c>
      <c r="AY49" s="101">
        <f t="shared" si="10"/>
        <v>0</v>
      </c>
      <c r="AZ49" s="101">
        <f t="shared" si="11"/>
        <v>0</v>
      </c>
      <c r="BA49" s="101">
        <f t="shared" si="12"/>
        <v>0</v>
      </c>
      <c r="BB49" s="101">
        <f t="shared" si="13"/>
        <v>0</v>
      </c>
      <c r="BC49" s="101">
        <f t="shared" si="14"/>
        <v>0</v>
      </c>
      <c r="BD49" s="101">
        <f t="shared" si="15"/>
        <v>0</v>
      </c>
      <c r="BE49" s="101" cm="1">
        <f t="array" ref="BE49">SUMPRODUCT(1*ISNUMBER(FIND("R",E49:AH49)))</f>
        <v>1</v>
      </c>
      <c r="BF49" s="101" cm="1">
        <f t="array" ref="BF49">SUMPRODUCT(1*ISNUMBER(FIND("r",E49:AH49)))</f>
        <v>1</v>
      </c>
      <c r="BG49" s="101" cm="1">
        <f t="array" ref="BG49">SUMPRODUCT(1*ISNUMBER(FIND("P",E49:AH49)))-SUMPRODUCT(1*ISNUMBER(FIND("午P",E49:AH49)))</f>
        <v>1</v>
      </c>
      <c r="BH49" s="101">
        <f t="shared" si="16"/>
        <v>3</v>
      </c>
      <c r="BI49" s="101" cm="1">
        <f t="array" ref="BI49">SUMPRODUCT(1*ISNUMBER(FIND("R",D49:J49)))</f>
        <v>1</v>
      </c>
      <c r="BJ49" s="101" cm="1">
        <f t="array" ref="BJ49">SUMPRODUCT(1*ISNUMBER(FIND("R",K49:Q49)))</f>
        <v>0</v>
      </c>
      <c r="BK49" s="101" cm="1">
        <f t="array" ref="BK49">SUMPRODUCT(1*ISNUMBER(FIND("R",R49:X49)))</f>
        <v>0</v>
      </c>
      <c r="BL49" s="101" cm="1">
        <f t="array" ref="BL49">SUMPRODUCT(1*ISNUMBER(FIND("R",Y49:AE49)))</f>
        <v>0</v>
      </c>
      <c r="BM49" s="101" cm="1">
        <f t="array" ref="BM49">SUMPRODUCT(1*ISNUMBER(FIND("R",AF49:AL49)))</f>
        <v>0</v>
      </c>
      <c r="BN49" s="101">
        <f t="shared" si="18"/>
        <v>6</v>
      </c>
      <c r="BP49" s="138">
        <v>9</v>
      </c>
      <c r="BQ49" s="138" cm="1">
        <f t="array" ref="BQ49">SUMPRODUCT(1*ISNUMBER(FIND("P",K49:AL49)))-SUMPRODUCT(1*ISNUMBER(FIND("午P",K49:AL49)))</f>
        <v>0</v>
      </c>
    </row>
    <row r="50" spans="1:69" s="99" customFormat="1" ht="39.75" hidden="1" customHeight="1" thickBot="1">
      <c r="A50" s="288"/>
      <c r="B50" s="104" t="s">
        <v>187</v>
      </c>
      <c r="C50" s="109" t="s">
        <v>188</v>
      </c>
      <c r="D50" s="185" t="s">
        <v>133</v>
      </c>
      <c r="E50" s="185" t="s">
        <v>133</v>
      </c>
      <c r="F50" s="185" t="s">
        <v>131</v>
      </c>
      <c r="G50" s="185" t="s">
        <v>9</v>
      </c>
      <c r="H50" s="220" t="s">
        <v>7</v>
      </c>
      <c r="I50" s="255" t="s">
        <v>9</v>
      </c>
      <c r="J50" s="220" t="s">
        <v>125</v>
      </c>
      <c r="K50" s="195"/>
      <c r="L50" s="169"/>
      <c r="M50" s="240"/>
      <c r="N50" s="226"/>
      <c r="O50" s="160"/>
      <c r="P50" s="172"/>
      <c r="Q50" s="196"/>
      <c r="R50" s="196"/>
      <c r="S50" s="226"/>
      <c r="T50" s="226"/>
      <c r="U50" s="226"/>
      <c r="V50" s="226"/>
      <c r="W50" s="241"/>
      <c r="X50" s="196"/>
      <c r="Y50" s="196"/>
      <c r="Z50" s="226"/>
      <c r="AA50" s="160" t="s">
        <v>312</v>
      </c>
      <c r="AB50" s="226"/>
      <c r="AC50" s="226"/>
      <c r="AD50" s="172"/>
      <c r="AE50" s="196"/>
      <c r="AF50" s="196"/>
      <c r="AG50" s="226"/>
      <c r="AH50" s="226"/>
      <c r="AI50" s="226"/>
      <c r="AJ50" s="226"/>
      <c r="AK50" s="169"/>
      <c r="AL50" s="195"/>
      <c r="AM50" s="147">
        <f t="shared" si="2"/>
        <v>8</v>
      </c>
      <c r="AN50" s="156">
        <v>2</v>
      </c>
      <c r="AO50" s="146">
        <v>2</v>
      </c>
      <c r="AP50" s="150">
        <v>4</v>
      </c>
      <c r="AQ50" s="150">
        <v>4</v>
      </c>
      <c r="AR50" s="150">
        <f t="shared" si="3"/>
        <v>0</v>
      </c>
      <c r="AS50" s="150">
        <f t="shared" si="4"/>
        <v>0</v>
      </c>
      <c r="AT50" s="150">
        <f t="shared" si="5"/>
        <v>2</v>
      </c>
      <c r="AU50" s="150">
        <f t="shared" si="6"/>
        <v>2</v>
      </c>
      <c r="AV50" s="101">
        <f t="shared" si="7"/>
        <v>0</v>
      </c>
      <c r="AW50" s="101">
        <f t="shared" si="8"/>
        <v>1</v>
      </c>
      <c r="AX50" s="101">
        <f t="shared" si="9"/>
        <v>0</v>
      </c>
      <c r="AY50" s="101">
        <f t="shared" si="10"/>
        <v>1</v>
      </c>
      <c r="AZ50" s="101">
        <f t="shared" si="11"/>
        <v>0</v>
      </c>
      <c r="BA50" s="101">
        <f t="shared" si="12"/>
        <v>0</v>
      </c>
      <c r="BB50" s="101">
        <f t="shared" si="13"/>
        <v>0</v>
      </c>
      <c r="BC50" s="101">
        <f t="shared" si="14"/>
        <v>0</v>
      </c>
      <c r="BD50" s="101">
        <f t="shared" si="15"/>
        <v>0</v>
      </c>
      <c r="BE50" s="101" cm="1">
        <f t="array" ref="BE50">SUMPRODUCT(1*ISNUMBER(FIND("R",E50:AH50)))</f>
        <v>1</v>
      </c>
      <c r="BF50" s="101" cm="1">
        <f t="array" ref="BF50">SUMPRODUCT(1*ISNUMBER(FIND("r",E50:AH50)))</f>
        <v>1</v>
      </c>
      <c r="BG50" s="101" cm="1">
        <f t="array" ref="BG50">SUMPRODUCT(1*ISNUMBER(FIND("P",E50:AH50)))-SUMPRODUCT(1*ISNUMBER(FIND("午P",E50:AH50)))</f>
        <v>2</v>
      </c>
      <c r="BH50" s="101">
        <f t="shared" si="16"/>
        <v>4</v>
      </c>
      <c r="BI50" s="101" cm="1">
        <f t="array" ref="BI50">SUMPRODUCT(1*ISNUMBER(FIND("R",D50:J50)))</f>
        <v>1</v>
      </c>
      <c r="BJ50" s="101" cm="1">
        <f t="array" ref="BJ50">SUMPRODUCT(1*ISNUMBER(FIND("R",K50:Q50)))</f>
        <v>0</v>
      </c>
      <c r="BK50" s="101" cm="1">
        <f t="array" ref="BK50">SUMPRODUCT(1*ISNUMBER(FIND("R",R50:X50)))</f>
        <v>0</v>
      </c>
      <c r="BL50" s="101" cm="1">
        <f t="array" ref="BL50">SUMPRODUCT(1*ISNUMBER(FIND("R",Y50:AE50)))</f>
        <v>0</v>
      </c>
      <c r="BM50" s="101" cm="1">
        <f t="array" ref="BM50">SUMPRODUCT(1*ISNUMBER(FIND("R",AF50:AL50)))</f>
        <v>0</v>
      </c>
      <c r="BN50" s="101">
        <f t="shared" si="18"/>
        <v>6</v>
      </c>
      <c r="BP50" s="138">
        <v>8</v>
      </c>
      <c r="BQ50" s="138" cm="1">
        <f t="array" ref="BQ50">SUMPRODUCT(1*ISNUMBER(FIND("P",K50:AL50)))-SUMPRODUCT(1*ISNUMBER(FIND("午P",K50:AL50)))</f>
        <v>0</v>
      </c>
    </row>
    <row r="51" spans="1:69" s="36" customFormat="1" ht="39.75" hidden="1" customHeight="1">
      <c r="A51" s="285" t="s">
        <v>198</v>
      </c>
      <c r="B51" s="43" t="s">
        <v>56</v>
      </c>
      <c r="C51" s="110" t="s">
        <v>57</v>
      </c>
      <c r="D51" s="183" t="s">
        <v>135</v>
      </c>
      <c r="E51" s="182" t="s">
        <v>135</v>
      </c>
      <c r="F51" s="182" t="s">
        <v>135</v>
      </c>
      <c r="G51" s="182" t="s">
        <v>7</v>
      </c>
      <c r="H51" s="212" t="s">
        <v>6</v>
      </c>
      <c r="I51" s="246" t="s">
        <v>9</v>
      </c>
      <c r="J51" s="219" t="s">
        <v>136</v>
      </c>
      <c r="K51" s="200"/>
      <c r="L51" s="201"/>
      <c r="M51" s="166"/>
      <c r="N51" s="167"/>
      <c r="O51" s="167"/>
      <c r="P51" s="171"/>
      <c r="Q51" s="200"/>
      <c r="R51" s="200"/>
      <c r="S51" s="201"/>
      <c r="T51" s="201"/>
      <c r="U51" s="167"/>
      <c r="V51" s="201"/>
      <c r="W51" s="160"/>
      <c r="X51" s="200"/>
      <c r="Y51" s="200"/>
      <c r="Z51" s="201"/>
      <c r="AA51" s="201"/>
      <c r="AB51" s="167"/>
      <c r="AC51" s="201"/>
      <c r="AD51" s="171"/>
      <c r="AE51" s="200"/>
      <c r="AF51" s="202"/>
      <c r="AG51" s="201"/>
      <c r="AH51" s="201"/>
      <c r="AI51" s="201"/>
      <c r="AJ51" s="201"/>
      <c r="AK51" s="201"/>
      <c r="AL51" s="200"/>
      <c r="AM51" s="147">
        <f t="shared" si="2"/>
        <v>8</v>
      </c>
      <c r="AN51" s="156">
        <v>4</v>
      </c>
      <c r="AO51" s="146">
        <v>2</v>
      </c>
      <c r="AP51" s="150">
        <v>2</v>
      </c>
      <c r="AQ51" s="150">
        <v>4</v>
      </c>
      <c r="AR51" s="150">
        <f t="shared" si="3"/>
        <v>0</v>
      </c>
      <c r="AS51" s="150">
        <f t="shared" si="4"/>
        <v>0</v>
      </c>
      <c r="AT51" s="150">
        <f t="shared" si="5"/>
        <v>2</v>
      </c>
      <c r="AU51" s="150">
        <f t="shared" si="6"/>
        <v>2</v>
      </c>
      <c r="AV51" s="101">
        <f t="shared" si="7"/>
        <v>0</v>
      </c>
      <c r="AW51" s="101">
        <f t="shared" si="8"/>
        <v>0</v>
      </c>
      <c r="AX51" s="101">
        <f t="shared" si="9"/>
        <v>0</v>
      </c>
      <c r="AY51" s="101">
        <f t="shared" si="10"/>
        <v>1</v>
      </c>
      <c r="AZ51" s="101">
        <f t="shared" si="11"/>
        <v>0</v>
      </c>
      <c r="BA51" s="101">
        <f t="shared" si="12"/>
        <v>2</v>
      </c>
      <c r="BB51" s="101">
        <f t="shared" si="13"/>
        <v>0</v>
      </c>
      <c r="BC51" s="101">
        <f t="shared" si="14"/>
        <v>0</v>
      </c>
      <c r="BD51" s="101">
        <f t="shared" si="15"/>
        <v>1</v>
      </c>
      <c r="BE51" s="101" cm="1">
        <f t="array" ref="BE51">SUMPRODUCT(1*ISNUMBER(FIND("R",E51:AH51)))</f>
        <v>1</v>
      </c>
      <c r="BF51" s="101" cm="1">
        <f t="array" ref="BF51">SUMPRODUCT(1*ISNUMBER(FIND("r",E51:AH51)))</f>
        <v>0</v>
      </c>
      <c r="BG51" s="101" cm="1">
        <f t="array" ref="BG51">SUMPRODUCT(1*ISNUMBER(FIND("P",E51:AH51)))-SUMPRODUCT(1*ISNUMBER(FIND("午P",E51:AH51)))</f>
        <v>1</v>
      </c>
      <c r="BH51" s="101">
        <f t="shared" si="16"/>
        <v>2</v>
      </c>
      <c r="BI51" s="101" cm="1">
        <f t="array" ref="BI51">SUMPRODUCT(1*ISNUMBER(FIND("R",D51:J51)))</f>
        <v>1</v>
      </c>
      <c r="BJ51" s="101" cm="1">
        <f t="array" ref="BJ51">SUMPRODUCT(1*ISNUMBER(FIND("R",K51:Q51)))</f>
        <v>0</v>
      </c>
      <c r="BK51" s="101" cm="1">
        <f t="array" ref="BK51">SUMPRODUCT(1*ISNUMBER(FIND("R",R51:X51)))</f>
        <v>0</v>
      </c>
      <c r="BL51" s="101" cm="1">
        <f t="array" ref="BL51">SUMPRODUCT(1*ISNUMBER(FIND("R",Y51:AE51)))</f>
        <v>0</v>
      </c>
      <c r="BM51" s="101" cm="1">
        <f t="array" ref="BM51">SUMPRODUCT(1*ISNUMBER(FIND("R",AF51:AL51)))</f>
        <v>0</v>
      </c>
      <c r="BN51" s="101">
        <f t="shared" si="18"/>
        <v>6</v>
      </c>
      <c r="BP51" s="138">
        <v>8</v>
      </c>
      <c r="BQ51" s="138" cm="1">
        <f t="array" ref="BQ51">SUMPRODUCT(1*ISNUMBER(FIND("P",K51:AL51)))-SUMPRODUCT(1*ISNUMBER(FIND("午P",K51:AL51)))</f>
        <v>0</v>
      </c>
    </row>
    <row r="52" spans="1:69" s="99" customFormat="1" ht="39.75" hidden="1" customHeight="1">
      <c r="A52" s="284"/>
      <c r="B52" s="103" t="s">
        <v>63</v>
      </c>
      <c r="C52" s="112" t="s">
        <v>64</v>
      </c>
      <c r="D52" s="184" t="s">
        <v>7</v>
      </c>
      <c r="E52" s="184" t="s">
        <v>136</v>
      </c>
      <c r="F52" s="184" t="s">
        <v>125</v>
      </c>
      <c r="G52" s="184" t="s">
        <v>135</v>
      </c>
      <c r="H52" s="213" t="s">
        <v>135</v>
      </c>
      <c r="I52" s="248" t="s">
        <v>135</v>
      </c>
      <c r="J52" s="213" t="s">
        <v>135</v>
      </c>
      <c r="K52" s="198"/>
      <c r="L52" s="205"/>
      <c r="M52" s="205"/>
      <c r="N52" s="205"/>
      <c r="O52" s="205"/>
      <c r="P52" s="163"/>
      <c r="Q52" s="178"/>
      <c r="R52" s="178"/>
      <c r="S52" s="205"/>
      <c r="T52" s="205"/>
      <c r="U52" s="205"/>
      <c r="V52" s="205"/>
      <c r="W52" s="206"/>
      <c r="X52" s="198"/>
      <c r="Y52" s="198"/>
      <c r="Z52" s="205"/>
      <c r="AA52" s="205"/>
      <c r="AB52" s="205"/>
      <c r="AC52" s="205"/>
      <c r="AD52" s="206"/>
      <c r="AE52" s="198"/>
      <c r="AF52" s="198"/>
      <c r="AG52" s="205"/>
      <c r="AH52" s="205"/>
      <c r="AI52" s="205"/>
      <c r="AJ52" s="205"/>
      <c r="AK52" s="205"/>
      <c r="AL52" s="198"/>
      <c r="AM52" s="147">
        <f t="shared" si="2"/>
        <v>8</v>
      </c>
      <c r="AN52" s="146">
        <v>2</v>
      </c>
      <c r="AO52" s="146">
        <v>2</v>
      </c>
      <c r="AP52" s="150">
        <v>4</v>
      </c>
      <c r="AQ52" s="150">
        <v>4</v>
      </c>
      <c r="AR52" s="150">
        <f t="shared" si="3"/>
        <v>0</v>
      </c>
      <c r="AS52" s="150">
        <f t="shared" si="4"/>
        <v>0</v>
      </c>
      <c r="AT52" s="150">
        <f t="shared" si="5"/>
        <v>2</v>
      </c>
      <c r="AU52" s="150">
        <f t="shared" si="6"/>
        <v>2</v>
      </c>
      <c r="AV52" s="101">
        <f t="shared" si="7"/>
        <v>0</v>
      </c>
      <c r="AW52" s="101">
        <f t="shared" si="8"/>
        <v>0</v>
      </c>
      <c r="AX52" s="101">
        <f t="shared" si="9"/>
        <v>0</v>
      </c>
      <c r="AY52" s="101">
        <f t="shared" si="10"/>
        <v>1</v>
      </c>
      <c r="AZ52" s="101">
        <f t="shared" si="11"/>
        <v>0</v>
      </c>
      <c r="BA52" s="101">
        <f t="shared" si="12"/>
        <v>4</v>
      </c>
      <c r="BB52" s="101">
        <f t="shared" si="13"/>
        <v>0</v>
      </c>
      <c r="BC52" s="101">
        <f t="shared" si="14"/>
        <v>0</v>
      </c>
      <c r="BD52" s="101">
        <f t="shared" si="15"/>
        <v>0</v>
      </c>
      <c r="BE52" s="101" cm="1">
        <f t="array" ref="BE52">SUMPRODUCT(1*ISNUMBER(FIND("R",E52:AH52)))</f>
        <v>0</v>
      </c>
      <c r="BF52" s="101" cm="1">
        <f t="array" ref="BF52">SUMPRODUCT(1*ISNUMBER(FIND("r",E52:AH52)))</f>
        <v>1</v>
      </c>
      <c r="BG52" s="101" cm="1">
        <f t="array" ref="BG52">SUMPRODUCT(1*ISNUMBER(FIND("P",E52:AH52)))-SUMPRODUCT(1*ISNUMBER(FIND("午P",E52:AH52)))</f>
        <v>0</v>
      </c>
      <c r="BH52" s="101">
        <f t="shared" si="16"/>
        <v>1</v>
      </c>
      <c r="BI52" s="101" cm="1">
        <f t="array" ref="BI52">SUMPRODUCT(1*ISNUMBER(FIND("R",D52:J52)))</f>
        <v>1</v>
      </c>
      <c r="BJ52" s="101" cm="1">
        <f t="array" ref="BJ52">SUMPRODUCT(1*ISNUMBER(FIND("R",K52:Q52)))</f>
        <v>0</v>
      </c>
      <c r="BK52" s="101" cm="1">
        <f t="array" ref="BK52">SUMPRODUCT(1*ISNUMBER(FIND("R",R52:X52)))</f>
        <v>0</v>
      </c>
      <c r="BL52" s="101" cm="1">
        <f t="array" ref="BL52">SUMPRODUCT(1*ISNUMBER(FIND("R",Y52:AE52)))</f>
        <v>0</v>
      </c>
      <c r="BM52" s="101" cm="1">
        <f t="array" ref="BM52">SUMPRODUCT(1*ISNUMBER(FIND("R",AF52:AL52)))</f>
        <v>0</v>
      </c>
      <c r="BN52" s="101">
        <f t="shared" si="18"/>
        <v>6</v>
      </c>
      <c r="BP52" s="138">
        <v>8</v>
      </c>
      <c r="BQ52" s="138" cm="1">
        <f t="array" ref="BQ52">SUMPRODUCT(1*ISNUMBER(FIND("P",K52:AL52)))-SUMPRODUCT(1*ISNUMBER(FIND("午P",K52:AL52)))</f>
        <v>0</v>
      </c>
    </row>
    <row r="53" spans="1:69" s="36" customFormat="1" ht="39.75" hidden="1" customHeight="1">
      <c r="A53" s="284"/>
      <c r="B53" s="44" t="s">
        <v>74</v>
      </c>
      <c r="C53" s="78" t="s">
        <v>75</v>
      </c>
      <c r="D53" s="183" t="s">
        <v>7</v>
      </c>
      <c r="E53" s="183" t="s">
        <v>125</v>
      </c>
      <c r="F53" s="183" t="s">
        <v>137</v>
      </c>
      <c r="G53" s="183" t="s">
        <v>137</v>
      </c>
      <c r="H53" s="212" t="s">
        <v>137</v>
      </c>
      <c r="I53" s="247" t="s">
        <v>137</v>
      </c>
      <c r="J53" s="212" t="s">
        <v>137</v>
      </c>
      <c r="K53" s="202"/>
      <c r="L53" s="160"/>
      <c r="M53" s="160"/>
      <c r="N53" s="160"/>
      <c r="O53" s="160"/>
      <c r="P53" s="168"/>
      <c r="Q53" s="202"/>
      <c r="R53" s="202"/>
      <c r="S53" s="160"/>
      <c r="T53" s="160"/>
      <c r="U53" s="160"/>
      <c r="V53" s="160"/>
      <c r="W53" s="159"/>
      <c r="X53" s="202"/>
      <c r="Y53" s="202"/>
      <c r="Z53" s="160"/>
      <c r="AA53" s="160"/>
      <c r="AB53" s="160"/>
      <c r="AC53" s="160"/>
      <c r="AD53" s="159"/>
      <c r="AE53" s="202"/>
      <c r="AF53" s="202"/>
      <c r="AG53" s="160"/>
      <c r="AH53" s="160"/>
      <c r="AI53" s="160"/>
      <c r="AJ53" s="160"/>
      <c r="AK53" s="160"/>
      <c r="AL53" s="202"/>
      <c r="AM53" s="147">
        <f t="shared" si="2"/>
        <v>8</v>
      </c>
      <c r="AN53" s="146">
        <v>2</v>
      </c>
      <c r="AO53" s="146">
        <v>2</v>
      </c>
      <c r="AP53" s="150">
        <v>4</v>
      </c>
      <c r="AQ53" s="150">
        <v>4</v>
      </c>
      <c r="AR53" s="150">
        <f t="shared" si="3"/>
        <v>0</v>
      </c>
      <c r="AS53" s="150">
        <f t="shared" si="4"/>
        <v>0</v>
      </c>
      <c r="AT53" s="150">
        <f t="shared" si="5"/>
        <v>2</v>
      </c>
      <c r="AU53" s="150">
        <f t="shared" si="6"/>
        <v>2</v>
      </c>
      <c r="AV53" s="101">
        <f t="shared" si="7"/>
        <v>5</v>
      </c>
      <c r="AW53" s="101">
        <f t="shared" si="8"/>
        <v>0</v>
      </c>
      <c r="AX53" s="101">
        <f t="shared" si="9"/>
        <v>0</v>
      </c>
      <c r="AY53" s="101">
        <f t="shared" si="10"/>
        <v>0</v>
      </c>
      <c r="AZ53" s="101">
        <f t="shared" si="11"/>
        <v>0</v>
      </c>
      <c r="BA53" s="101">
        <f t="shared" si="12"/>
        <v>0</v>
      </c>
      <c r="BB53" s="101">
        <f t="shared" si="13"/>
        <v>0</v>
      </c>
      <c r="BC53" s="101">
        <f t="shared" si="14"/>
        <v>0</v>
      </c>
      <c r="BD53" s="101">
        <f t="shared" si="15"/>
        <v>0</v>
      </c>
      <c r="BE53" s="101" cm="1">
        <f t="array" ref="BE53">SUMPRODUCT(1*ISNUMBER(FIND("R",E53:AH53)))</f>
        <v>0</v>
      </c>
      <c r="BF53" s="101" cm="1">
        <f t="array" ref="BF53">SUMPRODUCT(1*ISNUMBER(FIND("r",E53:AH53)))</f>
        <v>1</v>
      </c>
      <c r="BG53" s="101" cm="1">
        <f t="array" ref="BG53">SUMPRODUCT(1*ISNUMBER(FIND("P",E53:AH53)))-SUMPRODUCT(1*ISNUMBER(FIND("午P",E53:AH53)))</f>
        <v>0</v>
      </c>
      <c r="BH53" s="101">
        <f t="shared" si="16"/>
        <v>1</v>
      </c>
      <c r="BI53" s="101" cm="1">
        <f t="array" ref="BI53">SUMPRODUCT(1*ISNUMBER(FIND("R",D53:J53)))</f>
        <v>1</v>
      </c>
      <c r="BJ53" s="101" cm="1">
        <f t="array" ref="BJ53">SUMPRODUCT(1*ISNUMBER(FIND("R",K53:Q53)))</f>
        <v>0</v>
      </c>
      <c r="BK53" s="101" cm="1">
        <f t="array" ref="BK53">SUMPRODUCT(1*ISNUMBER(FIND("R",R53:X53)))</f>
        <v>0</v>
      </c>
      <c r="BL53" s="101" cm="1">
        <f t="array" ref="BL53">SUMPRODUCT(1*ISNUMBER(FIND("R",Y53:AE53)))</f>
        <v>0</v>
      </c>
      <c r="BM53" s="101" cm="1">
        <f t="array" ref="BM53">SUMPRODUCT(1*ISNUMBER(FIND("R",AF53:AL53)))</f>
        <v>0</v>
      </c>
      <c r="BN53" s="101">
        <f t="shared" si="18"/>
        <v>6</v>
      </c>
      <c r="BP53" s="138">
        <v>8</v>
      </c>
      <c r="BQ53" s="138" cm="1">
        <f t="array" ref="BQ53">SUMPRODUCT(1*ISNUMBER(FIND("P",K53:AL53)))-SUMPRODUCT(1*ISNUMBER(FIND("午P",K53:AL53)))</f>
        <v>0</v>
      </c>
    </row>
    <row r="54" spans="1:69" s="99" customFormat="1" ht="39.75" hidden="1" customHeight="1">
      <c r="A54" s="284"/>
      <c r="B54" s="102" t="s">
        <v>67</v>
      </c>
      <c r="C54" s="108" t="s">
        <v>68</v>
      </c>
      <c r="D54" s="183" t="s">
        <v>137</v>
      </c>
      <c r="E54" s="183" t="s">
        <v>137</v>
      </c>
      <c r="F54" s="183" t="s">
        <v>136</v>
      </c>
      <c r="G54" s="183" t="s">
        <v>136</v>
      </c>
      <c r="H54" s="212" t="s">
        <v>7</v>
      </c>
      <c r="I54" s="247" t="s">
        <v>6</v>
      </c>
      <c r="J54" s="212" t="s">
        <v>125</v>
      </c>
      <c r="K54" s="202"/>
      <c r="L54" s="160"/>
      <c r="M54" s="160"/>
      <c r="N54" s="160"/>
      <c r="O54" s="160"/>
      <c r="P54" s="159"/>
      <c r="Q54" s="202"/>
      <c r="R54" s="202"/>
      <c r="S54" s="160"/>
      <c r="T54" s="160"/>
      <c r="U54" s="160"/>
      <c r="V54" s="160"/>
      <c r="W54" s="168"/>
      <c r="X54" s="202"/>
      <c r="Y54" s="202"/>
      <c r="Z54" s="160"/>
      <c r="AA54" s="166"/>
      <c r="AB54" s="160"/>
      <c r="AC54" s="166"/>
      <c r="AD54" s="166"/>
      <c r="AE54" s="202"/>
      <c r="AF54" s="202"/>
      <c r="AG54" s="160"/>
      <c r="AH54" s="160"/>
      <c r="AI54" s="160"/>
      <c r="AJ54" s="160"/>
      <c r="AK54" s="160"/>
      <c r="AL54" s="175"/>
      <c r="AM54" s="147">
        <f t="shared" si="2"/>
        <v>8</v>
      </c>
      <c r="AN54" s="146">
        <v>2</v>
      </c>
      <c r="AO54" s="146">
        <v>2</v>
      </c>
      <c r="AP54" s="150">
        <v>4</v>
      </c>
      <c r="AQ54" s="150">
        <v>4</v>
      </c>
      <c r="AR54" s="150">
        <f t="shared" si="3"/>
        <v>0</v>
      </c>
      <c r="AS54" s="150">
        <f t="shared" si="4"/>
        <v>0</v>
      </c>
      <c r="AT54" s="150">
        <f t="shared" si="5"/>
        <v>2</v>
      </c>
      <c r="AU54" s="150">
        <f t="shared" si="6"/>
        <v>2</v>
      </c>
      <c r="AV54" s="101">
        <f t="shared" si="7"/>
        <v>1</v>
      </c>
      <c r="AW54" s="101">
        <f t="shared" si="8"/>
        <v>0</v>
      </c>
      <c r="AX54" s="101">
        <f t="shared" si="9"/>
        <v>0</v>
      </c>
      <c r="AY54" s="101">
        <f t="shared" si="10"/>
        <v>2</v>
      </c>
      <c r="AZ54" s="101">
        <f t="shared" si="11"/>
        <v>0</v>
      </c>
      <c r="BA54" s="101">
        <f t="shared" si="12"/>
        <v>0</v>
      </c>
      <c r="BB54" s="101">
        <f t="shared" si="13"/>
        <v>0</v>
      </c>
      <c r="BC54" s="101">
        <f t="shared" si="14"/>
        <v>0</v>
      </c>
      <c r="BD54" s="101">
        <f t="shared" si="15"/>
        <v>1</v>
      </c>
      <c r="BE54" s="101" cm="1">
        <f t="array" ref="BE54">SUMPRODUCT(1*ISNUMBER(FIND("R",E54:AH54)))</f>
        <v>1</v>
      </c>
      <c r="BF54" s="101" cm="1">
        <f t="array" ref="BF54">SUMPRODUCT(1*ISNUMBER(FIND("r",E54:AH54)))</f>
        <v>1</v>
      </c>
      <c r="BG54" s="101" cm="1">
        <f t="array" ref="BG54">SUMPRODUCT(1*ISNUMBER(FIND("P",E54:AH54)))-SUMPRODUCT(1*ISNUMBER(FIND("午P",E54:AH54)))</f>
        <v>0</v>
      </c>
      <c r="BH54" s="101">
        <f t="shared" si="16"/>
        <v>2</v>
      </c>
      <c r="BI54" s="101" cm="1">
        <f t="array" ref="BI54">SUMPRODUCT(1*ISNUMBER(FIND("R",D54:J54)))</f>
        <v>1</v>
      </c>
      <c r="BJ54" s="101" cm="1">
        <f t="array" ref="BJ54">SUMPRODUCT(1*ISNUMBER(FIND("R",K54:Q54)))</f>
        <v>0</v>
      </c>
      <c r="BK54" s="101" cm="1">
        <f t="array" ref="BK54">SUMPRODUCT(1*ISNUMBER(FIND("R",R54:X54)))</f>
        <v>0</v>
      </c>
      <c r="BL54" s="101" cm="1">
        <f t="array" ref="BL54">SUMPRODUCT(1*ISNUMBER(FIND("R",Y54:AE54)))</f>
        <v>0</v>
      </c>
      <c r="BM54" s="101" cm="1">
        <f t="array" ref="BM54">SUMPRODUCT(1*ISNUMBER(FIND("R",AF54:AL54)))</f>
        <v>0</v>
      </c>
      <c r="BN54" s="101">
        <f t="shared" si="18"/>
        <v>6</v>
      </c>
      <c r="BP54" s="138">
        <v>8</v>
      </c>
      <c r="BQ54" s="138" cm="1">
        <f t="array" ref="BQ54">SUMPRODUCT(1*ISNUMBER(FIND("P",K54:AL54)))-SUMPRODUCT(1*ISNUMBER(FIND("午P",K54:AL54)))</f>
        <v>0</v>
      </c>
    </row>
    <row r="55" spans="1:69" s="96" customFormat="1" ht="39.75" hidden="1" customHeight="1" thickBot="1">
      <c r="A55" s="284"/>
      <c r="B55" s="97" t="s">
        <v>81</v>
      </c>
      <c r="C55" s="98" t="s">
        <v>82</v>
      </c>
      <c r="D55" s="191" t="s">
        <v>136</v>
      </c>
      <c r="E55" s="191" t="s">
        <v>7</v>
      </c>
      <c r="F55" s="191" t="s">
        <v>6</v>
      </c>
      <c r="G55" s="191" t="s">
        <v>9</v>
      </c>
      <c r="H55" s="221" t="s">
        <v>136</v>
      </c>
      <c r="I55" s="256" t="s">
        <v>136</v>
      </c>
      <c r="J55" s="221" t="s">
        <v>125</v>
      </c>
      <c r="K55" s="242"/>
      <c r="L55" s="243"/>
      <c r="M55" s="243"/>
      <c r="N55" s="243"/>
      <c r="O55" s="160"/>
      <c r="P55" s="244"/>
      <c r="Q55" s="242"/>
      <c r="R55" s="242"/>
      <c r="S55" s="243"/>
      <c r="T55" s="243"/>
      <c r="U55" s="243"/>
      <c r="V55" s="243"/>
      <c r="W55" s="244"/>
      <c r="X55" s="242"/>
      <c r="Y55" s="242"/>
      <c r="Z55" s="243"/>
      <c r="AA55" s="160" t="s">
        <v>312</v>
      </c>
      <c r="AB55" s="243"/>
      <c r="AC55" s="160"/>
      <c r="AD55" s="244"/>
      <c r="AE55" s="242"/>
      <c r="AF55" s="242"/>
      <c r="AG55" s="243"/>
      <c r="AH55" s="243"/>
      <c r="AI55" s="243"/>
      <c r="AJ55" s="243"/>
      <c r="AK55" s="243"/>
      <c r="AL55" s="242"/>
      <c r="AM55" s="147">
        <f t="shared" si="2"/>
        <v>9</v>
      </c>
      <c r="AN55" s="146">
        <v>2</v>
      </c>
      <c r="AO55" s="146">
        <v>2</v>
      </c>
      <c r="AP55" s="150">
        <v>4</v>
      </c>
      <c r="AQ55" s="150">
        <v>4</v>
      </c>
      <c r="AR55" s="150">
        <f t="shared" si="3"/>
        <v>0</v>
      </c>
      <c r="AS55" s="150">
        <f t="shared" si="4"/>
        <v>0</v>
      </c>
      <c r="AT55" s="150">
        <f t="shared" si="5"/>
        <v>2</v>
      </c>
      <c r="AU55" s="150">
        <f t="shared" si="6"/>
        <v>2</v>
      </c>
      <c r="AV55" s="101">
        <f t="shared" si="7"/>
        <v>0</v>
      </c>
      <c r="AW55" s="101">
        <f t="shared" si="8"/>
        <v>0</v>
      </c>
      <c r="AX55" s="101">
        <f t="shared" si="9"/>
        <v>0</v>
      </c>
      <c r="AY55" s="101">
        <f t="shared" si="10"/>
        <v>2</v>
      </c>
      <c r="AZ55" s="101">
        <f t="shared" si="11"/>
        <v>0</v>
      </c>
      <c r="BA55" s="101">
        <f t="shared" si="12"/>
        <v>0</v>
      </c>
      <c r="BB55" s="101">
        <f t="shared" si="13"/>
        <v>0</v>
      </c>
      <c r="BC55" s="101">
        <f t="shared" si="14"/>
        <v>0</v>
      </c>
      <c r="BD55" s="101">
        <f t="shared" si="15"/>
        <v>1</v>
      </c>
      <c r="BE55" s="101" cm="1">
        <f t="array" ref="BE55">SUMPRODUCT(1*ISNUMBER(FIND("R",E55:AH55)))</f>
        <v>1</v>
      </c>
      <c r="BF55" s="101" cm="1">
        <f t="array" ref="BF55">SUMPRODUCT(1*ISNUMBER(FIND("r",E55:AH55)))</f>
        <v>1</v>
      </c>
      <c r="BG55" s="101" cm="1">
        <f t="array" ref="BG55">SUMPRODUCT(1*ISNUMBER(FIND("P",E55:AH55)))-SUMPRODUCT(1*ISNUMBER(FIND("午P",E55:AH55)))</f>
        <v>1</v>
      </c>
      <c r="BH55" s="101">
        <f t="shared" si="16"/>
        <v>3</v>
      </c>
      <c r="BI55" s="101" cm="1">
        <f t="array" ref="BI55">SUMPRODUCT(1*ISNUMBER(FIND("R",D55:J55)))</f>
        <v>1</v>
      </c>
      <c r="BJ55" s="101" cm="1">
        <f t="array" ref="BJ55">SUMPRODUCT(1*ISNUMBER(FIND("R",K55:Q55)))</f>
        <v>0</v>
      </c>
      <c r="BK55" s="101" cm="1">
        <f t="array" ref="BK55">SUMPRODUCT(1*ISNUMBER(FIND("R",R55:X55)))</f>
        <v>0</v>
      </c>
      <c r="BL55" s="101" cm="1">
        <f t="array" ref="BL55">SUMPRODUCT(1*ISNUMBER(FIND("R",Y55:AE55)))</f>
        <v>0</v>
      </c>
      <c r="BM55" s="101" cm="1">
        <f t="array" ref="BM55">SUMPRODUCT(1*ISNUMBER(FIND("R",AF55:AL55)))</f>
        <v>0</v>
      </c>
      <c r="BN55" s="101">
        <f t="shared" si="18"/>
        <v>6</v>
      </c>
      <c r="BP55" s="138">
        <v>9</v>
      </c>
      <c r="BQ55" s="138" cm="1">
        <f t="array" ref="BQ55">SUMPRODUCT(1*ISNUMBER(FIND("P",K55:AL55)))-SUMPRODUCT(1*ISNUMBER(FIND("午P",K55:AL55)))</f>
        <v>0</v>
      </c>
    </row>
    <row r="56" spans="1:69" s="36" customFormat="1" ht="39.75" hidden="1" customHeight="1" thickTop="1">
      <c r="A56" s="284"/>
      <c r="B56" s="47" t="s">
        <v>20</v>
      </c>
      <c r="C56" s="83" t="s">
        <v>21</v>
      </c>
      <c r="D56" s="189" t="s">
        <v>7</v>
      </c>
      <c r="E56" s="189" t="s">
        <v>6</v>
      </c>
      <c r="F56" s="189" t="s">
        <v>6</v>
      </c>
      <c r="G56" s="189" t="s">
        <v>6</v>
      </c>
      <c r="H56" s="216" t="s">
        <v>6</v>
      </c>
      <c r="I56" s="252" t="s">
        <v>6</v>
      </c>
      <c r="J56" s="216" t="s">
        <v>125</v>
      </c>
      <c r="K56" s="230"/>
      <c r="L56" s="231"/>
      <c r="M56" s="231"/>
      <c r="N56" s="231"/>
      <c r="O56" s="231"/>
      <c r="P56" s="232"/>
      <c r="Q56" s="230"/>
      <c r="R56" s="230"/>
      <c r="S56" s="231"/>
      <c r="T56" s="231"/>
      <c r="U56" s="231"/>
      <c r="V56" s="231"/>
      <c r="W56" s="232"/>
      <c r="X56" s="230"/>
      <c r="Y56" s="198"/>
      <c r="Z56" s="231"/>
      <c r="AA56" s="231"/>
      <c r="AB56" s="231"/>
      <c r="AC56" s="231"/>
      <c r="AD56" s="232"/>
      <c r="AE56" s="230"/>
      <c r="AF56" s="230"/>
      <c r="AG56" s="231"/>
      <c r="AH56" s="231"/>
      <c r="AI56" s="231"/>
      <c r="AJ56" s="231"/>
      <c r="AK56" s="231"/>
      <c r="AL56" s="230"/>
      <c r="AM56" s="147">
        <f t="shared" si="2"/>
        <v>11</v>
      </c>
      <c r="AN56" s="146">
        <v>2</v>
      </c>
      <c r="AO56" s="146">
        <v>2</v>
      </c>
      <c r="AP56" s="150">
        <v>4</v>
      </c>
      <c r="AQ56" s="150">
        <v>4</v>
      </c>
      <c r="AR56" s="150">
        <f t="shared" si="3"/>
        <v>0</v>
      </c>
      <c r="AS56" s="150">
        <f t="shared" si="4"/>
        <v>0</v>
      </c>
      <c r="AT56" s="150">
        <f t="shared" si="5"/>
        <v>2</v>
      </c>
      <c r="AU56" s="150">
        <f t="shared" si="6"/>
        <v>2</v>
      </c>
      <c r="AV56" s="101">
        <f t="shared" si="7"/>
        <v>0</v>
      </c>
      <c r="AW56" s="101">
        <f t="shared" si="8"/>
        <v>0</v>
      </c>
      <c r="AX56" s="101">
        <f t="shared" si="9"/>
        <v>0</v>
      </c>
      <c r="AY56" s="101">
        <f t="shared" si="10"/>
        <v>0</v>
      </c>
      <c r="AZ56" s="101">
        <f t="shared" si="11"/>
        <v>0</v>
      </c>
      <c r="BA56" s="101">
        <f t="shared" si="12"/>
        <v>0</v>
      </c>
      <c r="BB56" s="101">
        <f t="shared" si="13"/>
        <v>0</v>
      </c>
      <c r="BC56" s="101">
        <f t="shared" si="14"/>
        <v>0</v>
      </c>
      <c r="BD56" s="101">
        <f t="shared" si="15"/>
        <v>5</v>
      </c>
      <c r="BE56" s="101" cm="1">
        <f t="array" ref="BE56">SUMPRODUCT(1*ISNUMBER(FIND("R",E56:AH56)))</f>
        <v>0</v>
      </c>
      <c r="BF56" s="101" cm="1">
        <f t="array" ref="BF56">SUMPRODUCT(1*ISNUMBER(FIND("r",E56:AH56)))</f>
        <v>1</v>
      </c>
      <c r="BG56" s="101" cm="1">
        <f t="array" ref="BG56">SUMPRODUCT(1*ISNUMBER(FIND("P",E56:AH56)))-SUMPRODUCT(1*ISNUMBER(FIND("午P",E56:AH56)))</f>
        <v>0</v>
      </c>
      <c r="BH56" s="101">
        <f t="shared" si="16"/>
        <v>1</v>
      </c>
      <c r="BI56" s="101" cm="1">
        <f t="array" ref="BI56">SUMPRODUCT(1*ISNUMBER(FIND("R",D56:J56)))</f>
        <v>1</v>
      </c>
      <c r="BJ56" s="101" cm="1">
        <f t="array" ref="BJ56">SUMPRODUCT(1*ISNUMBER(FIND("R",K56:Q56)))</f>
        <v>0</v>
      </c>
      <c r="BK56" s="101" cm="1">
        <f t="array" ref="BK56">SUMPRODUCT(1*ISNUMBER(FIND("R",R56:X56)))</f>
        <v>0</v>
      </c>
      <c r="BL56" s="101" cm="1">
        <f t="array" ref="BL56">SUMPRODUCT(1*ISNUMBER(FIND("R",Y56:AE56)))</f>
        <v>0</v>
      </c>
      <c r="BM56" s="101" cm="1">
        <f t="array" ref="BM56">SUMPRODUCT(1*ISNUMBER(FIND("R",AF56:AL56)))</f>
        <v>0</v>
      </c>
      <c r="BN56" s="101">
        <f t="shared" si="18"/>
        <v>6</v>
      </c>
      <c r="BP56" s="138">
        <v>11</v>
      </c>
      <c r="BQ56" s="138" cm="1">
        <f t="array" ref="BQ56">SUMPRODUCT(1*ISNUMBER(FIND("P",K56:AL56)))-SUMPRODUCT(1*ISNUMBER(FIND("午P",K56:AL56)))</f>
        <v>0</v>
      </c>
    </row>
    <row r="57" spans="1:69" s="36" customFormat="1" ht="39.75" hidden="1" customHeight="1">
      <c r="A57" s="284"/>
      <c r="B57" s="44" t="s">
        <v>69</v>
      </c>
      <c r="C57" s="78" t="s">
        <v>70</v>
      </c>
      <c r="D57" s="190" t="s">
        <v>138</v>
      </c>
      <c r="E57" s="190" t="s">
        <v>138</v>
      </c>
      <c r="F57" s="190" t="s">
        <v>133</v>
      </c>
      <c r="G57" s="190" t="s">
        <v>133</v>
      </c>
      <c r="H57" s="217" t="s">
        <v>7</v>
      </c>
      <c r="I57" s="253" t="s">
        <v>138</v>
      </c>
      <c r="J57" s="217" t="s">
        <v>125</v>
      </c>
      <c r="K57" s="234"/>
      <c r="L57" s="235"/>
      <c r="M57" s="235"/>
      <c r="N57" s="235"/>
      <c r="O57" s="160"/>
      <c r="P57" s="236"/>
      <c r="Q57" s="234"/>
      <c r="R57" s="234"/>
      <c r="S57" s="235"/>
      <c r="T57" s="235"/>
      <c r="U57" s="235"/>
      <c r="V57" s="160"/>
      <c r="W57" s="225"/>
      <c r="X57" s="176"/>
      <c r="Y57" s="234"/>
      <c r="Z57" s="235"/>
      <c r="AA57" s="160" t="s">
        <v>312</v>
      </c>
      <c r="AB57" s="235"/>
      <c r="AC57" s="160"/>
      <c r="AD57" s="225"/>
      <c r="AE57" s="234"/>
      <c r="AF57" s="234"/>
      <c r="AG57" s="235"/>
      <c r="AH57" s="235"/>
      <c r="AI57" s="235"/>
      <c r="AJ57" s="235"/>
      <c r="AK57" s="235"/>
      <c r="AL57" s="234"/>
      <c r="AM57" s="147">
        <f t="shared" si="2"/>
        <v>10</v>
      </c>
      <c r="AN57" s="146">
        <v>2</v>
      </c>
      <c r="AO57" s="146">
        <v>2</v>
      </c>
      <c r="AP57" s="150">
        <v>4</v>
      </c>
      <c r="AQ57" s="150">
        <v>4</v>
      </c>
      <c r="AR57" s="150">
        <f t="shared" si="3"/>
        <v>0</v>
      </c>
      <c r="AS57" s="150">
        <f t="shared" si="4"/>
        <v>0</v>
      </c>
      <c r="AT57" s="150">
        <f t="shared" si="5"/>
        <v>2</v>
      </c>
      <c r="AU57" s="150">
        <f t="shared" si="6"/>
        <v>2</v>
      </c>
      <c r="AV57" s="101">
        <f t="shared" si="7"/>
        <v>0</v>
      </c>
      <c r="AW57" s="101">
        <f t="shared" si="8"/>
        <v>2</v>
      </c>
      <c r="AX57" s="101">
        <f t="shared" si="9"/>
        <v>2</v>
      </c>
      <c r="AY57" s="101">
        <f t="shared" si="10"/>
        <v>0</v>
      </c>
      <c r="AZ57" s="101">
        <f t="shared" si="11"/>
        <v>0</v>
      </c>
      <c r="BA57" s="101">
        <f t="shared" si="12"/>
        <v>0</v>
      </c>
      <c r="BB57" s="101">
        <f t="shared" si="13"/>
        <v>0</v>
      </c>
      <c r="BC57" s="101">
        <f t="shared" si="14"/>
        <v>0</v>
      </c>
      <c r="BD57" s="101">
        <f t="shared" si="15"/>
        <v>0</v>
      </c>
      <c r="BE57" s="101" cm="1">
        <f t="array" ref="BE57">SUMPRODUCT(1*ISNUMBER(FIND("R",E57:AH57)))</f>
        <v>1</v>
      </c>
      <c r="BF57" s="101" cm="1">
        <f t="array" ref="BF57">SUMPRODUCT(1*ISNUMBER(FIND("r",E57:AH57)))</f>
        <v>1</v>
      </c>
      <c r="BG57" s="101" cm="1">
        <f t="array" ref="BG57">SUMPRODUCT(1*ISNUMBER(FIND("P",E57:AH57)))-SUMPRODUCT(1*ISNUMBER(FIND("午P",E57:AH57)))</f>
        <v>0</v>
      </c>
      <c r="BH57" s="101">
        <f t="shared" si="16"/>
        <v>2</v>
      </c>
      <c r="BI57" s="101" cm="1">
        <f t="array" ref="BI57">SUMPRODUCT(1*ISNUMBER(FIND("R",D57:J57)))</f>
        <v>1</v>
      </c>
      <c r="BJ57" s="101" cm="1">
        <f t="array" ref="BJ57">SUMPRODUCT(1*ISNUMBER(FIND("R",K57:Q57)))</f>
        <v>0</v>
      </c>
      <c r="BK57" s="101" cm="1">
        <f t="array" ref="BK57">SUMPRODUCT(1*ISNUMBER(FIND("R",R57:X57)))</f>
        <v>0</v>
      </c>
      <c r="BL57" s="101" cm="1">
        <f t="array" ref="BL57">SUMPRODUCT(1*ISNUMBER(FIND("R",Y57:AE57)))</f>
        <v>0</v>
      </c>
      <c r="BM57" s="101" cm="1">
        <f t="array" ref="BM57">SUMPRODUCT(1*ISNUMBER(FIND("R",AF57:AL57)))</f>
        <v>0</v>
      </c>
      <c r="BN57" s="101">
        <f t="shared" si="18"/>
        <v>6</v>
      </c>
      <c r="BP57" s="138">
        <v>10</v>
      </c>
      <c r="BQ57" s="138" cm="1">
        <f t="array" ref="BQ57">SUMPRODUCT(1*ISNUMBER(FIND("P",K57:AL57)))-SUMPRODUCT(1*ISNUMBER(FIND("午P",K57:AL57)))</f>
        <v>0</v>
      </c>
    </row>
    <row r="58" spans="1:69" s="36" customFormat="1" ht="39.75" hidden="1" customHeight="1" thickBot="1">
      <c r="A58" s="284"/>
      <c r="B58" s="72" t="s">
        <v>76</v>
      </c>
      <c r="C58" s="85" t="s">
        <v>77</v>
      </c>
      <c r="D58" s="187" t="s">
        <v>9</v>
      </c>
      <c r="E58" s="187" t="s">
        <v>7</v>
      </c>
      <c r="F58" s="187" t="s">
        <v>138</v>
      </c>
      <c r="G58" s="187" t="s">
        <v>138</v>
      </c>
      <c r="H58" s="218" t="s">
        <v>138</v>
      </c>
      <c r="I58" s="254" t="s">
        <v>125</v>
      </c>
      <c r="J58" s="218" t="s">
        <v>138</v>
      </c>
      <c r="K58" s="237"/>
      <c r="L58" s="204"/>
      <c r="M58" s="204"/>
      <c r="N58" s="204"/>
      <c r="O58" s="204"/>
      <c r="P58" s="226"/>
      <c r="Q58" s="237"/>
      <c r="R58" s="177"/>
      <c r="S58" s="204"/>
      <c r="T58" s="204"/>
      <c r="U58" s="204"/>
      <c r="V58" s="204"/>
      <c r="W58" s="207"/>
      <c r="X58" s="177"/>
      <c r="Y58" s="237"/>
      <c r="Z58" s="204"/>
      <c r="AA58" s="204"/>
      <c r="AB58" s="204"/>
      <c r="AC58" s="204"/>
      <c r="AD58" s="207"/>
      <c r="AE58" s="237"/>
      <c r="AF58" s="237"/>
      <c r="AG58" s="204"/>
      <c r="AH58" s="204"/>
      <c r="AI58" s="204"/>
      <c r="AJ58" s="204"/>
      <c r="AK58" s="161"/>
      <c r="AL58" s="237"/>
      <c r="AM58" s="147">
        <f t="shared" si="2"/>
        <v>8</v>
      </c>
      <c r="AN58" s="146">
        <v>2</v>
      </c>
      <c r="AO58" s="146">
        <v>2</v>
      </c>
      <c r="AP58" s="150">
        <v>5</v>
      </c>
      <c r="AQ58" s="150">
        <v>4</v>
      </c>
      <c r="AR58" s="150">
        <f t="shared" si="3"/>
        <v>0</v>
      </c>
      <c r="AS58" s="150">
        <f t="shared" si="4"/>
        <v>0</v>
      </c>
      <c r="AT58" s="150">
        <f t="shared" si="5"/>
        <v>1</v>
      </c>
      <c r="AU58" s="150">
        <f t="shared" si="6"/>
        <v>2</v>
      </c>
      <c r="AV58" s="101">
        <f t="shared" si="7"/>
        <v>0</v>
      </c>
      <c r="AW58" s="101">
        <f t="shared" si="8"/>
        <v>0</v>
      </c>
      <c r="AX58" s="101">
        <f t="shared" si="9"/>
        <v>4</v>
      </c>
      <c r="AY58" s="101">
        <f t="shared" si="10"/>
        <v>0</v>
      </c>
      <c r="AZ58" s="101">
        <f t="shared" si="11"/>
        <v>0</v>
      </c>
      <c r="BA58" s="101">
        <f t="shared" si="12"/>
        <v>0</v>
      </c>
      <c r="BB58" s="101">
        <f t="shared" si="13"/>
        <v>0</v>
      </c>
      <c r="BC58" s="101">
        <f t="shared" si="14"/>
        <v>0</v>
      </c>
      <c r="BD58" s="101">
        <f t="shared" si="15"/>
        <v>0</v>
      </c>
      <c r="BE58" s="101" cm="1">
        <f t="array" ref="BE58">SUMPRODUCT(1*ISNUMBER(FIND("R",E58:AH58)))</f>
        <v>1</v>
      </c>
      <c r="BF58" s="101" cm="1">
        <f t="array" ref="BF58">SUMPRODUCT(1*ISNUMBER(FIND("r",E58:AH58)))</f>
        <v>1</v>
      </c>
      <c r="BG58" s="101" cm="1">
        <f t="array" ref="BG58">SUMPRODUCT(1*ISNUMBER(FIND("P",E58:AH58)))-SUMPRODUCT(1*ISNUMBER(FIND("午P",E58:AH58)))</f>
        <v>0</v>
      </c>
      <c r="BH58" s="101">
        <f t="shared" si="16"/>
        <v>2</v>
      </c>
      <c r="BI58" s="101" cm="1">
        <f t="array" ref="BI58">SUMPRODUCT(1*ISNUMBER(FIND("R",D58:J58)))</f>
        <v>1</v>
      </c>
      <c r="BJ58" s="101" cm="1">
        <f t="array" ref="BJ58">SUMPRODUCT(1*ISNUMBER(FIND("R",K58:Q58)))</f>
        <v>0</v>
      </c>
      <c r="BK58" s="101" cm="1">
        <f t="array" ref="BK58">SUMPRODUCT(1*ISNUMBER(FIND("R",R58:X58)))</f>
        <v>0</v>
      </c>
      <c r="BL58" s="101" cm="1">
        <f t="array" ref="BL58">SUMPRODUCT(1*ISNUMBER(FIND("R",Y58:AE58)))</f>
        <v>0</v>
      </c>
      <c r="BM58" s="101" cm="1">
        <f t="array" ref="BM58">SUMPRODUCT(1*ISNUMBER(FIND("R",AF58:AL58)))</f>
        <v>0</v>
      </c>
      <c r="BN58" s="101">
        <f t="shared" si="18"/>
        <v>6</v>
      </c>
      <c r="BP58" s="138">
        <v>8</v>
      </c>
      <c r="BQ58" s="138" cm="1">
        <f t="array" ref="BQ58">SUMPRODUCT(1*ISNUMBER(FIND("P",K58:AL58)))-SUMPRODUCT(1*ISNUMBER(FIND("午P",K58:AL58)))</f>
        <v>0</v>
      </c>
    </row>
    <row r="59" spans="1:69" ht="39.75" hidden="1" customHeight="1">
      <c r="A59" s="285" t="s">
        <v>71</v>
      </c>
      <c r="B59" s="43" t="s">
        <v>119</v>
      </c>
      <c r="C59" s="80" t="s">
        <v>120</v>
      </c>
      <c r="D59" s="182" t="s">
        <v>7</v>
      </c>
      <c r="E59" s="182" t="s">
        <v>139</v>
      </c>
      <c r="F59" s="182" t="s">
        <v>139</v>
      </c>
      <c r="G59" s="182" t="s">
        <v>139</v>
      </c>
      <c r="H59" s="219" t="s">
        <v>139</v>
      </c>
      <c r="I59" s="246" t="s">
        <v>139</v>
      </c>
      <c r="J59" s="219" t="s">
        <v>125</v>
      </c>
      <c r="K59" s="200"/>
      <c r="L59" s="201"/>
      <c r="M59" s="201"/>
      <c r="N59" s="201"/>
      <c r="O59" s="201"/>
      <c r="P59" s="205"/>
      <c r="Q59" s="200"/>
      <c r="R59" s="200"/>
      <c r="S59" s="201"/>
      <c r="T59" s="201"/>
      <c r="U59" s="201"/>
      <c r="V59" s="201"/>
      <c r="W59" s="262"/>
      <c r="X59" s="157"/>
      <c r="Y59" s="200"/>
      <c r="Z59" s="201"/>
      <c r="AA59" s="201"/>
      <c r="AB59" s="201"/>
      <c r="AC59" s="201"/>
      <c r="AD59" s="171"/>
      <c r="AE59" s="200"/>
      <c r="AF59" s="200"/>
      <c r="AG59" s="201"/>
      <c r="AH59" s="201"/>
      <c r="AI59" s="201"/>
      <c r="AJ59" s="201"/>
      <c r="AK59" s="201"/>
      <c r="AL59" s="200"/>
      <c r="AM59" s="147">
        <f t="shared" si="2"/>
        <v>5</v>
      </c>
      <c r="AN59" s="146">
        <v>2</v>
      </c>
      <c r="AO59" s="146">
        <v>2</v>
      </c>
      <c r="AP59" s="150">
        <v>4</v>
      </c>
      <c r="AQ59" s="150">
        <v>4</v>
      </c>
      <c r="AR59" s="150">
        <f t="shared" si="3"/>
        <v>0</v>
      </c>
      <c r="AS59" s="150">
        <f t="shared" si="4"/>
        <v>0</v>
      </c>
      <c r="AT59" s="150">
        <f t="shared" si="5"/>
        <v>2</v>
      </c>
      <c r="AU59" s="150">
        <f t="shared" si="6"/>
        <v>2</v>
      </c>
      <c r="AV59" s="101">
        <f t="shared" si="7"/>
        <v>0</v>
      </c>
      <c r="AW59" s="101">
        <f t="shared" si="8"/>
        <v>0</v>
      </c>
      <c r="AX59" s="101">
        <f t="shared" si="9"/>
        <v>0</v>
      </c>
      <c r="AY59" s="101">
        <f t="shared" si="10"/>
        <v>0</v>
      </c>
      <c r="AZ59" s="101">
        <f t="shared" si="11"/>
        <v>0</v>
      </c>
      <c r="BA59" s="101">
        <f t="shared" si="12"/>
        <v>5</v>
      </c>
      <c r="BB59" s="101">
        <f t="shared" si="13"/>
        <v>0</v>
      </c>
      <c r="BC59" s="101">
        <f t="shared" si="14"/>
        <v>0</v>
      </c>
      <c r="BD59" s="101">
        <f t="shared" si="15"/>
        <v>0</v>
      </c>
      <c r="BE59" s="101" cm="1">
        <f t="array" ref="BE59">SUMPRODUCT(1*ISNUMBER(FIND("R",E59:AH59)))</f>
        <v>0</v>
      </c>
      <c r="BF59" s="101" cm="1">
        <f t="array" ref="BF59">SUMPRODUCT(1*ISNUMBER(FIND("r",E59:AH59)))</f>
        <v>1</v>
      </c>
      <c r="BG59" s="101" cm="1">
        <f t="array" ref="BG59">SUMPRODUCT(1*ISNUMBER(FIND("P",E59:AH59)))-SUMPRODUCT(1*ISNUMBER(FIND("午P",E59:AH59)))</f>
        <v>0</v>
      </c>
      <c r="BH59" s="101">
        <f t="shared" si="16"/>
        <v>1</v>
      </c>
      <c r="BI59" s="101" cm="1">
        <f t="array" ref="BI59">SUMPRODUCT(1*ISNUMBER(FIND("R",D59:J59)))</f>
        <v>1</v>
      </c>
      <c r="BJ59" s="101" cm="1">
        <f t="array" ref="BJ59">SUMPRODUCT(1*ISNUMBER(FIND("R",K59:Q59)))</f>
        <v>0</v>
      </c>
      <c r="BK59" s="101" cm="1">
        <f t="array" ref="BK59">SUMPRODUCT(1*ISNUMBER(FIND("R",R59:X59)))</f>
        <v>0</v>
      </c>
      <c r="BL59" s="101" cm="1">
        <f t="array" ref="BL59">SUMPRODUCT(1*ISNUMBER(FIND("R",Y59:AE59)))</f>
        <v>0</v>
      </c>
      <c r="BM59" s="101" cm="1">
        <f t="array" ref="BM59">SUMPRODUCT(1*ISNUMBER(FIND("R",AF59:AL59)))</f>
        <v>0</v>
      </c>
      <c r="BN59" s="101">
        <f t="shared" si="18"/>
        <v>6</v>
      </c>
      <c r="BP59" s="138">
        <v>5</v>
      </c>
      <c r="BQ59" s="138" cm="1">
        <f t="array" ref="BQ59">SUMPRODUCT(1*ISNUMBER(FIND("P",K59:AL59)))-SUMPRODUCT(1*ISNUMBER(FIND("午P",K59:AL59)))</f>
        <v>0</v>
      </c>
    </row>
    <row r="60" spans="1:69" ht="37.5" hidden="1" customHeight="1">
      <c r="A60" s="284"/>
      <c r="B60" s="49" t="s">
        <v>72</v>
      </c>
      <c r="C60" s="78" t="s">
        <v>73</v>
      </c>
      <c r="D60" s="183" t="s">
        <v>141</v>
      </c>
      <c r="E60" s="183" t="s">
        <v>141</v>
      </c>
      <c r="F60" s="183" t="s">
        <v>141</v>
      </c>
      <c r="G60" s="183" t="s">
        <v>7</v>
      </c>
      <c r="H60" s="212" t="s">
        <v>125</v>
      </c>
      <c r="I60" s="247" t="s">
        <v>140</v>
      </c>
      <c r="J60" s="212" t="s">
        <v>140</v>
      </c>
      <c r="K60" s="202"/>
      <c r="L60" s="205"/>
      <c r="M60" s="160"/>
      <c r="N60" s="160"/>
      <c r="O60" s="160"/>
      <c r="P60" s="159"/>
      <c r="Q60" s="202"/>
      <c r="R60" s="202"/>
      <c r="S60" s="160"/>
      <c r="T60" s="160"/>
      <c r="U60" s="160"/>
      <c r="V60" s="160"/>
      <c r="W60" s="159"/>
      <c r="X60" s="202"/>
      <c r="Y60" s="198"/>
      <c r="Z60" s="160"/>
      <c r="AA60" s="160"/>
      <c r="AB60" s="160"/>
      <c r="AC60" s="160"/>
      <c r="AD60" s="159"/>
      <c r="AE60" s="202"/>
      <c r="AF60" s="202"/>
      <c r="AG60" s="160"/>
      <c r="AH60" s="160"/>
      <c r="AI60" s="160"/>
      <c r="AJ60" s="160"/>
      <c r="AK60" s="160"/>
      <c r="AL60" s="202"/>
      <c r="AM60" s="147">
        <f t="shared" si="2"/>
        <v>7</v>
      </c>
      <c r="AN60" s="146">
        <v>1</v>
      </c>
      <c r="AO60" s="146">
        <v>2</v>
      </c>
      <c r="AP60" s="150">
        <v>4</v>
      </c>
      <c r="AQ60" s="150">
        <v>4</v>
      </c>
      <c r="AR60" s="150">
        <f t="shared" si="3"/>
        <v>0</v>
      </c>
      <c r="AS60" s="150">
        <f t="shared" si="4"/>
        <v>0</v>
      </c>
      <c r="AT60" s="150">
        <f t="shared" si="5"/>
        <v>3</v>
      </c>
      <c r="AU60" s="150">
        <f t="shared" si="6"/>
        <v>2</v>
      </c>
      <c r="AV60" s="101">
        <f t="shared" si="7"/>
        <v>2</v>
      </c>
      <c r="AW60" s="101">
        <f t="shared" si="8"/>
        <v>0</v>
      </c>
      <c r="AX60" s="101">
        <f t="shared" si="9"/>
        <v>0</v>
      </c>
      <c r="AY60" s="101">
        <f t="shared" si="10"/>
        <v>2</v>
      </c>
      <c r="AZ60" s="101">
        <f t="shared" si="11"/>
        <v>0</v>
      </c>
      <c r="BA60" s="101">
        <f t="shared" si="12"/>
        <v>0</v>
      </c>
      <c r="BB60" s="101">
        <f t="shared" si="13"/>
        <v>0</v>
      </c>
      <c r="BC60" s="101">
        <f t="shared" si="14"/>
        <v>0</v>
      </c>
      <c r="BD60" s="101">
        <f t="shared" si="15"/>
        <v>0</v>
      </c>
      <c r="BE60" s="101" cm="1">
        <f t="array" ref="BE60">SUMPRODUCT(1*ISNUMBER(FIND("R",E60:AH60)))</f>
        <v>1</v>
      </c>
      <c r="BF60" s="101" cm="1">
        <f t="array" ref="BF60">SUMPRODUCT(1*ISNUMBER(FIND("r",E60:AH60)))</f>
        <v>1</v>
      </c>
      <c r="BG60" s="101" cm="1">
        <f t="array" ref="BG60">SUMPRODUCT(1*ISNUMBER(FIND("P",E60:AH60)))-SUMPRODUCT(1*ISNUMBER(FIND("午P",E60:AH60)))</f>
        <v>0</v>
      </c>
      <c r="BH60" s="101">
        <f t="shared" si="16"/>
        <v>2</v>
      </c>
      <c r="BI60" s="101" cm="1">
        <f t="array" ref="BI60">SUMPRODUCT(1*ISNUMBER(FIND("R",D60:J60)))</f>
        <v>1</v>
      </c>
      <c r="BJ60" s="101" cm="1">
        <f t="array" ref="BJ60">SUMPRODUCT(1*ISNUMBER(FIND("R",K60:Q60)))</f>
        <v>0</v>
      </c>
      <c r="BK60" s="101" cm="1">
        <f t="array" ref="BK60">SUMPRODUCT(1*ISNUMBER(FIND("R",R60:X60)))</f>
        <v>0</v>
      </c>
      <c r="BL60" s="101" cm="1">
        <f t="array" ref="BL60">SUMPRODUCT(1*ISNUMBER(FIND("R",Y60:AE60)))</f>
        <v>0</v>
      </c>
      <c r="BM60" s="101" cm="1">
        <f t="array" ref="BM60">SUMPRODUCT(1*ISNUMBER(FIND("R",AF60:AL60)))</f>
        <v>0</v>
      </c>
      <c r="BN60" s="101">
        <f t="shared" si="18"/>
        <v>6</v>
      </c>
      <c r="BP60" s="138">
        <v>7</v>
      </c>
      <c r="BQ60" s="138" cm="1">
        <f t="array" ref="BQ60">SUMPRODUCT(1*ISNUMBER(FIND("P",K60:AL60)))-SUMPRODUCT(1*ISNUMBER(FIND("午P",K60:AL60)))</f>
        <v>0</v>
      </c>
    </row>
    <row r="61" spans="1:69" ht="39.75" hidden="1" customHeight="1">
      <c r="A61" s="284"/>
      <c r="B61" s="44" t="s">
        <v>268</v>
      </c>
      <c r="C61" s="78" t="s">
        <v>264</v>
      </c>
      <c r="D61" s="183" t="s">
        <v>7</v>
      </c>
      <c r="E61" s="183" t="s">
        <v>9</v>
      </c>
      <c r="F61" s="183" t="s">
        <v>140</v>
      </c>
      <c r="G61" s="183" t="s">
        <v>140</v>
      </c>
      <c r="H61" s="212" t="s">
        <v>140</v>
      </c>
      <c r="I61" s="247" t="s">
        <v>125</v>
      </c>
      <c r="J61" s="212" t="s">
        <v>139</v>
      </c>
      <c r="K61" s="175"/>
      <c r="L61" s="160"/>
      <c r="M61" s="160"/>
      <c r="N61" s="160"/>
      <c r="O61" s="160"/>
      <c r="P61" s="159"/>
      <c r="Q61" s="175"/>
      <c r="R61" s="202"/>
      <c r="S61" s="166"/>
      <c r="T61" s="160"/>
      <c r="U61" s="160"/>
      <c r="V61" s="160"/>
      <c r="W61" s="159"/>
      <c r="X61" s="202"/>
      <c r="Y61" s="202"/>
      <c r="Z61" s="160"/>
      <c r="AA61" s="160"/>
      <c r="AB61" s="160"/>
      <c r="AC61" s="160"/>
      <c r="AD61" s="159"/>
      <c r="AE61" s="202"/>
      <c r="AF61" s="202"/>
      <c r="AG61" s="160"/>
      <c r="AH61" s="160"/>
      <c r="AI61" s="160"/>
      <c r="AJ61" s="160"/>
      <c r="AK61" s="160"/>
      <c r="AL61" s="202"/>
      <c r="AM61" s="147">
        <f t="shared" si="2"/>
        <v>7</v>
      </c>
      <c r="AN61" s="146">
        <v>2</v>
      </c>
      <c r="AO61" s="146">
        <v>2</v>
      </c>
      <c r="AP61" s="150">
        <v>4</v>
      </c>
      <c r="AQ61" s="150">
        <v>4</v>
      </c>
      <c r="AR61" s="150">
        <f t="shared" si="3"/>
        <v>0</v>
      </c>
      <c r="AS61" s="150">
        <f t="shared" si="4"/>
        <v>0</v>
      </c>
      <c r="AT61" s="150">
        <f t="shared" si="5"/>
        <v>2</v>
      </c>
      <c r="AU61" s="150">
        <f t="shared" si="6"/>
        <v>2</v>
      </c>
      <c r="AV61" s="101">
        <f t="shared" si="7"/>
        <v>3</v>
      </c>
      <c r="AW61" s="101">
        <f t="shared" si="8"/>
        <v>0</v>
      </c>
      <c r="AX61" s="101">
        <f t="shared" si="9"/>
        <v>0</v>
      </c>
      <c r="AY61" s="101">
        <f t="shared" si="10"/>
        <v>0</v>
      </c>
      <c r="AZ61" s="101">
        <f t="shared" si="11"/>
        <v>0</v>
      </c>
      <c r="BA61" s="101">
        <f t="shared" si="12"/>
        <v>1</v>
      </c>
      <c r="BB61" s="101">
        <f t="shared" si="13"/>
        <v>0</v>
      </c>
      <c r="BC61" s="101">
        <f t="shared" si="14"/>
        <v>0</v>
      </c>
      <c r="BD61" s="101">
        <f t="shared" si="15"/>
        <v>0</v>
      </c>
      <c r="BE61" s="101" cm="1">
        <f t="array" ref="BE61">SUMPRODUCT(1*ISNUMBER(FIND("R",E61:AH61)))</f>
        <v>0</v>
      </c>
      <c r="BF61" s="101" cm="1">
        <f t="array" ref="BF61">SUMPRODUCT(1*ISNUMBER(FIND("r",E61:AH61)))</f>
        <v>1</v>
      </c>
      <c r="BG61" s="101" cm="1">
        <f t="array" ref="BG61">SUMPRODUCT(1*ISNUMBER(FIND("P",E61:AH61)))-SUMPRODUCT(1*ISNUMBER(FIND("午P",E61:AH61)))</f>
        <v>1</v>
      </c>
      <c r="BH61" s="101">
        <f t="shared" si="16"/>
        <v>2</v>
      </c>
      <c r="BI61" s="101" cm="1">
        <f t="array" ref="BI61">SUMPRODUCT(1*ISNUMBER(FIND("R",D61:J61)))</f>
        <v>1</v>
      </c>
      <c r="BJ61" s="101" cm="1">
        <f t="array" ref="BJ61">SUMPRODUCT(1*ISNUMBER(FIND("R",K61:Q61)))</f>
        <v>0</v>
      </c>
      <c r="BK61" s="101" cm="1">
        <f t="array" ref="BK61">SUMPRODUCT(1*ISNUMBER(FIND("R",R61:X61)))</f>
        <v>0</v>
      </c>
      <c r="BL61" s="101" cm="1">
        <f t="array" ref="BL61">SUMPRODUCT(1*ISNUMBER(FIND("R",Y61:AE61)))</f>
        <v>0</v>
      </c>
      <c r="BM61" s="101" cm="1">
        <f t="array" ref="BM61">SUMPRODUCT(1*ISNUMBER(FIND("R",AF61:AL61)))</f>
        <v>0</v>
      </c>
      <c r="BN61" s="101">
        <f t="shared" si="18"/>
        <v>6</v>
      </c>
      <c r="BP61" s="138">
        <v>7</v>
      </c>
      <c r="BQ61" s="138" cm="1">
        <f t="array" ref="BQ61">SUMPRODUCT(1*ISNUMBER(FIND("P",K61:AL61)))-SUMPRODUCT(1*ISNUMBER(FIND("午P",K61:AL61)))</f>
        <v>0</v>
      </c>
    </row>
    <row r="62" spans="1:69" s="99" customFormat="1" ht="39.75" hidden="1" customHeight="1" thickBot="1">
      <c r="A62" s="284"/>
      <c r="B62" s="102" t="s">
        <v>220</v>
      </c>
      <c r="C62" s="108" t="s">
        <v>254</v>
      </c>
      <c r="D62" s="188" t="s">
        <v>139</v>
      </c>
      <c r="E62" s="183" t="s">
        <v>7</v>
      </c>
      <c r="F62" s="183" t="s">
        <v>125</v>
      </c>
      <c r="G62" s="183" t="s">
        <v>141</v>
      </c>
      <c r="H62" s="212" t="s">
        <v>141</v>
      </c>
      <c r="I62" s="247" t="s">
        <v>141</v>
      </c>
      <c r="J62" s="212" t="s">
        <v>141</v>
      </c>
      <c r="K62" s="202"/>
      <c r="L62" s="160"/>
      <c r="M62" s="228"/>
      <c r="N62" s="160"/>
      <c r="O62" s="160"/>
      <c r="P62" s="159"/>
      <c r="Q62" s="202"/>
      <c r="R62" s="202"/>
      <c r="S62" s="160"/>
      <c r="T62" s="160"/>
      <c r="U62" s="160"/>
      <c r="V62" s="160"/>
      <c r="W62" s="160"/>
      <c r="X62" s="175"/>
      <c r="Y62" s="175"/>
      <c r="Z62" s="160"/>
      <c r="AA62" s="160"/>
      <c r="AB62" s="160"/>
      <c r="AC62" s="160"/>
      <c r="AD62" s="159"/>
      <c r="AE62" s="202"/>
      <c r="AF62" s="227"/>
      <c r="AG62" s="160"/>
      <c r="AH62" s="160"/>
      <c r="AI62" s="160"/>
      <c r="AJ62" s="166"/>
      <c r="AK62" s="160"/>
      <c r="AL62" s="202"/>
      <c r="AM62" s="147">
        <f t="shared" si="2"/>
        <v>8</v>
      </c>
      <c r="AN62" s="146">
        <v>2</v>
      </c>
      <c r="AO62" s="146">
        <v>2</v>
      </c>
      <c r="AP62" s="150">
        <v>4</v>
      </c>
      <c r="AQ62" s="150">
        <v>4</v>
      </c>
      <c r="AR62" s="150">
        <f t="shared" si="3"/>
        <v>0</v>
      </c>
      <c r="AS62" s="150">
        <f t="shared" si="4"/>
        <v>0</v>
      </c>
      <c r="AT62" s="150">
        <f t="shared" si="5"/>
        <v>2</v>
      </c>
      <c r="AU62" s="150">
        <f t="shared" si="6"/>
        <v>2</v>
      </c>
      <c r="AV62" s="101">
        <f t="shared" si="7"/>
        <v>0</v>
      </c>
      <c r="AW62" s="101">
        <f t="shared" si="8"/>
        <v>0</v>
      </c>
      <c r="AX62" s="101">
        <f t="shared" si="9"/>
        <v>0</v>
      </c>
      <c r="AY62" s="101">
        <f t="shared" si="10"/>
        <v>4</v>
      </c>
      <c r="AZ62" s="101">
        <f t="shared" si="11"/>
        <v>0</v>
      </c>
      <c r="BA62" s="101">
        <f t="shared" si="12"/>
        <v>0</v>
      </c>
      <c r="BB62" s="101">
        <f t="shared" si="13"/>
        <v>0</v>
      </c>
      <c r="BC62" s="101">
        <f t="shared" si="14"/>
        <v>0</v>
      </c>
      <c r="BD62" s="101">
        <f t="shared" si="15"/>
        <v>0</v>
      </c>
      <c r="BE62" s="101" cm="1">
        <f t="array" ref="BE62">SUMPRODUCT(1*ISNUMBER(FIND("R",E62:AH62)))</f>
        <v>1</v>
      </c>
      <c r="BF62" s="101" cm="1">
        <f t="array" ref="BF62">SUMPRODUCT(1*ISNUMBER(FIND("r",E62:AH62)))</f>
        <v>1</v>
      </c>
      <c r="BG62" s="101" cm="1">
        <f t="array" ref="BG62">SUMPRODUCT(1*ISNUMBER(FIND("P",E62:AH62)))-SUMPRODUCT(1*ISNUMBER(FIND("午P",E62:AH62)))</f>
        <v>0</v>
      </c>
      <c r="BH62" s="101">
        <f t="shared" si="16"/>
        <v>2</v>
      </c>
      <c r="BI62" s="101" cm="1">
        <f t="array" ref="BI62">SUMPRODUCT(1*ISNUMBER(FIND("R",D62:J62)))</f>
        <v>1</v>
      </c>
      <c r="BJ62" s="101" cm="1">
        <f t="array" ref="BJ62">SUMPRODUCT(1*ISNUMBER(FIND("R",K62:Q62)))</f>
        <v>0</v>
      </c>
      <c r="BK62" s="101" cm="1">
        <f t="array" ref="BK62">SUMPRODUCT(1*ISNUMBER(FIND("R",R62:X62)))</f>
        <v>0</v>
      </c>
      <c r="BL62" s="101" cm="1">
        <f t="array" ref="BL62">SUMPRODUCT(1*ISNUMBER(FIND("R",Y62:AE62)))</f>
        <v>0</v>
      </c>
      <c r="BM62" s="101" cm="1">
        <f t="array" ref="BM62">SUMPRODUCT(1*ISNUMBER(FIND("R",AF62:AL62)))</f>
        <v>0</v>
      </c>
      <c r="BN62" s="101">
        <f t="shared" si="18"/>
        <v>6</v>
      </c>
      <c r="BP62" s="138">
        <v>8</v>
      </c>
      <c r="BQ62" s="138" cm="1">
        <f t="array" ref="BQ62">SUMPRODUCT(1*ISNUMBER(FIND("P",K62:AL62)))-SUMPRODUCT(1*ISNUMBER(FIND("午P",K62:AL62)))</f>
        <v>0</v>
      </c>
    </row>
    <row r="63" spans="1:69" ht="39.75" hidden="1" customHeight="1" thickTop="1">
      <c r="A63" s="284"/>
      <c r="B63" s="51" t="s">
        <v>34</v>
      </c>
      <c r="C63" s="83" t="s">
        <v>121</v>
      </c>
      <c r="D63" s="184" t="s">
        <v>7</v>
      </c>
      <c r="E63" s="189" t="s">
        <v>142</v>
      </c>
      <c r="F63" s="189" t="s">
        <v>142</v>
      </c>
      <c r="G63" s="189" t="s">
        <v>142</v>
      </c>
      <c r="H63" s="216" t="s">
        <v>142</v>
      </c>
      <c r="I63" s="252" t="s">
        <v>128</v>
      </c>
      <c r="J63" s="216" t="s">
        <v>125</v>
      </c>
      <c r="K63" s="230"/>
      <c r="L63" s="231"/>
      <c r="M63" s="170"/>
      <c r="N63" s="231"/>
      <c r="O63" s="165"/>
      <c r="P63" s="232"/>
      <c r="Q63" s="180"/>
      <c r="R63" s="230"/>
      <c r="S63" s="231"/>
      <c r="T63" s="231"/>
      <c r="U63" s="231"/>
      <c r="V63" s="231"/>
      <c r="W63" s="232"/>
      <c r="X63" s="230"/>
      <c r="Y63" s="230"/>
      <c r="Z63" s="231"/>
      <c r="AA63" s="231"/>
      <c r="AB63" s="231"/>
      <c r="AC63" s="231"/>
      <c r="AD63" s="232"/>
      <c r="AE63" s="230"/>
      <c r="AF63" s="178"/>
      <c r="AG63" s="231"/>
      <c r="AH63" s="231"/>
      <c r="AI63" s="231"/>
      <c r="AJ63" s="231"/>
      <c r="AK63" s="231"/>
      <c r="AL63" s="230"/>
      <c r="AM63" s="147">
        <f t="shared" si="2"/>
        <v>8</v>
      </c>
      <c r="AN63" s="146">
        <v>2</v>
      </c>
      <c r="AO63" s="146">
        <v>2</v>
      </c>
      <c r="AP63" s="150">
        <v>4</v>
      </c>
      <c r="AQ63" s="150">
        <v>4</v>
      </c>
      <c r="AR63" s="150">
        <f t="shared" si="3"/>
        <v>0</v>
      </c>
      <c r="AS63" s="150">
        <f t="shared" si="4"/>
        <v>0</v>
      </c>
      <c r="AT63" s="150">
        <f t="shared" si="5"/>
        <v>2</v>
      </c>
      <c r="AU63" s="150">
        <f t="shared" si="6"/>
        <v>2</v>
      </c>
      <c r="AV63" s="101">
        <f t="shared" si="7"/>
        <v>1</v>
      </c>
      <c r="AW63" s="101">
        <f t="shared" si="8"/>
        <v>0</v>
      </c>
      <c r="AX63" s="101">
        <f t="shared" si="9"/>
        <v>4</v>
      </c>
      <c r="AY63" s="101">
        <f t="shared" si="10"/>
        <v>0</v>
      </c>
      <c r="AZ63" s="101">
        <f t="shared" si="11"/>
        <v>0</v>
      </c>
      <c r="BA63" s="101">
        <f t="shared" si="12"/>
        <v>0</v>
      </c>
      <c r="BB63" s="101">
        <f t="shared" si="13"/>
        <v>0</v>
      </c>
      <c r="BC63" s="101">
        <f t="shared" si="14"/>
        <v>0</v>
      </c>
      <c r="BD63" s="101">
        <f t="shared" si="15"/>
        <v>0</v>
      </c>
      <c r="BE63" s="101" cm="1">
        <f t="array" ref="BE63">SUMPRODUCT(1*ISNUMBER(FIND("R",E63:AH63)))</f>
        <v>0</v>
      </c>
      <c r="BF63" s="101" cm="1">
        <f t="array" ref="BF63">SUMPRODUCT(1*ISNUMBER(FIND("r",E63:AH63)))</f>
        <v>1</v>
      </c>
      <c r="BG63" s="101" cm="1">
        <f t="array" ref="BG63">SUMPRODUCT(1*ISNUMBER(FIND("P",E63:AH63)))-SUMPRODUCT(1*ISNUMBER(FIND("午P",E63:AH63)))</f>
        <v>0</v>
      </c>
      <c r="BH63" s="101">
        <f t="shared" si="16"/>
        <v>1</v>
      </c>
      <c r="BI63" s="101" cm="1">
        <f t="array" ref="BI63">SUMPRODUCT(1*ISNUMBER(FIND("R",D63:J63)))</f>
        <v>1</v>
      </c>
      <c r="BJ63" s="101" cm="1">
        <f t="array" ref="BJ63">SUMPRODUCT(1*ISNUMBER(FIND("R",K63:Q63)))</f>
        <v>0</v>
      </c>
      <c r="BK63" s="101" cm="1">
        <f t="array" ref="BK63">SUMPRODUCT(1*ISNUMBER(FIND("R",R63:X63)))</f>
        <v>0</v>
      </c>
      <c r="BL63" s="101" cm="1">
        <f t="array" ref="BL63">SUMPRODUCT(1*ISNUMBER(FIND("R",Y63:AE63)))</f>
        <v>0</v>
      </c>
      <c r="BM63" s="101" cm="1">
        <f t="array" ref="BM63">SUMPRODUCT(1*ISNUMBER(FIND("R",AF63:AL63)))</f>
        <v>0</v>
      </c>
      <c r="BN63" s="101">
        <f t="shared" si="18"/>
        <v>6</v>
      </c>
      <c r="BP63" s="138">
        <v>8</v>
      </c>
      <c r="BQ63" s="138" cm="1">
        <f t="array" ref="BQ63">SUMPRODUCT(1*ISNUMBER(FIND("P",K63:AL63)))-SUMPRODUCT(1*ISNUMBER(FIND("午P",K63:AL63)))</f>
        <v>0</v>
      </c>
    </row>
    <row r="64" spans="1:69" s="36" customFormat="1" ht="39.75" hidden="1" customHeight="1" thickBot="1">
      <c r="A64" s="293"/>
      <c r="B64" s="64" t="s">
        <v>179</v>
      </c>
      <c r="C64" s="84" t="s">
        <v>180</v>
      </c>
      <c r="D64" s="192" t="s">
        <v>142</v>
      </c>
      <c r="E64" s="192" t="s">
        <v>129</v>
      </c>
      <c r="F64" s="192" t="s">
        <v>125</v>
      </c>
      <c r="G64" s="192" t="s">
        <v>7</v>
      </c>
      <c r="H64" s="214" t="s">
        <v>125</v>
      </c>
      <c r="I64" s="250" t="s">
        <v>142</v>
      </c>
      <c r="J64" s="214" t="s">
        <v>142</v>
      </c>
      <c r="K64" s="208"/>
      <c r="L64" s="197"/>
      <c r="M64" s="197"/>
      <c r="N64" s="197"/>
      <c r="O64" s="197"/>
      <c r="P64" s="241"/>
      <c r="Q64" s="208"/>
      <c r="R64" s="208"/>
      <c r="S64" s="197"/>
      <c r="T64" s="197"/>
      <c r="U64" s="197"/>
      <c r="V64" s="245"/>
      <c r="W64" s="226"/>
      <c r="X64" s="208"/>
      <c r="Y64" s="208"/>
      <c r="Z64" s="197"/>
      <c r="AA64" s="169"/>
      <c r="AB64" s="197"/>
      <c r="AC64" s="197"/>
      <c r="AD64" s="241"/>
      <c r="AE64" s="208"/>
      <c r="AF64" s="208"/>
      <c r="AG64" s="197"/>
      <c r="AH64" s="197"/>
      <c r="AI64" s="197"/>
      <c r="AJ64" s="197"/>
      <c r="AK64" s="197"/>
      <c r="AL64" s="208"/>
      <c r="AM64" s="147">
        <f t="shared" si="2"/>
        <v>8</v>
      </c>
      <c r="AN64" s="146">
        <v>2</v>
      </c>
      <c r="AO64" s="146">
        <v>2</v>
      </c>
      <c r="AP64" s="150">
        <v>4</v>
      </c>
      <c r="AQ64" s="150">
        <v>4</v>
      </c>
      <c r="AR64" s="150">
        <f t="shared" si="3"/>
        <v>0</v>
      </c>
      <c r="AS64" s="150">
        <f t="shared" si="4"/>
        <v>0</v>
      </c>
      <c r="AT64" s="150">
        <f t="shared" si="5"/>
        <v>2</v>
      </c>
      <c r="AU64" s="150">
        <f t="shared" si="6"/>
        <v>2</v>
      </c>
      <c r="AV64" s="101">
        <f t="shared" si="7"/>
        <v>0</v>
      </c>
      <c r="AW64" s="101">
        <f t="shared" si="8"/>
        <v>0</v>
      </c>
      <c r="AX64" s="101">
        <f t="shared" si="9"/>
        <v>2</v>
      </c>
      <c r="AY64" s="101">
        <f t="shared" si="10"/>
        <v>1</v>
      </c>
      <c r="AZ64" s="101">
        <f t="shared" si="11"/>
        <v>0</v>
      </c>
      <c r="BA64" s="101">
        <f t="shared" si="12"/>
        <v>0</v>
      </c>
      <c r="BB64" s="101">
        <f t="shared" si="13"/>
        <v>0</v>
      </c>
      <c r="BC64" s="101">
        <f t="shared" si="14"/>
        <v>0</v>
      </c>
      <c r="BD64" s="101">
        <f t="shared" si="15"/>
        <v>0</v>
      </c>
      <c r="BE64" s="101" cm="1">
        <f t="array" ref="BE64">SUMPRODUCT(1*ISNUMBER(FIND("R",E64:AH64)))</f>
        <v>1</v>
      </c>
      <c r="BF64" s="101" cm="1">
        <f t="array" ref="BF64">SUMPRODUCT(1*ISNUMBER(FIND("r",E64:AH64)))</f>
        <v>2</v>
      </c>
      <c r="BG64" s="101" cm="1">
        <f t="array" ref="BG64">SUMPRODUCT(1*ISNUMBER(FIND("P",E64:AH64)))-SUMPRODUCT(1*ISNUMBER(FIND("午P",E64:AH64)))</f>
        <v>0</v>
      </c>
      <c r="BH64" s="101">
        <f t="shared" si="16"/>
        <v>3</v>
      </c>
      <c r="BI64" s="101" cm="1">
        <f t="array" ref="BI64">SUMPRODUCT(1*ISNUMBER(FIND("R",D64:J64)))</f>
        <v>1</v>
      </c>
      <c r="BJ64" s="101" cm="1">
        <f t="array" ref="BJ64">SUMPRODUCT(1*ISNUMBER(FIND("R",K64:Q64)))</f>
        <v>0</v>
      </c>
      <c r="BK64" s="101" cm="1">
        <f t="array" ref="BK64">SUMPRODUCT(1*ISNUMBER(FIND("R",R64:X64)))</f>
        <v>0</v>
      </c>
      <c r="BL64" s="101" cm="1">
        <f t="array" ref="BL64">SUMPRODUCT(1*ISNUMBER(FIND("R",Y64:AE64)))</f>
        <v>0</v>
      </c>
      <c r="BM64" s="101" cm="1">
        <f t="array" ref="BM64">SUMPRODUCT(1*ISNUMBER(FIND("R",AF64:AL64)))</f>
        <v>0</v>
      </c>
      <c r="BN64" s="101">
        <f t="shared" si="18"/>
        <v>6</v>
      </c>
      <c r="BP64" s="138">
        <v>8</v>
      </c>
      <c r="BQ64" s="138" cm="1">
        <f t="array" ref="BQ64">SUMPRODUCT(1*ISNUMBER(FIND("P",K64:AL64)))-SUMPRODUCT(1*ISNUMBER(FIND("午P",K64:AL64)))</f>
        <v>0</v>
      </c>
    </row>
    <row r="65" spans="1:69" s="99" customFormat="1" ht="39.75" hidden="1" customHeight="1">
      <c r="A65" s="285" t="s">
        <v>222</v>
      </c>
      <c r="B65" s="103" t="s">
        <v>54</v>
      </c>
      <c r="C65" s="112" t="s">
        <v>55</v>
      </c>
      <c r="D65" s="184" t="s">
        <v>144</v>
      </c>
      <c r="E65" s="183" t="s">
        <v>9</v>
      </c>
      <c r="F65" s="184" t="s">
        <v>145</v>
      </c>
      <c r="G65" s="184" t="s">
        <v>145</v>
      </c>
      <c r="H65" s="213" t="s">
        <v>145</v>
      </c>
      <c r="I65" s="248" t="s">
        <v>125</v>
      </c>
      <c r="J65" s="213" t="s">
        <v>7</v>
      </c>
      <c r="K65" s="198"/>
      <c r="L65" s="166"/>
      <c r="M65" s="160"/>
      <c r="N65" s="205"/>
      <c r="O65" s="160"/>
      <c r="P65" s="206"/>
      <c r="Q65" s="178"/>
      <c r="R65" s="178"/>
      <c r="S65" s="160"/>
      <c r="T65" s="205"/>
      <c r="U65" s="205"/>
      <c r="V65" s="205"/>
      <c r="W65" s="206"/>
      <c r="X65" s="198"/>
      <c r="Y65" s="198"/>
      <c r="Z65" s="205"/>
      <c r="AA65" s="205"/>
      <c r="AB65" s="205"/>
      <c r="AC65" s="205"/>
      <c r="AD65" s="206"/>
      <c r="AE65" s="198"/>
      <c r="AF65" s="198"/>
      <c r="AG65" s="166"/>
      <c r="AH65" s="205"/>
      <c r="AI65" s="205"/>
      <c r="AJ65" s="205"/>
      <c r="AK65" s="205"/>
      <c r="AL65" s="198"/>
      <c r="AM65" s="147">
        <f t="shared" si="2"/>
        <v>7</v>
      </c>
      <c r="AN65" s="146">
        <v>2</v>
      </c>
      <c r="AO65" s="146">
        <v>2</v>
      </c>
      <c r="AP65" s="150">
        <v>4</v>
      </c>
      <c r="AQ65" s="150">
        <v>4</v>
      </c>
      <c r="AR65" s="150">
        <f t="shared" si="3"/>
        <v>0</v>
      </c>
      <c r="AS65" s="150">
        <f t="shared" si="4"/>
        <v>0</v>
      </c>
      <c r="AT65" s="150">
        <f t="shared" si="5"/>
        <v>2</v>
      </c>
      <c r="AU65" s="150">
        <f t="shared" si="6"/>
        <v>2</v>
      </c>
      <c r="AV65" s="101">
        <f t="shared" si="7"/>
        <v>0</v>
      </c>
      <c r="AW65" s="101">
        <f t="shared" si="8"/>
        <v>0</v>
      </c>
      <c r="AX65" s="101">
        <f t="shared" si="9"/>
        <v>0</v>
      </c>
      <c r="AY65" s="101">
        <f t="shared" si="10"/>
        <v>0</v>
      </c>
      <c r="AZ65" s="101">
        <f t="shared" si="11"/>
        <v>0</v>
      </c>
      <c r="BA65" s="101">
        <f t="shared" si="12"/>
        <v>3</v>
      </c>
      <c r="BB65" s="101">
        <f t="shared" si="13"/>
        <v>0</v>
      </c>
      <c r="BC65" s="101">
        <f t="shared" si="14"/>
        <v>0</v>
      </c>
      <c r="BD65" s="101">
        <f t="shared" si="15"/>
        <v>0</v>
      </c>
      <c r="BE65" s="101" cm="1">
        <f t="array" ref="BE65">SUMPRODUCT(1*ISNUMBER(FIND("R",E65:AH65)))</f>
        <v>1</v>
      </c>
      <c r="BF65" s="101" cm="1">
        <f t="array" ref="BF65">SUMPRODUCT(1*ISNUMBER(FIND("r",E65:AH65)))</f>
        <v>1</v>
      </c>
      <c r="BG65" s="101" cm="1">
        <f t="array" ref="BG65">SUMPRODUCT(1*ISNUMBER(FIND("P",E65:AH65)))-SUMPRODUCT(1*ISNUMBER(FIND("午P",E65:AH65)))</f>
        <v>1</v>
      </c>
      <c r="BH65" s="101">
        <f t="shared" si="16"/>
        <v>3</v>
      </c>
      <c r="BI65" s="101" cm="1">
        <f t="array" ref="BI65">SUMPRODUCT(1*ISNUMBER(FIND("R",D65:J65)))</f>
        <v>1</v>
      </c>
      <c r="BJ65" s="101" cm="1">
        <f t="array" ref="BJ65">SUMPRODUCT(1*ISNUMBER(FIND("R",K65:Q65)))</f>
        <v>0</v>
      </c>
      <c r="BK65" s="101" cm="1">
        <f t="array" ref="BK65">SUMPRODUCT(1*ISNUMBER(FIND("R",R65:X65)))</f>
        <v>0</v>
      </c>
      <c r="BL65" s="101" cm="1">
        <f t="array" ref="BL65">SUMPRODUCT(1*ISNUMBER(FIND("R",Y65:AE65)))</f>
        <v>0</v>
      </c>
      <c r="BM65" s="101" cm="1">
        <f t="array" ref="BM65">SUMPRODUCT(1*ISNUMBER(FIND("R",AF65:AL65)))</f>
        <v>0</v>
      </c>
      <c r="BN65" s="101">
        <f t="shared" si="18"/>
        <v>6</v>
      </c>
      <c r="BP65" s="138">
        <v>7</v>
      </c>
      <c r="BQ65" s="138" cm="1">
        <f t="array" ref="BQ65">SUMPRODUCT(1*ISNUMBER(FIND("P",K65:AL65)))-SUMPRODUCT(1*ISNUMBER(FIND("午P",K65:AL65)))</f>
        <v>0</v>
      </c>
    </row>
    <row r="66" spans="1:69" s="36" customFormat="1" ht="38.25" hidden="1" customHeight="1">
      <c r="A66" s="294"/>
      <c r="B66" s="44" t="s">
        <v>78</v>
      </c>
      <c r="C66" s="78" t="s">
        <v>278</v>
      </c>
      <c r="D66" s="183" t="s">
        <v>7</v>
      </c>
      <c r="E66" s="193" t="s">
        <v>144</v>
      </c>
      <c r="F66" s="193" t="s">
        <v>144</v>
      </c>
      <c r="G66" s="193" t="s">
        <v>144</v>
      </c>
      <c r="H66" s="222" t="s">
        <v>144</v>
      </c>
      <c r="I66" s="257" t="s">
        <v>144</v>
      </c>
      <c r="J66" s="222" t="s">
        <v>125</v>
      </c>
      <c r="K66" s="202"/>
      <c r="L66" s="160"/>
      <c r="M66" s="160"/>
      <c r="N66" s="160"/>
      <c r="O66" s="160"/>
      <c r="P66" s="159"/>
      <c r="Q66" s="202"/>
      <c r="R66" s="175"/>
      <c r="S66" s="166"/>
      <c r="T66" s="160"/>
      <c r="U66" s="160"/>
      <c r="V66" s="160"/>
      <c r="W66" s="166"/>
      <c r="X66" s="202"/>
      <c r="Y66" s="202"/>
      <c r="Z66" s="203"/>
      <c r="AA66" s="160"/>
      <c r="AB66" s="160"/>
      <c r="AC66" s="160"/>
      <c r="AD66" s="159"/>
      <c r="AE66" s="202"/>
      <c r="AF66" s="202"/>
      <c r="AG66" s="203"/>
      <c r="AH66" s="173"/>
      <c r="AI66" s="203"/>
      <c r="AJ66" s="203"/>
      <c r="AK66" s="203"/>
      <c r="AL66" s="233"/>
      <c r="AM66" s="147">
        <f t="shared" si="2"/>
        <v>9</v>
      </c>
      <c r="AN66" s="146">
        <v>2</v>
      </c>
      <c r="AO66" s="146">
        <v>2</v>
      </c>
      <c r="AP66" s="150">
        <v>4</v>
      </c>
      <c r="AQ66" s="150">
        <v>4</v>
      </c>
      <c r="AR66" s="150">
        <f t="shared" si="3"/>
        <v>0</v>
      </c>
      <c r="AS66" s="150">
        <f t="shared" si="4"/>
        <v>0</v>
      </c>
      <c r="AT66" s="150">
        <f t="shared" si="5"/>
        <v>2</v>
      </c>
      <c r="AU66" s="150">
        <f t="shared" si="6"/>
        <v>2</v>
      </c>
      <c r="AV66" s="101">
        <f t="shared" si="7"/>
        <v>5</v>
      </c>
      <c r="AW66" s="101">
        <f t="shared" si="8"/>
        <v>0</v>
      </c>
      <c r="AX66" s="101">
        <f t="shared" si="9"/>
        <v>0</v>
      </c>
      <c r="AY66" s="101">
        <f t="shared" si="10"/>
        <v>0</v>
      </c>
      <c r="AZ66" s="101">
        <f t="shared" si="11"/>
        <v>0</v>
      </c>
      <c r="BA66" s="101">
        <f t="shared" si="12"/>
        <v>0</v>
      </c>
      <c r="BB66" s="101">
        <f t="shared" si="13"/>
        <v>0</v>
      </c>
      <c r="BC66" s="101">
        <f t="shared" si="14"/>
        <v>0</v>
      </c>
      <c r="BD66" s="101">
        <f t="shared" si="15"/>
        <v>0</v>
      </c>
      <c r="BE66" s="101" cm="1">
        <f t="array" ref="BE66">SUMPRODUCT(1*ISNUMBER(FIND("R",E66:AH66)))</f>
        <v>0</v>
      </c>
      <c r="BF66" s="101" cm="1">
        <f t="array" ref="BF66">SUMPRODUCT(1*ISNUMBER(FIND("r",E66:AH66)))</f>
        <v>1</v>
      </c>
      <c r="BG66" s="101" cm="1">
        <f t="array" ref="BG66">SUMPRODUCT(1*ISNUMBER(FIND("P",E66:AH66)))-SUMPRODUCT(1*ISNUMBER(FIND("午P",E66:AH66)))</f>
        <v>0</v>
      </c>
      <c r="BH66" s="101">
        <f t="shared" si="16"/>
        <v>1</v>
      </c>
      <c r="BI66" s="101" cm="1">
        <f t="array" ref="BI66">SUMPRODUCT(1*ISNUMBER(FIND("R",D66:J66)))</f>
        <v>1</v>
      </c>
      <c r="BJ66" s="101" cm="1">
        <f t="array" ref="BJ66">SUMPRODUCT(1*ISNUMBER(FIND("R",K66:Q66)))</f>
        <v>0</v>
      </c>
      <c r="BK66" s="101" cm="1">
        <f t="array" ref="BK66">SUMPRODUCT(1*ISNUMBER(FIND("R",R66:X66)))</f>
        <v>0</v>
      </c>
      <c r="BL66" s="101" cm="1">
        <f t="array" ref="BL66">SUMPRODUCT(1*ISNUMBER(FIND("R",Y66:AE66)))</f>
        <v>0</v>
      </c>
      <c r="BM66" s="101" cm="1">
        <f t="array" ref="BM66">SUMPRODUCT(1*ISNUMBER(FIND("R",AF66:AL66)))</f>
        <v>0</v>
      </c>
      <c r="BN66" s="101">
        <f t="shared" ref="BN66:BN72" si="19">SUM(AV66:BG66)</f>
        <v>6</v>
      </c>
      <c r="BP66" s="138">
        <v>9</v>
      </c>
      <c r="BQ66" s="138" cm="1">
        <f t="array" ref="BQ66">SUMPRODUCT(1*ISNUMBER(FIND("P",K66:AL66)))-SUMPRODUCT(1*ISNUMBER(FIND("午P",K66:AL66)))</f>
        <v>0</v>
      </c>
    </row>
    <row r="67" spans="1:69" s="36" customFormat="1" ht="39.75" hidden="1" customHeight="1">
      <c r="A67" s="294"/>
      <c r="B67" s="45" t="s">
        <v>79</v>
      </c>
      <c r="C67" s="82" t="s">
        <v>80</v>
      </c>
      <c r="D67" s="184" t="s">
        <v>7</v>
      </c>
      <c r="E67" s="184" t="s">
        <v>143</v>
      </c>
      <c r="F67" s="184" t="s">
        <v>143</v>
      </c>
      <c r="G67" s="184" t="s">
        <v>143</v>
      </c>
      <c r="H67" s="212" t="s">
        <v>125</v>
      </c>
      <c r="I67" s="248" t="s">
        <v>145</v>
      </c>
      <c r="J67" s="213" t="s">
        <v>145</v>
      </c>
      <c r="K67" s="198"/>
      <c r="L67" s="205"/>
      <c r="M67" s="205"/>
      <c r="N67" s="205"/>
      <c r="O67" s="205"/>
      <c r="P67" s="163"/>
      <c r="Q67" s="198"/>
      <c r="R67" s="198"/>
      <c r="S67" s="160"/>
      <c r="T67" s="205"/>
      <c r="U67" s="205"/>
      <c r="V67" s="205"/>
      <c r="W67" s="163"/>
      <c r="X67" s="178"/>
      <c r="Y67" s="198"/>
      <c r="Z67" s="205"/>
      <c r="AA67" s="205"/>
      <c r="AB67" s="170"/>
      <c r="AC67" s="205"/>
      <c r="AD67" s="206"/>
      <c r="AE67" s="198"/>
      <c r="AF67" s="198"/>
      <c r="AG67" s="205"/>
      <c r="AH67" s="205"/>
      <c r="AI67" s="205"/>
      <c r="AJ67" s="205"/>
      <c r="AK67" s="205"/>
      <c r="AL67" s="198"/>
      <c r="AM67" s="147">
        <f t="shared" si="2"/>
        <v>8</v>
      </c>
      <c r="AN67" s="146">
        <v>2</v>
      </c>
      <c r="AO67" s="146">
        <v>2</v>
      </c>
      <c r="AP67" s="150">
        <v>4</v>
      </c>
      <c r="AQ67" s="150">
        <v>4</v>
      </c>
      <c r="AR67" s="150">
        <f t="shared" si="3"/>
        <v>0</v>
      </c>
      <c r="AS67" s="150">
        <f t="shared" si="4"/>
        <v>0</v>
      </c>
      <c r="AT67" s="150">
        <f t="shared" si="5"/>
        <v>2</v>
      </c>
      <c r="AU67" s="150">
        <f t="shared" si="6"/>
        <v>2</v>
      </c>
      <c r="AV67" s="101">
        <f t="shared" si="7"/>
        <v>0</v>
      </c>
      <c r="AW67" s="101">
        <f t="shared" si="8"/>
        <v>0</v>
      </c>
      <c r="AX67" s="101">
        <f t="shared" si="9"/>
        <v>0</v>
      </c>
      <c r="AY67" s="101">
        <f t="shared" si="10"/>
        <v>3</v>
      </c>
      <c r="AZ67" s="101">
        <f t="shared" si="11"/>
        <v>0</v>
      </c>
      <c r="BA67" s="101">
        <f t="shared" si="12"/>
        <v>2</v>
      </c>
      <c r="BB67" s="101">
        <f t="shared" si="13"/>
        <v>0</v>
      </c>
      <c r="BC67" s="101">
        <f t="shared" si="14"/>
        <v>0</v>
      </c>
      <c r="BD67" s="101">
        <f t="shared" si="15"/>
        <v>0</v>
      </c>
      <c r="BE67" s="101" cm="1">
        <f t="array" ref="BE67">SUMPRODUCT(1*ISNUMBER(FIND("R",E67:AH67)))</f>
        <v>0</v>
      </c>
      <c r="BF67" s="101" cm="1">
        <f t="array" ref="BF67">SUMPRODUCT(1*ISNUMBER(FIND("r",E67:AH67)))</f>
        <v>1</v>
      </c>
      <c r="BG67" s="101" cm="1">
        <f t="array" ref="BG67">SUMPRODUCT(1*ISNUMBER(FIND("P",E67:AH67)))-SUMPRODUCT(1*ISNUMBER(FIND("午P",E67:AH67)))</f>
        <v>0</v>
      </c>
      <c r="BH67" s="101">
        <f t="shared" si="16"/>
        <v>1</v>
      </c>
      <c r="BI67" s="101" cm="1">
        <f t="array" ref="BI67">SUMPRODUCT(1*ISNUMBER(FIND("R",D67:J67)))</f>
        <v>1</v>
      </c>
      <c r="BJ67" s="101" cm="1">
        <f t="array" ref="BJ67">SUMPRODUCT(1*ISNUMBER(FIND("R",K67:Q67)))</f>
        <v>0</v>
      </c>
      <c r="BK67" s="101" cm="1">
        <f t="array" ref="BK67">SUMPRODUCT(1*ISNUMBER(FIND("R",R67:X67)))</f>
        <v>0</v>
      </c>
      <c r="BL67" s="101" cm="1">
        <f t="array" ref="BL67">SUMPRODUCT(1*ISNUMBER(FIND("R",Y67:AE67)))</f>
        <v>0</v>
      </c>
      <c r="BM67" s="101" cm="1">
        <f t="array" ref="BM67">SUMPRODUCT(1*ISNUMBER(FIND("R",AF67:AL67)))</f>
        <v>0</v>
      </c>
      <c r="BN67" s="101">
        <f t="shared" si="19"/>
        <v>6</v>
      </c>
      <c r="BP67" s="138">
        <v>8</v>
      </c>
      <c r="BQ67" s="138" cm="1">
        <f t="array" ref="BQ67">SUMPRODUCT(1*ISNUMBER(FIND("P",K67:AL67)))-SUMPRODUCT(1*ISNUMBER(FIND("午P",K67:AL67)))</f>
        <v>0</v>
      </c>
    </row>
    <row r="68" spans="1:69" s="36" customFormat="1" ht="39.75" hidden="1" customHeight="1">
      <c r="A68" s="294"/>
      <c r="B68" s="44" t="s">
        <v>46</v>
      </c>
      <c r="C68" s="78" t="s">
        <v>47</v>
      </c>
      <c r="D68" s="183" t="s">
        <v>145</v>
      </c>
      <c r="E68" s="183" t="s">
        <v>145</v>
      </c>
      <c r="F68" s="183" t="s">
        <v>7</v>
      </c>
      <c r="G68" s="183" t="s">
        <v>125</v>
      </c>
      <c r="H68" s="212" t="s">
        <v>143</v>
      </c>
      <c r="I68" s="247" t="s">
        <v>143</v>
      </c>
      <c r="J68" s="212" t="s">
        <v>143</v>
      </c>
      <c r="K68" s="202"/>
      <c r="L68" s="160"/>
      <c r="M68" s="160"/>
      <c r="N68" s="160"/>
      <c r="O68" s="160"/>
      <c r="P68" s="159"/>
      <c r="Q68" s="202"/>
      <c r="R68" s="202"/>
      <c r="S68" s="160"/>
      <c r="T68" s="166"/>
      <c r="U68" s="160"/>
      <c r="V68" s="160"/>
      <c r="W68" s="159"/>
      <c r="X68" s="202"/>
      <c r="Y68" s="202"/>
      <c r="Z68" s="160"/>
      <c r="AA68" s="160"/>
      <c r="AB68" s="166"/>
      <c r="AC68" s="160"/>
      <c r="AD68" s="159"/>
      <c r="AE68" s="202"/>
      <c r="AF68" s="202"/>
      <c r="AG68" s="160"/>
      <c r="AH68" s="160"/>
      <c r="AI68" s="160"/>
      <c r="AJ68" s="160"/>
      <c r="AK68" s="160"/>
      <c r="AL68" s="202"/>
      <c r="AM68" s="147">
        <f t="shared" ref="AM68:AM72" si="20">BP68+BQ68</f>
        <v>8</v>
      </c>
      <c r="AN68" s="146">
        <v>2</v>
      </c>
      <c r="AO68" s="146">
        <v>2</v>
      </c>
      <c r="AP68" s="150">
        <v>4</v>
      </c>
      <c r="AQ68" s="150">
        <v>4</v>
      </c>
      <c r="AR68" s="150">
        <f t="shared" ref="AR68:AR72" si="21">COUNTIF(K68:X68,"r'*")</f>
        <v>0</v>
      </c>
      <c r="AS68" s="150">
        <f t="shared" ref="AS68:AS72" si="22">COUNTIF(K68:X68,"R")</f>
        <v>0</v>
      </c>
      <c r="AT68" s="150">
        <f t="shared" ref="AT68:AT72" si="23">8-AN68-AP68-AR68</f>
        <v>2</v>
      </c>
      <c r="AU68" s="150">
        <f t="shared" ref="AU68:AU72" si="24">8-AO68-AQ68-AS68</f>
        <v>2</v>
      </c>
      <c r="AV68" s="101">
        <f t="shared" ref="AV68:AV72" si="25">COUNTIF(E68:AH68,"*早*")-AW68</f>
        <v>0</v>
      </c>
      <c r="AW68" s="101">
        <f t="shared" ref="AW68:AW72" si="26">COUNTIF(E68:AH68,"*早A")</f>
        <v>0</v>
      </c>
      <c r="AX68" s="101">
        <f t="shared" ref="AX68:AX72" si="27">COUNTIF(E68:AH68,"*中*")</f>
        <v>0</v>
      </c>
      <c r="AY68" s="101">
        <f t="shared" ref="AY68:AY72" si="28">COUNTIF(E68:AH68,"*午*")-AZ68</f>
        <v>3</v>
      </c>
      <c r="AZ68" s="101">
        <f t="shared" ref="AZ68:AZ72" si="29">COUNTIF(E68:AH68,"*午F")</f>
        <v>0</v>
      </c>
      <c r="BA68" s="101">
        <f t="shared" ref="BA68:BA72" si="30">COUNTIF(E68:AH68,"*夜*")</f>
        <v>1</v>
      </c>
      <c r="BB68" s="101">
        <f t="shared" ref="BB68:BB72" si="31">COUNTIF(E68:AH68,"*T*")</f>
        <v>0</v>
      </c>
      <c r="BC68" s="101">
        <f t="shared" ref="BC68:BC72" si="32">COUNTIF(E68:AH68,"*日*")</f>
        <v>0</v>
      </c>
      <c r="BD68" s="101">
        <f t="shared" ref="BD68:BD72" si="33">COUNTIF(E68:AH68,"L")</f>
        <v>0</v>
      </c>
      <c r="BE68" s="101" cm="1">
        <f t="array" ref="BE68">SUMPRODUCT(1*ISNUMBER(FIND("R",E68:AH68)))</f>
        <v>1</v>
      </c>
      <c r="BF68" s="101" cm="1">
        <f t="array" ref="BF68">SUMPRODUCT(1*ISNUMBER(FIND("r",E68:AH68)))</f>
        <v>1</v>
      </c>
      <c r="BG68" s="101" cm="1">
        <f t="array" ref="BG68">SUMPRODUCT(1*ISNUMBER(FIND("P",E68:AH68)))-SUMPRODUCT(1*ISNUMBER(FIND("午P",E68:AH68)))</f>
        <v>0</v>
      </c>
      <c r="BH68" s="101">
        <f t="shared" ref="BH68:BH72" si="34">SUM(BE68:BG68)</f>
        <v>2</v>
      </c>
      <c r="BI68" s="101" cm="1">
        <f t="array" ref="BI68">SUMPRODUCT(1*ISNUMBER(FIND("R",D68:J68)))</f>
        <v>1</v>
      </c>
      <c r="BJ68" s="101" cm="1">
        <f t="array" ref="BJ68">SUMPRODUCT(1*ISNUMBER(FIND("R",K68:Q68)))</f>
        <v>0</v>
      </c>
      <c r="BK68" s="101" cm="1">
        <f t="array" ref="BK68">SUMPRODUCT(1*ISNUMBER(FIND("R",R68:X68)))</f>
        <v>0</v>
      </c>
      <c r="BL68" s="101" cm="1">
        <f t="array" ref="BL68">SUMPRODUCT(1*ISNUMBER(FIND("R",Y68:AE68)))</f>
        <v>0</v>
      </c>
      <c r="BM68" s="101" cm="1">
        <f t="array" ref="BM68">SUMPRODUCT(1*ISNUMBER(FIND("R",AF68:AL68)))</f>
        <v>0</v>
      </c>
      <c r="BN68" s="101">
        <f t="shared" si="19"/>
        <v>6</v>
      </c>
      <c r="BP68" s="138">
        <v>8</v>
      </c>
      <c r="BQ68" s="138" cm="1">
        <f t="array" ref="BQ68">SUMPRODUCT(1*ISNUMBER(FIND("P",K68:AL68)))-SUMPRODUCT(1*ISNUMBER(FIND("午P",K68:AL68)))</f>
        <v>0</v>
      </c>
    </row>
    <row r="69" spans="1:69" s="36" customFormat="1" ht="39.75" hidden="1" customHeight="1" thickBot="1">
      <c r="A69" s="294"/>
      <c r="B69" s="46" t="s">
        <v>190</v>
      </c>
      <c r="C69" s="81" t="s">
        <v>191</v>
      </c>
      <c r="D69" s="191"/>
      <c r="E69" s="191"/>
      <c r="F69" s="191"/>
      <c r="G69" s="191"/>
      <c r="H69" s="221"/>
      <c r="I69" s="256"/>
      <c r="J69" s="221"/>
      <c r="K69" s="242"/>
      <c r="L69" s="243"/>
      <c r="M69" s="164"/>
      <c r="N69" s="243"/>
      <c r="O69" s="243"/>
      <c r="P69" s="244"/>
      <c r="Q69" s="242"/>
      <c r="R69" s="242"/>
      <c r="S69" s="243"/>
      <c r="T69" s="243"/>
      <c r="U69" s="243"/>
      <c r="V69" s="228"/>
      <c r="W69" s="229"/>
      <c r="X69" s="227"/>
      <c r="Y69" s="242"/>
      <c r="Z69" s="243"/>
      <c r="AA69" s="243"/>
      <c r="AB69" s="243"/>
      <c r="AC69" s="243"/>
      <c r="AD69" s="244"/>
      <c r="AE69" s="227"/>
      <c r="AF69" s="242"/>
      <c r="AG69" s="243"/>
      <c r="AH69" s="164"/>
      <c r="AI69" s="243"/>
      <c r="AJ69" s="243"/>
      <c r="AK69" s="243"/>
      <c r="AL69" s="179"/>
      <c r="AM69" s="147">
        <f t="shared" si="20"/>
        <v>9</v>
      </c>
      <c r="AN69" s="146">
        <v>2</v>
      </c>
      <c r="AO69" s="146">
        <v>2</v>
      </c>
      <c r="AP69" s="150">
        <v>0</v>
      </c>
      <c r="AQ69" s="150">
        <v>0</v>
      </c>
      <c r="AR69" s="150">
        <f t="shared" si="21"/>
        <v>0</v>
      </c>
      <c r="AS69" s="150">
        <f t="shared" si="22"/>
        <v>0</v>
      </c>
      <c r="AT69" s="150">
        <f t="shared" si="23"/>
        <v>6</v>
      </c>
      <c r="AU69" s="150">
        <f t="shared" si="24"/>
        <v>6</v>
      </c>
      <c r="AV69" s="101">
        <f t="shared" si="25"/>
        <v>0</v>
      </c>
      <c r="AW69" s="101">
        <f t="shared" si="26"/>
        <v>0</v>
      </c>
      <c r="AX69" s="101">
        <f t="shared" si="27"/>
        <v>0</v>
      </c>
      <c r="AY69" s="101">
        <f t="shared" si="28"/>
        <v>0</v>
      </c>
      <c r="AZ69" s="101">
        <f t="shared" si="29"/>
        <v>0</v>
      </c>
      <c r="BA69" s="101">
        <f t="shared" si="30"/>
        <v>0</v>
      </c>
      <c r="BB69" s="101">
        <f t="shared" si="31"/>
        <v>0</v>
      </c>
      <c r="BC69" s="101">
        <f t="shared" si="32"/>
        <v>0</v>
      </c>
      <c r="BD69" s="101">
        <f t="shared" si="33"/>
        <v>0</v>
      </c>
      <c r="BE69" s="101" cm="1">
        <f t="array" ref="BE69">SUMPRODUCT(1*ISNUMBER(FIND("R",E69:AH69)))</f>
        <v>0</v>
      </c>
      <c r="BF69" s="101" cm="1">
        <f t="array" ref="BF69">SUMPRODUCT(1*ISNUMBER(FIND("r",E69:AH69)))</f>
        <v>0</v>
      </c>
      <c r="BG69" s="101" cm="1">
        <f t="array" ref="BG69">SUMPRODUCT(1*ISNUMBER(FIND("P",E69:AH69)))-SUMPRODUCT(1*ISNUMBER(FIND("午P",E69:AH69)))</f>
        <v>0</v>
      </c>
      <c r="BH69" s="101">
        <f t="shared" si="34"/>
        <v>0</v>
      </c>
      <c r="BI69" s="101" cm="1">
        <f t="array" ref="BI69">SUMPRODUCT(1*ISNUMBER(FIND("R",D69:J69)))</f>
        <v>0</v>
      </c>
      <c r="BJ69" s="101" cm="1">
        <f t="array" ref="BJ69">SUMPRODUCT(1*ISNUMBER(FIND("R",K69:Q69)))</f>
        <v>0</v>
      </c>
      <c r="BK69" s="101" cm="1">
        <f t="array" ref="BK69">SUMPRODUCT(1*ISNUMBER(FIND("R",R69:X69)))</f>
        <v>0</v>
      </c>
      <c r="BL69" s="101" cm="1">
        <f t="array" ref="BL69">SUMPRODUCT(1*ISNUMBER(FIND("R",Y69:AE69)))</f>
        <v>0</v>
      </c>
      <c r="BM69" s="101" cm="1">
        <f t="array" ref="BM69">SUMPRODUCT(1*ISNUMBER(FIND("R",AF69:AL69)))</f>
        <v>0</v>
      </c>
      <c r="BN69" s="101">
        <f t="shared" si="19"/>
        <v>0</v>
      </c>
      <c r="BP69" s="138">
        <v>9</v>
      </c>
      <c r="BQ69" s="138" cm="1">
        <f t="array" ref="BQ69">SUMPRODUCT(1*ISNUMBER(FIND("P",K69:AL69)))-SUMPRODUCT(1*ISNUMBER(FIND("午P",K69:AL69)))</f>
        <v>0</v>
      </c>
    </row>
    <row r="70" spans="1:69" s="36" customFormat="1" ht="39.75" hidden="1" customHeight="1" thickTop="1">
      <c r="A70" s="294"/>
      <c r="B70" s="45" t="s">
        <v>65</v>
      </c>
      <c r="C70" s="82" t="s">
        <v>66</v>
      </c>
      <c r="D70" s="184" t="s">
        <v>7</v>
      </c>
      <c r="E70" s="184" t="s">
        <v>6</v>
      </c>
      <c r="F70" s="184" t="s">
        <v>6</v>
      </c>
      <c r="G70" s="184" t="s">
        <v>6</v>
      </c>
      <c r="H70" s="213" t="s">
        <v>6</v>
      </c>
      <c r="I70" s="248" t="s">
        <v>6</v>
      </c>
      <c r="J70" s="213" t="s">
        <v>125</v>
      </c>
      <c r="K70" s="198"/>
      <c r="L70" s="205"/>
      <c r="M70" s="205"/>
      <c r="N70" s="205"/>
      <c r="O70" s="205"/>
      <c r="P70" s="206"/>
      <c r="Q70" s="198"/>
      <c r="R70" s="198"/>
      <c r="S70" s="205"/>
      <c r="T70" s="205"/>
      <c r="U70" s="205"/>
      <c r="V70" s="205"/>
      <c r="W70" s="232"/>
      <c r="X70" s="198"/>
      <c r="Y70" s="198"/>
      <c r="Z70" s="205"/>
      <c r="AA70" s="205"/>
      <c r="AB70" s="205"/>
      <c r="AC70" s="205"/>
      <c r="AD70" s="206"/>
      <c r="AE70" s="198"/>
      <c r="AF70" s="198"/>
      <c r="AG70" s="205"/>
      <c r="AH70" s="205"/>
      <c r="AI70" s="205"/>
      <c r="AJ70" s="205"/>
      <c r="AK70" s="205"/>
      <c r="AL70" s="198"/>
      <c r="AM70" s="147">
        <f t="shared" si="20"/>
        <v>11</v>
      </c>
      <c r="AN70" s="146">
        <v>2</v>
      </c>
      <c r="AO70" s="146">
        <v>2</v>
      </c>
      <c r="AP70" s="150">
        <v>4</v>
      </c>
      <c r="AQ70" s="150">
        <v>4</v>
      </c>
      <c r="AR70" s="150">
        <f t="shared" si="21"/>
        <v>0</v>
      </c>
      <c r="AS70" s="150">
        <f t="shared" si="22"/>
        <v>0</v>
      </c>
      <c r="AT70" s="150">
        <f t="shared" si="23"/>
        <v>2</v>
      </c>
      <c r="AU70" s="150">
        <f t="shared" si="24"/>
        <v>2</v>
      </c>
      <c r="AV70" s="101">
        <f t="shared" si="25"/>
        <v>0</v>
      </c>
      <c r="AW70" s="101">
        <f t="shared" si="26"/>
        <v>0</v>
      </c>
      <c r="AX70" s="101">
        <f t="shared" si="27"/>
        <v>0</v>
      </c>
      <c r="AY70" s="101">
        <f t="shared" si="28"/>
        <v>0</v>
      </c>
      <c r="AZ70" s="101">
        <f t="shared" si="29"/>
        <v>0</v>
      </c>
      <c r="BA70" s="101">
        <f t="shared" si="30"/>
        <v>0</v>
      </c>
      <c r="BB70" s="101">
        <f t="shared" si="31"/>
        <v>0</v>
      </c>
      <c r="BC70" s="101">
        <f t="shared" si="32"/>
        <v>0</v>
      </c>
      <c r="BD70" s="101">
        <f t="shared" si="33"/>
        <v>5</v>
      </c>
      <c r="BE70" s="101" cm="1">
        <f t="array" ref="BE70">SUMPRODUCT(1*ISNUMBER(FIND("R",E70:AH70)))</f>
        <v>0</v>
      </c>
      <c r="BF70" s="101" cm="1">
        <f t="array" ref="BF70">SUMPRODUCT(1*ISNUMBER(FIND("r",E70:AH70)))</f>
        <v>1</v>
      </c>
      <c r="BG70" s="101" cm="1">
        <f t="array" ref="BG70">SUMPRODUCT(1*ISNUMBER(FIND("P",E70:AH70)))-SUMPRODUCT(1*ISNUMBER(FIND("午P",E70:AH70)))</f>
        <v>0</v>
      </c>
      <c r="BH70" s="101">
        <f t="shared" si="34"/>
        <v>1</v>
      </c>
      <c r="BI70" s="101" cm="1">
        <f t="array" ref="BI70">SUMPRODUCT(1*ISNUMBER(FIND("R",D70:J70)))</f>
        <v>1</v>
      </c>
      <c r="BJ70" s="101" cm="1">
        <f t="array" ref="BJ70">SUMPRODUCT(1*ISNUMBER(FIND("R",K70:Q70)))</f>
        <v>0</v>
      </c>
      <c r="BK70" s="101" cm="1">
        <f t="array" ref="BK70">SUMPRODUCT(1*ISNUMBER(FIND("R",R70:X70)))</f>
        <v>0</v>
      </c>
      <c r="BL70" s="101" cm="1">
        <f t="array" ref="BL70">SUMPRODUCT(1*ISNUMBER(FIND("R",Y70:AE70)))</f>
        <v>0</v>
      </c>
      <c r="BM70" s="101" cm="1">
        <f t="array" ref="BM70">SUMPRODUCT(1*ISNUMBER(FIND("R",AF70:AL70)))</f>
        <v>0</v>
      </c>
      <c r="BN70" s="101">
        <f t="shared" si="19"/>
        <v>6</v>
      </c>
      <c r="BP70" s="138">
        <v>11</v>
      </c>
      <c r="BQ70" s="138" cm="1">
        <f t="array" ref="BQ70">SUMPRODUCT(1*ISNUMBER(FIND("P",K70:AL70)))-SUMPRODUCT(1*ISNUMBER(FIND("午P",K70:AL70)))</f>
        <v>0</v>
      </c>
    </row>
    <row r="71" spans="1:69" s="36" customFormat="1" ht="39.75" hidden="1" customHeight="1">
      <c r="A71" s="294"/>
      <c r="B71" s="44" t="s">
        <v>181</v>
      </c>
      <c r="C71" s="78" t="s">
        <v>182</v>
      </c>
      <c r="D71" s="190" t="s">
        <v>9</v>
      </c>
      <c r="E71" s="190" t="s">
        <v>143</v>
      </c>
      <c r="F71" s="190" t="s">
        <v>146</v>
      </c>
      <c r="G71" s="190" t="s">
        <v>146</v>
      </c>
      <c r="H71" s="217" t="s">
        <v>146</v>
      </c>
      <c r="I71" s="253" t="s">
        <v>7</v>
      </c>
      <c r="J71" s="217" t="s">
        <v>125</v>
      </c>
      <c r="K71" s="234"/>
      <c r="L71" s="160"/>
      <c r="M71" s="235"/>
      <c r="N71" s="235"/>
      <c r="O71" s="235"/>
      <c r="P71" s="236"/>
      <c r="Q71" s="234"/>
      <c r="R71" s="234"/>
      <c r="S71" s="235"/>
      <c r="T71" s="235"/>
      <c r="U71" s="235"/>
      <c r="V71" s="235"/>
      <c r="W71" s="235"/>
      <c r="X71" s="234"/>
      <c r="Y71" s="234"/>
      <c r="Z71" s="259"/>
      <c r="AA71" s="160" t="s">
        <v>312</v>
      </c>
      <c r="AB71" s="235"/>
      <c r="AC71" s="235"/>
      <c r="AD71" s="236"/>
      <c r="AE71" s="176"/>
      <c r="AF71" s="234"/>
      <c r="AG71" s="235"/>
      <c r="AH71" s="235"/>
      <c r="AI71" s="235"/>
      <c r="AJ71" s="235"/>
      <c r="AK71" s="174"/>
      <c r="AL71" s="176"/>
      <c r="AM71" s="147">
        <f t="shared" si="20"/>
        <v>8</v>
      </c>
      <c r="AN71" s="146">
        <v>2</v>
      </c>
      <c r="AO71" s="146">
        <v>2</v>
      </c>
      <c r="AP71" s="150">
        <v>4</v>
      </c>
      <c r="AQ71" s="150">
        <v>4</v>
      </c>
      <c r="AR71" s="150">
        <f t="shared" si="21"/>
        <v>0</v>
      </c>
      <c r="AS71" s="150">
        <f t="shared" si="22"/>
        <v>0</v>
      </c>
      <c r="AT71" s="150">
        <f t="shared" si="23"/>
        <v>2</v>
      </c>
      <c r="AU71" s="150">
        <f t="shared" si="24"/>
        <v>2</v>
      </c>
      <c r="AV71" s="101">
        <f t="shared" si="25"/>
        <v>0</v>
      </c>
      <c r="AW71" s="101">
        <f t="shared" si="26"/>
        <v>0</v>
      </c>
      <c r="AX71" s="101">
        <f t="shared" si="27"/>
        <v>3</v>
      </c>
      <c r="AY71" s="101">
        <f t="shared" si="28"/>
        <v>1</v>
      </c>
      <c r="AZ71" s="101">
        <f t="shared" si="29"/>
        <v>0</v>
      </c>
      <c r="BA71" s="101">
        <f t="shared" si="30"/>
        <v>0</v>
      </c>
      <c r="BB71" s="101">
        <f t="shared" si="31"/>
        <v>0</v>
      </c>
      <c r="BC71" s="101">
        <f t="shared" si="32"/>
        <v>0</v>
      </c>
      <c r="BD71" s="101">
        <f t="shared" si="33"/>
        <v>0</v>
      </c>
      <c r="BE71" s="101" cm="1">
        <f t="array" ref="BE71">SUMPRODUCT(1*ISNUMBER(FIND("R",E71:AH71)))</f>
        <v>1</v>
      </c>
      <c r="BF71" s="101" cm="1">
        <f t="array" ref="BF71">SUMPRODUCT(1*ISNUMBER(FIND("r",E71:AH71)))</f>
        <v>1</v>
      </c>
      <c r="BG71" s="101" cm="1">
        <f t="array" ref="BG71">SUMPRODUCT(1*ISNUMBER(FIND("P",E71:AH71)))-SUMPRODUCT(1*ISNUMBER(FIND("午P",E71:AH71)))</f>
        <v>0</v>
      </c>
      <c r="BH71" s="101">
        <f t="shared" si="34"/>
        <v>2</v>
      </c>
      <c r="BI71" s="101" cm="1">
        <f t="array" ref="BI71">SUMPRODUCT(1*ISNUMBER(FIND("R",D71:J71)))</f>
        <v>1</v>
      </c>
      <c r="BJ71" s="101" cm="1">
        <f t="array" ref="BJ71">SUMPRODUCT(1*ISNUMBER(FIND("R",K71:Q71)))</f>
        <v>0</v>
      </c>
      <c r="BK71" s="101" cm="1">
        <f t="array" ref="BK71">SUMPRODUCT(1*ISNUMBER(FIND("R",R71:X71)))</f>
        <v>0</v>
      </c>
      <c r="BL71" s="101" cm="1">
        <f t="array" ref="BL71">SUMPRODUCT(1*ISNUMBER(FIND("R",Y71:AE71)))</f>
        <v>0</v>
      </c>
      <c r="BM71" s="101" cm="1">
        <f t="array" ref="BM71">SUMPRODUCT(1*ISNUMBER(FIND("R",AF71:AL71)))</f>
        <v>0</v>
      </c>
      <c r="BN71" s="101">
        <f t="shared" si="19"/>
        <v>6</v>
      </c>
      <c r="BP71" s="138">
        <v>8</v>
      </c>
      <c r="BQ71" s="138" cm="1">
        <f t="array" ref="BQ71">SUMPRODUCT(1*ISNUMBER(FIND("P",K71:AL71)))-SUMPRODUCT(1*ISNUMBER(FIND("午P",K71:AL71)))</f>
        <v>0</v>
      </c>
    </row>
    <row r="72" spans="1:69" s="36" customFormat="1" ht="39.75" hidden="1" customHeight="1" thickBot="1">
      <c r="A72" s="288"/>
      <c r="B72" s="64" t="s">
        <v>189</v>
      </c>
      <c r="C72" s="84" t="s">
        <v>258</v>
      </c>
      <c r="D72" s="185" t="s">
        <v>146</v>
      </c>
      <c r="E72" s="185" t="s">
        <v>144</v>
      </c>
      <c r="F72" s="185" t="s">
        <v>7</v>
      </c>
      <c r="G72" s="185" t="s">
        <v>246</v>
      </c>
      <c r="H72" s="220" t="s">
        <v>125</v>
      </c>
      <c r="I72" s="255" t="s">
        <v>146</v>
      </c>
      <c r="J72" s="220" t="s">
        <v>146</v>
      </c>
      <c r="K72" s="196"/>
      <c r="L72" s="197"/>
      <c r="M72" s="226"/>
      <c r="N72" s="226"/>
      <c r="O72" s="226"/>
      <c r="P72" s="172"/>
      <c r="Q72" s="196"/>
      <c r="R72" s="196"/>
      <c r="S72" s="226"/>
      <c r="T72" s="169"/>
      <c r="U72" s="226"/>
      <c r="V72" s="226"/>
      <c r="W72" s="160"/>
      <c r="X72" s="195"/>
      <c r="Y72" s="195"/>
      <c r="Z72" s="226"/>
      <c r="AA72" s="226"/>
      <c r="AB72" s="226"/>
      <c r="AC72" s="226"/>
      <c r="AD72" s="172"/>
      <c r="AE72" s="196"/>
      <c r="AF72" s="196"/>
      <c r="AG72" s="226"/>
      <c r="AH72" s="169"/>
      <c r="AI72" s="226"/>
      <c r="AJ72" s="226"/>
      <c r="AK72" s="226"/>
      <c r="AL72" s="196"/>
      <c r="AM72" s="147">
        <f t="shared" si="20"/>
        <v>9</v>
      </c>
      <c r="AN72" s="146">
        <v>2</v>
      </c>
      <c r="AO72" s="146">
        <v>2</v>
      </c>
      <c r="AP72" s="150">
        <v>4</v>
      </c>
      <c r="AQ72" s="150">
        <v>4</v>
      </c>
      <c r="AR72" s="150">
        <f t="shared" si="21"/>
        <v>0</v>
      </c>
      <c r="AS72" s="150">
        <f t="shared" si="22"/>
        <v>0</v>
      </c>
      <c r="AT72" s="150">
        <f t="shared" si="23"/>
        <v>2</v>
      </c>
      <c r="AU72" s="150">
        <f t="shared" si="24"/>
        <v>2</v>
      </c>
      <c r="AV72" s="101">
        <f t="shared" si="25"/>
        <v>2</v>
      </c>
      <c r="AW72" s="101">
        <f t="shared" si="26"/>
        <v>0</v>
      </c>
      <c r="AX72" s="101">
        <f t="shared" si="27"/>
        <v>2</v>
      </c>
      <c r="AY72" s="101">
        <f t="shared" si="28"/>
        <v>0</v>
      </c>
      <c r="AZ72" s="101">
        <f t="shared" si="29"/>
        <v>0</v>
      </c>
      <c r="BA72" s="101">
        <f t="shared" si="30"/>
        <v>0</v>
      </c>
      <c r="BB72" s="101">
        <f t="shared" si="31"/>
        <v>0</v>
      </c>
      <c r="BC72" s="101">
        <f t="shared" si="32"/>
        <v>0</v>
      </c>
      <c r="BD72" s="101">
        <f t="shared" si="33"/>
        <v>0</v>
      </c>
      <c r="BE72" s="101" cm="1">
        <f t="array" ref="BE72">SUMPRODUCT(1*ISNUMBER(FIND("R",E72:AH72)))</f>
        <v>1</v>
      </c>
      <c r="BF72" s="101" cm="1">
        <f t="array" ref="BF72">SUMPRODUCT(1*ISNUMBER(FIND("r",E72:AH72)))</f>
        <v>1</v>
      </c>
      <c r="BG72" s="101" cm="1">
        <f t="array" ref="BG72">SUMPRODUCT(1*ISNUMBER(FIND("P",E72:AH72)))-SUMPRODUCT(1*ISNUMBER(FIND("午P",E72:AH72)))</f>
        <v>0</v>
      </c>
      <c r="BH72" s="101">
        <f t="shared" si="34"/>
        <v>2</v>
      </c>
      <c r="BI72" s="101" cm="1">
        <f t="array" ref="BI72">SUMPRODUCT(1*ISNUMBER(FIND("R",D72:J72)))</f>
        <v>1</v>
      </c>
      <c r="BJ72" s="101" cm="1">
        <f t="array" ref="BJ72">SUMPRODUCT(1*ISNUMBER(FIND("R",K72:Q72)))</f>
        <v>0</v>
      </c>
      <c r="BK72" s="101" cm="1">
        <f t="array" ref="BK72">SUMPRODUCT(1*ISNUMBER(FIND("R",R72:X72)))</f>
        <v>0</v>
      </c>
      <c r="BL72" s="101" cm="1">
        <f t="array" ref="BL72">SUMPRODUCT(1*ISNUMBER(FIND("R",Y72:AE72)))</f>
        <v>0</v>
      </c>
      <c r="BM72" s="101" cm="1">
        <f t="array" ref="BM72">SUMPRODUCT(1*ISNUMBER(FIND("R",AF72:AL72)))</f>
        <v>0</v>
      </c>
      <c r="BN72" s="101">
        <f t="shared" si="19"/>
        <v>6</v>
      </c>
      <c r="BP72" s="138">
        <v>9</v>
      </c>
      <c r="BQ72" s="138" cm="1">
        <f t="array" ref="BQ72">SUMPRODUCT(1*ISNUMBER(FIND("P",K72:AL72)))-SUMPRODUCT(1*ISNUMBER(FIND("午P",K72:AL72)))</f>
        <v>0</v>
      </c>
    </row>
    <row r="73" spans="1:69" ht="171" hidden="1" customHeight="1">
      <c r="A73" s="292"/>
      <c r="B73" s="283"/>
      <c r="C73" s="272" t="s">
        <v>253</v>
      </c>
      <c r="D73" s="273"/>
      <c r="E73" s="273"/>
      <c r="F73" s="273"/>
      <c r="G73" s="273"/>
      <c r="H73" s="273"/>
      <c r="I73" s="273"/>
      <c r="J73" s="273"/>
      <c r="K73" s="273"/>
      <c r="L73" s="273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3"/>
      <c r="Y73" s="273"/>
      <c r="Z73" s="273"/>
      <c r="AA73" s="273"/>
      <c r="AB73" s="273"/>
      <c r="AC73" s="273"/>
      <c r="AD73" s="274"/>
      <c r="AE73" s="274"/>
      <c r="AF73" s="274"/>
      <c r="AG73" s="86"/>
      <c r="AH73" s="86"/>
      <c r="AI73" s="86"/>
      <c r="AJ73" s="86"/>
      <c r="AK73" s="86"/>
      <c r="AL73" s="86"/>
      <c r="AM73" s="52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10"/>
      <c r="BJ73" s="10"/>
      <c r="BK73" s="10"/>
      <c r="BL73" s="10"/>
      <c r="BM73" s="10"/>
      <c r="BN73" s="10"/>
    </row>
    <row r="74" spans="1:69" ht="31.5" hidden="1" customHeight="1">
      <c r="A74" s="278" t="s">
        <v>109</v>
      </c>
      <c r="B74" s="279"/>
      <c r="C74" s="279"/>
      <c r="D74" s="93"/>
      <c r="E74" s="93"/>
      <c r="F74" s="93"/>
      <c r="G74" s="304"/>
      <c r="H74" s="304"/>
      <c r="I74" s="304"/>
      <c r="J74" s="304"/>
      <c r="K74" s="304"/>
      <c r="L74" s="304"/>
      <c r="M74" s="304"/>
      <c r="N74" s="304"/>
      <c r="O74" s="304"/>
      <c r="P74" s="304"/>
      <c r="Q74" s="304"/>
      <c r="R74" s="304"/>
      <c r="S74" s="304"/>
      <c r="T74" s="304"/>
      <c r="U74" s="304"/>
      <c r="V74" s="304"/>
      <c r="W74" s="304"/>
      <c r="X74" s="304"/>
      <c r="Y74" s="11"/>
      <c r="Z74" s="91"/>
      <c r="AA74" s="91"/>
      <c r="AB74" s="91"/>
      <c r="AC74" s="12"/>
      <c r="AD74" s="12"/>
      <c r="AE74" s="12"/>
      <c r="AF74" s="12"/>
      <c r="AG74" s="91"/>
      <c r="AH74" s="91"/>
      <c r="AI74" s="91"/>
      <c r="AJ74" s="91"/>
      <c r="AK74" s="91"/>
      <c r="AL74" s="91"/>
      <c r="AM74" s="13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10"/>
      <c r="BJ74" s="10"/>
      <c r="BK74" s="10"/>
      <c r="BL74" s="10"/>
      <c r="BM74" s="10"/>
      <c r="BN74" s="10"/>
    </row>
    <row r="75" spans="1:69" ht="30.75" hidden="1">
      <c r="A75" s="280"/>
      <c r="B75" s="281"/>
      <c r="C75" s="281"/>
      <c r="D75" s="94"/>
      <c r="E75" s="94"/>
      <c r="F75" s="9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7"/>
      <c r="X75" s="8"/>
      <c r="Y75" s="8"/>
      <c r="Z75" s="87"/>
      <c r="AA75" s="87"/>
      <c r="AB75" s="87"/>
      <c r="AC75" s="13"/>
      <c r="AD75" s="13"/>
      <c r="AE75" s="13"/>
      <c r="AF75" s="13"/>
      <c r="AG75" s="87"/>
      <c r="AH75" s="87"/>
      <c r="AI75" s="87"/>
      <c r="AJ75" s="87"/>
      <c r="AK75" s="87"/>
      <c r="AL75" s="87"/>
      <c r="AM75" s="13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10"/>
      <c r="BJ75" s="10"/>
      <c r="BK75" s="10"/>
      <c r="BL75" s="10"/>
      <c r="BM75" s="10"/>
      <c r="BN75" s="10"/>
    </row>
    <row r="76" spans="1:69" ht="30.75" hidden="1">
      <c r="A76" s="280"/>
      <c r="B76" s="281"/>
      <c r="C76" s="281"/>
      <c r="D76" s="94"/>
      <c r="E76" s="94"/>
      <c r="F76" s="94"/>
      <c r="G76" s="3"/>
      <c r="H76" s="3"/>
      <c r="I76" s="3"/>
      <c r="J76" s="3"/>
      <c r="K76" s="3"/>
      <c r="L76" s="3"/>
      <c r="M76"/>
      <c r="N76" s="8"/>
      <c r="O76" s="6"/>
      <c r="P76" s="7"/>
      <c r="Q76" s="8"/>
      <c r="R76" s="65"/>
      <c r="S76" s="8"/>
      <c r="T76" s="8"/>
      <c r="U76" s="8"/>
      <c r="V76" s="8"/>
      <c r="W76" s="7"/>
      <c r="X76" s="8"/>
      <c r="Y76" s="8"/>
      <c r="Z76" s="87"/>
      <c r="AA76" s="87"/>
      <c r="AB76" s="87"/>
      <c r="AC76" s="13"/>
      <c r="AD76" s="13"/>
      <c r="AE76" s="13"/>
      <c r="AF76" s="13"/>
      <c r="AG76" s="87"/>
      <c r="AH76" s="87"/>
      <c r="AI76" s="87"/>
      <c r="AJ76" s="87"/>
      <c r="AK76" s="87"/>
      <c r="AL76" s="87"/>
      <c r="AM76" s="13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10"/>
      <c r="BJ76" s="10"/>
      <c r="BK76" s="10"/>
      <c r="BL76" s="10"/>
      <c r="BM76" s="10"/>
      <c r="BN76" s="10"/>
    </row>
    <row r="77" spans="1:69" ht="30.75" hidden="1">
      <c r="A77" s="280"/>
      <c r="B77" s="281"/>
      <c r="C77" s="281"/>
      <c r="D77" s="94"/>
      <c r="E77" s="94"/>
      <c r="F77" s="94"/>
      <c r="G77" s="4"/>
      <c r="H77" s="4"/>
      <c r="I77" s="4"/>
      <c r="J77" s="4"/>
      <c r="K77" s="4"/>
      <c r="L77" s="4"/>
      <c r="M77" s="8"/>
      <c r="N77" s="8"/>
      <c r="O77" s="6"/>
      <c r="P77" s="7"/>
      <c r="Q77" s="8"/>
      <c r="R77" s="65"/>
      <c r="S77" s="8"/>
      <c r="T77" s="8"/>
      <c r="U77" s="8"/>
      <c r="V77" s="8"/>
      <c r="W77" s="7"/>
      <c r="X77" s="8"/>
      <c r="Y77" s="8"/>
      <c r="Z77" s="87"/>
      <c r="AA77" s="87"/>
      <c r="AB77" s="87"/>
      <c r="AC77" s="13"/>
      <c r="AD77" s="13"/>
      <c r="AE77" s="13"/>
      <c r="AF77" s="13"/>
      <c r="AG77" s="87"/>
      <c r="AH77" s="87"/>
      <c r="AI77" s="87"/>
      <c r="AJ77" s="87"/>
      <c r="AK77" s="87"/>
      <c r="AL77" s="87"/>
      <c r="AM77" s="13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10"/>
      <c r="BJ77" s="10"/>
      <c r="BK77" s="10"/>
      <c r="BL77" s="10"/>
      <c r="BM77" s="10"/>
      <c r="BN77" s="10"/>
    </row>
    <row r="78" spans="1:69" ht="24.75" hidden="1" customHeight="1">
      <c r="A78" s="282"/>
      <c r="B78" s="283"/>
      <c r="C78" s="283"/>
      <c r="D78" s="95"/>
      <c r="E78" s="95"/>
      <c r="F78" s="95"/>
      <c r="G78" s="14"/>
      <c r="H78" s="14"/>
      <c r="I78" s="14"/>
      <c r="J78" s="14"/>
      <c r="K78" s="14"/>
      <c r="L78" s="14"/>
      <c r="M78" s="14"/>
      <c r="N78" s="14"/>
      <c r="O78" s="15"/>
      <c r="P78" s="16"/>
      <c r="Q78" s="14"/>
      <c r="R78" s="66"/>
      <c r="S78" s="14"/>
      <c r="T78" s="14"/>
      <c r="U78" s="14"/>
      <c r="V78" s="14"/>
      <c r="W78" s="16"/>
      <c r="X78" s="14"/>
      <c r="Y78" s="14"/>
      <c r="Z78" s="92"/>
      <c r="AA78" s="92"/>
      <c r="AB78" s="92"/>
      <c r="AC78" s="17"/>
      <c r="AD78" s="17"/>
      <c r="AE78" s="17"/>
      <c r="AF78" s="17"/>
      <c r="AG78" s="92"/>
      <c r="AH78" s="92"/>
      <c r="AI78" s="92"/>
      <c r="AJ78" s="92"/>
      <c r="AK78" s="92"/>
      <c r="AL78" s="92"/>
      <c r="AM78" s="13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10"/>
      <c r="BJ78" s="10"/>
      <c r="BK78" s="10"/>
      <c r="BL78" s="10"/>
      <c r="BM78" s="10"/>
      <c r="BN78" s="10"/>
      <c r="BP78" s="21"/>
    </row>
    <row r="79" spans="1:69" s="21" customFormat="1" ht="24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67"/>
      <c r="S79" s="19"/>
      <c r="T79" s="19"/>
      <c r="U79" s="19"/>
      <c r="V79" s="19"/>
      <c r="W79" s="19"/>
      <c r="X79" s="19"/>
      <c r="Y79" s="19"/>
      <c r="Z79" s="88"/>
      <c r="AA79" s="88"/>
      <c r="AB79" s="88"/>
      <c r="AC79" s="19"/>
      <c r="AD79" s="19"/>
      <c r="AE79" s="19"/>
      <c r="AF79" s="19"/>
      <c r="AG79" s="88"/>
      <c r="AH79" s="88"/>
      <c r="AI79" s="88"/>
      <c r="AJ79" s="88"/>
      <c r="AK79" s="88"/>
      <c r="AL79" s="88"/>
      <c r="AM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20"/>
      <c r="BI79" s="20"/>
      <c r="BJ79" s="20"/>
      <c r="BP79" s="99"/>
    </row>
    <row r="80" spans="1:69" s="99" customFormat="1" ht="63.75" hidden="1" customHeight="1">
      <c r="A80" s="295"/>
      <c r="B80" s="297" t="s">
        <v>0</v>
      </c>
      <c r="C80" s="299" t="s">
        <v>107</v>
      </c>
      <c r="D80" s="114">
        <f t="shared" ref="D80:AL80" si="35">D1</f>
        <v>46201</v>
      </c>
      <c r="E80" s="114">
        <f t="shared" si="35"/>
        <v>46202</v>
      </c>
      <c r="F80" s="114">
        <f t="shared" si="35"/>
        <v>46203</v>
      </c>
      <c r="G80" s="114">
        <f t="shared" si="35"/>
        <v>46204</v>
      </c>
      <c r="H80" s="114">
        <f t="shared" si="35"/>
        <v>46205</v>
      </c>
      <c r="I80" s="114">
        <f t="shared" si="35"/>
        <v>46206</v>
      </c>
      <c r="J80" s="114">
        <f t="shared" si="35"/>
        <v>46207</v>
      </c>
      <c r="K80" s="114">
        <f t="shared" si="35"/>
        <v>46208</v>
      </c>
      <c r="L80" s="114">
        <f t="shared" si="35"/>
        <v>46209</v>
      </c>
      <c r="M80" s="114">
        <f t="shared" si="35"/>
        <v>46210</v>
      </c>
      <c r="N80" s="114">
        <f t="shared" si="35"/>
        <v>46211</v>
      </c>
      <c r="O80" s="114">
        <f t="shared" si="35"/>
        <v>46212</v>
      </c>
      <c r="P80" s="114">
        <f t="shared" si="35"/>
        <v>46213</v>
      </c>
      <c r="Q80" s="114">
        <f t="shared" si="35"/>
        <v>46214</v>
      </c>
      <c r="R80" s="114">
        <f t="shared" si="35"/>
        <v>46215</v>
      </c>
      <c r="S80" s="114">
        <f t="shared" si="35"/>
        <v>46216</v>
      </c>
      <c r="T80" s="114">
        <f t="shared" si="35"/>
        <v>46217</v>
      </c>
      <c r="U80" s="114">
        <f t="shared" si="35"/>
        <v>46218</v>
      </c>
      <c r="V80" s="114">
        <f t="shared" si="35"/>
        <v>46219</v>
      </c>
      <c r="W80" s="114">
        <f t="shared" si="35"/>
        <v>46220</v>
      </c>
      <c r="X80" s="114">
        <f t="shared" si="35"/>
        <v>46221</v>
      </c>
      <c r="Y80" s="114">
        <f t="shared" si="35"/>
        <v>46222</v>
      </c>
      <c r="Z80" s="114">
        <f t="shared" si="35"/>
        <v>46223</v>
      </c>
      <c r="AA80" s="114">
        <f t="shared" si="35"/>
        <v>46224</v>
      </c>
      <c r="AB80" s="114">
        <f t="shared" si="35"/>
        <v>46225</v>
      </c>
      <c r="AC80" s="114">
        <f t="shared" si="35"/>
        <v>46226</v>
      </c>
      <c r="AD80" s="114">
        <f t="shared" si="35"/>
        <v>46227</v>
      </c>
      <c r="AE80" s="114">
        <f t="shared" si="35"/>
        <v>46228</v>
      </c>
      <c r="AF80" s="114">
        <f t="shared" si="35"/>
        <v>46229</v>
      </c>
      <c r="AG80" s="114">
        <f t="shared" si="35"/>
        <v>46230</v>
      </c>
      <c r="AH80" s="114">
        <f t="shared" si="35"/>
        <v>46231</v>
      </c>
      <c r="AI80" s="114">
        <f t="shared" si="35"/>
        <v>46232</v>
      </c>
      <c r="AJ80" s="114">
        <f t="shared" si="35"/>
        <v>46233</v>
      </c>
      <c r="AK80" s="114">
        <f t="shared" si="35"/>
        <v>46234</v>
      </c>
      <c r="AL80" s="114">
        <f t="shared" si="35"/>
        <v>46235</v>
      </c>
    </row>
    <row r="81" spans="1:68" s="99" customFormat="1" ht="43.5" hidden="1" customHeight="1" thickBot="1">
      <c r="A81" s="296"/>
      <c r="B81" s="298"/>
      <c r="C81" s="300"/>
      <c r="D81" s="132" t="str">
        <f t="shared" ref="D81:AL81" si="36">D2</f>
        <v>日</v>
      </c>
      <c r="E81" s="132" t="str">
        <f t="shared" si="36"/>
        <v>一</v>
      </c>
      <c r="F81" s="132" t="str">
        <f t="shared" si="36"/>
        <v>二</v>
      </c>
      <c r="G81" s="132" t="str">
        <f t="shared" si="36"/>
        <v>三</v>
      </c>
      <c r="H81" s="132" t="str">
        <f t="shared" si="36"/>
        <v>四</v>
      </c>
      <c r="I81" s="132" t="str">
        <f t="shared" si="36"/>
        <v>五</v>
      </c>
      <c r="J81" s="132" t="str">
        <f t="shared" si="36"/>
        <v>六</v>
      </c>
      <c r="K81" s="132" t="str">
        <f t="shared" si="36"/>
        <v>日</v>
      </c>
      <c r="L81" s="132" t="str">
        <f t="shared" si="36"/>
        <v>一</v>
      </c>
      <c r="M81" s="132" t="str">
        <f t="shared" si="36"/>
        <v>二</v>
      </c>
      <c r="N81" s="132" t="str">
        <f t="shared" si="36"/>
        <v>三</v>
      </c>
      <c r="O81" s="132" t="str">
        <f t="shared" si="36"/>
        <v>四</v>
      </c>
      <c r="P81" s="132" t="str">
        <f t="shared" si="36"/>
        <v>五</v>
      </c>
      <c r="Q81" s="132" t="str">
        <f t="shared" si="36"/>
        <v>六</v>
      </c>
      <c r="R81" s="132" t="str">
        <f t="shared" si="36"/>
        <v>日</v>
      </c>
      <c r="S81" s="132" t="str">
        <f t="shared" si="36"/>
        <v>一</v>
      </c>
      <c r="T81" s="132" t="str">
        <f t="shared" si="36"/>
        <v>二</v>
      </c>
      <c r="U81" s="132" t="str">
        <f t="shared" si="36"/>
        <v>三</v>
      </c>
      <c r="V81" s="132" t="str">
        <f t="shared" si="36"/>
        <v>四</v>
      </c>
      <c r="W81" s="132" t="str">
        <f t="shared" si="36"/>
        <v>五</v>
      </c>
      <c r="X81" s="132" t="str">
        <f t="shared" si="36"/>
        <v>六</v>
      </c>
      <c r="Y81" s="132" t="str">
        <f t="shared" si="36"/>
        <v>日</v>
      </c>
      <c r="Z81" s="132" t="str">
        <f t="shared" si="36"/>
        <v>一</v>
      </c>
      <c r="AA81" s="132" t="str">
        <f t="shared" si="36"/>
        <v>二</v>
      </c>
      <c r="AB81" s="132" t="str">
        <f t="shared" si="36"/>
        <v>三</v>
      </c>
      <c r="AC81" s="132" t="str">
        <f t="shared" si="36"/>
        <v>四</v>
      </c>
      <c r="AD81" s="132" t="str">
        <f t="shared" si="36"/>
        <v>五</v>
      </c>
      <c r="AE81" s="132" t="str">
        <f t="shared" si="36"/>
        <v>六</v>
      </c>
      <c r="AF81" s="132" t="str">
        <f t="shared" si="36"/>
        <v>日</v>
      </c>
      <c r="AG81" s="132" t="str">
        <f t="shared" si="36"/>
        <v>一</v>
      </c>
      <c r="AH81" s="132" t="str">
        <f t="shared" si="36"/>
        <v>二</v>
      </c>
      <c r="AI81" s="132" t="str">
        <f t="shared" si="36"/>
        <v>三</v>
      </c>
      <c r="AJ81" s="132" t="str">
        <f t="shared" si="36"/>
        <v>四</v>
      </c>
      <c r="AK81" s="132" t="str">
        <f t="shared" si="36"/>
        <v>五</v>
      </c>
      <c r="AL81" s="132" t="str">
        <f t="shared" si="36"/>
        <v>六</v>
      </c>
      <c r="BP81" s="26"/>
    </row>
    <row r="82" spans="1:68" s="26" customFormat="1" ht="32.450000000000003" hidden="1" customHeight="1">
      <c r="A82" s="22"/>
      <c r="B82" s="22"/>
      <c r="C82" s="23" t="s">
        <v>147</v>
      </c>
      <c r="D82" s="24">
        <f t="shared" ref="D82:P82" si="37">COUNTIF(D$3:D$72,"41早")</f>
        <v>1</v>
      </c>
      <c r="E82" s="24">
        <f t="shared" si="37"/>
        <v>1</v>
      </c>
      <c r="F82" s="24">
        <f t="shared" si="37"/>
        <v>1</v>
      </c>
      <c r="G82" s="24">
        <f t="shared" si="37"/>
        <v>1</v>
      </c>
      <c r="H82" s="24">
        <f t="shared" si="37"/>
        <v>1</v>
      </c>
      <c r="I82" s="24">
        <f t="shared" si="37"/>
        <v>1</v>
      </c>
      <c r="J82" s="24">
        <f t="shared" si="37"/>
        <v>1</v>
      </c>
      <c r="K82" s="24">
        <f t="shared" si="37"/>
        <v>0</v>
      </c>
      <c r="L82" s="24">
        <f t="shared" si="37"/>
        <v>0</v>
      </c>
      <c r="M82" s="24">
        <f t="shared" si="37"/>
        <v>0</v>
      </c>
      <c r="N82" s="24">
        <f t="shared" si="37"/>
        <v>0</v>
      </c>
      <c r="O82" s="24">
        <f t="shared" si="37"/>
        <v>0</v>
      </c>
      <c r="P82" s="24">
        <f t="shared" si="37"/>
        <v>0</v>
      </c>
      <c r="Q82" s="24">
        <f>COUNTIF(Q$3:Q$72,"41早*")</f>
        <v>0</v>
      </c>
      <c r="R82" s="24">
        <f t="shared" ref="R82:AL82" si="38">COUNTIF(R$3:R$72,"41早")</f>
        <v>0</v>
      </c>
      <c r="S82" s="24">
        <f t="shared" si="38"/>
        <v>0</v>
      </c>
      <c r="T82" s="24">
        <f t="shared" si="38"/>
        <v>0</v>
      </c>
      <c r="U82" s="24">
        <f t="shared" si="38"/>
        <v>0</v>
      </c>
      <c r="V82" s="24">
        <f t="shared" si="38"/>
        <v>0</v>
      </c>
      <c r="W82" s="24">
        <f t="shared" si="38"/>
        <v>0</v>
      </c>
      <c r="X82" s="24">
        <f t="shared" si="38"/>
        <v>0</v>
      </c>
      <c r="Y82" s="24">
        <f t="shared" si="38"/>
        <v>0</v>
      </c>
      <c r="Z82" s="24">
        <f t="shared" si="38"/>
        <v>0</v>
      </c>
      <c r="AA82" s="24">
        <f t="shared" si="38"/>
        <v>0</v>
      </c>
      <c r="AB82" s="24">
        <f t="shared" si="38"/>
        <v>0</v>
      </c>
      <c r="AC82" s="24">
        <f t="shared" si="38"/>
        <v>0</v>
      </c>
      <c r="AD82" s="24">
        <f t="shared" si="38"/>
        <v>0</v>
      </c>
      <c r="AE82" s="24">
        <f t="shared" si="38"/>
        <v>0</v>
      </c>
      <c r="AF82" s="24">
        <f t="shared" si="38"/>
        <v>0</v>
      </c>
      <c r="AG82" s="24">
        <f t="shared" si="38"/>
        <v>0</v>
      </c>
      <c r="AH82" s="24">
        <f t="shared" si="38"/>
        <v>0</v>
      </c>
      <c r="AI82" s="24">
        <f t="shared" si="38"/>
        <v>0</v>
      </c>
      <c r="AJ82" s="24">
        <f t="shared" si="38"/>
        <v>0</v>
      </c>
      <c r="AK82" s="24">
        <f t="shared" si="38"/>
        <v>0</v>
      </c>
      <c r="AL82" s="24">
        <f t="shared" si="38"/>
        <v>0</v>
      </c>
      <c r="AM82" s="53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5"/>
      <c r="BI82" s="25"/>
      <c r="BJ82" s="25"/>
    </row>
    <row r="83" spans="1:68" s="26" customFormat="1" ht="32.450000000000003" hidden="1" customHeight="1">
      <c r="A83" s="22"/>
      <c r="B83" s="22"/>
      <c r="C83" s="28" t="s">
        <v>149</v>
      </c>
      <c r="D83" s="27">
        <f t="shared" ref="D83:K83" si="39">COUNTIF(D$3:D$72,"41午")</f>
        <v>1</v>
      </c>
      <c r="E83" s="27">
        <f t="shared" si="39"/>
        <v>1</v>
      </c>
      <c r="F83" s="27">
        <f t="shared" si="39"/>
        <v>1</v>
      </c>
      <c r="G83" s="27">
        <f t="shared" si="39"/>
        <v>1</v>
      </c>
      <c r="H83" s="27">
        <f t="shared" si="39"/>
        <v>1</v>
      </c>
      <c r="I83" s="27">
        <f t="shared" si="39"/>
        <v>1</v>
      </c>
      <c r="J83" s="27">
        <f t="shared" si="39"/>
        <v>1</v>
      </c>
      <c r="K83" s="27">
        <f t="shared" si="39"/>
        <v>0</v>
      </c>
      <c r="L83" s="27">
        <f>COUNTIF(L$3:L$72,"41午*")</f>
        <v>0</v>
      </c>
      <c r="M83" s="27">
        <f t="shared" ref="M83:AL83" si="40">COUNTIF(M$3:M$72,"41午")</f>
        <v>0</v>
      </c>
      <c r="N83" s="27">
        <f t="shared" si="40"/>
        <v>0</v>
      </c>
      <c r="O83" s="27">
        <f t="shared" si="40"/>
        <v>0</v>
      </c>
      <c r="P83" s="27">
        <f t="shared" si="40"/>
        <v>0</v>
      </c>
      <c r="Q83" s="27">
        <f t="shared" si="40"/>
        <v>0</v>
      </c>
      <c r="R83" s="27">
        <f t="shared" si="40"/>
        <v>0</v>
      </c>
      <c r="S83" s="27">
        <f t="shared" si="40"/>
        <v>0</v>
      </c>
      <c r="T83" s="27">
        <f t="shared" si="40"/>
        <v>0</v>
      </c>
      <c r="U83" s="27">
        <f t="shared" si="40"/>
        <v>0</v>
      </c>
      <c r="V83" s="27">
        <f t="shared" si="40"/>
        <v>0</v>
      </c>
      <c r="W83" s="27">
        <f t="shared" si="40"/>
        <v>0</v>
      </c>
      <c r="X83" s="27">
        <f t="shared" si="40"/>
        <v>0</v>
      </c>
      <c r="Y83" s="27">
        <f t="shared" si="40"/>
        <v>0</v>
      </c>
      <c r="Z83" s="27">
        <f t="shared" si="40"/>
        <v>0</v>
      </c>
      <c r="AA83" s="27">
        <f t="shared" si="40"/>
        <v>0</v>
      </c>
      <c r="AB83" s="27">
        <f t="shared" si="40"/>
        <v>0</v>
      </c>
      <c r="AC83" s="27">
        <f t="shared" si="40"/>
        <v>0</v>
      </c>
      <c r="AD83" s="27">
        <f t="shared" si="40"/>
        <v>0</v>
      </c>
      <c r="AE83" s="27">
        <f t="shared" si="40"/>
        <v>0</v>
      </c>
      <c r="AF83" s="27">
        <f t="shared" si="40"/>
        <v>0</v>
      </c>
      <c r="AG83" s="27">
        <f t="shared" si="40"/>
        <v>0</v>
      </c>
      <c r="AH83" s="27">
        <f t="shared" si="40"/>
        <v>0</v>
      </c>
      <c r="AI83" s="27">
        <f t="shared" si="40"/>
        <v>0</v>
      </c>
      <c r="AJ83" s="27">
        <f t="shared" si="40"/>
        <v>0</v>
      </c>
      <c r="AK83" s="27">
        <f t="shared" si="40"/>
        <v>0</v>
      </c>
      <c r="AL83" s="27">
        <f t="shared" si="40"/>
        <v>0</v>
      </c>
      <c r="AM83" s="53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5"/>
      <c r="BI83" s="25"/>
      <c r="BJ83" s="25"/>
    </row>
    <row r="84" spans="1:68" s="26" customFormat="1" ht="32.450000000000003" hidden="1" customHeight="1" thickBot="1">
      <c r="A84" s="22"/>
      <c r="B84" s="22"/>
      <c r="C84" s="29" t="s">
        <v>150</v>
      </c>
      <c r="D84" s="30">
        <f t="shared" ref="D84:AL84" si="41">COUNTIF(D$3:D$72,"41夜*")</f>
        <v>0</v>
      </c>
      <c r="E84" s="30">
        <f t="shared" si="41"/>
        <v>1</v>
      </c>
      <c r="F84" s="30">
        <f t="shared" si="41"/>
        <v>1</v>
      </c>
      <c r="G84" s="30">
        <f t="shared" si="41"/>
        <v>1</v>
      </c>
      <c r="H84" s="30">
        <f t="shared" si="41"/>
        <v>1</v>
      </c>
      <c r="I84" s="30">
        <f t="shared" si="41"/>
        <v>1</v>
      </c>
      <c r="J84" s="30">
        <f t="shared" si="41"/>
        <v>1</v>
      </c>
      <c r="K84" s="30">
        <f t="shared" si="41"/>
        <v>0</v>
      </c>
      <c r="L84" s="30">
        <f t="shared" si="41"/>
        <v>0</v>
      </c>
      <c r="M84" s="30">
        <f t="shared" si="41"/>
        <v>0</v>
      </c>
      <c r="N84" s="30">
        <f t="shared" si="41"/>
        <v>0</v>
      </c>
      <c r="O84" s="30">
        <f t="shared" si="41"/>
        <v>0</v>
      </c>
      <c r="P84" s="30">
        <f t="shared" si="41"/>
        <v>0</v>
      </c>
      <c r="Q84" s="30">
        <f t="shared" si="41"/>
        <v>0</v>
      </c>
      <c r="R84" s="30">
        <f t="shared" si="41"/>
        <v>0</v>
      </c>
      <c r="S84" s="30">
        <f t="shared" si="41"/>
        <v>0</v>
      </c>
      <c r="T84" s="30">
        <f t="shared" si="41"/>
        <v>0</v>
      </c>
      <c r="U84" s="30">
        <f t="shared" si="41"/>
        <v>0</v>
      </c>
      <c r="V84" s="30">
        <f t="shared" si="41"/>
        <v>0</v>
      </c>
      <c r="W84" s="30">
        <f t="shared" si="41"/>
        <v>0</v>
      </c>
      <c r="X84" s="30">
        <f t="shared" si="41"/>
        <v>0</v>
      </c>
      <c r="Y84" s="30">
        <f t="shared" si="41"/>
        <v>0</v>
      </c>
      <c r="Z84" s="30">
        <f t="shared" si="41"/>
        <v>0</v>
      </c>
      <c r="AA84" s="30">
        <f t="shared" si="41"/>
        <v>0</v>
      </c>
      <c r="AB84" s="30">
        <f t="shared" si="41"/>
        <v>0</v>
      </c>
      <c r="AC84" s="30">
        <f t="shared" si="41"/>
        <v>0</v>
      </c>
      <c r="AD84" s="30">
        <f t="shared" si="41"/>
        <v>0</v>
      </c>
      <c r="AE84" s="30">
        <f t="shared" si="41"/>
        <v>0</v>
      </c>
      <c r="AF84" s="30">
        <f t="shared" si="41"/>
        <v>0</v>
      </c>
      <c r="AG84" s="30">
        <f t="shared" si="41"/>
        <v>0</v>
      </c>
      <c r="AH84" s="30">
        <f t="shared" si="41"/>
        <v>0</v>
      </c>
      <c r="AI84" s="30">
        <f t="shared" si="41"/>
        <v>0</v>
      </c>
      <c r="AJ84" s="30">
        <f t="shared" si="41"/>
        <v>0</v>
      </c>
      <c r="AK84" s="30">
        <f t="shared" si="41"/>
        <v>0</v>
      </c>
      <c r="AL84" s="30">
        <f t="shared" si="41"/>
        <v>0</v>
      </c>
      <c r="AM84" s="53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5"/>
      <c r="BI84" s="25"/>
      <c r="BJ84" s="25"/>
    </row>
    <row r="85" spans="1:68" s="26" customFormat="1" ht="32.450000000000003" hidden="1" customHeight="1">
      <c r="A85" s="22"/>
      <c r="B85" s="291"/>
      <c r="C85" s="23" t="s">
        <v>83</v>
      </c>
      <c r="D85" s="24">
        <f t="shared" ref="D85:AL85" si="42">COUNTIF(D$3:D$72,"01早*")</f>
        <v>5</v>
      </c>
      <c r="E85" s="24">
        <f t="shared" si="42"/>
        <v>5</v>
      </c>
      <c r="F85" s="24">
        <f t="shared" si="42"/>
        <v>5</v>
      </c>
      <c r="G85" s="24">
        <f t="shared" si="42"/>
        <v>5</v>
      </c>
      <c r="H85" s="24">
        <f t="shared" si="42"/>
        <v>5</v>
      </c>
      <c r="I85" s="24">
        <f t="shared" si="42"/>
        <v>5</v>
      </c>
      <c r="J85" s="24">
        <f t="shared" si="42"/>
        <v>5</v>
      </c>
      <c r="K85" s="24">
        <f t="shared" si="42"/>
        <v>0</v>
      </c>
      <c r="L85" s="24">
        <f t="shared" si="42"/>
        <v>0</v>
      </c>
      <c r="M85" s="24">
        <f t="shared" si="42"/>
        <v>0</v>
      </c>
      <c r="N85" s="24">
        <f t="shared" si="42"/>
        <v>0</v>
      </c>
      <c r="O85" s="24">
        <f t="shared" si="42"/>
        <v>0</v>
      </c>
      <c r="P85" s="24">
        <f t="shared" si="42"/>
        <v>0</v>
      </c>
      <c r="Q85" s="24">
        <f t="shared" si="42"/>
        <v>0</v>
      </c>
      <c r="R85" s="24">
        <f t="shared" si="42"/>
        <v>0</v>
      </c>
      <c r="S85" s="24">
        <f t="shared" si="42"/>
        <v>0</v>
      </c>
      <c r="T85" s="24">
        <f t="shared" si="42"/>
        <v>0</v>
      </c>
      <c r="U85" s="24">
        <f t="shared" si="42"/>
        <v>0</v>
      </c>
      <c r="V85" s="24">
        <f t="shared" si="42"/>
        <v>0</v>
      </c>
      <c r="W85" s="24">
        <f t="shared" si="42"/>
        <v>0</v>
      </c>
      <c r="X85" s="24">
        <f t="shared" si="42"/>
        <v>0</v>
      </c>
      <c r="Y85" s="24">
        <f t="shared" si="42"/>
        <v>0</v>
      </c>
      <c r="Z85" s="24">
        <f t="shared" si="42"/>
        <v>0</v>
      </c>
      <c r="AA85" s="24">
        <f t="shared" si="42"/>
        <v>0</v>
      </c>
      <c r="AB85" s="24">
        <f t="shared" si="42"/>
        <v>0</v>
      </c>
      <c r="AC85" s="24">
        <f t="shared" si="42"/>
        <v>0</v>
      </c>
      <c r="AD85" s="24">
        <f t="shared" si="42"/>
        <v>0</v>
      </c>
      <c r="AE85" s="24">
        <f t="shared" si="42"/>
        <v>0</v>
      </c>
      <c r="AF85" s="24">
        <f t="shared" si="42"/>
        <v>0</v>
      </c>
      <c r="AG85" s="24">
        <f t="shared" si="42"/>
        <v>0</v>
      </c>
      <c r="AH85" s="24">
        <f t="shared" si="42"/>
        <v>0</v>
      </c>
      <c r="AI85" s="24">
        <f t="shared" si="42"/>
        <v>0</v>
      </c>
      <c r="AJ85" s="24">
        <f t="shared" si="42"/>
        <v>0</v>
      </c>
      <c r="AK85" s="24">
        <f t="shared" si="42"/>
        <v>0</v>
      </c>
      <c r="AL85" s="24">
        <f t="shared" si="42"/>
        <v>0</v>
      </c>
      <c r="AM85" s="53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5"/>
      <c r="BI85" s="25"/>
      <c r="BJ85" s="25"/>
    </row>
    <row r="86" spans="1:68" s="26" customFormat="1" ht="32.450000000000003" hidden="1" customHeight="1">
      <c r="A86" s="22"/>
      <c r="B86" s="291"/>
      <c r="C86" s="23" t="s">
        <v>84</v>
      </c>
      <c r="D86" s="27">
        <f t="shared" ref="D86:AL86" si="43">COUNTIF(D$3:D$72,"01中A*")</f>
        <v>1</v>
      </c>
      <c r="E86" s="27">
        <f t="shared" si="43"/>
        <v>1</v>
      </c>
      <c r="F86" s="27">
        <f t="shared" si="43"/>
        <v>1</v>
      </c>
      <c r="G86" s="27">
        <f t="shared" si="43"/>
        <v>1</v>
      </c>
      <c r="H86" s="27">
        <f t="shared" si="43"/>
        <v>1</v>
      </c>
      <c r="I86" s="27">
        <f t="shared" si="43"/>
        <v>1</v>
      </c>
      <c r="J86" s="27">
        <f t="shared" si="43"/>
        <v>0</v>
      </c>
      <c r="K86" s="27">
        <f t="shared" si="43"/>
        <v>0</v>
      </c>
      <c r="L86" s="27">
        <f t="shared" si="43"/>
        <v>0</v>
      </c>
      <c r="M86" s="27">
        <f t="shared" si="43"/>
        <v>0</v>
      </c>
      <c r="N86" s="27">
        <f t="shared" si="43"/>
        <v>0</v>
      </c>
      <c r="O86" s="27">
        <f t="shared" si="43"/>
        <v>0</v>
      </c>
      <c r="P86" s="27">
        <f t="shared" si="43"/>
        <v>0</v>
      </c>
      <c r="Q86" s="27">
        <f t="shared" si="43"/>
        <v>0</v>
      </c>
      <c r="R86" s="27">
        <f t="shared" si="43"/>
        <v>0</v>
      </c>
      <c r="S86" s="27">
        <f t="shared" si="43"/>
        <v>0</v>
      </c>
      <c r="T86" s="27">
        <f t="shared" si="43"/>
        <v>0</v>
      </c>
      <c r="U86" s="27">
        <f t="shared" si="43"/>
        <v>0</v>
      </c>
      <c r="V86" s="27">
        <f t="shared" si="43"/>
        <v>0</v>
      </c>
      <c r="W86" s="27">
        <f t="shared" si="43"/>
        <v>0</v>
      </c>
      <c r="X86" s="27">
        <f t="shared" si="43"/>
        <v>0</v>
      </c>
      <c r="Y86" s="27">
        <f t="shared" si="43"/>
        <v>0</v>
      </c>
      <c r="Z86" s="27">
        <f t="shared" si="43"/>
        <v>0</v>
      </c>
      <c r="AA86" s="27">
        <f t="shared" si="43"/>
        <v>0</v>
      </c>
      <c r="AB86" s="27">
        <f t="shared" si="43"/>
        <v>0</v>
      </c>
      <c r="AC86" s="27">
        <f t="shared" si="43"/>
        <v>0</v>
      </c>
      <c r="AD86" s="27">
        <f t="shared" si="43"/>
        <v>0</v>
      </c>
      <c r="AE86" s="27">
        <f t="shared" si="43"/>
        <v>0</v>
      </c>
      <c r="AF86" s="27">
        <f t="shared" si="43"/>
        <v>0</v>
      </c>
      <c r="AG86" s="27">
        <f t="shared" si="43"/>
        <v>0</v>
      </c>
      <c r="AH86" s="27">
        <f t="shared" si="43"/>
        <v>0</v>
      </c>
      <c r="AI86" s="27">
        <f t="shared" si="43"/>
        <v>0</v>
      </c>
      <c r="AJ86" s="27">
        <f t="shared" si="43"/>
        <v>0</v>
      </c>
      <c r="AK86" s="27">
        <f t="shared" si="43"/>
        <v>0</v>
      </c>
      <c r="AL86" s="27">
        <f t="shared" si="43"/>
        <v>0</v>
      </c>
      <c r="AM86" s="53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5"/>
      <c r="BI86" s="25"/>
      <c r="BJ86" s="25"/>
    </row>
    <row r="87" spans="1:68" s="26" customFormat="1" ht="32.450000000000003" hidden="1" customHeight="1">
      <c r="A87" s="22"/>
      <c r="B87" s="291"/>
      <c r="C87" s="23" t="s">
        <v>85</v>
      </c>
      <c r="D87" s="27">
        <f t="shared" ref="D87:AL87" si="44">COUNTIF(D$3:D$72,"01午*")</f>
        <v>5</v>
      </c>
      <c r="E87" s="27">
        <f t="shared" si="44"/>
        <v>5</v>
      </c>
      <c r="F87" s="27">
        <f t="shared" si="44"/>
        <v>5</v>
      </c>
      <c r="G87" s="27">
        <f t="shared" si="44"/>
        <v>5</v>
      </c>
      <c r="H87" s="27">
        <f t="shared" si="44"/>
        <v>5</v>
      </c>
      <c r="I87" s="27">
        <f t="shared" si="44"/>
        <v>5</v>
      </c>
      <c r="J87" s="27">
        <f t="shared" si="44"/>
        <v>5</v>
      </c>
      <c r="K87" s="27">
        <f t="shared" si="44"/>
        <v>0</v>
      </c>
      <c r="L87" s="27">
        <f t="shared" si="44"/>
        <v>0</v>
      </c>
      <c r="M87" s="27">
        <f t="shared" si="44"/>
        <v>0</v>
      </c>
      <c r="N87" s="27">
        <f t="shared" si="44"/>
        <v>0</v>
      </c>
      <c r="O87" s="27">
        <f t="shared" si="44"/>
        <v>0</v>
      </c>
      <c r="P87" s="27">
        <f t="shared" si="44"/>
        <v>0</v>
      </c>
      <c r="Q87" s="27">
        <f t="shared" si="44"/>
        <v>0</v>
      </c>
      <c r="R87" s="27">
        <f t="shared" si="44"/>
        <v>0</v>
      </c>
      <c r="S87" s="27">
        <f t="shared" si="44"/>
        <v>0</v>
      </c>
      <c r="T87" s="27">
        <f t="shared" si="44"/>
        <v>0</v>
      </c>
      <c r="U87" s="27">
        <f t="shared" si="44"/>
        <v>0</v>
      </c>
      <c r="V87" s="27">
        <f t="shared" si="44"/>
        <v>0</v>
      </c>
      <c r="W87" s="27">
        <f t="shared" si="44"/>
        <v>0</v>
      </c>
      <c r="X87" s="27">
        <f t="shared" si="44"/>
        <v>0</v>
      </c>
      <c r="Y87" s="27">
        <f t="shared" si="44"/>
        <v>0</v>
      </c>
      <c r="Z87" s="27">
        <f t="shared" si="44"/>
        <v>0</v>
      </c>
      <c r="AA87" s="27">
        <f t="shared" si="44"/>
        <v>0</v>
      </c>
      <c r="AB87" s="27">
        <f t="shared" si="44"/>
        <v>0</v>
      </c>
      <c r="AC87" s="27">
        <f t="shared" si="44"/>
        <v>0</v>
      </c>
      <c r="AD87" s="27">
        <f t="shared" si="44"/>
        <v>0</v>
      </c>
      <c r="AE87" s="27">
        <f t="shared" si="44"/>
        <v>0</v>
      </c>
      <c r="AF87" s="27">
        <f t="shared" si="44"/>
        <v>0</v>
      </c>
      <c r="AG87" s="27">
        <f t="shared" si="44"/>
        <v>0</v>
      </c>
      <c r="AH87" s="27">
        <f t="shared" si="44"/>
        <v>0</v>
      </c>
      <c r="AI87" s="27">
        <f t="shared" si="44"/>
        <v>0</v>
      </c>
      <c r="AJ87" s="27">
        <f t="shared" si="44"/>
        <v>0</v>
      </c>
      <c r="AK87" s="27">
        <f t="shared" si="44"/>
        <v>0</v>
      </c>
      <c r="AL87" s="27">
        <f t="shared" si="44"/>
        <v>0</v>
      </c>
      <c r="AM87" s="53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5"/>
      <c r="BI87" s="25"/>
      <c r="BJ87" s="25"/>
    </row>
    <row r="88" spans="1:68" s="26" customFormat="1" ht="32.25" hidden="1" customHeight="1" thickBot="1">
      <c r="A88" s="22"/>
      <c r="B88" s="291"/>
      <c r="C88" s="29" t="s">
        <v>86</v>
      </c>
      <c r="D88" s="30">
        <f t="shared" ref="D88:AL88" si="45">COUNTIF(D$3:D$72,"01夜*")</f>
        <v>2</v>
      </c>
      <c r="E88" s="30">
        <f t="shared" si="45"/>
        <v>2</v>
      </c>
      <c r="F88" s="30">
        <f t="shared" si="45"/>
        <v>2</v>
      </c>
      <c r="G88" s="30">
        <f t="shared" si="45"/>
        <v>2</v>
      </c>
      <c r="H88" s="30">
        <f t="shared" si="45"/>
        <v>2</v>
      </c>
      <c r="I88" s="30">
        <f t="shared" si="45"/>
        <v>2</v>
      </c>
      <c r="J88" s="30">
        <f t="shared" si="45"/>
        <v>2</v>
      </c>
      <c r="K88" s="30">
        <f t="shared" si="45"/>
        <v>0</v>
      </c>
      <c r="L88" s="30">
        <f t="shared" si="45"/>
        <v>0</v>
      </c>
      <c r="M88" s="30">
        <f t="shared" si="45"/>
        <v>0</v>
      </c>
      <c r="N88" s="30">
        <f t="shared" si="45"/>
        <v>0</v>
      </c>
      <c r="O88" s="30">
        <f t="shared" si="45"/>
        <v>0</v>
      </c>
      <c r="P88" s="30">
        <f t="shared" si="45"/>
        <v>0</v>
      </c>
      <c r="Q88" s="30">
        <f t="shared" si="45"/>
        <v>0</v>
      </c>
      <c r="R88" s="30">
        <f t="shared" si="45"/>
        <v>0</v>
      </c>
      <c r="S88" s="30">
        <f t="shared" si="45"/>
        <v>0</v>
      </c>
      <c r="T88" s="30">
        <f t="shared" si="45"/>
        <v>0</v>
      </c>
      <c r="U88" s="30">
        <f t="shared" si="45"/>
        <v>0</v>
      </c>
      <c r="V88" s="30">
        <f t="shared" si="45"/>
        <v>0</v>
      </c>
      <c r="W88" s="30">
        <f t="shared" si="45"/>
        <v>0</v>
      </c>
      <c r="X88" s="30">
        <f t="shared" si="45"/>
        <v>0</v>
      </c>
      <c r="Y88" s="30">
        <f t="shared" si="45"/>
        <v>0</v>
      </c>
      <c r="Z88" s="30">
        <f t="shared" si="45"/>
        <v>0</v>
      </c>
      <c r="AA88" s="30">
        <f t="shared" si="45"/>
        <v>0</v>
      </c>
      <c r="AB88" s="30">
        <f t="shared" si="45"/>
        <v>0</v>
      </c>
      <c r="AC88" s="30">
        <f t="shared" si="45"/>
        <v>0</v>
      </c>
      <c r="AD88" s="30">
        <f t="shared" si="45"/>
        <v>0</v>
      </c>
      <c r="AE88" s="30">
        <f t="shared" si="45"/>
        <v>0</v>
      </c>
      <c r="AF88" s="30">
        <f t="shared" si="45"/>
        <v>0</v>
      </c>
      <c r="AG88" s="30">
        <f t="shared" si="45"/>
        <v>0</v>
      </c>
      <c r="AH88" s="30">
        <f t="shared" si="45"/>
        <v>0</v>
      </c>
      <c r="AI88" s="30">
        <f t="shared" si="45"/>
        <v>0</v>
      </c>
      <c r="AJ88" s="30">
        <f t="shared" si="45"/>
        <v>0</v>
      </c>
      <c r="AK88" s="30">
        <f t="shared" si="45"/>
        <v>0</v>
      </c>
      <c r="AL88" s="30">
        <f t="shared" si="45"/>
        <v>0</v>
      </c>
      <c r="AM88" s="53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5"/>
      <c r="BI88" s="25"/>
      <c r="BJ88" s="25"/>
    </row>
    <row r="89" spans="1:68" s="26" customFormat="1" ht="32.450000000000003" hidden="1" customHeight="1">
      <c r="A89" s="22"/>
      <c r="B89" s="22"/>
      <c r="C89" s="61" t="s">
        <v>87</v>
      </c>
      <c r="D89" s="24">
        <f t="shared" ref="D89:AL89" si="46">COUNTIF(D$3:D$72,"**02早*")</f>
        <v>2</v>
      </c>
      <c r="E89" s="24">
        <f t="shared" si="46"/>
        <v>2</v>
      </c>
      <c r="F89" s="24">
        <f t="shared" si="46"/>
        <v>2</v>
      </c>
      <c r="G89" s="24">
        <f t="shared" si="46"/>
        <v>2</v>
      </c>
      <c r="H89" s="24">
        <f t="shared" si="46"/>
        <v>2</v>
      </c>
      <c r="I89" s="24">
        <f t="shared" si="46"/>
        <v>2</v>
      </c>
      <c r="J89" s="24">
        <f t="shared" si="46"/>
        <v>2</v>
      </c>
      <c r="K89" s="24">
        <f t="shared" si="46"/>
        <v>0</v>
      </c>
      <c r="L89" s="24">
        <f t="shared" si="46"/>
        <v>0</v>
      </c>
      <c r="M89" s="24">
        <f t="shared" si="46"/>
        <v>0</v>
      </c>
      <c r="N89" s="24">
        <f t="shared" si="46"/>
        <v>0</v>
      </c>
      <c r="O89" s="24">
        <f t="shared" si="46"/>
        <v>0</v>
      </c>
      <c r="P89" s="24">
        <f t="shared" si="46"/>
        <v>0</v>
      </c>
      <c r="Q89" s="24">
        <f t="shared" si="46"/>
        <v>0</v>
      </c>
      <c r="R89" s="24">
        <f t="shared" si="46"/>
        <v>0</v>
      </c>
      <c r="S89" s="24">
        <f t="shared" si="46"/>
        <v>0</v>
      </c>
      <c r="T89" s="24">
        <f t="shared" si="46"/>
        <v>0</v>
      </c>
      <c r="U89" s="24">
        <f t="shared" si="46"/>
        <v>0</v>
      </c>
      <c r="V89" s="24">
        <f t="shared" si="46"/>
        <v>0</v>
      </c>
      <c r="W89" s="24">
        <f t="shared" si="46"/>
        <v>0</v>
      </c>
      <c r="X89" s="24">
        <f t="shared" si="46"/>
        <v>0</v>
      </c>
      <c r="Y89" s="24">
        <f t="shared" si="46"/>
        <v>0</v>
      </c>
      <c r="Z89" s="24">
        <f t="shared" si="46"/>
        <v>0</v>
      </c>
      <c r="AA89" s="24">
        <f t="shared" si="46"/>
        <v>0</v>
      </c>
      <c r="AB89" s="24">
        <f t="shared" si="46"/>
        <v>0</v>
      </c>
      <c r="AC89" s="24">
        <f t="shared" si="46"/>
        <v>0</v>
      </c>
      <c r="AD89" s="24">
        <f t="shared" si="46"/>
        <v>0</v>
      </c>
      <c r="AE89" s="24">
        <f t="shared" si="46"/>
        <v>0</v>
      </c>
      <c r="AF89" s="24">
        <f t="shared" si="46"/>
        <v>0</v>
      </c>
      <c r="AG89" s="24">
        <f t="shared" si="46"/>
        <v>0</v>
      </c>
      <c r="AH89" s="24">
        <f t="shared" si="46"/>
        <v>0</v>
      </c>
      <c r="AI89" s="24">
        <f t="shared" si="46"/>
        <v>0</v>
      </c>
      <c r="AJ89" s="24">
        <f t="shared" si="46"/>
        <v>0</v>
      </c>
      <c r="AK89" s="24">
        <f t="shared" si="46"/>
        <v>0</v>
      </c>
      <c r="AL89" s="24">
        <f t="shared" si="46"/>
        <v>0</v>
      </c>
      <c r="AM89" s="53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5"/>
      <c r="BI89" s="25"/>
      <c r="BJ89" s="25"/>
    </row>
    <row r="90" spans="1:68" s="26" customFormat="1" ht="32.450000000000003" hidden="1" customHeight="1">
      <c r="A90" s="22"/>
      <c r="B90" s="22"/>
      <c r="C90" s="28" t="s">
        <v>88</v>
      </c>
      <c r="D90" s="27">
        <f t="shared" ref="D90:AL90" si="47">COUNTIF(D$3:D$72,"02中A*")</f>
        <v>0</v>
      </c>
      <c r="E90" s="27">
        <f t="shared" si="47"/>
        <v>0</v>
      </c>
      <c r="F90" s="27">
        <f t="shared" si="47"/>
        <v>0</v>
      </c>
      <c r="G90" s="27">
        <f t="shared" si="47"/>
        <v>0</v>
      </c>
      <c r="H90" s="27">
        <f t="shared" si="47"/>
        <v>0</v>
      </c>
      <c r="I90" s="27">
        <f t="shared" si="47"/>
        <v>0</v>
      </c>
      <c r="J90" s="27">
        <f t="shared" si="47"/>
        <v>0</v>
      </c>
      <c r="K90" s="27">
        <f t="shared" si="47"/>
        <v>0</v>
      </c>
      <c r="L90" s="27">
        <f t="shared" si="47"/>
        <v>0</v>
      </c>
      <c r="M90" s="27">
        <f t="shared" si="47"/>
        <v>0</v>
      </c>
      <c r="N90" s="27">
        <f t="shared" si="47"/>
        <v>0</v>
      </c>
      <c r="O90" s="27">
        <f t="shared" si="47"/>
        <v>0</v>
      </c>
      <c r="P90" s="27">
        <f t="shared" si="47"/>
        <v>0</v>
      </c>
      <c r="Q90" s="27">
        <f t="shared" si="47"/>
        <v>0</v>
      </c>
      <c r="R90" s="27">
        <f t="shared" si="47"/>
        <v>0</v>
      </c>
      <c r="S90" s="27">
        <f t="shared" si="47"/>
        <v>0</v>
      </c>
      <c r="T90" s="27">
        <f t="shared" si="47"/>
        <v>0</v>
      </c>
      <c r="U90" s="27">
        <f t="shared" si="47"/>
        <v>0</v>
      </c>
      <c r="V90" s="27">
        <f t="shared" si="47"/>
        <v>0</v>
      </c>
      <c r="W90" s="27">
        <f t="shared" si="47"/>
        <v>0</v>
      </c>
      <c r="X90" s="27">
        <f t="shared" si="47"/>
        <v>0</v>
      </c>
      <c r="Y90" s="27">
        <f t="shared" si="47"/>
        <v>0</v>
      </c>
      <c r="Z90" s="27">
        <f t="shared" si="47"/>
        <v>0</v>
      </c>
      <c r="AA90" s="27">
        <f t="shared" si="47"/>
        <v>0</v>
      </c>
      <c r="AB90" s="27">
        <f t="shared" si="47"/>
        <v>0</v>
      </c>
      <c r="AC90" s="27">
        <f t="shared" si="47"/>
        <v>0</v>
      </c>
      <c r="AD90" s="27">
        <f t="shared" si="47"/>
        <v>0</v>
      </c>
      <c r="AE90" s="27">
        <f t="shared" si="47"/>
        <v>0</v>
      </c>
      <c r="AF90" s="27">
        <f t="shared" si="47"/>
        <v>0</v>
      </c>
      <c r="AG90" s="27">
        <f t="shared" si="47"/>
        <v>0</v>
      </c>
      <c r="AH90" s="27">
        <f t="shared" si="47"/>
        <v>0</v>
      </c>
      <c r="AI90" s="27">
        <f t="shared" si="47"/>
        <v>0</v>
      </c>
      <c r="AJ90" s="27">
        <f t="shared" si="47"/>
        <v>0</v>
      </c>
      <c r="AK90" s="27">
        <f t="shared" si="47"/>
        <v>0</v>
      </c>
      <c r="AL90" s="27">
        <f t="shared" si="47"/>
        <v>0</v>
      </c>
      <c r="AM90" s="53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5"/>
      <c r="BI90" s="25"/>
      <c r="BJ90" s="25"/>
    </row>
    <row r="91" spans="1:68" s="26" customFormat="1" ht="32.450000000000003" hidden="1" customHeight="1">
      <c r="A91" s="22"/>
      <c r="B91" s="22"/>
      <c r="C91" s="28" t="s">
        <v>89</v>
      </c>
      <c r="D91" s="27">
        <f t="shared" ref="D91:AL91" si="48">COUNTIF(D$3:D$72,"*02午*")</f>
        <v>2</v>
      </c>
      <c r="E91" s="27">
        <f t="shared" si="48"/>
        <v>2</v>
      </c>
      <c r="F91" s="27">
        <f t="shared" si="48"/>
        <v>2</v>
      </c>
      <c r="G91" s="27">
        <f t="shared" si="48"/>
        <v>2</v>
      </c>
      <c r="H91" s="27">
        <f t="shared" si="48"/>
        <v>2</v>
      </c>
      <c r="I91" s="27">
        <f t="shared" si="48"/>
        <v>2</v>
      </c>
      <c r="J91" s="27">
        <f t="shared" si="48"/>
        <v>2</v>
      </c>
      <c r="K91" s="27">
        <f t="shared" si="48"/>
        <v>0</v>
      </c>
      <c r="L91" s="27">
        <f t="shared" si="48"/>
        <v>0</v>
      </c>
      <c r="M91" s="27">
        <f t="shared" si="48"/>
        <v>0</v>
      </c>
      <c r="N91" s="27">
        <f t="shared" si="48"/>
        <v>0</v>
      </c>
      <c r="O91" s="27">
        <f t="shared" si="48"/>
        <v>0</v>
      </c>
      <c r="P91" s="27">
        <f t="shared" si="48"/>
        <v>0</v>
      </c>
      <c r="Q91" s="27">
        <f t="shared" si="48"/>
        <v>0</v>
      </c>
      <c r="R91" s="27">
        <f t="shared" si="48"/>
        <v>0</v>
      </c>
      <c r="S91" s="27">
        <f t="shared" si="48"/>
        <v>0</v>
      </c>
      <c r="T91" s="27">
        <f t="shared" si="48"/>
        <v>0</v>
      </c>
      <c r="U91" s="27">
        <f t="shared" si="48"/>
        <v>0</v>
      </c>
      <c r="V91" s="27">
        <f t="shared" si="48"/>
        <v>0</v>
      </c>
      <c r="W91" s="27">
        <f t="shared" si="48"/>
        <v>0</v>
      </c>
      <c r="X91" s="27">
        <f t="shared" si="48"/>
        <v>0</v>
      </c>
      <c r="Y91" s="27">
        <f t="shared" si="48"/>
        <v>0</v>
      </c>
      <c r="Z91" s="27">
        <f t="shared" si="48"/>
        <v>0</v>
      </c>
      <c r="AA91" s="27">
        <f t="shared" si="48"/>
        <v>0</v>
      </c>
      <c r="AB91" s="27">
        <f t="shared" si="48"/>
        <v>0</v>
      </c>
      <c r="AC91" s="27">
        <f t="shared" si="48"/>
        <v>0</v>
      </c>
      <c r="AD91" s="27">
        <f t="shared" si="48"/>
        <v>0</v>
      </c>
      <c r="AE91" s="27">
        <f t="shared" si="48"/>
        <v>0</v>
      </c>
      <c r="AF91" s="27">
        <f t="shared" si="48"/>
        <v>0</v>
      </c>
      <c r="AG91" s="27">
        <f t="shared" si="48"/>
        <v>0</v>
      </c>
      <c r="AH91" s="27">
        <f t="shared" si="48"/>
        <v>0</v>
      </c>
      <c r="AI91" s="27">
        <f t="shared" si="48"/>
        <v>0</v>
      </c>
      <c r="AJ91" s="27">
        <f t="shared" si="48"/>
        <v>0</v>
      </c>
      <c r="AK91" s="27">
        <f t="shared" si="48"/>
        <v>0</v>
      </c>
      <c r="AL91" s="27">
        <f t="shared" si="48"/>
        <v>0</v>
      </c>
      <c r="AM91" s="53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5"/>
      <c r="BI91" s="25"/>
      <c r="BJ91" s="25"/>
    </row>
    <row r="92" spans="1:68" s="26" customFormat="1" ht="32.450000000000003" hidden="1" customHeight="1" thickBot="1">
      <c r="A92" s="22"/>
      <c r="B92" s="22"/>
      <c r="C92" s="29" t="s">
        <v>90</v>
      </c>
      <c r="D92" s="30">
        <f t="shared" ref="D92:AL92" si="49">COUNTIF(D$3:D$72,"02夜*")</f>
        <v>1</v>
      </c>
      <c r="E92" s="30">
        <f t="shared" si="49"/>
        <v>1</v>
      </c>
      <c r="F92" s="30">
        <f t="shared" si="49"/>
        <v>1</v>
      </c>
      <c r="G92" s="30">
        <f t="shared" si="49"/>
        <v>1</v>
      </c>
      <c r="H92" s="30">
        <f t="shared" si="49"/>
        <v>1</v>
      </c>
      <c r="I92" s="30">
        <f t="shared" si="49"/>
        <v>1</v>
      </c>
      <c r="J92" s="30">
        <f t="shared" si="49"/>
        <v>1</v>
      </c>
      <c r="K92" s="30">
        <f t="shared" si="49"/>
        <v>0</v>
      </c>
      <c r="L92" s="30">
        <f t="shared" si="49"/>
        <v>0</v>
      </c>
      <c r="M92" s="30">
        <f t="shared" si="49"/>
        <v>0</v>
      </c>
      <c r="N92" s="30">
        <f t="shared" si="49"/>
        <v>0</v>
      </c>
      <c r="O92" s="30">
        <f t="shared" si="49"/>
        <v>0</v>
      </c>
      <c r="P92" s="30">
        <f t="shared" si="49"/>
        <v>0</v>
      </c>
      <c r="Q92" s="30">
        <f t="shared" si="49"/>
        <v>0</v>
      </c>
      <c r="R92" s="30">
        <f t="shared" si="49"/>
        <v>0</v>
      </c>
      <c r="S92" s="30">
        <f t="shared" si="49"/>
        <v>0</v>
      </c>
      <c r="T92" s="30">
        <f t="shared" si="49"/>
        <v>0</v>
      </c>
      <c r="U92" s="30">
        <f t="shared" si="49"/>
        <v>0</v>
      </c>
      <c r="V92" s="30">
        <f t="shared" si="49"/>
        <v>0</v>
      </c>
      <c r="W92" s="30">
        <f t="shared" si="49"/>
        <v>0</v>
      </c>
      <c r="X92" s="30">
        <f t="shared" si="49"/>
        <v>0</v>
      </c>
      <c r="Y92" s="30">
        <f t="shared" si="49"/>
        <v>0</v>
      </c>
      <c r="Z92" s="30">
        <f t="shared" si="49"/>
        <v>0</v>
      </c>
      <c r="AA92" s="30">
        <f t="shared" si="49"/>
        <v>0</v>
      </c>
      <c r="AB92" s="30">
        <f t="shared" si="49"/>
        <v>0</v>
      </c>
      <c r="AC92" s="30">
        <f t="shared" si="49"/>
        <v>0</v>
      </c>
      <c r="AD92" s="30">
        <f t="shared" si="49"/>
        <v>0</v>
      </c>
      <c r="AE92" s="30">
        <f t="shared" si="49"/>
        <v>0</v>
      </c>
      <c r="AF92" s="30">
        <f t="shared" si="49"/>
        <v>0</v>
      </c>
      <c r="AG92" s="30">
        <f t="shared" si="49"/>
        <v>0</v>
      </c>
      <c r="AH92" s="30">
        <f t="shared" si="49"/>
        <v>0</v>
      </c>
      <c r="AI92" s="30">
        <f t="shared" si="49"/>
        <v>0</v>
      </c>
      <c r="AJ92" s="30">
        <f t="shared" si="49"/>
        <v>0</v>
      </c>
      <c r="AK92" s="30">
        <f t="shared" si="49"/>
        <v>0</v>
      </c>
      <c r="AL92" s="30">
        <f t="shared" si="49"/>
        <v>0</v>
      </c>
      <c r="AM92" s="53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5"/>
      <c r="BI92" s="25"/>
      <c r="BJ92" s="25"/>
    </row>
    <row r="93" spans="1:68" s="26" customFormat="1" ht="32.450000000000003" hidden="1" customHeight="1">
      <c r="A93" s="22"/>
      <c r="B93" s="22"/>
      <c r="C93" s="28" t="s">
        <v>91</v>
      </c>
      <c r="D93" s="24">
        <f t="shared" ref="D93:AL93" si="50">COUNTIF(D$3:D$72,"*03早*")-D94</f>
        <v>2</v>
      </c>
      <c r="E93" s="24">
        <f t="shared" si="50"/>
        <v>2</v>
      </c>
      <c r="F93" s="24">
        <f t="shared" si="50"/>
        <v>2</v>
      </c>
      <c r="G93" s="24">
        <f t="shared" si="50"/>
        <v>2</v>
      </c>
      <c r="H93" s="24">
        <f t="shared" si="50"/>
        <v>2</v>
      </c>
      <c r="I93" s="24">
        <f t="shared" si="50"/>
        <v>2</v>
      </c>
      <c r="J93" s="24">
        <f t="shared" si="50"/>
        <v>2</v>
      </c>
      <c r="K93" s="24">
        <f t="shared" si="50"/>
        <v>0</v>
      </c>
      <c r="L93" s="24">
        <f t="shared" si="50"/>
        <v>0</v>
      </c>
      <c r="M93" s="24">
        <f t="shared" si="50"/>
        <v>0</v>
      </c>
      <c r="N93" s="24">
        <f t="shared" si="50"/>
        <v>0</v>
      </c>
      <c r="O93" s="24">
        <f t="shared" si="50"/>
        <v>0</v>
      </c>
      <c r="P93" s="24">
        <f t="shared" si="50"/>
        <v>0</v>
      </c>
      <c r="Q93" s="24">
        <f t="shared" si="50"/>
        <v>0</v>
      </c>
      <c r="R93" s="24">
        <f t="shared" si="50"/>
        <v>0</v>
      </c>
      <c r="S93" s="24">
        <f t="shared" si="50"/>
        <v>0</v>
      </c>
      <c r="T93" s="24">
        <f t="shared" si="50"/>
        <v>0</v>
      </c>
      <c r="U93" s="24">
        <f t="shared" si="50"/>
        <v>0</v>
      </c>
      <c r="V93" s="24">
        <f t="shared" si="50"/>
        <v>0</v>
      </c>
      <c r="W93" s="24">
        <f t="shared" si="50"/>
        <v>0</v>
      </c>
      <c r="X93" s="24">
        <f t="shared" si="50"/>
        <v>0</v>
      </c>
      <c r="Y93" s="24">
        <f t="shared" si="50"/>
        <v>0</v>
      </c>
      <c r="Z93" s="24">
        <f t="shared" si="50"/>
        <v>0</v>
      </c>
      <c r="AA93" s="24">
        <f t="shared" si="50"/>
        <v>0</v>
      </c>
      <c r="AB93" s="24">
        <f t="shared" si="50"/>
        <v>0</v>
      </c>
      <c r="AC93" s="24">
        <f t="shared" si="50"/>
        <v>0</v>
      </c>
      <c r="AD93" s="24">
        <f t="shared" si="50"/>
        <v>0</v>
      </c>
      <c r="AE93" s="24">
        <f t="shared" si="50"/>
        <v>0</v>
      </c>
      <c r="AF93" s="24">
        <f t="shared" si="50"/>
        <v>0</v>
      </c>
      <c r="AG93" s="24">
        <f t="shared" si="50"/>
        <v>0</v>
      </c>
      <c r="AH93" s="24">
        <f t="shared" si="50"/>
        <v>0</v>
      </c>
      <c r="AI93" s="24">
        <f t="shared" si="50"/>
        <v>0</v>
      </c>
      <c r="AJ93" s="24">
        <f t="shared" si="50"/>
        <v>0</v>
      </c>
      <c r="AK93" s="24">
        <f t="shared" si="50"/>
        <v>0</v>
      </c>
      <c r="AL93" s="24">
        <f t="shared" si="50"/>
        <v>0</v>
      </c>
      <c r="AM93" s="53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5"/>
      <c r="BI93" s="25"/>
      <c r="BJ93" s="25"/>
    </row>
    <row r="94" spans="1:68" s="26" customFormat="1" ht="32.450000000000003" hidden="1" customHeight="1">
      <c r="A94" s="22"/>
      <c r="B94" s="22"/>
      <c r="C94" s="23" t="s">
        <v>151</v>
      </c>
      <c r="D94" s="31">
        <f t="shared" ref="D94:AL94" si="51">COUNTIF(D$3:D$72,"*03早A*")</f>
        <v>1</v>
      </c>
      <c r="E94" s="31">
        <f t="shared" si="51"/>
        <v>1</v>
      </c>
      <c r="F94" s="31">
        <f t="shared" si="51"/>
        <v>1</v>
      </c>
      <c r="G94" s="31">
        <f t="shared" si="51"/>
        <v>1</v>
      </c>
      <c r="H94" s="31">
        <f t="shared" si="51"/>
        <v>1</v>
      </c>
      <c r="I94" s="31">
        <f t="shared" si="51"/>
        <v>1</v>
      </c>
      <c r="J94" s="31">
        <f t="shared" si="51"/>
        <v>0</v>
      </c>
      <c r="K94" s="31">
        <f t="shared" si="51"/>
        <v>0</v>
      </c>
      <c r="L94" s="31">
        <f t="shared" si="51"/>
        <v>0</v>
      </c>
      <c r="M94" s="31">
        <f t="shared" si="51"/>
        <v>0</v>
      </c>
      <c r="N94" s="31">
        <f t="shared" si="51"/>
        <v>0</v>
      </c>
      <c r="O94" s="31">
        <f t="shared" si="51"/>
        <v>0</v>
      </c>
      <c r="P94" s="31">
        <f t="shared" si="51"/>
        <v>0</v>
      </c>
      <c r="Q94" s="31">
        <f t="shared" si="51"/>
        <v>0</v>
      </c>
      <c r="R94" s="31">
        <f t="shared" si="51"/>
        <v>0</v>
      </c>
      <c r="S94" s="31">
        <f t="shared" si="51"/>
        <v>0</v>
      </c>
      <c r="T94" s="31">
        <f t="shared" si="51"/>
        <v>0</v>
      </c>
      <c r="U94" s="31">
        <f t="shared" si="51"/>
        <v>0</v>
      </c>
      <c r="V94" s="31">
        <f t="shared" si="51"/>
        <v>0</v>
      </c>
      <c r="W94" s="31">
        <f t="shared" si="51"/>
        <v>0</v>
      </c>
      <c r="X94" s="31">
        <f t="shared" si="51"/>
        <v>0</v>
      </c>
      <c r="Y94" s="31">
        <f t="shared" si="51"/>
        <v>0</v>
      </c>
      <c r="Z94" s="31">
        <f t="shared" si="51"/>
        <v>0</v>
      </c>
      <c r="AA94" s="31">
        <f t="shared" si="51"/>
        <v>0</v>
      </c>
      <c r="AB94" s="31">
        <f t="shared" si="51"/>
        <v>0</v>
      </c>
      <c r="AC94" s="31">
        <f t="shared" si="51"/>
        <v>0</v>
      </c>
      <c r="AD94" s="31">
        <f t="shared" si="51"/>
        <v>0</v>
      </c>
      <c r="AE94" s="31">
        <f t="shared" si="51"/>
        <v>0</v>
      </c>
      <c r="AF94" s="31">
        <f t="shared" si="51"/>
        <v>0</v>
      </c>
      <c r="AG94" s="31">
        <f t="shared" si="51"/>
        <v>0</v>
      </c>
      <c r="AH94" s="31">
        <f t="shared" si="51"/>
        <v>0</v>
      </c>
      <c r="AI94" s="31">
        <f t="shared" si="51"/>
        <v>0</v>
      </c>
      <c r="AJ94" s="31">
        <f t="shared" si="51"/>
        <v>0</v>
      </c>
      <c r="AK94" s="31">
        <f t="shared" si="51"/>
        <v>0</v>
      </c>
      <c r="AL94" s="31">
        <f t="shared" si="51"/>
        <v>0</v>
      </c>
      <c r="AM94" s="53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5"/>
      <c r="BI94" s="25"/>
      <c r="BJ94" s="25"/>
    </row>
    <row r="95" spans="1:68" s="26" customFormat="1" ht="32.450000000000003" hidden="1" customHeight="1">
      <c r="A95" s="22"/>
      <c r="B95" s="22"/>
      <c r="C95" s="23" t="s">
        <v>92</v>
      </c>
      <c r="D95" s="27">
        <f t="shared" ref="D95:AL95" si="52">COUNTIF(D$3:D$72,"03中A*")</f>
        <v>0</v>
      </c>
      <c r="E95" s="27">
        <f t="shared" si="52"/>
        <v>0</v>
      </c>
      <c r="F95" s="27">
        <f t="shared" si="52"/>
        <v>0</v>
      </c>
      <c r="G95" s="27">
        <f t="shared" si="52"/>
        <v>0</v>
      </c>
      <c r="H95" s="27">
        <f t="shared" si="52"/>
        <v>0</v>
      </c>
      <c r="I95" s="27">
        <f t="shared" si="52"/>
        <v>0</v>
      </c>
      <c r="J95" s="27">
        <f t="shared" si="52"/>
        <v>0</v>
      </c>
      <c r="K95" s="27">
        <f t="shared" si="52"/>
        <v>0</v>
      </c>
      <c r="L95" s="27">
        <f t="shared" si="52"/>
        <v>0</v>
      </c>
      <c r="M95" s="27">
        <f t="shared" si="52"/>
        <v>0</v>
      </c>
      <c r="N95" s="27">
        <f t="shared" si="52"/>
        <v>0</v>
      </c>
      <c r="O95" s="27">
        <f t="shared" si="52"/>
        <v>0</v>
      </c>
      <c r="P95" s="27">
        <f t="shared" si="52"/>
        <v>0</v>
      </c>
      <c r="Q95" s="27">
        <f t="shared" si="52"/>
        <v>0</v>
      </c>
      <c r="R95" s="27">
        <f t="shared" si="52"/>
        <v>0</v>
      </c>
      <c r="S95" s="27">
        <f t="shared" si="52"/>
        <v>0</v>
      </c>
      <c r="T95" s="27">
        <f t="shared" si="52"/>
        <v>0</v>
      </c>
      <c r="U95" s="27">
        <f t="shared" si="52"/>
        <v>0</v>
      </c>
      <c r="V95" s="27">
        <f t="shared" si="52"/>
        <v>0</v>
      </c>
      <c r="W95" s="27">
        <f t="shared" si="52"/>
        <v>0</v>
      </c>
      <c r="X95" s="27">
        <f t="shared" si="52"/>
        <v>0</v>
      </c>
      <c r="Y95" s="27">
        <f t="shared" si="52"/>
        <v>0</v>
      </c>
      <c r="Z95" s="27">
        <f t="shared" si="52"/>
        <v>0</v>
      </c>
      <c r="AA95" s="27">
        <f t="shared" si="52"/>
        <v>0</v>
      </c>
      <c r="AB95" s="27">
        <f t="shared" si="52"/>
        <v>0</v>
      </c>
      <c r="AC95" s="27">
        <f t="shared" si="52"/>
        <v>0</v>
      </c>
      <c r="AD95" s="27">
        <f t="shared" si="52"/>
        <v>0</v>
      </c>
      <c r="AE95" s="27">
        <f t="shared" si="52"/>
        <v>0</v>
      </c>
      <c r="AF95" s="27">
        <f t="shared" si="52"/>
        <v>0</v>
      </c>
      <c r="AG95" s="27">
        <f t="shared" si="52"/>
        <v>0</v>
      </c>
      <c r="AH95" s="27">
        <f t="shared" si="52"/>
        <v>0</v>
      </c>
      <c r="AI95" s="27">
        <f t="shared" si="52"/>
        <v>0</v>
      </c>
      <c r="AJ95" s="27">
        <f t="shared" si="52"/>
        <v>0</v>
      </c>
      <c r="AK95" s="27">
        <f t="shared" si="52"/>
        <v>0</v>
      </c>
      <c r="AL95" s="27">
        <f t="shared" si="52"/>
        <v>0</v>
      </c>
      <c r="AM95" s="53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5"/>
      <c r="BI95" s="25"/>
      <c r="BJ95" s="25"/>
    </row>
    <row r="96" spans="1:68" s="26" customFormat="1" ht="32.450000000000003" hidden="1" customHeight="1">
      <c r="A96" s="22"/>
      <c r="B96" s="22"/>
      <c r="C96" s="23" t="s">
        <v>93</v>
      </c>
      <c r="D96" s="27">
        <f t="shared" ref="D96:AL96" si="53">COUNTIF(D$3:D$72,"*03午*")-D97</f>
        <v>2</v>
      </c>
      <c r="E96" s="27">
        <f t="shared" si="53"/>
        <v>2</v>
      </c>
      <c r="F96" s="27">
        <f t="shared" si="53"/>
        <v>2</v>
      </c>
      <c r="G96" s="27">
        <f t="shared" si="53"/>
        <v>2</v>
      </c>
      <c r="H96" s="27">
        <f t="shared" si="53"/>
        <v>2</v>
      </c>
      <c r="I96" s="27">
        <f t="shared" si="53"/>
        <v>2</v>
      </c>
      <c r="J96" s="27">
        <f t="shared" si="53"/>
        <v>2</v>
      </c>
      <c r="K96" s="27">
        <f t="shared" si="53"/>
        <v>0</v>
      </c>
      <c r="L96" s="27">
        <f t="shared" si="53"/>
        <v>0</v>
      </c>
      <c r="M96" s="27">
        <f t="shared" si="53"/>
        <v>0</v>
      </c>
      <c r="N96" s="27">
        <f t="shared" si="53"/>
        <v>0</v>
      </c>
      <c r="O96" s="27">
        <f t="shared" si="53"/>
        <v>0</v>
      </c>
      <c r="P96" s="27">
        <f t="shared" si="53"/>
        <v>0</v>
      </c>
      <c r="Q96" s="27">
        <f t="shared" si="53"/>
        <v>0</v>
      </c>
      <c r="R96" s="27">
        <f t="shared" si="53"/>
        <v>0</v>
      </c>
      <c r="S96" s="27">
        <f t="shared" si="53"/>
        <v>0</v>
      </c>
      <c r="T96" s="27">
        <f t="shared" si="53"/>
        <v>0</v>
      </c>
      <c r="U96" s="27">
        <f t="shared" si="53"/>
        <v>0</v>
      </c>
      <c r="V96" s="27">
        <f t="shared" si="53"/>
        <v>0</v>
      </c>
      <c r="W96" s="27">
        <f t="shared" si="53"/>
        <v>0</v>
      </c>
      <c r="X96" s="27">
        <f t="shared" si="53"/>
        <v>0</v>
      </c>
      <c r="Y96" s="27">
        <f t="shared" si="53"/>
        <v>0</v>
      </c>
      <c r="Z96" s="27">
        <f t="shared" si="53"/>
        <v>0</v>
      </c>
      <c r="AA96" s="27">
        <f t="shared" si="53"/>
        <v>0</v>
      </c>
      <c r="AB96" s="27">
        <f t="shared" si="53"/>
        <v>0</v>
      </c>
      <c r="AC96" s="27">
        <f t="shared" si="53"/>
        <v>0</v>
      </c>
      <c r="AD96" s="27">
        <f t="shared" si="53"/>
        <v>0</v>
      </c>
      <c r="AE96" s="27">
        <f t="shared" si="53"/>
        <v>0</v>
      </c>
      <c r="AF96" s="27">
        <f t="shared" si="53"/>
        <v>0</v>
      </c>
      <c r="AG96" s="27">
        <f t="shared" si="53"/>
        <v>0</v>
      </c>
      <c r="AH96" s="27">
        <f t="shared" si="53"/>
        <v>0</v>
      </c>
      <c r="AI96" s="27">
        <f t="shared" si="53"/>
        <v>0</v>
      </c>
      <c r="AJ96" s="27">
        <f t="shared" si="53"/>
        <v>0</v>
      </c>
      <c r="AK96" s="27">
        <f t="shared" si="53"/>
        <v>0</v>
      </c>
      <c r="AL96" s="27">
        <f t="shared" si="53"/>
        <v>0</v>
      </c>
      <c r="AM96" s="53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5"/>
      <c r="BI96" s="25"/>
      <c r="BJ96" s="25"/>
    </row>
    <row r="97" spans="1:68" s="26" customFormat="1" ht="32.450000000000003" hidden="1" customHeight="1">
      <c r="A97" s="22"/>
      <c r="B97" s="22"/>
      <c r="C97" s="23" t="s">
        <v>152</v>
      </c>
      <c r="D97" s="27">
        <f t="shared" ref="D97:AL97" si="54">COUNTIF(D$3:D$72,"*03午F*")</f>
        <v>1</v>
      </c>
      <c r="E97" s="27">
        <f t="shared" si="54"/>
        <v>1</v>
      </c>
      <c r="F97" s="27">
        <f t="shared" si="54"/>
        <v>1</v>
      </c>
      <c r="G97" s="27">
        <f t="shared" si="54"/>
        <v>1</v>
      </c>
      <c r="H97" s="27">
        <f t="shared" si="54"/>
        <v>1</v>
      </c>
      <c r="I97" s="27">
        <f t="shared" si="54"/>
        <v>1</v>
      </c>
      <c r="J97" s="27">
        <f t="shared" si="54"/>
        <v>1</v>
      </c>
      <c r="K97" s="27">
        <f t="shared" si="54"/>
        <v>0</v>
      </c>
      <c r="L97" s="27">
        <f t="shared" si="54"/>
        <v>0</v>
      </c>
      <c r="M97" s="27">
        <f t="shared" si="54"/>
        <v>0</v>
      </c>
      <c r="N97" s="27">
        <f t="shared" si="54"/>
        <v>0</v>
      </c>
      <c r="O97" s="27">
        <f t="shared" si="54"/>
        <v>0</v>
      </c>
      <c r="P97" s="27">
        <f t="shared" si="54"/>
        <v>0</v>
      </c>
      <c r="Q97" s="27">
        <f t="shared" si="54"/>
        <v>0</v>
      </c>
      <c r="R97" s="27">
        <f t="shared" si="54"/>
        <v>0</v>
      </c>
      <c r="S97" s="27">
        <f t="shared" si="54"/>
        <v>0</v>
      </c>
      <c r="T97" s="27">
        <f t="shared" si="54"/>
        <v>0</v>
      </c>
      <c r="U97" s="27">
        <f t="shared" si="54"/>
        <v>0</v>
      </c>
      <c r="V97" s="27">
        <f t="shared" si="54"/>
        <v>0</v>
      </c>
      <c r="W97" s="27">
        <f t="shared" si="54"/>
        <v>0</v>
      </c>
      <c r="X97" s="27">
        <f t="shared" si="54"/>
        <v>0</v>
      </c>
      <c r="Y97" s="27">
        <f t="shared" si="54"/>
        <v>0</v>
      </c>
      <c r="Z97" s="27">
        <f t="shared" si="54"/>
        <v>0</v>
      </c>
      <c r="AA97" s="27">
        <f t="shared" si="54"/>
        <v>0</v>
      </c>
      <c r="AB97" s="27">
        <f t="shared" si="54"/>
        <v>0</v>
      </c>
      <c r="AC97" s="27">
        <f t="shared" si="54"/>
        <v>0</v>
      </c>
      <c r="AD97" s="27">
        <f t="shared" si="54"/>
        <v>0</v>
      </c>
      <c r="AE97" s="27">
        <f t="shared" si="54"/>
        <v>0</v>
      </c>
      <c r="AF97" s="27">
        <f t="shared" si="54"/>
        <v>0</v>
      </c>
      <c r="AG97" s="27">
        <f t="shared" si="54"/>
        <v>0</v>
      </c>
      <c r="AH97" s="27">
        <f t="shared" si="54"/>
        <v>0</v>
      </c>
      <c r="AI97" s="27">
        <f t="shared" si="54"/>
        <v>0</v>
      </c>
      <c r="AJ97" s="27">
        <f t="shared" si="54"/>
        <v>0</v>
      </c>
      <c r="AK97" s="27">
        <f t="shared" si="54"/>
        <v>0</v>
      </c>
      <c r="AL97" s="27">
        <f t="shared" si="54"/>
        <v>0</v>
      </c>
      <c r="AM97" s="53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5"/>
      <c r="BI97" s="25"/>
      <c r="BJ97" s="25"/>
    </row>
    <row r="98" spans="1:68" s="26" customFormat="1" ht="32.450000000000003" hidden="1" customHeight="1" thickBot="1">
      <c r="A98" s="22"/>
      <c r="B98" s="22"/>
      <c r="C98" s="29" t="s">
        <v>94</v>
      </c>
      <c r="D98" s="30">
        <f t="shared" ref="D98:AL98" si="55">COUNTIF(D$3:D$72,"03夜")</f>
        <v>1</v>
      </c>
      <c r="E98" s="30">
        <f t="shared" si="55"/>
        <v>1</v>
      </c>
      <c r="F98" s="30">
        <f t="shared" si="55"/>
        <v>1</v>
      </c>
      <c r="G98" s="30">
        <f t="shared" si="55"/>
        <v>1</v>
      </c>
      <c r="H98" s="30">
        <f t="shared" si="55"/>
        <v>1</v>
      </c>
      <c r="I98" s="30">
        <f t="shared" si="55"/>
        <v>1</v>
      </c>
      <c r="J98" s="30">
        <f t="shared" si="55"/>
        <v>1</v>
      </c>
      <c r="K98" s="30">
        <f t="shared" si="55"/>
        <v>0</v>
      </c>
      <c r="L98" s="30">
        <f t="shared" si="55"/>
        <v>0</v>
      </c>
      <c r="M98" s="30">
        <f t="shared" si="55"/>
        <v>0</v>
      </c>
      <c r="N98" s="30">
        <f t="shared" si="55"/>
        <v>0</v>
      </c>
      <c r="O98" s="30">
        <f t="shared" si="55"/>
        <v>0</v>
      </c>
      <c r="P98" s="30">
        <f t="shared" si="55"/>
        <v>0</v>
      </c>
      <c r="Q98" s="30">
        <f t="shared" si="55"/>
        <v>0</v>
      </c>
      <c r="R98" s="30">
        <f t="shared" si="55"/>
        <v>0</v>
      </c>
      <c r="S98" s="30">
        <f t="shared" si="55"/>
        <v>0</v>
      </c>
      <c r="T98" s="30">
        <f t="shared" si="55"/>
        <v>0</v>
      </c>
      <c r="U98" s="30">
        <f t="shared" si="55"/>
        <v>0</v>
      </c>
      <c r="V98" s="30">
        <f t="shared" si="55"/>
        <v>0</v>
      </c>
      <c r="W98" s="30">
        <f t="shared" si="55"/>
        <v>0</v>
      </c>
      <c r="X98" s="30">
        <f t="shared" si="55"/>
        <v>0</v>
      </c>
      <c r="Y98" s="30">
        <f t="shared" si="55"/>
        <v>0</v>
      </c>
      <c r="Z98" s="30">
        <f t="shared" si="55"/>
        <v>0</v>
      </c>
      <c r="AA98" s="30">
        <f t="shared" si="55"/>
        <v>0</v>
      </c>
      <c r="AB98" s="30">
        <f t="shared" si="55"/>
        <v>0</v>
      </c>
      <c r="AC98" s="30">
        <f t="shared" si="55"/>
        <v>0</v>
      </c>
      <c r="AD98" s="30">
        <f t="shared" si="55"/>
        <v>0</v>
      </c>
      <c r="AE98" s="30">
        <f t="shared" si="55"/>
        <v>0</v>
      </c>
      <c r="AF98" s="30">
        <f t="shared" si="55"/>
        <v>0</v>
      </c>
      <c r="AG98" s="30">
        <f t="shared" si="55"/>
        <v>0</v>
      </c>
      <c r="AH98" s="30">
        <f t="shared" si="55"/>
        <v>0</v>
      </c>
      <c r="AI98" s="30">
        <f t="shared" si="55"/>
        <v>0</v>
      </c>
      <c r="AJ98" s="30">
        <f t="shared" si="55"/>
        <v>0</v>
      </c>
      <c r="AK98" s="30">
        <f t="shared" si="55"/>
        <v>0</v>
      </c>
      <c r="AL98" s="30">
        <f t="shared" si="55"/>
        <v>0</v>
      </c>
      <c r="AM98" s="53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5"/>
      <c r="BI98" s="25"/>
      <c r="BJ98" s="25"/>
    </row>
    <row r="99" spans="1:68" s="26" customFormat="1" ht="32.450000000000003" hidden="1" customHeight="1">
      <c r="A99" s="22"/>
      <c r="B99" s="22"/>
      <c r="C99" s="23" t="s">
        <v>95</v>
      </c>
      <c r="D99" s="24">
        <f t="shared" ref="D99:AL99" si="56">COUNTIF(D$3:D$72,"*04早*")</f>
        <v>1</v>
      </c>
      <c r="E99" s="24">
        <f t="shared" si="56"/>
        <v>1</v>
      </c>
      <c r="F99" s="24">
        <f t="shared" si="56"/>
        <v>1</v>
      </c>
      <c r="G99" s="24">
        <f t="shared" si="56"/>
        <v>1</v>
      </c>
      <c r="H99" s="24">
        <f t="shared" si="56"/>
        <v>1</v>
      </c>
      <c r="I99" s="24">
        <f t="shared" si="56"/>
        <v>1</v>
      </c>
      <c r="J99" s="24">
        <f t="shared" si="56"/>
        <v>1</v>
      </c>
      <c r="K99" s="24">
        <f t="shared" si="56"/>
        <v>0</v>
      </c>
      <c r="L99" s="24">
        <f t="shared" si="56"/>
        <v>0</v>
      </c>
      <c r="M99" s="24">
        <f t="shared" si="56"/>
        <v>0</v>
      </c>
      <c r="N99" s="24">
        <f t="shared" si="56"/>
        <v>0</v>
      </c>
      <c r="O99" s="24">
        <f t="shared" si="56"/>
        <v>0</v>
      </c>
      <c r="P99" s="24">
        <f t="shared" si="56"/>
        <v>0</v>
      </c>
      <c r="Q99" s="24">
        <f t="shared" si="56"/>
        <v>0</v>
      </c>
      <c r="R99" s="24">
        <f t="shared" si="56"/>
        <v>0</v>
      </c>
      <c r="S99" s="24">
        <f t="shared" si="56"/>
        <v>0</v>
      </c>
      <c r="T99" s="24">
        <f t="shared" si="56"/>
        <v>0</v>
      </c>
      <c r="U99" s="24">
        <f t="shared" si="56"/>
        <v>0</v>
      </c>
      <c r="V99" s="24">
        <f t="shared" si="56"/>
        <v>0</v>
      </c>
      <c r="W99" s="24">
        <f t="shared" si="56"/>
        <v>0</v>
      </c>
      <c r="X99" s="24">
        <f t="shared" si="56"/>
        <v>0</v>
      </c>
      <c r="Y99" s="24">
        <f t="shared" si="56"/>
        <v>0</v>
      </c>
      <c r="Z99" s="24">
        <f t="shared" si="56"/>
        <v>0</v>
      </c>
      <c r="AA99" s="24">
        <f t="shared" si="56"/>
        <v>0</v>
      </c>
      <c r="AB99" s="24">
        <f t="shared" si="56"/>
        <v>0</v>
      </c>
      <c r="AC99" s="24">
        <f t="shared" si="56"/>
        <v>0</v>
      </c>
      <c r="AD99" s="24">
        <f t="shared" si="56"/>
        <v>0</v>
      </c>
      <c r="AE99" s="24">
        <f t="shared" si="56"/>
        <v>0</v>
      </c>
      <c r="AF99" s="24">
        <f t="shared" si="56"/>
        <v>0</v>
      </c>
      <c r="AG99" s="24">
        <f t="shared" si="56"/>
        <v>0</v>
      </c>
      <c r="AH99" s="24">
        <f t="shared" si="56"/>
        <v>0</v>
      </c>
      <c r="AI99" s="24">
        <f t="shared" si="56"/>
        <v>0</v>
      </c>
      <c r="AJ99" s="24">
        <f t="shared" si="56"/>
        <v>0</v>
      </c>
      <c r="AK99" s="24">
        <f t="shared" si="56"/>
        <v>0</v>
      </c>
      <c r="AL99" s="24">
        <f t="shared" si="56"/>
        <v>0</v>
      </c>
      <c r="AM99" s="53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5"/>
      <c r="BI99" s="25"/>
      <c r="BJ99" s="25"/>
    </row>
    <row r="100" spans="1:68" s="26" customFormat="1" ht="32.450000000000003" hidden="1" customHeight="1">
      <c r="A100" s="22"/>
      <c r="B100" s="22"/>
      <c r="C100" s="23" t="s">
        <v>96</v>
      </c>
      <c r="D100" s="27">
        <f t="shared" ref="D100:AL100" si="57">COUNTIF(D$3:D$72,"*04中A*")</f>
        <v>1</v>
      </c>
      <c r="E100" s="27">
        <f t="shared" si="57"/>
        <v>1</v>
      </c>
      <c r="F100" s="27">
        <f t="shared" si="57"/>
        <v>1</v>
      </c>
      <c r="G100" s="27">
        <f t="shared" si="57"/>
        <v>1</v>
      </c>
      <c r="H100" s="27">
        <f t="shared" si="57"/>
        <v>1</v>
      </c>
      <c r="I100" s="27">
        <f t="shared" si="57"/>
        <v>1</v>
      </c>
      <c r="J100" s="27">
        <f t="shared" si="57"/>
        <v>1</v>
      </c>
      <c r="K100" s="27">
        <f t="shared" si="57"/>
        <v>0</v>
      </c>
      <c r="L100" s="27">
        <f t="shared" si="57"/>
        <v>0</v>
      </c>
      <c r="M100" s="27">
        <f t="shared" si="57"/>
        <v>0</v>
      </c>
      <c r="N100" s="27">
        <f t="shared" si="57"/>
        <v>0</v>
      </c>
      <c r="O100" s="27">
        <f t="shared" si="57"/>
        <v>0</v>
      </c>
      <c r="P100" s="27">
        <f t="shared" si="57"/>
        <v>0</v>
      </c>
      <c r="Q100" s="27">
        <f t="shared" si="57"/>
        <v>0</v>
      </c>
      <c r="R100" s="27">
        <f t="shared" si="57"/>
        <v>0</v>
      </c>
      <c r="S100" s="27">
        <f t="shared" si="57"/>
        <v>0</v>
      </c>
      <c r="T100" s="27">
        <f t="shared" si="57"/>
        <v>0</v>
      </c>
      <c r="U100" s="27">
        <f t="shared" si="57"/>
        <v>0</v>
      </c>
      <c r="V100" s="27">
        <f t="shared" si="57"/>
        <v>0</v>
      </c>
      <c r="W100" s="27">
        <f t="shared" si="57"/>
        <v>0</v>
      </c>
      <c r="X100" s="27">
        <f t="shared" si="57"/>
        <v>0</v>
      </c>
      <c r="Y100" s="27">
        <f t="shared" si="57"/>
        <v>0</v>
      </c>
      <c r="Z100" s="27">
        <f t="shared" si="57"/>
        <v>0</v>
      </c>
      <c r="AA100" s="27">
        <f t="shared" si="57"/>
        <v>0</v>
      </c>
      <c r="AB100" s="27">
        <f t="shared" si="57"/>
        <v>0</v>
      </c>
      <c r="AC100" s="27">
        <f t="shared" si="57"/>
        <v>0</v>
      </c>
      <c r="AD100" s="27">
        <f t="shared" si="57"/>
        <v>0</v>
      </c>
      <c r="AE100" s="27">
        <f t="shared" si="57"/>
        <v>0</v>
      </c>
      <c r="AF100" s="27">
        <f t="shared" si="57"/>
        <v>0</v>
      </c>
      <c r="AG100" s="27">
        <f t="shared" si="57"/>
        <v>0</v>
      </c>
      <c r="AH100" s="27">
        <f t="shared" si="57"/>
        <v>0</v>
      </c>
      <c r="AI100" s="27">
        <f t="shared" si="57"/>
        <v>0</v>
      </c>
      <c r="AJ100" s="27">
        <f t="shared" si="57"/>
        <v>0</v>
      </c>
      <c r="AK100" s="27">
        <f t="shared" si="57"/>
        <v>0</v>
      </c>
      <c r="AL100" s="27">
        <f t="shared" si="57"/>
        <v>0</v>
      </c>
      <c r="AM100" s="53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5"/>
      <c r="BI100" s="25"/>
      <c r="BJ100" s="25"/>
    </row>
    <row r="101" spans="1:68" s="26" customFormat="1" ht="32.450000000000003" hidden="1" customHeight="1">
      <c r="A101" s="22"/>
      <c r="B101" s="22"/>
      <c r="C101" s="23" t="s">
        <v>97</v>
      </c>
      <c r="D101" s="27">
        <f t="shared" ref="D101:AL101" si="58">COUNTIF(D$3:D$72,"*04午*")</f>
        <v>1</v>
      </c>
      <c r="E101" s="27">
        <f t="shared" si="58"/>
        <v>1</v>
      </c>
      <c r="F101" s="27">
        <f t="shared" si="58"/>
        <v>1</v>
      </c>
      <c r="G101" s="27">
        <f t="shared" si="58"/>
        <v>1</v>
      </c>
      <c r="H101" s="27">
        <f t="shared" si="58"/>
        <v>1</v>
      </c>
      <c r="I101" s="27">
        <f t="shared" si="58"/>
        <v>1</v>
      </c>
      <c r="J101" s="27">
        <f t="shared" si="58"/>
        <v>1</v>
      </c>
      <c r="K101" s="27">
        <f t="shared" si="58"/>
        <v>0</v>
      </c>
      <c r="L101" s="27">
        <f t="shared" si="58"/>
        <v>0</v>
      </c>
      <c r="M101" s="27">
        <f t="shared" si="58"/>
        <v>0</v>
      </c>
      <c r="N101" s="27">
        <f t="shared" si="58"/>
        <v>0</v>
      </c>
      <c r="O101" s="27">
        <f t="shared" si="58"/>
        <v>0</v>
      </c>
      <c r="P101" s="27">
        <f t="shared" si="58"/>
        <v>0</v>
      </c>
      <c r="Q101" s="27">
        <f t="shared" si="58"/>
        <v>0</v>
      </c>
      <c r="R101" s="27">
        <f t="shared" si="58"/>
        <v>0</v>
      </c>
      <c r="S101" s="27">
        <f t="shared" si="58"/>
        <v>0</v>
      </c>
      <c r="T101" s="27">
        <f t="shared" si="58"/>
        <v>0</v>
      </c>
      <c r="U101" s="27">
        <f t="shared" si="58"/>
        <v>0</v>
      </c>
      <c r="V101" s="27">
        <f t="shared" si="58"/>
        <v>0</v>
      </c>
      <c r="W101" s="27">
        <f t="shared" si="58"/>
        <v>0</v>
      </c>
      <c r="X101" s="27">
        <f t="shared" si="58"/>
        <v>0</v>
      </c>
      <c r="Y101" s="27">
        <f t="shared" si="58"/>
        <v>0</v>
      </c>
      <c r="Z101" s="27">
        <f t="shared" si="58"/>
        <v>0</v>
      </c>
      <c r="AA101" s="27">
        <f t="shared" si="58"/>
        <v>0</v>
      </c>
      <c r="AB101" s="27">
        <f t="shared" si="58"/>
        <v>0</v>
      </c>
      <c r="AC101" s="27">
        <f t="shared" si="58"/>
        <v>0</v>
      </c>
      <c r="AD101" s="27">
        <f t="shared" si="58"/>
        <v>0</v>
      </c>
      <c r="AE101" s="27">
        <f t="shared" si="58"/>
        <v>0</v>
      </c>
      <c r="AF101" s="27">
        <f t="shared" si="58"/>
        <v>0</v>
      </c>
      <c r="AG101" s="27">
        <f t="shared" si="58"/>
        <v>0</v>
      </c>
      <c r="AH101" s="27">
        <f t="shared" si="58"/>
        <v>0</v>
      </c>
      <c r="AI101" s="27">
        <f t="shared" si="58"/>
        <v>0</v>
      </c>
      <c r="AJ101" s="27">
        <f t="shared" si="58"/>
        <v>0</v>
      </c>
      <c r="AK101" s="27">
        <f t="shared" si="58"/>
        <v>0</v>
      </c>
      <c r="AL101" s="27">
        <f t="shared" si="58"/>
        <v>0</v>
      </c>
      <c r="AM101" s="53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5"/>
      <c r="BI101" s="25"/>
      <c r="BJ101" s="25"/>
    </row>
    <row r="102" spans="1:68" s="26" customFormat="1" ht="32.450000000000003" hidden="1" customHeight="1" thickBot="1">
      <c r="A102" s="22"/>
      <c r="B102" s="22"/>
      <c r="C102" s="29" t="s">
        <v>98</v>
      </c>
      <c r="D102" s="30">
        <f t="shared" ref="D102:AL102" si="59">COUNTIF(D$3:D$72,"*04夜*")</f>
        <v>1</v>
      </c>
      <c r="E102" s="30">
        <f t="shared" si="59"/>
        <v>1</v>
      </c>
      <c r="F102" s="30">
        <f t="shared" si="59"/>
        <v>1</v>
      </c>
      <c r="G102" s="30">
        <f t="shared" si="59"/>
        <v>1</v>
      </c>
      <c r="H102" s="30">
        <f t="shared" si="59"/>
        <v>1</v>
      </c>
      <c r="I102" s="30">
        <f t="shared" si="59"/>
        <v>1</v>
      </c>
      <c r="J102" s="30">
        <f t="shared" si="59"/>
        <v>1</v>
      </c>
      <c r="K102" s="30">
        <f t="shared" si="59"/>
        <v>0</v>
      </c>
      <c r="L102" s="30">
        <f t="shared" si="59"/>
        <v>0</v>
      </c>
      <c r="M102" s="30">
        <f t="shared" si="59"/>
        <v>0</v>
      </c>
      <c r="N102" s="30">
        <f t="shared" si="59"/>
        <v>0</v>
      </c>
      <c r="O102" s="30">
        <f t="shared" si="59"/>
        <v>0</v>
      </c>
      <c r="P102" s="30">
        <f t="shared" si="59"/>
        <v>0</v>
      </c>
      <c r="Q102" s="30">
        <f t="shared" si="59"/>
        <v>0</v>
      </c>
      <c r="R102" s="30">
        <f t="shared" si="59"/>
        <v>0</v>
      </c>
      <c r="S102" s="30">
        <f t="shared" si="59"/>
        <v>0</v>
      </c>
      <c r="T102" s="30">
        <f t="shared" si="59"/>
        <v>0</v>
      </c>
      <c r="U102" s="30">
        <f t="shared" si="59"/>
        <v>0</v>
      </c>
      <c r="V102" s="30">
        <f t="shared" si="59"/>
        <v>0</v>
      </c>
      <c r="W102" s="30">
        <f t="shared" si="59"/>
        <v>0</v>
      </c>
      <c r="X102" s="30">
        <f t="shared" si="59"/>
        <v>0</v>
      </c>
      <c r="Y102" s="30">
        <f t="shared" si="59"/>
        <v>0</v>
      </c>
      <c r="Z102" s="30">
        <f t="shared" si="59"/>
        <v>0</v>
      </c>
      <c r="AA102" s="30">
        <f t="shared" si="59"/>
        <v>0</v>
      </c>
      <c r="AB102" s="30">
        <f t="shared" si="59"/>
        <v>0</v>
      </c>
      <c r="AC102" s="30">
        <f t="shared" si="59"/>
        <v>0</v>
      </c>
      <c r="AD102" s="30">
        <f t="shared" si="59"/>
        <v>0</v>
      </c>
      <c r="AE102" s="30">
        <f t="shared" si="59"/>
        <v>0</v>
      </c>
      <c r="AF102" s="30">
        <f t="shared" si="59"/>
        <v>0</v>
      </c>
      <c r="AG102" s="30">
        <f t="shared" si="59"/>
        <v>0</v>
      </c>
      <c r="AH102" s="30">
        <f t="shared" si="59"/>
        <v>0</v>
      </c>
      <c r="AI102" s="30">
        <f t="shared" si="59"/>
        <v>0</v>
      </c>
      <c r="AJ102" s="30">
        <f t="shared" si="59"/>
        <v>0</v>
      </c>
      <c r="AK102" s="30">
        <f t="shared" si="59"/>
        <v>0</v>
      </c>
      <c r="AL102" s="30">
        <f t="shared" si="59"/>
        <v>0</v>
      </c>
      <c r="AM102" s="53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5"/>
      <c r="BI102" s="25"/>
      <c r="BJ102" s="25"/>
    </row>
    <row r="103" spans="1:68" s="26" customFormat="1" ht="32.450000000000003" hidden="1" customHeight="1">
      <c r="A103" s="22"/>
      <c r="B103" s="22"/>
      <c r="C103" s="23" t="s">
        <v>99</v>
      </c>
      <c r="D103" s="24">
        <f t="shared" ref="D103:U103" si="60">COUNTIF(D$3:D$72,"*05早*")</f>
        <v>1</v>
      </c>
      <c r="E103" s="24">
        <f t="shared" si="60"/>
        <v>1</v>
      </c>
      <c r="F103" s="24">
        <f t="shared" si="60"/>
        <v>1</v>
      </c>
      <c r="G103" s="24">
        <f t="shared" si="60"/>
        <v>1</v>
      </c>
      <c r="H103" s="24">
        <f t="shared" si="60"/>
        <v>1</v>
      </c>
      <c r="I103" s="24">
        <f t="shared" si="60"/>
        <v>1</v>
      </c>
      <c r="J103" s="24">
        <f t="shared" si="60"/>
        <v>1</v>
      </c>
      <c r="K103" s="24">
        <f t="shared" si="60"/>
        <v>0</v>
      </c>
      <c r="L103" s="24">
        <f t="shared" si="60"/>
        <v>0</v>
      </c>
      <c r="M103" s="24">
        <f t="shared" si="60"/>
        <v>0</v>
      </c>
      <c r="N103" s="24">
        <f t="shared" si="60"/>
        <v>0</v>
      </c>
      <c r="O103" s="24">
        <f t="shared" si="60"/>
        <v>0</v>
      </c>
      <c r="P103" s="24">
        <f t="shared" si="60"/>
        <v>0</v>
      </c>
      <c r="Q103" s="24">
        <f t="shared" si="60"/>
        <v>0</v>
      </c>
      <c r="R103" s="24">
        <f t="shared" si="60"/>
        <v>0</v>
      </c>
      <c r="S103" s="24">
        <f t="shared" si="60"/>
        <v>0</v>
      </c>
      <c r="T103" s="24">
        <f t="shared" si="60"/>
        <v>0</v>
      </c>
      <c r="U103" s="24">
        <f t="shared" si="60"/>
        <v>0</v>
      </c>
      <c r="V103" s="24">
        <f>COUNTIF(V$3:V$72,"*05早")</f>
        <v>0</v>
      </c>
      <c r="W103" s="24">
        <f t="shared" ref="W103:AL103" si="61">COUNTIF(W$3:W$72,"*05早*")</f>
        <v>0</v>
      </c>
      <c r="X103" s="24">
        <f t="shared" si="61"/>
        <v>0</v>
      </c>
      <c r="Y103" s="24">
        <f t="shared" si="61"/>
        <v>0</v>
      </c>
      <c r="Z103" s="24">
        <f t="shared" si="61"/>
        <v>0</v>
      </c>
      <c r="AA103" s="24">
        <f t="shared" si="61"/>
        <v>0</v>
      </c>
      <c r="AB103" s="24">
        <f t="shared" si="61"/>
        <v>0</v>
      </c>
      <c r="AC103" s="24">
        <f t="shared" si="61"/>
        <v>0</v>
      </c>
      <c r="AD103" s="24">
        <f t="shared" si="61"/>
        <v>0</v>
      </c>
      <c r="AE103" s="24">
        <f t="shared" si="61"/>
        <v>0</v>
      </c>
      <c r="AF103" s="24">
        <f t="shared" si="61"/>
        <v>0</v>
      </c>
      <c r="AG103" s="24">
        <f t="shared" si="61"/>
        <v>0</v>
      </c>
      <c r="AH103" s="24">
        <f t="shared" si="61"/>
        <v>0</v>
      </c>
      <c r="AI103" s="24">
        <f t="shared" si="61"/>
        <v>0</v>
      </c>
      <c r="AJ103" s="24">
        <f t="shared" si="61"/>
        <v>0</v>
      </c>
      <c r="AK103" s="24">
        <f t="shared" si="61"/>
        <v>0</v>
      </c>
      <c r="AL103" s="24">
        <f t="shared" si="61"/>
        <v>0</v>
      </c>
      <c r="AM103" s="53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5"/>
      <c r="BI103" s="25"/>
      <c r="BJ103" s="25"/>
    </row>
    <row r="104" spans="1:68" s="26" customFormat="1" ht="32.450000000000003" hidden="1" customHeight="1">
      <c r="A104" s="22"/>
      <c r="B104" s="22"/>
      <c r="C104" s="23" t="s">
        <v>100</v>
      </c>
      <c r="D104" s="27">
        <f t="shared" ref="D104:AL104" si="62">COUNTIF(D$3:D$72,"05中A*")</f>
        <v>1</v>
      </c>
      <c r="E104" s="27">
        <f t="shared" si="62"/>
        <v>1</v>
      </c>
      <c r="F104" s="27">
        <f t="shared" si="62"/>
        <v>1</v>
      </c>
      <c r="G104" s="27">
        <f t="shared" si="62"/>
        <v>1</v>
      </c>
      <c r="H104" s="27">
        <f t="shared" si="62"/>
        <v>1</v>
      </c>
      <c r="I104" s="27">
        <f t="shared" si="62"/>
        <v>1</v>
      </c>
      <c r="J104" s="27">
        <f t="shared" si="62"/>
        <v>1</v>
      </c>
      <c r="K104" s="27">
        <f t="shared" si="62"/>
        <v>0</v>
      </c>
      <c r="L104" s="27">
        <f t="shared" si="62"/>
        <v>0</v>
      </c>
      <c r="M104" s="27">
        <f t="shared" si="62"/>
        <v>0</v>
      </c>
      <c r="N104" s="27">
        <f t="shared" si="62"/>
        <v>0</v>
      </c>
      <c r="O104" s="27">
        <f t="shared" si="62"/>
        <v>0</v>
      </c>
      <c r="P104" s="27">
        <f t="shared" si="62"/>
        <v>0</v>
      </c>
      <c r="Q104" s="27">
        <f t="shared" si="62"/>
        <v>0</v>
      </c>
      <c r="R104" s="27">
        <f t="shared" si="62"/>
        <v>0</v>
      </c>
      <c r="S104" s="27">
        <f t="shared" si="62"/>
        <v>0</v>
      </c>
      <c r="T104" s="27">
        <f t="shared" si="62"/>
        <v>0</v>
      </c>
      <c r="U104" s="27">
        <f t="shared" si="62"/>
        <v>0</v>
      </c>
      <c r="V104" s="27">
        <f t="shared" si="62"/>
        <v>0</v>
      </c>
      <c r="W104" s="27">
        <f t="shared" si="62"/>
        <v>0</v>
      </c>
      <c r="X104" s="27">
        <f t="shared" si="62"/>
        <v>0</v>
      </c>
      <c r="Y104" s="27">
        <f t="shared" si="62"/>
        <v>0</v>
      </c>
      <c r="Z104" s="27">
        <f t="shared" si="62"/>
        <v>0</v>
      </c>
      <c r="AA104" s="27">
        <f t="shared" si="62"/>
        <v>0</v>
      </c>
      <c r="AB104" s="27">
        <f t="shared" si="62"/>
        <v>0</v>
      </c>
      <c r="AC104" s="27">
        <f t="shared" si="62"/>
        <v>0</v>
      </c>
      <c r="AD104" s="27">
        <f t="shared" si="62"/>
        <v>0</v>
      </c>
      <c r="AE104" s="27">
        <f t="shared" si="62"/>
        <v>0</v>
      </c>
      <c r="AF104" s="27">
        <f t="shared" si="62"/>
        <v>0</v>
      </c>
      <c r="AG104" s="27">
        <f t="shared" si="62"/>
        <v>0</v>
      </c>
      <c r="AH104" s="27">
        <f t="shared" si="62"/>
        <v>0</v>
      </c>
      <c r="AI104" s="27">
        <f t="shared" si="62"/>
        <v>0</v>
      </c>
      <c r="AJ104" s="27">
        <f t="shared" si="62"/>
        <v>0</v>
      </c>
      <c r="AK104" s="27">
        <f t="shared" si="62"/>
        <v>0</v>
      </c>
      <c r="AL104" s="27">
        <f t="shared" si="62"/>
        <v>0</v>
      </c>
      <c r="AM104" s="53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5"/>
      <c r="BI104" s="25"/>
      <c r="BJ104" s="25"/>
    </row>
    <row r="105" spans="1:68" s="26" customFormat="1" ht="32.450000000000003" hidden="1" customHeight="1">
      <c r="A105" s="22"/>
      <c r="B105" s="22"/>
      <c r="C105" s="28" t="s">
        <v>101</v>
      </c>
      <c r="D105" s="27">
        <f t="shared" ref="D105:AL105" si="63">COUNTIF(D$3:D$72,"*05午*")</f>
        <v>1</v>
      </c>
      <c r="E105" s="27">
        <f t="shared" si="63"/>
        <v>1</v>
      </c>
      <c r="F105" s="27">
        <f t="shared" si="63"/>
        <v>1</v>
      </c>
      <c r="G105" s="27">
        <f t="shared" si="63"/>
        <v>1</v>
      </c>
      <c r="H105" s="27">
        <f t="shared" si="63"/>
        <v>1</v>
      </c>
      <c r="I105" s="27">
        <f t="shared" si="63"/>
        <v>1</v>
      </c>
      <c r="J105" s="27">
        <f t="shared" si="63"/>
        <v>1</v>
      </c>
      <c r="K105" s="27">
        <f t="shared" si="63"/>
        <v>0</v>
      </c>
      <c r="L105" s="27">
        <f t="shared" si="63"/>
        <v>0</v>
      </c>
      <c r="M105" s="27">
        <f t="shared" si="63"/>
        <v>0</v>
      </c>
      <c r="N105" s="27">
        <f t="shared" si="63"/>
        <v>0</v>
      </c>
      <c r="O105" s="27">
        <f t="shared" si="63"/>
        <v>0</v>
      </c>
      <c r="P105" s="27">
        <f t="shared" si="63"/>
        <v>0</v>
      </c>
      <c r="Q105" s="27">
        <f t="shared" si="63"/>
        <v>0</v>
      </c>
      <c r="R105" s="27">
        <f t="shared" si="63"/>
        <v>0</v>
      </c>
      <c r="S105" s="27">
        <f t="shared" si="63"/>
        <v>0</v>
      </c>
      <c r="T105" s="27">
        <f t="shared" si="63"/>
        <v>0</v>
      </c>
      <c r="U105" s="27">
        <f t="shared" si="63"/>
        <v>0</v>
      </c>
      <c r="V105" s="27">
        <f t="shared" si="63"/>
        <v>0</v>
      </c>
      <c r="W105" s="27">
        <f t="shared" si="63"/>
        <v>0</v>
      </c>
      <c r="X105" s="27">
        <f t="shared" si="63"/>
        <v>0</v>
      </c>
      <c r="Y105" s="27">
        <f t="shared" si="63"/>
        <v>0</v>
      </c>
      <c r="Z105" s="27">
        <f t="shared" si="63"/>
        <v>0</v>
      </c>
      <c r="AA105" s="27">
        <f t="shared" si="63"/>
        <v>0</v>
      </c>
      <c r="AB105" s="27">
        <f t="shared" si="63"/>
        <v>0</v>
      </c>
      <c r="AC105" s="27">
        <f t="shared" si="63"/>
        <v>0</v>
      </c>
      <c r="AD105" s="27">
        <f t="shared" si="63"/>
        <v>0</v>
      </c>
      <c r="AE105" s="27">
        <f t="shared" si="63"/>
        <v>0</v>
      </c>
      <c r="AF105" s="27">
        <f t="shared" si="63"/>
        <v>0</v>
      </c>
      <c r="AG105" s="27">
        <f t="shared" si="63"/>
        <v>0</v>
      </c>
      <c r="AH105" s="27">
        <f t="shared" si="63"/>
        <v>0</v>
      </c>
      <c r="AI105" s="27">
        <f t="shared" si="63"/>
        <v>0</v>
      </c>
      <c r="AJ105" s="27">
        <f t="shared" si="63"/>
        <v>0</v>
      </c>
      <c r="AK105" s="27">
        <f t="shared" si="63"/>
        <v>0</v>
      </c>
      <c r="AL105" s="27">
        <f t="shared" si="63"/>
        <v>0</v>
      </c>
      <c r="AM105" s="53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5"/>
      <c r="BI105" s="25"/>
      <c r="BJ105" s="25"/>
    </row>
    <row r="106" spans="1:68" s="26" customFormat="1" ht="32.450000000000003" hidden="1" customHeight="1" thickBot="1">
      <c r="A106" s="22"/>
      <c r="B106" s="22"/>
      <c r="C106" s="29" t="s">
        <v>102</v>
      </c>
      <c r="D106" s="30">
        <f t="shared" ref="D106:AL106" si="64">COUNTIF(D$3:D$72,"05夜*")</f>
        <v>1</v>
      </c>
      <c r="E106" s="30">
        <f t="shared" si="64"/>
        <v>1</v>
      </c>
      <c r="F106" s="30">
        <f t="shared" si="64"/>
        <v>1</v>
      </c>
      <c r="G106" s="30">
        <f t="shared" si="64"/>
        <v>1</v>
      </c>
      <c r="H106" s="30">
        <f t="shared" si="64"/>
        <v>1</v>
      </c>
      <c r="I106" s="30">
        <f t="shared" si="64"/>
        <v>1</v>
      </c>
      <c r="J106" s="30">
        <f t="shared" si="64"/>
        <v>1</v>
      </c>
      <c r="K106" s="30">
        <f t="shared" si="64"/>
        <v>0</v>
      </c>
      <c r="L106" s="30">
        <f t="shared" si="64"/>
        <v>0</v>
      </c>
      <c r="M106" s="30">
        <f t="shared" si="64"/>
        <v>0</v>
      </c>
      <c r="N106" s="30">
        <f t="shared" si="64"/>
        <v>0</v>
      </c>
      <c r="O106" s="30">
        <f t="shared" si="64"/>
        <v>0</v>
      </c>
      <c r="P106" s="30">
        <f t="shared" si="64"/>
        <v>0</v>
      </c>
      <c r="Q106" s="30">
        <f t="shared" si="64"/>
        <v>0</v>
      </c>
      <c r="R106" s="30">
        <f t="shared" si="64"/>
        <v>0</v>
      </c>
      <c r="S106" s="30">
        <f t="shared" si="64"/>
        <v>0</v>
      </c>
      <c r="T106" s="30">
        <f t="shared" si="64"/>
        <v>0</v>
      </c>
      <c r="U106" s="30">
        <f t="shared" si="64"/>
        <v>0</v>
      </c>
      <c r="V106" s="30">
        <f t="shared" si="64"/>
        <v>0</v>
      </c>
      <c r="W106" s="30">
        <f t="shared" si="64"/>
        <v>0</v>
      </c>
      <c r="X106" s="30">
        <f t="shared" si="64"/>
        <v>0</v>
      </c>
      <c r="Y106" s="30">
        <f t="shared" si="64"/>
        <v>0</v>
      </c>
      <c r="Z106" s="30">
        <f t="shared" si="64"/>
        <v>0</v>
      </c>
      <c r="AA106" s="30">
        <f t="shared" si="64"/>
        <v>0</v>
      </c>
      <c r="AB106" s="30">
        <f t="shared" si="64"/>
        <v>0</v>
      </c>
      <c r="AC106" s="30">
        <f t="shared" si="64"/>
        <v>0</v>
      </c>
      <c r="AD106" s="30">
        <f t="shared" si="64"/>
        <v>0</v>
      </c>
      <c r="AE106" s="30">
        <f t="shared" si="64"/>
        <v>0</v>
      </c>
      <c r="AF106" s="30">
        <f t="shared" si="64"/>
        <v>0</v>
      </c>
      <c r="AG106" s="30">
        <f t="shared" si="64"/>
        <v>0</v>
      </c>
      <c r="AH106" s="30">
        <f t="shared" si="64"/>
        <v>0</v>
      </c>
      <c r="AI106" s="30">
        <f t="shared" si="64"/>
        <v>0</v>
      </c>
      <c r="AJ106" s="30">
        <f t="shared" si="64"/>
        <v>0</v>
      </c>
      <c r="AK106" s="30">
        <f t="shared" si="64"/>
        <v>0</v>
      </c>
      <c r="AL106" s="30">
        <f t="shared" si="64"/>
        <v>0</v>
      </c>
      <c r="AM106" s="53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5"/>
      <c r="BI106" s="25"/>
      <c r="BJ106" s="25"/>
    </row>
    <row r="107" spans="1:68" s="26" customFormat="1" ht="32.450000000000003" hidden="1" customHeight="1">
      <c r="A107" s="22"/>
      <c r="B107" s="22"/>
      <c r="C107" s="23" t="s">
        <v>103</v>
      </c>
      <c r="D107" s="24">
        <f t="shared" ref="D107:AL107" si="65">COUNTIF(D$3:D$72,"*06早*")</f>
        <v>1</v>
      </c>
      <c r="E107" s="24">
        <f t="shared" si="65"/>
        <v>2</v>
      </c>
      <c r="F107" s="24">
        <f t="shared" si="65"/>
        <v>1</v>
      </c>
      <c r="G107" s="24">
        <f t="shared" si="65"/>
        <v>1</v>
      </c>
      <c r="H107" s="24">
        <f t="shared" si="65"/>
        <v>1</v>
      </c>
      <c r="I107" s="24">
        <f t="shared" si="65"/>
        <v>1</v>
      </c>
      <c r="J107" s="24">
        <f t="shared" si="65"/>
        <v>1</v>
      </c>
      <c r="K107" s="24">
        <f t="shared" si="65"/>
        <v>0</v>
      </c>
      <c r="L107" s="24">
        <f t="shared" si="65"/>
        <v>0</v>
      </c>
      <c r="M107" s="24">
        <f t="shared" si="65"/>
        <v>0</v>
      </c>
      <c r="N107" s="24">
        <f t="shared" si="65"/>
        <v>0</v>
      </c>
      <c r="O107" s="24">
        <f t="shared" si="65"/>
        <v>0</v>
      </c>
      <c r="P107" s="24">
        <f t="shared" si="65"/>
        <v>0</v>
      </c>
      <c r="Q107" s="24">
        <f t="shared" si="65"/>
        <v>0</v>
      </c>
      <c r="R107" s="24">
        <f t="shared" si="65"/>
        <v>0</v>
      </c>
      <c r="S107" s="24">
        <f t="shared" si="65"/>
        <v>0</v>
      </c>
      <c r="T107" s="24">
        <f t="shared" si="65"/>
        <v>0</v>
      </c>
      <c r="U107" s="24">
        <f t="shared" si="65"/>
        <v>0</v>
      </c>
      <c r="V107" s="24">
        <f t="shared" si="65"/>
        <v>0</v>
      </c>
      <c r="W107" s="24">
        <f t="shared" si="65"/>
        <v>0</v>
      </c>
      <c r="X107" s="24">
        <f t="shared" si="65"/>
        <v>0</v>
      </c>
      <c r="Y107" s="24">
        <f t="shared" si="65"/>
        <v>0</v>
      </c>
      <c r="Z107" s="24">
        <f t="shared" si="65"/>
        <v>0</v>
      </c>
      <c r="AA107" s="24">
        <f t="shared" si="65"/>
        <v>0</v>
      </c>
      <c r="AB107" s="24">
        <f t="shared" si="65"/>
        <v>0</v>
      </c>
      <c r="AC107" s="24">
        <f t="shared" si="65"/>
        <v>0</v>
      </c>
      <c r="AD107" s="24">
        <f t="shared" si="65"/>
        <v>0</v>
      </c>
      <c r="AE107" s="24">
        <f t="shared" si="65"/>
        <v>0</v>
      </c>
      <c r="AF107" s="24">
        <f t="shared" si="65"/>
        <v>0</v>
      </c>
      <c r="AG107" s="24">
        <f t="shared" si="65"/>
        <v>0</v>
      </c>
      <c r="AH107" s="24">
        <f t="shared" si="65"/>
        <v>0</v>
      </c>
      <c r="AI107" s="24">
        <f t="shared" si="65"/>
        <v>0</v>
      </c>
      <c r="AJ107" s="24">
        <f t="shared" si="65"/>
        <v>0</v>
      </c>
      <c r="AK107" s="24">
        <f t="shared" si="65"/>
        <v>0</v>
      </c>
      <c r="AL107" s="24">
        <f t="shared" si="65"/>
        <v>0</v>
      </c>
      <c r="AM107" s="53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5"/>
      <c r="BI107" s="25"/>
      <c r="BJ107" s="25"/>
    </row>
    <row r="108" spans="1:68" s="26" customFormat="1" ht="32.450000000000003" hidden="1" customHeight="1">
      <c r="A108" s="22"/>
      <c r="B108" s="22"/>
      <c r="C108" s="23" t="s">
        <v>104</v>
      </c>
      <c r="D108" s="27">
        <f t="shared" ref="D108:AL108" si="66">COUNTIF(D$3:D$72,"*06中A*")</f>
        <v>1</v>
      </c>
      <c r="E108" s="27">
        <f t="shared" si="66"/>
        <v>0</v>
      </c>
      <c r="F108" s="27">
        <f t="shared" si="66"/>
        <v>1</v>
      </c>
      <c r="G108" s="27">
        <f t="shared" si="66"/>
        <v>1</v>
      </c>
      <c r="H108" s="27">
        <f t="shared" si="66"/>
        <v>1</v>
      </c>
      <c r="I108" s="27">
        <f t="shared" si="66"/>
        <v>1</v>
      </c>
      <c r="J108" s="27">
        <f t="shared" si="66"/>
        <v>1</v>
      </c>
      <c r="K108" s="27">
        <f t="shared" si="66"/>
        <v>0</v>
      </c>
      <c r="L108" s="27">
        <f t="shared" si="66"/>
        <v>0</v>
      </c>
      <c r="M108" s="27">
        <f t="shared" si="66"/>
        <v>0</v>
      </c>
      <c r="N108" s="27">
        <f t="shared" si="66"/>
        <v>0</v>
      </c>
      <c r="O108" s="27">
        <f t="shared" si="66"/>
        <v>0</v>
      </c>
      <c r="P108" s="27">
        <f t="shared" si="66"/>
        <v>0</v>
      </c>
      <c r="Q108" s="27">
        <f t="shared" si="66"/>
        <v>0</v>
      </c>
      <c r="R108" s="27">
        <f t="shared" si="66"/>
        <v>0</v>
      </c>
      <c r="S108" s="27">
        <f t="shared" si="66"/>
        <v>0</v>
      </c>
      <c r="T108" s="27">
        <f t="shared" si="66"/>
        <v>0</v>
      </c>
      <c r="U108" s="27">
        <f t="shared" si="66"/>
        <v>0</v>
      </c>
      <c r="V108" s="27">
        <f t="shared" si="66"/>
        <v>0</v>
      </c>
      <c r="W108" s="27">
        <f t="shared" si="66"/>
        <v>0</v>
      </c>
      <c r="X108" s="27">
        <f t="shared" si="66"/>
        <v>0</v>
      </c>
      <c r="Y108" s="27">
        <f t="shared" si="66"/>
        <v>0</v>
      </c>
      <c r="Z108" s="27">
        <f t="shared" si="66"/>
        <v>0</v>
      </c>
      <c r="AA108" s="27">
        <f t="shared" si="66"/>
        <v>0</v>
      </c>
      <c r="AB108" s="27">
        <f t="shared" si="66"/>
        <v>0</v>
      </c>
      <c r="AC108" s="27">
        <f t="shared" si="66"/>
        <v>0</v>
      </c>
      <c r="AD108" s="27">
        <f t="shared" si="66"/>
        <v>0</v>
      </c>
      <c r="AE108" s="27">
        <f t="shared" si="66"/>
        <v>0</v>
      </c>
      <c r="AF108" s="27">
        <f t="shared" si="66"/>
        <v>0</v>
      </c>
      <c r="AG108" s="27">
        <f t="shared" si="66"/>
        <v>0</v>
      </c>
      <c r="AH108" s="27">
        <f t="shared" si="66"/>
        <v>0</v>
      </c>
      <c r="AI108" s="27">
        <f t="shared" si="66"/>
        <v>0</v>
      </c>
      <c r="AJ108" s="27">
        <f t="shared" si="66"/>
        <v>0</v>
      </c>
      <c r="AK108" s="27">
        <f t="shared" si="66"/>
        <v>0</v>
      </c>
      <c r="AL108" s="27">
        <f t="shared" si="66"/>
        <v>0</v>
      </c>
      <c r="AM108" s="53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5"/>
      <c r="BI108" s="25"/>
      <c r="BJ108" s="25"/>
    </row>
    <row r="109" spans="1:68" s="26" customFormat="1" ht="32.450000000000003" hidden="1" customHeight="1">
      <c r="A109" s="22"/>
      <c r="B109" s="22"/>
      <c r="C109" s="23" t="s">
        <v>105</v>
      </c>
      <c r="D109" s="27">
        <f t="shared" ref="D109:AL109" si="67">COUNTIF(D$3:D$72,"*06午*")</f>
        <v>1</v>
      </c>
      <c r="E109" s="27">
        <f t="shared" si="67"/>
        <v>2</v>
      </c>
      <c r="F109" s="27">
        <f t="shared" si="67"/>
        <v>1</v>
      </c>
      <c r="G109" s="27">
        <f t="shared" si="67"/>
        <v>1</v>
      </c>
      <c r="H109" s="27">
        <f t="shared" si="67"/>
        <v>1</v>
      </c>
      <c r="I109" s="27">
        <f t="shared" si="67"/>
        <v>1</v>
      </c>
      <c r="J109" s="27">
        <f t="shared" si="67"/>
        <v>1</v>
      </c>
      <c r="K109" s="27">
        <f t="shared" si="67"/>
        <v>0</v>
      </c>
      <c r="L109" s="27">
        <f t="shared" si="67"/>
        <v>0</v>
      </c>
      <c r="M109" s="27">
        <f t="shared" si="67"/>
        <v>0</v>
      </c>
      <c r="N109" s="27">
        <f t="shared" si="67"/>
        <v>0</v>
      </c>
      <c r="O109" s="27">
        <f t="shared" si="67"/>
        <v>0</v>
      </c>
      <c r="P109" s="27">
        <f t="shared" si="67"/>
        <v>0</v>
      </c>
      <c r="Q109" s="27">
        <f t="shared" si="67"/>
        <v>0</v>
      </c>
      <c r="R109" s="27">
        <f t="shared" si="67"/>
        <v>0</v>
      </c>
      <c r="S109" s="27">
        <f t="shared" si="67"/>
        <v>0</v>
      </c>
      <c r="T109" s="27">
        <f t="shared" si="67"/>
        <v>0</v>
      </c>
      <c r="U109" s="27">
        <f t="shared" si="67"/>
        <v>0</v>
      </c>
      <c r="V109" s="27">
        <f t="shared" si="67"/>
        <v>0</v>
      </c>
      <c r="W109" s="27">
        <f t="shared" si="67"/>
        <v>0</v>
      </c>
      <c r="X109" s="27">
        <f t="shared" si="67"/>
        <v>0</v>
      </c>
      <c r="Y109" s="27">
        <f t="shared" si="67"/>
        <v>0</v>
      </c>
      <c r="Z109" s="27">
        <f t="shared" si="67"/>
        <v>0</v>
      </c>
      <c r="AA109" s="27">
        <f t="shared" si="67"/>
        <v>0</v>
      </c>
      <c r="AB109" s="27">
        <f t="shared" si="67"/>
        <v>0</v>
      </c>
      <c r="AC109" s="27">
        <f t="shared" si="67"/>
        <v>0</v>
      </c>
      <c r="AD109" s="27">
        <f t="shared" si="67"/>
        <v>0</v>
      </c>
      <c r="AE109" s="27">
        <f t="shared" si="67"/>
        <v>0</v>
      </c>
      <c r="AF109" s="27">
        <f t="shared" si="67"/>
        <v>0</v>
      </c>
      <c r="AG109" s="27">
        <f t="shared" si="67"/>
        <v>0</v>
      </c>
      <c r="AH109" s="27">
        <f t="shared" si="67"/>
        <v>0</v>
      </c>
      <c r="AI109" s="27">
        <f t="shared" si="67"/>
        <v>0</v>
      </c>
      <c r="AJ109" s="27">
        <f t="shared" si="67"/>
        <v>0</v>
      </c>
      <c r="AK109" s="27">
        <f t="shared" si="67"/>
        <v>0</v>
      </c>
      <c r="AL109" s="27">
        <f t="shared" si="67"/>
        <v>0</v>
      </c>
      <c r="AM109" s="53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5"/>
      <c r="BI109" s="25"/>
      <c r="BJ109" s="25"/>
    </row>
    <row r="110" spans="1:68" s="26" customFormat="1" ht="36" hidden="1" customHeight="1" thickBot="1">
      <c r="A110" s="22"/>
      <c r="B110" s="22"/>
      <c r="C110" s="29" t="s">
        <v>106</v>
      </c>
      <c r="D110" s="30">
        <f t="shared" ref="D110:AL110" si="68">COUNTIF(D$3:D$72,"*06夜*")</f>
        <v>1</v>
      </c>
      <c r="E110" s="30">
        <f t="shared" si="68"/>
        <v>1</v>
      </c>
      <c r="F110" s="30">
        <f t="shared" si="68"/>
        <v>1</v>
      </c>
      <c r="G110" s="30">
        <f t="shared" si="68"/>
        <v>1</v>
      </c>
      <c r="H110" s="30">
        <f t="shared" si="68"/>
        <v>1</v>
      </c>
      <c r="I110" s="30">
        <f t="shared" si="68"/>
        <v>1</v>
      </c>
      <c r="J110" s="30">
        <f t="shared" si="68"/>
        <v>1</v>
      </c>
      <c r="K110" s="30">
        <f t="shared" si="68"/>
        <v>0</v>
      </c>
      <c r="L110" s="30">
        <f t="shared" si="68"/>
        <v>0</v>
      </c>
      <c r="M110" s="30">
        <f t="shared" si="68"/>
        <v>0</v>
      </c>
      <c r="N110" s="30">
        <f t="shared" si="68"/>
        <v>0</v>
      </c>
      <c r="O110" s="30">
        <f t="shared" si="68"/>
        <v>0</v>
      </c>
      <c r="P110" s="30">
        <f t="shared" si="68"/>
        <v>0</v>
      </c>
      <c r="Q110" s="30">
        <f t="shared" si="68"/>
        <v>0</v>
      </c>
      <c r="R110" s="30">
        <f t="shared" si="68"/>
        <v>0</v>
      </c>
      <c r="S110" s="30">
        <f t="shared" si="68"/>
        <v>0</v>
      </c>
      <c r="T110" s="30">
        <f t="shared" si="68"/>
        <v>0</v>
      </c>
      <c r="U110" s="30">
        <f t="shared" si="68"/>
        <v>0</v>
      </c>
      <c r="V110" s="30">
        <f t="shared" si="68"/>
        <v>0</v>
      </c>
      <c r="W110" s="30">
        <f t="shared" si="68"/>
        <v>0</v>
      </c>
      <c r="X110" s="30">
        <f t="shared" si="68"/>
        <v>0</v>
      </c>
      <c r="Y110" s="30">
        <f t="shared" si="68"/>
        <v>0</v>
      </c>
      <c r="Z110" s="30">
        <f t="shared" si="68"/>
        <v>0</v>
      </c>
      <c r="AA110" s="30">
        <f t="shared" si="68"/>
        <v>0</v>
      </c>
      <c r="AB110" s="30">
        <f t="shared" si="68"/>
        <v>0</v>
      </c>
      <c r="AC110" s="30">
        <f t="shared" si="68"/>
        <v>0</v>
      </c>
      <c r="AD110" s="30">
        <f t="shared" si="68"/>
        <v>0</v>
      </c>
      <c r="AE110" s="30">
        <f t="shared" si="68"/>
        <v>0</v>
      </c>
      <c r="AF110" s="30">
        <f t="shared" si="68"/>
        <v>0</v>
      </c>
      <c r="AG110" s="30">
        <f t="shared" si="68"/>
        <v>0</v>
      </c>
      <c r="AH110" s="30">
        <f t="shared" si="68"/>
        <v>0</v>
      </c>
      <c r="AI110" s="30">
        <f t="shared" si="68"/>
        <v>0</v>
      </c>
      <c r="AJ110" s="30">
        <f t="shared" si="68"/>
        <v>0</v>
      </c>
      <c r="AK110" s="30">
        <f t="shared" si="68"/>
        <v>0</v>
      </c>
      <c r="AL110" s="30">
        <f t="shared" si="68"/>
        <v>0</v>
      </c>
      <c r="AM110" s="53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5"/>
      <c r="BI110" s="25"/>
      <c r="BJ110" s="25"/>
      <c r="BP110" s="21"/>
    </row>
    <row r="111" spans="1:68" s="21" customFormat="1"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70"/>
      <c r="R111" s="68"/>
      <c r="S111" s="20"/>
      <c r="T111" s="20"/>
      <c r="U111" s="20"/>
      <c r="V111" s="20"/>
      <c r="W111" s="20"/>
      <c r="X111" s="20"/>
      <c r="Z111" s="89"/>
      <c r="AA111" s="89"/>
      <c r="AB111" s="89"/>
      <c r="AC111" s="20"/>
      <c r="AD111" s="20"/>
      <c r="AE111" s="20"/>
      <c r="AF111" s="20"/>
      <c r="AG111" s="89"/>
      <c r="AH111" s="89"/>
      <c r="AI111" s="89"/>
      <c r="AJ111" s="89"/>
      <c r="AK111" s="89"/>
      <c r="AL111" s="89"/>
      <c r="AM111" s="20"/>
      <c r="BP111" s="5"/>
    </row>
    <row r="112" spans="1:68">
      <c r="AN112" s="99"/>
      <c r="AO112" s="99"/>
      <c r="AP112" s="99"/>
      <c r="AQ112" s="99"/>
      <c r="AR112" s="99"/>
      <c r="AS112" s="99"/>
      <c r="AT112" s="99"/>
      <c r="AU112" s="99"/>
    </row>
    <row r="113" spans="40:47">
      <c r="AN113" s="99"/>
      <c r="AO113" s="99"/>
      <c r="AP113" s="99"/>
      <c r="AQ113" s="99"/>
      <c r="AR113" s="99"/>
      <c r="AS113" s="99"/>
      <c r="AT113" s="99"/>
      <c r="AU113" s="99"/>
    </row>
    <row r="114" spans="40:47">
      <c r="AN114" s="99"/>
      <c r="AO114" s="99"/>
      <c r="AP114" s="99"/>
      <c r="AQ114" s="99"/>
      <c r="AR114" s="99"/>
      <c r="AS114" s="99"/>
      <c r="AT114" s="99"/>
      <c r="AU114" s="99"/>
    </row>
  </sheetData>
  <sheetProtection autoFilter="0"/>
  <autoFilter ref="A2:BN78"/>
  <mergeCells count="26">
    <mergeCell ref="C80:C81"/>
    <mergeCell ref="A1:A2"/>
    <mergeCell ref="AV1:BC1"/>
    <mergeCell ref="B1:B2"/>
    <mergeCell ref="C1:C2"/>
    <mergeCell ref="AM1:AM2"/>
    <mergeCell ref="AN1:AO1"/>
    <mergeCell ref="AT1:AU1"/>
    <mergeCell ref="AP1:AQ1"/>
    <mergeCell ref="G74:X74"/>
    <mergeCell ref="B85:B88"/>
    <mergeCell ref="A73:B73"/>
    <mergeCell ref="A51:A58"/>
    <mergeCell ref="A59:A64"/>
    <mergeCell ref="A65:A72"/>
    <mergeCell ref="A80:A81"/>
    <mergeCell ref="B80:B81"/>
    <mergeCell ref="BN1:BN2"/>
    <mergeCell ref="BD1:BH1"/>
    <mergeCell ref="C73:AF73"/>
    <mergeCell ref="A3:A12"/>
    <mergeCell ref="A74:C78"/>
    <mergeCell ref="A13:A31"/>
    <mergeCell ref="A32:A40"/>
    <mergeCell ref="A41:A50"/>
    <mergeCell ref="AR1:AS1"/>
  </mergeCells>
  <phoneticPr fontId="1" type="noConversion"/>
  <conditionalFormatting sqref="D84:AL84 D92:AL92 D98:AL98 D102:AL102 D106:AL106 D110:AL110">
    <cfRule type="cellIs" dxfId="28" priority="72" operator="notEqual">
      <formula>1</formula>
    </cfRule>
  </conditionalFormatting>
  <conditionalFormatting sqref="D85:AL85 D87:AL87">
    <cfRule type="cellIs" dxfId="27" priority="69" operator="equal">
      <formula>4</formula>
    </cfRule>
    <cfRule type="cellIs" dxfId="26" priority="70" operator="greaterThan">
      <formula>5</formula>
    </cfRule>
    <cfRule type="cellIs" dxfId="25" priority="71" operator="lessThan">
      <formula>4</formula>
    </cfRule>
  </conditionalFormatting>
  <conditionalFormatting sqref="D86:AL86 D90:AL90 D95:AL95 D100:AL100 D104:AL104 D108:AL108">
    <cfRule type="cellIs" dxfId="24" priority="81" operator="notEqual">
      <formula>0</formula>
    </cfRule>
  </conditionalFormatting>
  <conditionalFormatting sqref="D89:AL89 D91:AL91 D93:AL93 D96:AL96 D99:AL99 D101:AL101 D103:AL103 D105:AL105 D107:AL107 D109:AL109">
    <cfRule type="cellIs" dxfId="23" priority="61" operator="notEqual">
      <formula>2</formula>
    </cfRule>
    <cfRule type="cellIs" dxfId="22" priority="82" operator="lessThan">
      <formula>1</formula>
    </cfRule>
  </conditionalFormatting>
  <conditionalFormatting sqref="G76:L76">
    <cfRule type="cellIs" dxfId="21" priority="98" stopIfTrue="1" operator="equal">
      <formula>"X"</formula>
    </cfRule>
  </conditionalFormatting>
  <conditionalFormatting sqref="G76:L77 G75:V75">
    <cfRule type="containsText" dxfId="20" priority="106" operator="containsText" text="r">
      <formula>NOT(ISERROR(SEARCH("r",G75)))</formula>
    </cfRule>
  </conditionalFormatting>
  <conditionalFormatting sqref="G77:L77">
    <cfRule type="containsText" dxfId="19" priority="93" operator="containsText" text="P">
      <formula>NOT(ISERROR(SEARCH("P",G77)))</formula>
    </cfRule>
    <cfRule type="containsText" dxfId="18" priority="94" operator="containsText" text="R">
      <formula>NOT(ISERROR(SEARCH("R",G77)))</formula>
    </cfRule>
    <cfRule type="containsText" dxfId="17" priority="95" operator="containsText" text="r">
      <formula>NOT(ISERROR(SEARCH("r",G77)))</formula>
    </cfRule>
    <cfRule type="containsText" dxfId="16" priority="96" operator="containsText" text="P">
      <formula>NOT(ISERROR(SEARCH("P",G77)))</formula>
    </cfRule>
  </conditionalFormatting>
  <conditionalFormatting sqref="G75:V75 G76:L77">
    <cfRule type="cellIs" dxfId="15" priority="107" stopIfTrue="1" operator="equal">
      <formula>"X"</formula>
    </cfRule>
  </conditionalFormatting>
  <conditionalFormatting sqref="AT3:AU72">
    <cfRule type="cellIs" dxfId="14" priority="1" operator="notEqual">
      <formula>0</formula>
    </cfRule>
  </conditionalFormatting>
  <conditionalFormatting sqref="AV2">
    <cfRule type="expression" dxfId="13" priority="116">
      <formula>WEEKDAY(AV$1,2)&gt;5</formula>
    </cfRule>
    <cfRule type="expression" dxfId="12" priority="120">
      <formula>MATCH(AV$1,#REF!,0)</formula>
    </cfRule>
  </conditionalFormatting>
  <conditionalFormatting sqref="BI3:BM72 D82:AL83 D94:AL94 D97:AL97">
    <cfRule type="cellIs" dxfId="11" priority="118" operator="notEqual">
      <formula>1</formula>
    </cfRule>
  </conditionalFormatting>
  <conditionalFormatting sqref="BN3:BN72">
    <cfRule type="cellIs" dxfId="10" priority="17" operator="notEqual">
      <formula>31</formula>
    </cfRule>
  </conditionalFormatting>
  <conditionalFormatting sqref="BP88 BO89 BQ89:XFD89 BP90 BO91 BQ91:XFD91 BP92 BO93 BQ93:XFD93 BP95 BO96 BQ96:XFD96 BP98 BO99 BQ99:XFD99 BP100 BO101 BQ101:XFD101 BP102 BO103 BQ103:XFD103 BP104 BO105 BQ105:XFD105 BP106 BO107 BQ107:XFD107 BP108 BO109 BQ109:XFD109">
    <cfRule type="cellIs" dxfId="9" priority="51" operator="notEqual">
      <formula>2</formula>
    </cfRule>
  </conditionalFormatting>
  <pageMargins left="0.51181102362204722" right="0.51181102362204722" top="0.74803149606299213" bottom="0" header="0.31496062992125984" footer="0.31496062992125984"/>
  <pageSetup paperSize="8" scale="18" orientation="landscape" r:id="rId1"/>
  <headerFooter>
    <oddHeader>&amp;C&amp;"微軟正黑體,標準"&amp;48桃園捷運公司 運務處站務中心
115年5月員工輪值表(北段)</oddHeader>
    <oddFooter>&amp;F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12"/>
  <sheetViews>
    <sheetView zoomScale="40" zoomScaleNormal="40" zoomScaleSheetLayoutView="25" zoomScalePageLayoutView="85" workbookViewId="0">
      <pane xSplit="3" ySplit="2" topLeftCell="J3" activePane="bottomRight" state="frozen"/>
      <selection activeCell="F11" sqref="F11"/>
      <selection pane="topRight" activeCell="F11" sqref="F11"/>
      <selection pane="bottomLeft" activeCell="F11" sqref="F11"/>
      <selection pane="bottomRight" activeCell="C86" sqref="C86"/>
    </sheetView>
  </sheetViews>
  <sheetFormatPr defaultColWidth="8.875" defaultRowHeight="16.5"/>
  <cols>
    <col min="1" max="1" width="11.875" style="5" customWidth="1"/>
    <col min="2" max="2" width="20.125" style="5" bestFit="1" customWidth="1"/>
    <col min="3" max="3" width="18.875" style="5" customWidth="1"/>
    <col min="4" max="24" width="16.5" style="10" customWidth="1"/>
    <col min="25" max="28" width="16.5" style="5" customWidth="1"/>
    <col min="29" max="29" width="16.5" style="10" customWidth="1"/>
    <col min="30" max="36" width="16.5" style="5" customWidth="1"/>
    <col min="37" max="41" width="16.875" style="5" customWidth="1"/>
    <col min="42" max="16384" width="8.875" style="5"/>
  </cols>
  <sheetData>
    <row r="1" spans="1:40" ht="63.75" customHeight="1">
      <c r="A1" s="41"/>
      <c r="B1" s="305" t="s">
        <v>0</v>
      </c>
      <c r="C1" s="307" t="s">
        <v>107</v>
      </c>
      <c r="D1" s="18">
        <v>46143</v>
      </c>
      <c r="E1" s="18">
        <f t="shared" ref="E1:AC1" si="0">D1+1</f>
        <v>46144</v>
      </c>
      <c r="F1" s="18">
        <f t="shared" si="0"/>
        <v>46145</v>
      </c>
      <c r="G1" s="18">
        <f t="shared" si="0"/>
        <v>46146</v>
      </c>
      <c r="H1" s="18">
        <f t="shared" si="0"/>
        <v>46147</v>
      </c>
      <c r="I1" s="18">
        <f t="shared" si="0"/>
        <v>46148</v>
      </c>
      <c r="J1" s="18">
        <f t="shared" si="0"/>
        <v>46149</v>
      </c>
      <c r="K1" s="18">
        <f>J1+1</f>
        <v>46150</v>
      </c>
      <c r="L1" s="18">
        <f t="shared" si="0"/>
        <v>46151</v>
      </c>
      <c r="M1" s="18">
        <f t="shared" si="0"/>
        <v>46152</v>
      </c>
      <c r="N1" s="18">
        <f t="shared" si="0"/>
        <v>46153</v>
      </c>
      <c r="O1" s="18">
        <f t="shared" si="0"/>
        <v>46154</v>
      </c>
      <c r="P1" s="18">
        <f t="shared" si="0"/>
        <v>46155</v>
      </c>
      <c r="Q1" s="18">
        <f t="shared" si="0"/>
        <v>46156</v>
      </c>
      <c r="R1" s="18">
        <f t="shared" si="0"/>
        <v>46157</v>
      </c>
      <c r="S1" s="18">
        <f t="shared" si="0"/>
        <v>46158</v>
      </c>
      <c r="T1" s="18">
        <f t="shared" si="0"/>
        <v>46159</v>
      </c>
      <c r="U1" s="18">
        <f t="shared" si="0"/>
        <v>46160</v>
      </c>
      <c r="V1" s="18">
        <f t="shared" si="0"/>
        <v>46161</v>
      </c>
      <c r="W1" s="18">
        <f t="shared" si="0"/>
        <v>46162</v>
      </c>
      <c r="X1" s="18">
        <f t="shared" si="0"/>
        <v>46163</v>
      </c>
      <c r="Y1" s="18">
        <f t="shared" si="0"/>
        <v>46164</v>
      </c>
      <c r="Z1" s="18">
        <f t="shared" si="0"/>
        <v>46165</v>
      </c>
      <c r="AA1" s="18">
        <f t="shared" si="0"/>
        <v>46166</v>
      </c>
      <c r="AB1" s="18">
        <f t="shared" si="0"/>
        <v>46167</v>
      </c>
      <c r="AC1" s="128">
        <f t="shared" si="0"/>
        <v>46168</v>
      </c>
      <c r="AD1" s="128">
        <f t="shared" ref="AD1" si="1">AC1+1</f>
        <v>46169</v>
      </c>
      <c r="AE1" s="128">
        <f t="shared" ref="AE1" si="2">AD1+1</f>
        <v>46170</v>
      </c>
      <c r="AF1" s="128">
        <f t="shared" ref="AF1" si="3">AE1+1</f>
        <v>46171</v>
      </c>
      <c r="AG1" s="128">
        <f t="shared" ref="AG1" si="4">AF1+1</f>
        <v>46172</v>
      </c>
      <c r="AH1" s="128">
        <f t="shared" ref="AH1" si="5">AG1+1</f>
        <v>46173</v>
      </c>
      <c r="AI1" s="128">
        <f t="shared" ref="AI1" si="6">AH1+1</f>
        <v>46174</v>
      </c>
      <c r="AJ1" s="128">
        <f t="shared" ref="AJ1" si="7">AI1+1</f>
        <v>46175</v>
      </c>
      <c r="AK1" s="128">
        <f t="shared" ref="AK1" si="8">AJ1+1</f>
        <v>46176</v>
      </c>
      <c r="AL1" s="128">
        <f t="shared" ref="AL1" si="9">AK1+1</f>
        <v>46177</v>
      </c>
      <c r="AM1" s="128">
        <f t="shared" ref="AM1" si="10">AL1+1</f>
        <v>46178</v>
      </c>
      <c r="AN1" s="128">
        <f t="shared" ref="AN1" si="11">AM1+1</f>
        <v>46179</v>
      </c>
    </row>
    <row r="2" spans="1:40" ht="43.5" customHeight="1">
      <c r="A2" s="42"/>
      <c r="B2" s="306"/>
      <c r="C2" s="308"/>
      <c r="D2" s="39">
        <f t="shared" ref="D2:AC2" si="12">IFERROR(IF(WEEKDAY(D1,2)=7,"日",WEEKDAY(D1,2)),"")</f>
        <v>5</v>
      </c>
      <c r="E2" s="39">
        <f t="shared" si="12"/>
        <v>6</v>
      </c>
      <c r="F2" s="39" t="str">
        <f t="shared" si="12"/>
        <v>日</v>
      </c>
      <c r="G2" s="39">
        <f t="shared" si="12"/>
        <v>1</v>
      </c>
      <c r="H2" s="39">
        <f t="shared" si="12"/>
        <v>2</v>
      </c>
      <c r="I2" s="39">
        <f t="shared" si="12"/>
        <v>3</v>
      </c>
      <c r="J2" s="39">
        <f t="shared" si="12"/>
        <v>4</v>
      </c>
      <c r="K2" s="39">
        <f t="shared" si="12"/>
        <v>5</v>
      </c>
      <c r="L2" s="39">
        <f t="shared" si="12"/>
        <v>6</v>
      </c>
      <c r="M2" s="39" t="str">
        <f t="shared" si="12"/>
        <v>日</v>
      </c>
      <c r="N2" s="39">
        <f t="shared" si="12"/>
        <v>1</v>
      </c>
      <c r="O2" s="39">
        <f t="shared" si="12"/>
        <v>2</v>
      </c>
      <c r="P2" s="39">
        <f t="shared" si="12"/>
        <v>3</v>
      </c>
      <c r="Q2" s="39">
        <f t="shared" si="12"/>
        <v>4</v>
      </c>
      <c r="R2" s="39">
        <f t="shared" si="12"/>
        <v>5</v>
      </c>
      <c r="S2" s="39">
        <f t="shared" si="12"/>
        <v>6</v>
      </c>
      <c r="T2" s="39" t="str">
        <f t="shared" si="12"/>
        <v>日</v>
      </c>
      <c r="U2" s="39">
        <f t="shared" si="12"/>
        <v>1</v>
      </c>
      <c r="V2" s="39">
        <f t="shared" si="12"/>
        <v>2</v>
      </c>
      <c r="W2" s="39">
        <f t="shared" si="12"/>
        <v>3</v>
      </c>
      <c r="X2" s="39">
        <f t="shared" si="12"/>
        <v>4</v>
      </c>
      <c r="Y2" s="39">
        <f t="shared" si="12"/>
        <v>5</v>
      </c>
      <c r="Z2" s="39">
        <f t="shared" si="12"/>
        <v>6</v>
      </c>
      <c r="AA2" s="39" t="str">
        <f t="shared" si="12"/>
        <v>日</v>
      </c>
      <c r="AB2" s="39">
        <f t="shared" si="12"/>
        <v>1</v>
      </c>
      <c r="AC2" s="129">
        <f t="shared" si="12"/>
        <v>2</v>
      </c>
      <c r="AD2" s="129">
        <f t="shared" ref="AD2:AN2" si="13">IFERROR(IF(WEEKDAY(AD1,2)=7,"日",WEEKDAY(AD1,2)),"")</f>
        <v>3</v>
      </c>
      <c r="AE2" s="129">
        <f t="shared" si="13"/>
        <v>4</v>
      </c>
      <c r="AF2" s="129">
        <f t="shared" si="13"/>
        <v>5</v>
      </c>
      <c r="AG2" s="129">
        <f t="shared" si="13"/>
        <v>6</v>
      </c>
      <c r="AH2" s="129" t="str">
        <f t="shared" si="13"/>
        <v>日</v>
      </c>
      <c r="AI2" s="129">
        <f t="shared" si="13"/>
        <v>1</v>
      </c>
      <c r="AJ2" s="129">
        <f t="shared" si="13"/>
        <v>2</v>
      </c>
      <c r="AK2" s="129">
        <f t="shared" si="13"/>
        <v>3</v>
      </c>
      <c r="AL2" s="129">
        <f t="shared" si="13"/>
        <v>4</v>
      </c>
      <c r="AM2" s="129">
        <f t="shared" si="13"/>
        <v>5</v>
      </c>
      <c r="AN2" s="129">
        <f t="shared" si="13"/>
        <v>6</v>
      </c>
    </row>
    <row r="3" spans="1:40" ht="43.5" customHeight="1">
      <c r="A3" s="130"/>
      <c r="B3" s="101" t="str">
        <f>LEFT(北段!B3,6)</f>
        <v>T00082</v>
      </c>
      <c r="C3" s="151" t="str">
        <f>VLOOKUP(B3,北段!B:C,2,FALSE)</f>
        <v>梁仲煒</v>
      </c>
      <c r="D3" s="62" t="str">
        <f>LEFT(北段!I3,4)</f>
        <v>41日</v>
      </c>
      <c r="E3" s="62" t="str">
        <f>LEFT(北段!J3,4)</f>
        <v>r'</v>
      </c>
      <c r="F3" s="62" t="str">
        <f>LEFT(北段!K3,4)</f>
        <v/>
      </c>
      <c r="G3" s="62" t="str">
        <f>LEFT(北段!L3,4)</f>
        <v/>
      </c>
      <c r="H3" s="62" t="str">
        <f>LEFT(北段!M3,4)</f>
        <v/>
      </c>
      <c r="I3" s="62" t="str">
        <f>LEFT(北段!N3,4)</f>
        <v/>
      </c>
      <c r="J3" s="62" t="str">
        <f>LEFT(北段!O3,4)</f>
        <v/>
      </c>
      <c r="K3" s="62" t="str">
        <f>LEFT(北段!P3,4)</f>
        <v/>
      </c>
      <c r="L3" s="62" t="str">
        <f>LEFT(北段!Q3,4)</f>
        <v/>
      </c>
      <c r="M3" s="62" t="str">
        <f>LEFT(北段!R3,4)</f>
        <v/>
      </c>
      <c r="N3" s="62" t="str">
        <f>LEFT(北段!S3,4)</f>
        <v/>
      </c>
      <c r="O3" s="62" t="str">
        <f>LEFT(北段!T3,4)</f>
        <v/>
      </c>
      <c r="P3" s="62" t="str">
        <f>LEFT(北段!U3,4)</f>
        <v/>
      </c>
      <c r="Q3" s="62" t="str">
        <f>LEFT(北段!V3,4)</f>
        <v/>
      </c>
      <c r="R3" s="62" t="str">
        <f>LEFT(北段!W3,4)</f>
        <v/>
      </c>
      <c r="S3" s="62" t="str">
        <f>LEFT(北段!X3,4)</f>
        <v/>
      </c>
      <c r="T3" s="62" t="str">
        <f>LEFT(北段!Y3,4)</f>
        <v/>
      </c>
      <c r="U3" s="62" t="str">
        <f>LEFT(北段!Z3,4)</f>
        <v/>
      </c>
      <c r="V3" s="62" t="str">
        <f>LEFT(北段!AA3,4)</f>
        <v/>
      </c>
      <c r="W3" s="62" t="str">
        <f>LEFT(北段!AB3,4)</f>
        <v/>
      </c>
      <c r="X3" s="62" t="str">
        <f>LEFT(北段!AC3,4)</f>
        <v/>
      </c>
      <c r="Y3" s="62" t="str">
        <f>LEFT(北段!AD3,4)</f>
        <v/>
      </c>
      <c r="Z3" s="62" t="str">
        <f>LEFT(北段!AE3,4)</f>
        <v/>
      </c>
      <c r="AA3" s="62" t="str">
        <f>LEFT(北段!AF3,4)</f>
        <v/>
      </c>
      <c r="AB3" s="62" t="str">
        <f>LEFT(北段!AG3,4)</f>
        <v/>
      </c>
      <c r="AC3" s="62" t="str">
        <f>LEFT(北段!AH3,4)</f>
        <v/>
      </c>
      <c r="AD3" s="62" t="str">
        <f>LEFT(北段!AI3,4)</f>
        <v/>
      </c>
      <c r="AE3" s="62" t="str">
        <f>LEFT(北段!AJ3,4)</f>
        <v/>
      </c>
      <c r="AF3" s="62" t="str">
        <f>LEFT(北段!AK3,4)</f>
        <v/>
      </c>
      <c r="AG3" s="62" t="str">
        <f>LEFT(北段!AL3,4)</f>
        <v/>
      </c>
      <c r="AH3" s="62" t="e">
        <f>LEFT(北段!#REF!,4)</f>
        <v>#REF!</v>
      </c>
      <c r="AI3" s="62" t="e">
        <f>LEFT(北段!#REF!,4)</f>
        <v>#REF!</v>
      </c>
      <c r="AJ3" s="62" t="e">
        <f>LEFT(北段!#REF!,4)</f>
        <v>#REF!</v>
      </c>
      <c r="AK3" s="62" t="e">
        <f>LEFT(北段!#REF!,4)</f>
        <v>#REF!</v>
      </c>
      <c r="AL3" s="62" t="e">
        <f>LEFT(北段!#REF!,4)</f>
        <v>#REF!</v>
      </c>
      <c r="AM3" s="62" t="e">
        <f>LEFT(北段!#REF!,4)</f>
        <v>#REF!</v>
      </c>
      <c r="AN3" s="62" t="e">
        <f>LEFT(北段!#REF!,4)</f>
        <v>#REF!</v>
      </c>
    </row>
    <row r="4" spans="1:40" ht="43.5" customHeight="1">
      <c r="A4" s="130"/>
      <c r="B4" s="101" t="str">
        <f>LEFT(北段!B4,6)</f>
        <v>T00178</v>
      </c>
      <c r="C4" s="151" t="str">
        <f>VLOOKUP(B4,北段!B:C,2,FALSE)</f>
        <v>何旺宗</v>
      </c>
      <c r="D4" s="62" t="str">
        <f>LEFT(北段!I4,4)</f>
        <v>41早</v>
      </c>
      <c r="E4" s="62" t="str">
        <f>LEFT(北段!J4,4)</f>
        <v>41早</v>
      </c>
      <c r="F4" s="62" t="str">
        <f>LEFT(北段!K4,4)</f>
        <v/>
      </c>
      <c r="G4" s="62" t="str">
        <f>LEFT(北段!L4,4)</f>
        <v/>
      </c>
      <c r="H4" s="62" t="str">
        <f>LEFT(北段!M4,4)</f>
        <v/>
      </c>
      <c r="I4" s="62" t="str">
        <f>LEFT(北段!N4,4)</f>
        <v/>
      </c>
      <c r="J4" s="62" t="str">
        <f>LEFT(北段!O4,3)</f>
        <v/>
      </c>
      <c r="K4" s="62" t="str">
        <f>LEFT(北段!P4,4)</f>
        <v/>
      </c>
      <c r="L4" s="62" t="str">
        <f>LEFT(北段!Q4,4)</f>
        <v/>
      </c>
      <c r="M4" s="62" t="str">
        <f>LEFT(北段!R4,4)</f>
        <v/>
      </c>
      <c r="N4" s="62" t="str">
        <f>LEFT(北段!S4,4)</f>
        <v/>
      </c>
      <c r="O4" s="62" t="str">
        <f>LEFT(北段!T4,4)</f>
        <v/>
      </c>
      <c r="P4" s="62" t="str">
        <f>LEFT(北段!U4,4)</f>
        <v/>
      </c>
      <c r="Q4" s="62" t="str">
        <f>LEFT(北段!V4,4)</f>
        <v/>
      </c>
      <c r="R4" s="62" t="str">
        <f>LEFT(北段!W4,4)</f>
        <v/>
      </c>
      <c r="S4" s="62" t="str">
        <f>LEFT(北段!X4,4)</f>
        <v/>
      </c>
      <c r="T4" s="62" t="str">
        <f>LEFT(北段!Y4,4)</f>
        <v/>
      </c>
      <c r="U4" s="62" t="str">
        <f>LEFT(北段!Z4,4)</f>
        <v/>
      </c>
      <c r="V4" s="62" t="str">
        <f>LEFT(北段!AA4,4)</f>
        <v/>
      </c>
      <c r="W4" s="62" t="str">
        <f>LEFT(北段!AB4,4)</f>
        <v/>
      </c>
      <c r="X4" s="62" t="str">
        <f>LEFT(北段!AC4,4)</f>
        <v/>
      </c>
      <c r="Y4" s="62" t="str">
        <f>LEFT(北段!AD4,4)</f>
        <v/>
      </c>
      <c r="Z4" s="62" t="str">
        <f>LEFT(北段!AE4,4)</f>
        <v/>
      </c>
      <c r="AA4" s="62" t="str">
        <f>LEFT(北段!AF4,4)</f>
        <v/>
      </c>
      <c r="AB4" s="62" t="str">
        <f>LEFT(北段!AG4,4)</f>
        <v/>
      </c>
      <c r="AC4" s="62" t="str">
        <f>LEFT(北段!AH4,4)</f>
        <v/>
      </c>
      <c r="AD4" s="62" t="str">
        <f>LEFT(北段!AI4,4)</f>
        <v/>
      </c>
      <c r="AE4" s="62" t="str">
        <f>LEFT(北段!AJ4,4)</f>
        <v/>
      </c>
      <c r="AF4" s="62" t="str">
        <f>LEFT(北段!AK4,4)</f>
        <v/>
      </c>
      <c r="AG4" s="62" t="str">
        <f>LEFT(北段!AL4,4)</f>
        <v/>
      </c>
      <c r="AH4" s="62" t="e">
        <f>LEFT(北段!#REF!,4)</f>
        <v>#REF!</v>
      </c>
      <c r="AI4" s="62" t="e">
        <f>LEFT(北段!#REF!,4)</f>
        <v>#REF!</v>
      </c>
      <c r="AJ4" s="62" t="e">
        <f>LEFT(北段!#REF!,4)</f>
        <v>#REF!</v>
      </c>
      <c r="AK4" s="62" t="e">
        <f>LEFT(北段!#REF!,4)</f>
        <v>#REF!</v>
      </c>
      <c r="AL4" s="62" t="e">
        <f>LEFT(北段!#REF!,4)</f>
        <v>#REF!</v>
      </c>
      <c r="AM4" s="62" t="e">
        <f>LEFT(北段!#REF!,4)</f>
        <v>#REF!</v>
      </c>
      <c r="AN4" s="62" t="e">
        <f>LEFT(北段!#REF!,4)</f>
        <v>#REF!</v>
      </c>
    </row>
    <row r="5" spans="1:40" ht="43.5" customHeight="1">
      <c r="A5" s="130"/>
      <c r="B5" s="101" t="str">
        <f>LEFT(北段!B5,6)</f>
        <v>T00252</v>
      </c>
      <c r="C5" s="151" t="str">
        <f>VLOOKUP(B5,北段!B:C,2,FALSE)</f>
        <v>馮炫強</v>
      </c>
      <c r="D5" s="62" t="str">
        <f>LEFT(北段!I5,4)</f>
        <v>41夜</v>
      </c>
      <c r="E5" s="62" t="str">
        <f>LEFT(北段!J5,4)</f>
        <v>41夜</v>
      </c>
      <c r="F5" s="62" t="str">
        <f>LEFT(北段!K5,4)</f>
        <v/>
      </c>
      <c r="G5" s="62" t="str">
        <f>LEFT(北段!L5,4)</f>
        <v/>
      </c>
      <c r="H5" s="62" t="str">
        <f>LEFT(北段!M5,4)</f>
        <v/>
      </c>
      <c r="I5" s="62" t="str">
        <f>LEFT(北段!N5,4)</f>
        <v/>
      </c>
      <c r="J5" s="62" t="str">
        <f>LEFT(北段!O5,4)</f>
        <v/>
      </c>
      <c r="K5" s="62" t="str">
        <f>LEFT(北段!P5,4)</f>
        <v/>
      </c>
      <c r="L5" s="62" t="str">
        <f>LEFT(北段!Q5,4)</f>
        <v/>
      </c>
      <c r="M5" s="62" t="str">
        <f>LEFT(北段!R5,4)</f>
        <v/>
      </c>
      <c r="N5" s="62" t="str">
        <f>LEFT(北段!S5,4)</f>
        <v/>
      </c>
      <c r="O5" s="62" t="str">
        <f>LEFT(北段!T5,4)</f>
        <v/>
      </c>
      <c r="P5" s="62" t="str">
        <f>LEFT(北段!U5,4)</f>
        <v/>
      </c>
      <c r="Q5" s="62" t="str">
        <f>LEFT(北段!V5,4)</f>
        <v/>
      </c>
      <c r="R5" s="62" t="str">
        <f>LEFT(北段!W5,4)</f>
        <v/>
      </c>
      <c r="S5" s="62" t="str">
        <f>LEFT(北段!X5,4)</f>
        <v/>
      </c>
      <c r="T5" s="62" t="str">
        <f>LEFT(北段!Y5,4)</f>
        <v/>
      </c>
      <c r="U5" s="62" t="str">
        <f>LEFT(北段!Z5,4)</f>
        <v/>
      </c>
      <c r="V5" s="62" t="str">
        <f>LEFT(北段!AA5,4)</f>
        <v/>
      </c>
      <c r="W5" s="62" t="str">
        <f>LEFT(北段!AB5,4)</f>
        <v/>
      </c>
      <c r="X5" s="62" t="str">
        <f>LEFT(北段!AC5,4)</f>
        <v/>
      </c>
      <c r="Y5" s="62" t="str">
        <f>LEFT(北段!AD5,3)</f>
        <v/>
      </c>
      <c r="Z5" s="62" t="str">
        <f>LEFT(北段!AE5,4)</f>
        <v/>
      </c>
      <c r="AA5" s="62" t="str">
        <f>LEFT(北段!AF5,4)</f>
        <v/>
      </c>
      <c r="AB5" s="62" t="str">
        <f>LEFT(北段!AG5,4)</f>
        <v/>
      </c>
      <c r="AC5" s="62" t="str">
        <f>LEFT(北段!AH5,4)</f>
        <v/>
      </c>
      <c r="AD5" s="62" t="str">
        <f>LEFT(北段!AI5,4)</f>
        <v/>
      </c>
      <c r="AE5" s="62" t="str">
        <f>LEFT(北段!AJ5,4)</f>
        <v/>
      </c>
      <c r="AF5" s="62" t="str">
        <f>LEFT(北段!AK5,4)</f>
        <v/>
      </c>
      <c r="AG5" s="62" t="str">
        <f>LEFT(北段!AL5,4)</f>
        <v/>
      </c>
      <c r="AH5" s="62" t="e">
        <f>LEFT(北段!#REF!,4)</f>
        <v>#REF!</v>
      </c>
      <c r="AI5" s="62" t="e">
        <f>LEFT(北段!#REF!,4)</f>
        <v>#REF!</v>
      </c>
      <c r="AJ5" s="62" t="e">
        <f>LEFT(北段!#REF!,4)</f>
        <v>#REF!</v>
      </c>
      <c r="AK5" s="62" t="e">
        <f>LEFT(北段!#REF!,4)</f>
        <v>#REF!</v>
      </c>
      <c r="AL5" s="62" t="e">
        <f>LEFT(北段!#REF!,4)</f>
        <v>#REF!</v>
      </c>
      <c r="AM5" s="62" t="e">
        <f>LEFT(北段!#REF!,4)</f>
        <v>#REF!</v>
      </c>
      <c r="AN5" s="62" t="e">
        <f>LEFT(北段!#REF!,4)</f>
        <v>#REF!</v>
      </c>
    </row>
    <row r="6" spans="1:40" ht="43.5" customHeight="1">
      <c r="A6" s="130"/>
      <c r="B6" s="101" t="str">
        <f>LEFT(北段!B6,6)</f>
        <v>T00343</v>
      </c>
      <c r="C6" s="151" t="str">
        <f>VLOOKUP(B6,北段!B:C,2,FALSE)</f>
        <v>劉哲宇</v>
      </c>
      <c r="D6" s="62" t="str">
        <f>LEFT(北段!I6,4)</f>
        <v>41日(</v>
      </c>
      <c r="E6" s="62" t="str">
        <f>LEFT(北段!J6,4)</f>
        <v>06早</v>
      </c>
      <c r="F6" s="62" t="str">
        <f>LEFT(北段!K6,4)</f>
        <v/>
      </c>
      <c r="G6" s="62" t="str">
        <f>LEFT(北段!L6,4)</f>
        <v/>
      </c>
      <c r="H6" s="62" t="str">
        <f>LEFT(北段!M6,4)</f>
        <v/>
      </c>
      <c r="I6" s="62" t="str">
        <f>LEFT(北段!N6,4)</f>
        <v/>
      </c>
      <c r="J6" s="62" t="str">
        <f>LEFT(北段!O6,4)</f>
        <v/>
      </c>
      <c r="K6" s="62" t="str">
        <f>LEFT(北段!P6,3)</f>
        <v/>
      </c>
      <c r="L6" s="62" t="str">
        <f>LEFT(北段!Q6,4)</f>
        <v/>
      </c>
      <c r="M6" s="62" t="str">
        <f>LEFT(北段!R6,4)</f>
        <v/>
      </c>
      <c r="N6" s="62" t="str">
        <f>LEFT(北段!S6,4)</f>
        <v/>
      </c>
      <c r="O6" s="62" t="str">
        <f>LEFT(北段!T6,4)</f>
        <v/>
      </c>
      <c r="P6" s="62" t="str">
        <f>LEFT(北段!U6,4)</f>
        <v/>
      </c>
      <c r="Q6" s="62" t="str">
        <f>LEFT(北段!V6,3)</f>
        <v/>
      </c>
      <c r="R6" s="62" t="str">
        <f>LEFT(北段!W6,4)</f>
        <v/>
      </c>
      <c r="S6" s="62" t="str">
        <f>LEFT(北段!X6,4)</f>
        <v/>
      </c>
      <c r="T6" s="62" t="str">
        <f>LEFT(北段!Y6,4)</f>
        <v/>
      </c>
      <c r="U6" s="62" t="str">
        <f>LEFT(北段!Z6,4)</f>
        <v/>
      </c>
      <c r="V6" s="62" t="str">
        <f>LEFT(北段!AA6,4)</f>
        <v>勞安訓</v>
      </c>
      <c r="W6" s="62" t="str">
        <f>LEFT(北段!AB6,4)</f>
        <v/>
      </c>
      <c r="X6" s="62" t="str">
        <f>LEFT(北段!AC6,4)</f>
        <v/>
      </c>
      <c r="Y6" s="62" t="str">
        <f>LEFT(北段!AD6,4)</f>
        <v/>
      </c>
      <c r="Z6" s="62" t="str">
        <f>LEFT(北段!AE6,4)</f>
        <v/>
      </c>
      <c r="AA6" s="62" t="str">
        <f>LEFT(北段!AF6,4)</f>
        <v/>
      </c>
      <c r="AB6" s="62" t="str">
        <f>LEFT(北段!AG6,3)</f>
        <v/>
      </c>
      <c r="AC6" s="62" t="str">
        <f>LEFT(北段!AH6,4)</f>
        <v/>
      </c>
      <c r="AD6" s="62" t="str">
        <f>LEFT(北段!AI6,4)</f>
        <v/>
      </c>
      <c r="AE6" s="62" t="str">
        <f>LEFT(北段!AJ6,4)</f>
        <v/>
      </c>
      <c r="AF6" s="62" t="str">
        <f>LEFT(北段!AK6,4)</f>
        <v/>
      </c>
      <c r="AG6" s="62" t="str">
        <f>LEFT(北段!AL6,4)</f>
        <v/>
      </c>
      <c r="AH6" s="62" t="e">
        <f>LEFT(北段!#REF!,4)</f>
        <v>#REF!</v>
      </c>
      <c r="AI6" s="62" t="e">
        <f>LEFT(北段!#REF!,4)</f>
        <v>#REF!</v>
      </c>
      <c r="AJ6" s="62" t="e">
        <f>LEFT(北段!#REF!,4)</f>
        <v>#REF!</v>
      </c>
      <c r="AK6" s="62" t="e">
        <f>LEFT(北段!#REF!,4)</f>
        <v>#REF!</v>
      </c>
      <c r="AL6" s="62" t="e">
        <f>LEFT(北段!#REF!,4)</f>
        <v>#REF!</v>
      </c>
      <c r="AM6" s="62" t="e">
        <f>LEFT(北段!#REF!,4)</f>
        <v>#REF!</v>
      </c>
      <c r="AN6" s="62" t="e">
        <f>LEFT(北段!#REF!,4)</f>
        <v>#REF!</v>
      </c>
    </row>
    <row r="7" spans="1:40" ht="43.5" customHeight="1">
      <c r="A7" s="130"/>
      <c r="B7" s="101" t="str">
        <f>LEFT(北段!B7,6)</f>
        <v>T00356</v>
      </c>
      <c r="C7" s="151" t="str">
        <f>VLOOKUP(B7,北段!B:C,2,FALSE)</f>
        <v>吳國強</v>
      </c>
      <c r="D7" s="62" t="str">
        <f>LEFT(北段!I7,4)</f>
        <v>41午</v>
      </c>
      <c r="E7" s="62" t="str">
        <f>LEFT(北段!J7,4)</f>
        <v>41午</v>
      </c>
      <c r="F7" s="62" t="str">
        <f>LEFT(北段!K7,4)</f>
        <v/>
      </c>
      <c r="G7" s="62" t="str">
        <f>LEFT(北段!L7,4)</f>
        <v/>
      </c>
      <c r="H7" s="62" t="str">
        <f>LEFT(北段!M7,4)</f>
        <v/>
      </c>
      <c r="I7" s="62" t="str">
        <f>LEFT(北段!N7,4)</f>
        <v/>
      </c>
      <c r="J7" s="62" t="str">
        <f>LEFT(北段!O7,4)</f>
        <v/>
      </c>
      <c r="K7" s="62" t="str">
        <f>LEFT(北段!P7,4)</f>
        <v/>
      </c>
      <c r="L7" s="62" t="str">
        <f>LEFT(北段!Q7,4)</f>
        <v/>
      </c>
      <c r="M7" s="62" t="str">
        <f>LEFT(北段!R7,4)</f>
        <v/>
      </c>
      <c r="N7" s="62" t="str">
        <f>LEFT(北段!S7,4)</f>
        <v/>
      </c>
      <c r="O7" s="62" t="str">
        <f>LEFT(北段!T7,4)</f>
        <v/>
      </c>
      <c r="P7" s="62" t="str">
        <f>LEFT(北段!U7,4)</f>
        <v/>
      </c>
      <c r="Q7" s="62" t="str">
        <f>LEFT(北段!V7,4)</f>
        <v/>
      </c>
      <c r="R7" s="62" t="str">
        <f>LEFT(北段!W7,4)</f>
        <v/>
      </c>
      <c r="S7" s="62" t="str">
        <f>LEFT(北段!X7,4)</f>
        <v/>
      </c>
      <c r="T7" s="62" t="str">
        <f>LEFT(北段!Y7,4)</f>
        <v/>
      </c>
      <c r="U7" s="62" t="str">
        <f>LEFT(北段!Z7,4)</f>
        <v/>
      </c>
      <c r="V7" s="62" t="str">
        <f>LEFT(北段!AA7,3)</f>
        <v/>
      </c>
      <c r="W7" s="62" t="str">
        <f>LEFT(北段!AB7,4)</f>
        <v/>
      </c>
      <c r="X7" s="62" t="str">
        <f>LEFT(北段!AC7,4)</f>
        <v/>
      </c>
      <c r="Y7" s="62" t="str">
        <f>LEFT(北段!AD7,4)</f>
        <v/>
      </c>
      <c r="Z7" s="62" t="str">
        <f>LEFT(北段!AE7,4)</f>
        <v/>
      </c>
      <c r="AA7" s="62" t="str">
        <f>LEFT(北段!AF7,4)</f>
        <v/>
      </c>
      <c r="AB7" s="62" t="str">
        <f>LEFT(北段!AG7,4)</f>
        <v/>
      </c>
      <c r="AC7" s="62" t="str">
        <f>LEFT(北段!AH7,4)</f>
        <v/>
      </c>
      <c r="AD7" s="62" t="str">
        <f>LEFT(北段!AI7,4)</f>
        <v/>
      </c>
      <c r="AE7" s="62" t="str">
        <f>LEFT(北段!AJ7,4)</f>
        <v/>
      </c>
      <c r="AF7" s="62" t="str">
        <f>LEFT(北段!AK7,4)</f>
        <v/>
      </c>
      <c r="AG7" s="62" t="str">
        <f>LEFT(北段!AL7,4)</f>
        <v/>
      </c>
      <c r="AH7" s="62" t="e">
        <f>LEFT(北段!#REF!,4)</f>
        <v>#REF!</v>
      </c>
      <c r="AI7" s="62" t="e">
        <f>LEFT(北段!#REF!,4)</f>
        <v>#REF!</v>
      </c>
      <c r="AJ7" s="62" t="e">
        <f>LEFT(北段!#REF!,4)</f>
        <v>#REF!</v>
      </c>
      <c r="AK7" s="62" t="e">
        <f>LEFT(北段!#REF!,3)</f>
        <v>#REF!</v>
      </c>
      <c r="AL7" s="62" t="e">
        <f>LEFT(北段!#REF!,4)</f>
        <v>#REF!</v>
      </c>
      <c r="AM7" s="62" t="e">
        <f>LEFT(北段!#REF!,4)</f>
        <v>#REF!</v>
      </c>
      <c r="AN7" s="62" t="e">
        <f>LEFT(北段!#REF!,4)</f>
        <v>#REF!</v>
      </c>
    </row>
    <row r="8" spans="1:40" ht="43.5" customHeight="1">
      <c r="A8" s="130"/>
      <c r="B8" s="101" t="str">
        <f>LEFT(北段!B8,6)</f>
        <v>T00492</v>
      </c>
      <c r="C8" s="151" t="str">
        <f>VLOOKUP(B8,北段!B:C,2,FALSE)</f>
        <v>李尉羽</v>
      </c>
      <c r="D8" s="62" t="str">
        <f>LEFT(北段!I8,4)</f>
        <v>P</v>
      </c>
      <c r="E8" s="62" t="str">
        <f>LEFT(北段!J8,4)</f>
        <v>r'</v>
      </c>
      <c r="F8" s="62" t="str">
        <f>LEFT(北段!K8,4)</f>
        <v>長假</v>
      </c>
      <c r="G8" s="62" t="str">
        <f>LEFT(北段!L8,3)</f>
        <v>長假</v>
      </c>
      <c r="H8" s="62" t="str">
        <f>LEFT(北段!M8,4)</f>
        <v/>
      </c>
      <c r="I8" s="62" t="str">
        <f>LEFT(北段!N8,4)</f>
        <v/>
      </c>
      <c r="J8" s="62" t="str">
        <f>LEFT(北段!O8,4)</f>
        <v/>
      </c>
      <c r="K8" s="62" t="str">
        <f>LEFT(北段!P8,4)</f>
        <v/>
      </c>
      <c r="L8" s="62" t="str">
        <f>LEFT(北段!Q8,4)</f>
        <v/>
      </c>
      <c r="M8" s="62" t="str">
        <f>LEFT(北段!R8,4)</f>
        <v/>
      </c>
      <c r="N8" s="62" t="str">
        <f>LEFT(北段!S8,4)</f>
        <v/>
      </c>
      <c r="O8" s="62" t="str">
        <f>LEFT(北段!T8,4)</f>
        <v/>
      </c>
      <c r="P8" s="62" t="str">
        <f>LEFT(北段!U8,4)</f>
        <v/>
      </c>
      <c r="Q8" s="62" t="str">
        <f>LEFT(北段!V8,4)</f>
        <v/>
      </c>
      <c r="R8" s="62" t="str">
        <f>LEFT(北段!W8,4)</f>
        <v/>
      </c>
      <c r="S8" s="62" t="str">
        <f>LEFT(北段!X8,4)</f>
        <v/>
      </c>
      <c r="T8" s="62" t="str">
        <f>LEFT(北段!Y8,4)</f>
        <v/>
      </c>
      <c r="U8" s="62" t="str">
        <f>LEFT(北段!Z8,4)</f>
        <v/>
      </c>
      <c r="V8" s="62" t="str">
        <f>LEFT(北段!AA8,4)</f>
        <v/>
      </c>
      <c r="W8" s="62" t="str">
        <f>LEFT(北段!AB8,4)</f>
        <v/>
      </c>
      <c r="X8" s="62" t="str">
        <f>LEFT(北段!AC8,3)</f>
        <v/>
      </c>
      <c r="Y8" s="62" t="str">
        <f>LEFT(北段!AD8,4)</f>
        <v/>
      </c>
      <c r="Z8" s="62" t="str">
        <f>LEFT(北段!AE8,4)</f>
        <v/>
      </c>
      <c r="AA8" s="62" t="str">
        <f>LEFT(北段!AF8,4)</f>
        <v/>
      </c>
      <c r="AB8" s="62" t="str">
        <f>LEFT(北段!AG8,4)</f>
        <v/>
      </c>
      <c r="AC8" s="62" t="str">
        <f>LEFT(北段!AH8,4)</f>
        <v/>
      </c>
      <c r="AD8" s="62" t="str">
        <f>LEFT(北段!AI8,4)</f>
        <v/>
      </c>
      <c r="AE8" s="62" t="str">
        <f>LEFT(北段!AJ8,4)</f>
        <v/>
      </c>
      <c r="AF8" s="62" t="str">
        <f>LEFT(北段!AK8,4)</f>
        <v/>
      </c>
      <c r="AG8" s="62" t="str">
        <f>LEFT(北段!AL8,4)</f>
        <v/>
      </c>
      <c r="AH8" s="62" t="e">
        <f>LEFT(北段!#REF!,4)</f>
        <v>#REF!</v>
      </c>
      <c r="AI8" s="62" t="e">
        <f>LEFT(北段!#REF!,4)</f>
        <v>#REF!</v>
      </c>
      <c r="AJ8" s="62" t="e">
        <f>LEFT(北段!#REF!,4)</f>
        <v>#REF!</v>
      </c>
      <c r="AK8" s="62" t="e">
        <f>LEFT(北段!#REF!,4)</f>
        <v>#REF!</v>
      </c>
      <c r="AL8" s="62" t="e">
        <f>LEFT(北段!#REF!,4)</f>
        <v>#REF!</v>
      </c>
      <c r="AM8" s="62" t="e">
        <f>LEFT(北段!#REF!,4)</f>
        <v>#REF!</v>
      </c>
      <c r="AN8" s="62" t="e">
        <f>LEFT(北段!#REF!,4)</f>
        <v>#REF!</v>
      </c>
    </row>
    <row r="9" spans="1:40" ht="43.5" customHeight="1">
      <c r="A9" s="130"/>
      <c r="B9" s="101" t="str">
        <f>LEFT(北段!B9,6)</f>
        <v>T00586</v>
      </c>
      <c r="C9" s="151" t="str">
        <f>VLOOKUP(B9,北段!B:C,2,FALSE)</f>
        <v>江冠滿</v>
      </c>
      <c r="D9" s="62" t="str">
        <f>LEFT(北段!I9,8)</f>
        <v>41日</v>
      </c>
      <c r="E9" s="62" t="str">
        <f>LEFT(北段!J9,8)</f>
        <v>R</v>
      </c>
      <c r="F9" s="62" t="str">
        <f>LEFT(北段!K9,8)</f>
        <v>長假</v>
      </c>
      <c r="G9" s="62" t="str">
        <f>LEFT(北段!L9,8)</f>
        <v>長假</v>
      </c>
      <c r="H9" s="62" t="str">
        <f>LEFT(北段!M9,8)</f>
        <v>長假</v>
      </c>
      <c r="I9" s="62" t="str">
        <f>LEFT(北段!N9,8)</f>
        <v>長假</v>
      </c>
      <c r="J9" s="62" t="str">
        <f>LEFT(北段!O9,8)</f>
        <v>長假</v>
      </c>
      <c r="K9" s="62" t="str">
        <f>LEFT(北段!P9,8)</f>
        <v>長假</v>
      </c>
      <c r="L9" s="62" t="str">
        <f>LEFT(北段!Q9,8)</f>
        <v>長假</v>
      </c>
      <c r="M9" s="62" t="str">
        <f>LEFT(北段!R9,8)</f>
        <v>長假</v>
      </c>
      <c r="N9" s="62" t="str">
        <f>LEFT(北段!S9,8)</f>
        <v/>
      </c>
      <c r="O9" s="62" t="str">
        <f>LEFT(北段!T9,8)</f>
        <v/>
      </c>
      <c r="P9" s="62" t="str">
        <f>LEFT(北段!U9,8)</f>
        <v/>
      </c>
      <c r="Q9" s="62" t="str">
        <f>LEFT(北段!V9,8)</f>
        <v/>
      </c>
      <c r="R9" s="62" t="str">
        <f>LEFT(北段!W9,8)</f>
        <v/>
      </c>
      <c r="S9" s="62" t="str">
        <f>LEFT(北段!X9,8)</f>
        <v/>
      </c>
      <c r="T9" s="62" t="str">
        <f>LEFT(北段!Y9,8)</f>
        <v/>
      </c>
      <c r="U9" s="62" t="str">
        <f>LEFT(北段!Z9,8)</f>
        <v/>
      </c>
      <c r="V9" s="62" t="str">
        <f>LEFT(北段!AA9,8)</f>
        <v/>
      </c>
      <c r="W9" s="62" t="str">
        <f>LEFT(北段!AB9,8)</f>
        <v/>
      </c>
      <c r="X9" s="62" t="str">
        <f>LEFT(北段!AC9,8)</f>
        <v/>
      </c>
      <c r="Y9" s="62" t="str">
        <f>LEFT(北段!AD9,8)</f>
        <v/>
      </c>
      <c r="Z9" s="62" t="str">
        <f>LEFT(北段!AE9,8)</f>
        <v/>
      </c>
      <c r="AA9" s="62" t="str">
        <f>LEFT(北段!AF9,8)</f>
        <v/>
      </c>
      <c r="AB9" s="62" t="str">
        <f>LEFT(北段!AG9,8)</f>
        <v/>
      </c>
      <c r="AC9" s="62" t="str">
        <f>LEFT(北段!AH9,8)</f>
        <v/>
      </c>
      <c r="AD9" s="62" t="str">
        <f>LEFT(北段!AI9,8)</f>
        <v/>
      </c>
      <c r="AE9" s="62" t="str">
        <f>LEFT(北段!AJ9,8)</f>
        <v/>
      </c>
      <c r="AF9" s="62" t="str">
        <f>LEFT(北段!AK9,8)</f>
        <v/>
      </c>
      <c r="AG9" s="62" t="str">
        <f>LEFT(北段!AL9,8)</f>
        <v/>
      </c>
      <c r="AH9" s="62" t="e">
        <f>LEFT(北段!#REF!,8)</f>
        <v>#REF!</v>
      </c>
      <c r="AI9" s="62" t="e">
        <f>LEFT(北段!#REF!,8)</f>
        <v>#REF!</v>
      </c>
      <c r="AJ9" s="62" t="e">
        <f>LEFT(北段!#REF!,8)</f>
        <v>#REF!</v>
      </c>
      <c r="AK9" s="62" t="e">
        <f>LEFT(北段!#REF!,8)</f>
        <v>#REF!</v>
      </c>
      <c r="AL9" s="62" t="e">
        <f>LEFT(北段!#REF!,8)</f>
        <v>#REF!</v>
      </c>
      <c r="AM9" s="62" t="e">
        <f>LEFT(北段!#REF!,8)</f>
        <v>#REF!</v>
      </c>
      <c r="AN9" s="62" t="e">
        <f>LEFT(北段!#REF!,8)</f>
        <v>#REF!</v>
      </c>
    </row>
    <row r="10" spans="1:40" ht="43.5" customHeight="1">
      <c r="A10" s="130"/>
      <c r="B10" s="101" t="str">
        <f>LEFT(北段!B10,6)</f>
        <v>T00605</v>
      </c>
      <c r="C10" s="151" t="str">
        <f>VLOOKUP(B10,北段!B:C,2,FALSE)</f>
        <v>謝蕙芸</v>
      </c>
      <c r="D10" s="62" t="str">
        <f>LEFT(北段!I10,4)</f>
        <v>41日</v>
      </c>
      <c r="E10" s="62" t="str">
        <f>LEFT(北段!J10,4)</f>
        <v>r'</v>
      </c>
      <c r="F10" s="62" t="str">
        <f>LEFT(北段!K10,4)</f>
        <v/>
      </c>
      <c r="G10" s="62" t="str">
        <f>LEFT(北段!L10,4)</f>
        <v/>
      </c>
      <c r="H10" s="62" t="str">
        <f>LEFT(北段!M10,4)</f>
        <v/>
      </c>
      <c r="I10" s="62" t="str">
        <f>LEFT(北段!N10,4)</f>
        <v/>
      </c>
      <c r="J10" s="62" t="str">
        <f>LEFT(北段!O10,4)</f>
        <v/>
      </c>
      <c r="K10" s="62" t="str">
        <f>LEFT(北段!P10,4)</f>
        <v/>
      </c>
      <c r="L10" s="62" t="str">
        <f>LEFT(北段!Q10,4)</f>
        <v/>
      </c>
      <c r="M10" s="62" t="str">
        <f>LEFT(北段!R10,4)</f>
        <v/>
      </c>
      <c r="N10" s="62" t="str">
        <f>LEFT(北段!S10,4)</f>
        <v/>
      </c>
      <c r="O10" s="62" t="str">
        <f>LEFT(北段!T10,4)</f>
        <v/>
      </c>
      <c r="P10" s="62" t="str">
        <f>LEFT(北段!U10,4)</f>
        <v/>
      </c>
      <c r="Q10" s="62" t="str">
        <f>LEFT(北段!V10,4)</f>
        <v/>
      </c>
      <c r="R10" s="62" t="str">
        <f>LEFT(北段!W10,4)</f>
        <v/>
      </c>
      <c r="S10" s="62" t="str">
        <f>LEFT(北段!X10,4)</f>
        <v/>
      </c>
      <c r="T10" s="62" t="str">
        <f>LEFT(北段!Y10,4)</f>
        <v/>
      </c>
      <c r="U10" s="62" t="str">
        <f>LEFT(北段!Z10,4)</f>
        <v/>
      </c>
      <c r="V10" s="62" t="str">
        <f>LEFT(北段!AA10,3)</f>
        <v/>
      </c>
      <c r="W10" s="62" t="str">
        <f>LEFT(北段!AB10,4)</f>
        <v/>
      </c>
      <c r="X10" s="62" t="str">
        <f>LEFT(北段!AC10,4)</f>
        <v/>
      </c>
      <c r="Y10" s="62" t="str">
        <f>LEFT(北段!AD10,4)</f>
        <v/>
      </c>
      <c r="Z10" s="62" t="str">
        <f>LEFT(北段!AE10,4)</f>
        <v/>
      </c>
      <c r="AA10" s="62" t="str">
        <f>LEFT(北段!AF10,4)</f>
        <v/>
      </c>
      <c r="AB10" s="62" t="str">
        <f>LEFT(北段!AG10,4)</f>
        <v/>
      </c>
      <c r="AC10" s="62" t="str">
        <f>LEFT(北段!AH10,4)</f>
        <v/>
      </c>
      <c r="AD10" s="62" t="str">
        <f>LEFT(北段!AI10,4)</f>
        <v/>
      </c>
      <c r="AE10" s="62" t="str">
        <f>LEFT(北段!AJ10,4)</f>
        <v/>
      </c>
      <c r="AF10" s="62" t="str">
        <f>LEFT(北段!AK10,4)</f>
        <v/>
      </c>
      <c r="AG10" s="62" t="str">
        <f>LEFT(北段!AL10,4)</f>
        <v/>
      </c>
      <c r="AH10" s="62" t="e">
        <f>LEFT(北段!#REF!,4)</f>
        <v>#REF!</v>
      </c>
      <c r="AI10" s="62" t="e">
        <f>LEFT(北段!#REF!,4)</f>
        <v>#REF!</v>
      </c>
      <c r="AJ10" s="62" t="e">
        <f>LEFT(北段!#REF!,4)</f>
        <v>#REF!</v>
      </c>
      <c r="AK10" s="62" t="e">
        <f>LEFT(北段!#REF!,4)</f>
        <v>#REF!</v>
      </c>
      <c r="AL10" s="62" t="e">
        <f>LEFT(北段!#REF!,4)</f>
        <v>#REF!</v>
      </c>
      <c r="AM10" s="62" t="e">
        <f>LEFT(北段!#REF!,4)</f>
        <v>#REF!</v>
      </c>
      <c r="AN10" s="62" t="e">
        <f>LEFT(北段!#REF!,4)</f>
        <v>#REF!</v>
      </c>
    </row>
    <row r="11" spans="1:40" ht="43.5" customHeight="1">
      <c r="A11" s="130"/>
      <c r="B11" s="101" t="str">
        <f>LEFT(北段!B11,6)</f>
        <v>T00912</v>
      </c>
      <c r="C11" s="151" t="str">
        <f>VLOOKUP(B11,北段!B:C,2,FALSE)</f>
        <v>詹雅惠</v>
      </c>
      <c r="D11" s="62" t="str">
        <f>LEFT(北段!I11,4)</f>
        <v>L</v>
      </c>
      <c r="E11" s="62" t="str">
        <f>LEFT(北段!J11,4)</f>
        <v>r'</v>
      </c>
      <c r="F11" s="62" t="str">
        <f>LEFT(北段!K11,4)</f>
        <v>長假</v>
      </c>
      <c r="G11" s="62" t="str">
        <f>LEFT(北段!L11,4)</f>
        <v>長假</v>
      </c>
      <c r="H11" s="62" t="str">
        <f>LEFT(北段!M11,4)</f>
        <v>長假</v>
      </c>
      <c r="I11" s="62" t="str">
        <f>LEFT(北段!N11,4)</f>
        <v>長假</v>
      </c>
      <c r="J11" s="62" t="str">
        <f>LEFT(北段!O11,4)</f>
        <v>長假</v>
      </c>
      <c r="K11" s="62" t="str">
        <f>LEFT(北段!P11,4)</f>
        <v>長假</v>
      </c>
      <c r="L11" s="62" t="str">
        <f>LEFT(北段!Q11,4)</f>
        <v>長假</v>
      </c>
      <c r="M11" s="62" t="str">
        <f>LEFT(北段!R11,4)</f>
        <v>長假</v>
      </c>
      <c r="N11" s="62" t="str">
        <f>LEFT(北段!S11,4)</f>
        <v/>
      </c>
      <c r="O11" s="62" t="str">
        <f>LEFT(北段!T11,4)</f>
        <v/>
      </c>
      <c r="P11" s="62" t="str">
        <f>LEFT(北段!U11,4)</f>
        <v/>
      </c>
      <c r="Q11" s="62" t="str">
        <f>LEFT(北段!V11,4)</f>
        <v/>
      </c>
      <c r="R11" s="62" t="str">
        <f>LEFT(北段!W11,4)</f>
        <v/>
      </c>
      <c r="S11" s="62" t="str">
        <f>LEFT(北段!X11,4)</f>
        <v/>
      </c>
      <c r="T11" s="62" t="str">
        <f>LEFT(北段!Y11,4)</f>
        <v/>
      </c>
      <c r="U11" s="62" t="str">
        <f>LEFT(北段!Z11,4)</f>
        <v/>
      </c>
      <c r="V11" s="62" t="str">
        <f>LEFT(北段!AA11,4)</f>
        <v/>
      </c>
      <c r="W11" s="62" t="str">
        <f>LEFT(北段!AB11,4)</f>
        <v/>
      </c>
      <c r="X11" s="62" t="str">
        <f>LEFT(北段!AC11,4)</f>
        <v/>
      </c>
      <c r="Y11" s="62" t="str">
        <f>LEFT(北段!AD11,4)</f>
        <v/>
      </c>
      <c r="Z11" s="62" t="str">
        <f>LEFT(北段!AE11,4)</f>
        <v/>
      </c>
      <c r="AA11" s="62" t="str">
        <f>LEFT(北段!AF11,4)</f>
        <v/>
      </c>
      <c r="AB11" s="62" t="str">
        <f>LEFT(北段!AG11,4)</f>
        <v/>
      </c>
      <c r="AC11" s="62" t="str">
        <f>LEFT(北段!AH11,4)</f>
        <v/>
      </c>
      <c r="AD11" s="62" t="str">
        <f>LEFT(北段!AI11,4)</f>
        <v/>
      </c>
      <c r="AE11" s="62" t="str">
        <f>LEFT(北段!AJ11,4)</f>
        <v/>
      </c>
      <c r="AF11" s="62" t="str">
        <f>LEFT(北段!AK11,4)</f>
        <v/>
      </c>
      <c r="AG11" s="62" t="str">
        <f>LEFT(北段!AL11,4)</f>
        <v/>
      </c>
      <c r="AH11" s="62" t="e">
        <f>LEFT(北段!#REF!,4)</f>
        <v>#REF!</v>
      </c>
      <c r="AI11" s="62" t="e">
        <f>LEFT(北段!#REF!,4)</f>
        <v>#REF!</v>
      </c>
      <c r="AJ11" s="62" t="e">
        <f>LEFT(北段!#REF!,4)</f>
        <v>#REF!</v>
      </c>
      <c r="AK11" s="62" t="e">
        <f>LEFT(北段!#REF!,4)</f>
        <v>#REF!</v>
      </c>
      <c r="AL11" s="62" t="e">
        <f>LEFT(北段!#REF!,4)</f>
        <v>#REF!</v>
      </c>
      <c r="AM11" s="62" t="e">
        <f>LEFT(北段!#REF!,4)</f>
        <v>#REF!</v>
      </c>
      <c r="AN11" s="62" t="e">
        <f>LEFT(北段!#REF!,4)</f>
        <v>#REF!</v>
      </c>
    </row>
    <row r="12" spans="1:40" ht="43.5" customHeight="1" thickBot="1">
      <c r="A12" s="131"/>
      <c r="B12" s="100" t="str">
        <f>LEFT(北段!B12,6)</f>
        <v>T00860</v>
      </c>
      <c r="C12" s="152" t="str">
        <f>VLOOKUP(B12,北段!B:C,2,FALSE)</f>
        <v>陳家瑋</v>
      </c>
      <c r="D12" s="62" t="str">
        <f>LEFT(北段!I12,4)</f>
        <v>41日</v>
      </c>
      <c r="E12" s="62" t="str">
        <f>LEFT(北段!J12,4)</f>
        <v>r'</v>
      </c>
      <c r="F12" s="62" t="str">
        <f>LEFT(北段!K12,4)</f>
        <v/>
      </c>
      <c r="G12" s="62" t="str">
        <f>LEFT(北段!L12,4)</f>
        <v/>
      </c>
      <c r="H12" s="62" t="str">
        <f>LEFT(北段!M12,4)</f>
        <v/>
      </c>
      <c r="I12" s="62" t="str">
        <f>LEFT(北段!N12,4)</f>
        <v/>
      </c>
      <c r="J12" s="62" t="str">
        <f>LEFT(北段!O12,4)</f>
        <v/>
      </c>
      <c r="K12" s="62" t="str">
        <f>LEFT(北段!P12,4)</f>
        <v/>
      </c>
      <c r="L12" s="62" t="str">
        <f>LEFT(北段!Q12,4)</f>
        <v/>
      </c>
      <c r="M12" s="62" t="str">
        <f>LEFT(北段!R12,4)</f>
        <v/>
      </c>
      <c r="N12" s="62" t="str">
        <f>LEFT(北段!S12,4)</f>
        <v/>
      </c>
      <c r="O12" s="62" t="str">
        <f>LEFT(北段!T12,4)</f>
        <v/>
      </c>
      <c r="P12" s="62" t="str">
        <f>LEFT(北段!U12,4)</f>
        <v/>
      </c>
      <c r="Q12" s="62" t="str">
        <f>LEFT(北段!V12,4)</f>
        <v/>
      </c>
      <c r="R12" s="62" t="str">
        <f>LEFT(北段!W12,4)</f>
        <v/>
      </c>
      <c r="S12" s="62" t="str">
        <f>LEFT(北段!X12,4)</f>
        <v/>
      </c>
      <c r="T12" s="62" t="str">
        <f>LEFT(北段!Y12,4)</f>
        <v/>
      </c>
      <c r="U12" s="62" t="str">
        <f>LEFT(北段!Z12,4)</f>
        <v/>
      </c>
      <c r="V12" s="62" t="str">
        <f>LEFT(北段!AA12,4)</f>
        <v/>
      </c>
      <c r="W12" s="62" t="str">
        <f>LEFT(北段!AB12,4)</f>
        <v/>
      </c>
      <c r="X12" s="62" t="str">
        <f>LEFT(北段!AC12,4)</f>
        <v/>
      </c>
      <c r="Y12" s="62" t="str">
        <f>LEFT(北段!AD12,4)</f>
        <v/>
      </c>
      <c r="Z12" s="62" t="str">
        <f>LEFT(北段!AE12,4)</f>
        <v/>
      </c>
      <c r="AA12" s="62" t="str">
        <f>LEFT(北段!AF12,4)</f>
        <v/>
      </c>
      <c r="AB12" s="62" t="str">
        <f>LEFT(北段!AG12,4)</f>
        <v/>
      </c>
      <c r="AC12" s="62" t="str">
        <f>LEFT(北段!AH12,4)</f>
        <v/>
      </c>
      <c r="AD12" s="62" t="str">
        <f>LEFT(北段!AI12,4)</f>
        <v/>
      </c>
      <c r="AE12" s="62" t="str">
        <f>LEFT(北段!AJ12,4)</f>
        <v/>
      </c>
      <c r="AF12" s="62" t="str">
        <f>LEFT(北段!AK12,4)</f>
        <v/>
      </c>
      <c r="AG12" s="62" t="str">
        <f>LEFT(北段!AL12,4)</f>
        <v/>
      </c>
      <c r="AH12" s="62" t="e">
        <f>LEFT(北段!#REF!,4)</f>
        <v>#REF!</v>
      </c>
      <c r="AI12" s="62" t="e">
        <f>LEFT(北段!#REF!,4)</f>
        <v>#REF!</v>
      </c>
      <c r="AJ12" s="62" t="e">
        <f>LEFT(北段!#REF!,4)</f>
        <v>#REF!</v>
      </c>
      <c r="AK12" s="62" t="e">
        <f>LEFT(北段!#REF!,4)</f>
        <v>#REF!</v>
      </c>
      <c r="AL12" s="62" t="e">
        <f>LEFT(北段!#REF!,4)</f>
        <v>#REF!</v>
      </c>
      <c r="AM12" s="62" t="e">
        <f>LEFT(北段!#REF!,4)</f>
        <v>#REF!</v>
      </c>
      <c r="AN12" s="62" t="e">
        <f>LEFT(北段!#REF!,4)</f>
        <v>#REF!</v>
      </c>
    </row>
    <row r="13" spans="1:40" ht="43.5" customHeight="1">
      <c r="A13" s="124"/>
      <c r="B13" s="121" t="e">
        <f>LEFT(北段!#REF!,6)</f>
        <v>#REF!</v>
      </c>
      <c r="C13" s="153" t="e">
        <f>VLOOKUP(B13,北段!B:C,2,FALSE)</f>
        <v>#REF!</v>
      </c>
      <c r="D13" s="62" t="e">
        <f>LEFT(北段!#REF!,3)</f>
        <v>#REF!</v>
      </c>
      <c r="E13" s="62" t="e">
        <f>LEFT(北段!#REF!,3)</f>
        <v>#REF!</v>
      </c>
      <c r="F13" s="62" t="e">
        <f>LEFT(北段!#REF!,3)</f>
        <v>#REF!</v>
      </c>
      <c r="G13" s="62" t="e">
        <f>LEFT(北段!#REF!,3)</f>
        <v>#REF!</v>
      </c>
      <c r="H13" s="62" t="e">
        <f>LEFT(北段!#REF!,3)</f>
        <v>#REF!</v>
      </c>
      <c r="I13" s="62" t="e">
        <f>LEFT(北段!#REF!,3)</f>
        <v>#REF!</v>
      </c>
      <c r="J13" s="62" t="e">
        <f>LEFT(北段!#REF!,3)</f>
        <v>#REF!</v>
      </c>
      <c r="K13" s="62" t="e">
        <f>LEFT(北段!#REF!,3)</f>
        <v>#REF!</v>
      </c>
      <c r="L13" s="62" t="e">
        <f>LEFT(北段!#REF!,3)</f>
        <v>#REF!</v>
      </c>
      <c r="M13" s="62" t="e">
        <f>LEFT(北段!#REF!,3)</f>
        <v>#REF!</v>
      </c>
      <c r="N13" s="62" t="e">
        <f>LEFT(北段!#REF!,3)</f>
        <v>#REF!</v>
      </c>
      <c r="O13" s="62" t="e">
        <f>LEFT(北段!#REF!,3)</f>
        <v>#REF!</v>
      </c>
      <c r="P13" s="62" t="e">
        <f>LEFT(北段!#REF!,3)</f>
        <v>#REF!</v>
      </c>
      <c r="Q13" s="62" t="e">
        <f>LEFT(北段!#REF!,3)</f>
        <v>#REF!</v>
      </c>
      <c r="R13" s="62" t="e">
        <f>LEFT(北段!#REF!,3)</f>
        <v>#REF!</v>
      </c>
      <c r="S13" s="62" t="e">
        <f>LEFT(北段!#REF!,3)</f>
        <v>#REF!</v>
      </c>
      <c r="T13" s="62" t="e">
        <f>LEFT(北段!#REF!,3)</f>
        <v>#REF!</v>
      </c>
      <c r="U13" s="62" t="e">
        <f>LEFT(北段!#REF!,3)</f>
        <v>#REF!</v>
      </c>
      <c r="V13" s="62" t="e">
        <f>LEFT(北段!#REF!,3)</f>
        <v>#REF!</v>
      </c>
      <c r="W13" s="62" t="e">
        <f>LEFT(北段!#REF!,3)</f>
        <v>#REF!</v>
      </c>
      <c r="X13" s="62" t="e">
        <f>LEFT(北段!#REF!,3)</f>
        <v>#REF!</v>
      </c>
      <c r="Y13" s="62" t="e">
        <f>LEFT(北段!#REF!,3)</f>
        <v>#REF!</v>
      </c>
      <c r="Z13" s="62" t="e">
        <f>LEFT(北段!#REF!,3)</f>
        <v>#REF!</v>
      </c>
      <c r="AA13" s="62" t="e">
        <f>LEFT(北段!#REF!,3)</f>
        <v>#REF!</v>
      </c>
      <c r="AB13" s="62" t="e">
        <f>LEFT(北段!#REF!,3)</f>
        <v>#REF!</v>
      </c>
      <c r="AC13" s="62" t="e">
        <f>LEFT(北段!#REF!,3)</f>
        <v>#REF!</v>
      </c>
      <c r="AD13" s="62" t="e">
        <f>LEFT(北段!#REF!,3)</f>
        <v>#REF!</v>
      </c>
      <c r="AE13" s="62" t="e">
        <f>LEFT(北段!#REF!,3)</f>
        <v>#REF!</v>
      </c>
      <c r="AF13" s="62" t="e">
        <f>LEFT(北段!#REF!,3)</f>
        <v>#REF!</v>
      </c>
      <c r="AG13" s="62" t="e">
        <f>LEFT(北段!#REF!,3)</f>
        <v>#REF!</v>
      </c>
      <c r="AH13" s="62" t="e">
        <f>LEFT(北段!#REF!,3)</f>
        <v>#REF!</v>
      </c>
      <c r="AI13" s="62" t="e">
        <f>LEFT(北段!#REF!,3)</f>
        <v>#REF!</v>
      </c>
      <c r="AJ13" s="62" t="e">
        <f>LEFT(北段!#REF!,3)</f>
        <v>#REF!</v>
      </c>
      <c r="AK13" s="62" t="e">
        <f>LEFT(北段!#REF!,3)</f>
        <v>#REF!</v>
      </c>
      <c r="AL13" s="62" t="e">
        <f>LEFT(北段!#REF!,3)</f>
        <v>#REF!</v>
      </c>
      <c r="AM13" s="62" t="e">
        <f>LEFT(北段!#REF!,3)</f>
        <v>#REF!</v>
      </c>
      <c r="AN13" s="62" t="e">
        <f>LEFT(北段!#REF!,3)</f>
        <v>#REF!</v>
      </c>
    </row>
    <row r="14" spans="1:40" ht="43.5" customHeight="1">
      <c r="A14" s="125"/>
      <c r="B14" s="101" t="str">
        <f>LEFT(北段!B13,6)</f>
        <v>T00509</v>
      </c>
      <c r="C14" s="151" t="str">
        <f>VLOOKUP(B14,北段!B:C,2,FALSE)</f>
        <v>郭秋儀</v>
      </c>
      <c r="D14" s="62" t="str">
        <f>LEFT(北段!I13,3)</f>
        <v>01夜</v>
      </c>
      <c r="E14" s="62" t="str">
        <f>LEFT(北段!J13,3)</f>
        <v>01夜</v>
      </c>
      <c r="F14" s="62" t="str">
        <f>LEFT(北段!K13,3)</f>
        <v/>
      </c>
      <c r="G14" s="62" t="str">
        <f>LEFT(北段!L13,4)</f>
        <v/>
      </c>
      <c r="H14" s="62" t="str">
        <f>LEFT(北段!M13,3)</f>
        <v/>
      </c>
      <c r="I14" s="62" t="str">
        <f>LEFT(北段!N13,3)</f>
        <v/>
      </c>
      <c r="J14" s="62" t="str">
        <f>LEFT(北段!O13,3)</f>
        <v/>
      </c>
      <c r="K14" s="62" t="str">
        <f>LEFT(北段!P13,3)</f>
        <v/>
      </c>
      <c r="L14" s="62" t="str">
        <f>LEFT(北段!Q13,3)</f>
        <v/>
      </c>
      <c r="M14" s="62" t="str">
        <f>LEFT(北段!R13,3)</f>
        <v/>
      </c>
      <c r="N14" s="62" t="str">
        <f>LEFT(北段!S13,3)</f>
        <v/>
      </c>
      <c r="O14" s="62" t="str">
        <f>LEFT(北段!T13,3)</f>
        <v/>
      </c>
      <c r="P14" s="62" t="str">
        <f>LEFT(北段!U13,3)</f>
        <v>L</v>
      </c>
      <c r="Q14" s="62" t="str">
        <f>LEFT(北段!V13,3)</f>
        <v>L</v>
      </c>
      <c r="R14" s="62" t="str">
        <f>LEFT(北段!W13,3)</f>
        <v/>
      </c>
      <c r="S14" s="62" t="str">
        <f>LEFT(北段!X13,3)</f>
        <v/>
      </c>
      <c r="T14" s="62" t="str">
        <f>LEFT(北段!Y13,3)</f>
        <v/>
      </c>
      <c r="U14" s="62" t="str">
        <f>LEFT(北段!Z13,3)</f>
        <v/>
      </c>
      <c r="V14" s="62" t="str">
        <f>LEFT(北段!AA13,3)</f>
        <v/>
      </c>
      <c r="W14" s="62" t="str">
        <f>LEFT(北段!AB13,3)</f>
        <v/>
      </c>
      <c r="X14" s="62" t="str">
        <f>LEFT(北段!AC13,3)</f>
        <v/>
      </c>
      <c r="Y14" s="62" t="str">
        <f>LEFT(北段!AD13,3)</f>
        <v/>
      </c>
      <c r="Z14" s="62" t="str">
        <f>LEFT(北段!AE13,3)</f>
        <v>R</v>
      </c>
      <c r="AA14" s="62" t="str">
        <f>LEFT(北段!AF13,3)</f>
        <v>R</v>
      </c>
      <c r="AB14" s="62" t="str">
        <f>LEFT(北段!AG13,3)</f>
        <v/>
      </c>
      <c r="AC14" s="62" t="str">
        <f>LEFT(北段!AH13,3)</f>
        <v/>
      </c>
      <c r="AD14" s="62" t="str">
        <f>LEFT(北段!AI13,3)</f>
        <v/>
      </c>
      <c r="AE14" s="62" t="str">
        <f>LEFT(北段!AJ13,4)</f>
        <v/>
      </c>
      <c r="AF14" s="62" t="str">
        <f>LEFT(北段!AK13,3)</f>
        <v/>
      </c>
      <c r="AG14" s="62" t="str">
        <f>LEFT(北段!AL13,3)</f>
        <v/>
      </c>
      <c r="AH14" s="62" t="e">
        <f>LEFT(北段!#REF!,3)</f>
        <v>#REF!</v>
      </c>
      <c r="AI14" s="62" t="e">
        <f>LEFT(北段!#REF!,3)</f>
        <v>#REF!</v>
      </c>
      <c r="AJ14" s="62" t="e">
        <f>LEFT(北段!#REF!,3)</f>
        <v>#REF!</v>
      </c>
      <c r="AK14" s="62" t="e">
        <f>LEFT(北段!#REF!,3)</f>
        <v>#REF!</v>
      </c>
      <c r="AL14" s="62" t="e">
        <f>LEFT(北段!#REF!,3)</f>
        <v>#REF!</v>
      </c>
      <c r="AM14" s="62" t="e">
        <f>LEFT(北段!#REF!,4)</f>
        <v>#REF!</v>
      </c>
      <c r="AN14" s="62" t="e">
        <f>LEFT(北段!#REF!,3)</f>
        <v>#REF!</v>
      </c>
    </row>
    <row r="15" spans="1:40" ht="43.5" customHeight="1">
      <c r="A15" s="125"/>
      <c r="B15" s="101" t="str">
        <f>LEFT(北段!B14,6)</f>
        <v>T01028</v>
      </c>
      <c r="C15" s="151" t="str">
        <f>VLOOKUP(B15,北段!B:C,2,FALSE)</f>
        <v>林金緗</v>
      </c>
      <c r="D15" s="62" t="str">
        <f>LEFT(北段!I14,3)</f>
        <v>01午</v>
      </c>
      <c r="E15" s="62" t="str">
        <f>LEFT(北段!J14,3)</f>
        <v>01午</v>
      </c>
      <c r="F15" s="62" t="str">
        <f>LEFT(北段!K14,3)</f>
        <v/>
      </c>
      <c r="G15" s="62" t="str">
        <f>LEFT(北段!L14,3)</f>
        <v/>
      </c>
      <c r="H15" s="62" t="str">
        <f>LEFT(北段!M14,4)</f>
        <v/>
      </c>
      <c r="I15" s="62" t="str">
        <f>LEFT(北段!N14,3)</f>
        <v/>
      </c>
      <c r="J15" s="62" t="str">
        <f>LEFT(北段!O14,3)</f>
        <v/>
      </c>
      <c r="K15" s="62" t="str">
        <f>LEFT(北段!P14,3)</f>
        <v/>
      </c>
      <c r="L15" s="62" t="str">
        <f>LEFT(北段!Q14,3)</f>
        <v/>
      </c>
      <c r="M15" s="62" t="str">
        <f>LEFT(北段!R14,3)</f>
        <v/>
      </c>
      <c r="N15" s="62" t="str">
        <f>LEFT(北段!S14,3)</f>
        <v/>
      </c>
      <c r="O15" s="62" t="str">
        <f>LEFT(北段!T14,3)</f>
        <v/>
      </c>
      <c r="P15" s="62" t="str">
        <f>LEFT(北段!U14,3)</f>
        <v/>
      </c>
      <c r="Q15" s="62" t="str">
        <f>LEFT(北段!V14,4)</f>
        <v/>
      </c>
      <c r="R15" s="62" t="str">
        <f>LEFT(北段!W14,3)</f>
        <v/>
      </c>
      <c r="S15" s="62" t="str">
        <f>LEFT(北段!X14,3)</f>
        <v/>
      </c>
      <c r="T15" s="62" t="str">
        <f>LEFT(北段!Y14,3)</f>
        <v/>
      </c>
      <c r="U15" s="62" t="str">
        <f>LEFT(北段!Z14,3)</f>
        <v/>
      </c>
      <c r="V15" s="62" t="str">
        <f>LEFT(北段!AA14,3)</f>
        <v/>
      </c>
      <c r="W15" s="62" t="str">
        <f>LEFT(北段!AB14,3)</f>
        <v/>
      </c>
      <c r="X15" s="62" t="str">
        <f>LEFT(北段!AC14,4)</f>
        <v/>
      </c>
      <c r="Y15" s="62" t="str">
        <f>LEFT(北段!AD14,3)</f>
        <v/>
      </c>
      <c r="Z15" s="62" t="str">
        <f>LEFT(北段!AE14,3)</f>
        <v/>
      </c>
      <c r="AA15" s="62" t="str">
        <f>LEFT(北段!AF14,3)</f>
        <v/>
      </c>
      <c r="AB15" s="62" t="str">
        <f>LEFT(北段!AG14,3)</f>
        <v>R</v>
      </c>
      <c r="AC15" s="62" t="str">
        <f>LEFT(北段!AH14,3)</f>
        <v>L</v>
      </c>
      <c r="AD15" s="62" t="str">
        <f>LEFT(北段!AI14,3)</f>
        <v>L</v>
      </c>
      <c r="AE15" s="62" t="str">
        <f>LEFT(北段!AJ14,3)</f>
        <v>r'</v>
      </c>
      <c r="AF15" s="62" t="str">
        <f>LEFT(北段!AK14,3)</f>
        <v/>
      </c>
      <c r="AG15" s="62" t="str">
        <f>LEFT(北段!AL14,3)</f>
        <v/>
      </c>
      <c r="AH15" s="62" t="e">
        <f>LEFT(北段!#REF!,3)</f>
        <v>#REF!</v>
      </c>
      <c r="AI15" s="62" t="e">
        <f>LEFT(北段!#REF!,3)</f>
        <v>#REF!</v>
      </c>
      <c r="AJ15" s="62" t="e">
        <f>LEFT(北段!#REF!,3)</f>
        <v>#REF!</v>
      </c>
      <c r="AK15" s="62" t="e">
        <f>LEFT(北段!#REF!,3)</f>
        <v>#REF!</v>
      </c>
      <c r="AL15" s="62" t="e">
        <f>LEFT(北段!#REF!,3)</f>
        <v>#REF!</v>
      </c>
      <c r="AM15" s="62" t="e">
        <f>LEFT(北段!#REF!,3)</f>
        <v>#REF!</v>
      </c>
      <c r="AN15" s="62" t="e">
        <f>LEFT(北段!#REF!,3)</f>
        <v>#REF!</v>
      </c>
    </row>
    <row r="16" spans="1:40" ht="43.5" customHeight="1">
      <c r="A16" s="125"/>
      <c r="B16" s="101" t="str">
        <f>LEFT(北段!B15,6)</f>
        <v>T01029</v>
      </c>
      <c r="C16" s="151" t="str">
        <f>VLOOKUP(B16,北段!B:C,2,FALSE)</f>
        <v>林雯琳</v>
      </c>
      <c r="D16" s="62" t="str">
        <f>LEFT(北段!I15,3)</f>
        <v>01午</v>
      </c>
      <c r="E16" s="62" t="str">
        <f>LEFT(北段!J15,3)</f>
        <v>01午</v>
      </c>
      <c r="F16" s="62" t="str">
        <f>LEFT(北段!K15,3)</f>
        <v/>
      </c>
      <c r="G16" s="62" t="str">
        <f>LEFT(北段!L15,3)</f>
        <v/>
      </c>
      <c r="H16" s="62" t="str">
        <f>LEFT(北段!M15,3)</f>
        <v/>
      </c>
      <c r="I16" s="62" t="str">
        <f>LEFT(北段!N15,3)</f>
        <v/>
      </c>
      <c r="J16" s="62" t="str">
        <f>LEFT(北段!O15,3)</f>
        <v/>
      </c>
      <c r="K16" s="62" t="str">
        <f>LEFT(北段!P15,3)</f>
        <v/>
      </c>
      <c r="L16" s="62" t="str">
        <f>LEFT(北段!Q15,3)</f>
        <v/>
      </c>
      <c r="M16" s="62" t="str">
        <f>LEFT(北段!R15,3)</f>
        <v/>
      </c>
      <c r="N16" s="62" t="str">
        <f>LEFT(北段!S15,3)</f>
        <v/>
      </c>
      <c r="O16" s="62" t="str">
        <f>LEFT(北段!T15,3)</f>
        <v/>
      </c>
      <c r="P16" s="62" t="str">
        <f>LEFT(北段!U15,3)</f>
        <v>L</v>
      </c>
      <c r="Q16" s="62" t="str">
        <f>LEFT(北段!V15,4)</f>
        <v>L</v>
      </c>
      <c r="R16" s="62" t="str">
        <f>LEFT(北段!W15,3)</f>
        <v/>
      </c>
      <c r="S16" s="62" t="str">
        <f>LEFT(北段!X15,3)</f>
        <v/>
      </c>
      <c r="T16" s="62" t="str">
        <f>LEFT(北段!Y15,3)</f>
        <v/>
      </c>
      <c r="U16" s="62" t="str">
        <f>LEFT(北段!Z15,3)</f>
        <v/>
      </c>
      <c r="V16" s="62" t="str">
        <f>LEFT(北段!AA15,3)</f>
        <v/>
      </c>
      <c r="W16" s="62" t="str">
        <f>LEFT(北段!AB15,3)</f>
        <v/>
      </c>
      <c r="X16" s="62" t="str">
        <f>LEFT(北段!AC15,3)</f>
        <v/>
      </c>
      <c r="Y16" s="62" t="str">
        <f>LEFT(北段!AD15,3)</f>
        <v/>
      </c>
      <c r="Z16" s="62" t="str">
        <f>LEFT(北段!AE15,3)</f>
        <v>L</v>
      </c>
      <c r="AA16" s="62" t="str">
        <f>LEFT(北段!AF15,3)</f>
        <v>L</v>
      </c>
      <c r="AB16" s="62" t="str">
        <f>LEFT(北段!AG15,3)</f>
        <v/>
      </c>
      <c r="AC16" s="62" t="str">
        <f>LEFT(北段!AH15,3)</f>
        <v/>
      </c>
      <c r="AD16" s="62" t="str">
        <f>LEFT(北段!AI15,3)</f>
        <v/>
      </c>
      <c r="AE16" s="62" t="str">
        <f>LEFT(北段!AJ15,3)</f>
        <v/>
      </c>
      <c r="AF16" s="62" t="str">
        <f>LEFT(北段!AK15,3)</f>
        <v/>
      </c>
      <c r="AG16" s="62" t="str">
        <f>LEFT(北段!AL15,3)</f>
        <v/>
      </c>
      <c r="AH16" s="62" t="e">
        <f>LEFT(北段!#REF!,3)</f>
        <v>#REF!</v>
      </c>
      <c r="AI16" s="62" t="e">
        <f>LEFT(北段!#REF!,3)</f>
        <v>#REF!</v>
      </c>
      <c r="AJ16" s="62" t="e">
        <f>LEFT(北段!#REF!,3)</f>
        <v>#REF!</v>
      </c>
      <c r="AK16" s="62" t="e">
        <f>LEFT(北段!#REF!,3)</f>
        <v>#REF!</v>
      </c>
      <c r="AL16" s="62" t="e">
        <f>LEFT(北段!#REF!,3)</f>
        <v>#REF!</v>
      </c>
      <c r="AM16" s="62" t="e">
        <f>LEFT(北段!#REF!,3)</f>
        <v>#REF!</v>
      </c>
      <c r="AN16" s="62" t="e">
        <f>LEFT(北段!#REF!,3)</f>
        <v>#REF!</v>
      </c>
    </row>
    <row r="17" spans="1:40" ht="43.5" customHeight="1">
      <c r="A17" s="125"/>
      <c r="B17" s="101" t="str">
        <f>LEFT(北段!B16,6)</f>
        <v>T01734</v>
      </c>
      <c r="C17" s="151" t="str">
        <f>VLOOKUP(B17,北段!B:C,2,FALSE)</f>
        <v>黃冠銘</v>
      </c>
      <c r="D17" s="62" t="str">
        <f>LEFT(北段!I16,3)</f>
        <v>01早</v>
      </c>
      <c r="E17" s="62" t="str">
        <f>LEFT(北段!J16,3)</f>
        <v>01早</v>
      </c>
      <c r="F17" s="62" t="str">
        <f>LEFT(北段!K16,3)</f>
        <v>長假</v>
      </c>
      <c r="G17" s="62" t="str">
        <f>LEFT(北段!L16,3)</f>
        <v>長假</v>
      </c>
      <c r="H17" s="62" t="str">
        <f>LEFT(北段!M16,3)</f>
        <v>長假(</v>
      </c>
      <c r="I17" s="62" t="str">
        <f>LEFT(北段!N16,3)</f>
        <v>長假(</v>
      </c>
      <c r="J17" s="62" t="str">
        <f>LEFT(北段!O16,3)</f>
        <v>長假(</v>
      </c>
      <c r="K17" s="62" t="str">
        <f>LEFT(北段!P16,3)</f>
        <v/>
      </c>
      <c r="L17" s="62" t="str">
        <f>LEFT(北段!Q16,3)</f>
        <v/>
      </c>
      <c r="M17" s="62" t="str">
        <f>LEFT(北段!R16,3)</f>
        <v/>
      </c>
      <c r="N17" s="62" t="str">
        <f>LEFT(北段!S16,3)</f>
        <v/>
      </c>
      <c r="O17" s="62" t="str">
        <f>LEFT(北段!T16,3)</f>
        <v/>
      </c>
      <c r="P17" s="62" t="str">
        <f>LEFT(北段!U16,3)</f>
        <v/>
      </c>
      <c r="Q17" s="62" t="str">
        <f>LEFT(北段!V16,3)</f>
        <v/>
      </c>
      <c r="R17" s="62" t="str">
        <f>LEFT(北段!W16,3)</f>
        <v/>
      </c>
      <c r="S17" s="62" t="str">
        <f>LEFT(北段!X16,3)</f>
        <v/>
      </c>
      <c r="T17" s="62" t="str">
        <f>LEFT(北段!Y16,3)</f>
        <v/>
      </c>
      <c r="U17" s="62" t="str">
        <f>LEFT(北段!Z16,3)</f>
        <v/>
      </c>
      <c r="V17" s="62" t="str">
        <f>LEFT(北段!AA16,3)</f>
        <v/>
      </c>
      <c r="W17" s="62" t="str">
        <f>LEFT(北段!AB16,3)</f>
        <v/>
      </c>
      <c r="X17" s="62" t="str">
        <f>LEFT(北段!AC16,3)</f>
        <v/>
      </c>
      <c r="Y17" s="62" t="str">
        <f>LEFT(北段!AD16,3)</f>
        <v/>
      </c>
      <c r="Z17" s="62" t="str">
        <f>LEFT(北段!AE16,3)</f>
        <v/>
      </c>
      <c r="AA17" s="62" t="str">
        <f>LEFT(北段!AF16,3)</f>
        <v/>
      </c>
      <c r="AB17" s="62" t="str">
        <f>LEFT(北段!AG16,3)</f>
        <v/>
      </c>
      <c r="AC17" s="62" t="str">
        <f>LEFT(北段!AH16,3)</f>
        <v/>
      </c>
      <c r="AD17" s="62" t="str">
        <f>LEFT(北段!AI16,3)</f>
        <v/>
      </c>
      <c r="AE17" s="62" t="str">
        <f>LEFT(北段!AJ16,3)</f>
        <v/>
      </c>
      <c r="AF17" s="62" t="str">
        <f>LEFT(北段!AK16,3)</f>
        <v/>
      </c>
      <c r="AG17" s="62" t="str">
        <f>LEFT(北段!AL16,3)</f>
        <v/>
      </c>
      <c r="AH17" s="62" t="e">
        <f>LEFT(北段!#REF!,3)</f>
        <v>#REF!</v>
      </c>
      <c r="AI17" s="62" t="e">
        <f>LEFT(北段!#REF!,3)</f>
        <v>#REF!</v>
      </c>
      <c r="AJ17" s="62" t="e">
        <f>LEFT(北段!#REF!,3)</f>
        <v>#REF!</v>
      </c>
      <c r="AK17" s="62" t="e">
        <f>LEFT(北段!#REF!,3)</f>
        <v>#REF!</v>
      </c>
      <c r="AL17" s="62" t="e">
        <f>LEFT(北段!#REF!,3)</f>
        <v>#REF!</v>
      </c>
      <c r="AM17" s="62" t="e">
        <f>LEFT(北段!#REF!,3)</f>
        <v>#REF!</v>
      </c>
      <c r="AN17" s="62" t="e">
        <f>LEFT(北段!#REF!,3)</f>
        <v>#REF!</v>
      </c>
    </row>
    <row r="18" spans="1:40" ht="43.5" customHeight="1">
      <c r="A18" s="125"/>
      <c r="B18" s="101" t="str">
        <f>LEFT(北段!B17,6)</f>
        <v>T02287</v>
      </c>
      <c r="C18" s="151" t="str">
        <f>VLOOKUP(B18,北段!B:C,2,FALSE)</f>
        <v>林江玉</v>
      </c>
      <c r="D18" s="62" t="str">
        <f>LEFT(北段!I17,3)</f>
        <v>01早</v>
      </c>
      <c r="E18" s="62" t="str">
        <f>LEFT(北段!J17,3)</f>
        <v>r'</v>
      </c>
      <c r="F18" s="62" t="str">
        <f>LEFT(北段!K17,3)</f>
        <v>長假</v>
      </c>
      <c r="G18" s="62" t="str">
        <f>LEFT(北段!L17,3)</f>
        <v>長假(</v>
      </c>
      <c r="H18" s="62" t="str">
        <f>LEFT(北段!M17,3)</f>
        <v>長假(</v>
      </c>
      <c r="I18" s="62" t="str">
        <f>LEFT(北段!N17,3)</f>
        <v>長假(</v>
      </c>
      <c r="J18" s="62" t="str">
        <f>LEFT(北段!O17,3)</f>
        <v>長假(</v>
      </c>
      <c r="K18" s="62" t="str">
        <f>LEFT(北段!P17,3)</f>
        <v>長假(</v>
      </c>
      <c r="L18" s="62" t="str">
        <f>LEFT(北段!Q17,3)</f>
        <v>長假</v>
      </c>
      <c r="M18" s="62" t="str">
        <f>LEFT(北段!R17,3)</f>
        <v>長假</v>
      </c>
      <c r="N18" s="62" t="str">
        <f>LEFT(北段!S17,3)</f>
        <v>長假(</v>
      </c>
      <c r="O18" s="62" t="str">
        <f>LEFT(北段!T17,3)</f>
        <v>長假(</v>
      </c>
      <c r="P18" s="62" t="str">
        <f>LEFT(北段!U17,3)</f>
        <v>長假(</v>
      </c>
      <c r="Q18" s="62" t="str">
        <f>LEFT(北段!V17,3)</f>
        <v>長假(</v>
      </c>
      <c r="R18" s="62" t="str">
        <f>LEFT(北段!W17,3)</f>
        <v>長假(</v>
      </c>
      <c r="S18" s="62" t="str">
        <f>LEFT(北段!X17,3)</f>
        <v>長假</v>
      </c>
      <c r="T18" s="62" t="str">
        <f>LEFT(北段!Y17,3)</f>
        <v>長假</v>
      </c>
      <c r="U18" s="62" t="str">
        <f>LEFT(北段!Z17,3)</f>
        <v>長假</v>
      </c>
      <c r="V18" s="62" t="str">
        <f>LEFT(北段!AA17,3)</f>
        <v/>
      </c>
      <c r="W18" s="62" t="str">
        <f>LEFT(北段!AB17,3)</f>
        <v/>
      </c>
      <c r="X18" s="62" t="str">
        <f>LEFT(北段!AC17,3)</f>
        <v/>
      </c>
      <c r="Y18" s="62" t="str">
        <f>LEFT(北段!AD17,3)</f>
        <v/>
      </c>
      <c r="Z18" s="62" t="str">
        <f>LEFT(北段!AE17,3)</f>
        <v/>
      </c>
      <c r="AA18" s="62" t="str">
        <f>LEFT(北段!AF17,3)</f>
        <v/>
      </c>
      <c r="AB18" s="62" t="str">
        <f>LEFT(北段!AG17,3)</f>
        <v/>
      </c>
      <c r="AC18" s="62" t="str">
        <f>LEFT(北段!AH17,3)</f>
        <v/>
      </c>
      <c r="AD18" s="62" t="str">
        <f>LEFT(北段!AI17,3)</f>
        <v/>
      </c>
      <c r="AE18" s="62" t="str">
        <f>LEFT(北段!AJ17,3)</f>
        <v/>
      </c>
      <c r="AF18" s="62" t="str">
        <f>LEFT(北段!AK17,3)</f>
        <v/>
      </c>
      <c r="AG18" s="62" t="str">
        <f>LEFT(北段!AL17,3)</f>
        <v/>
      </c>
      <c r="AH18" s="62" t="e">
        <f>LEFT(北段!#REF!,3)</f>
        <v>#REF!</v>
      </c>
      <c r="AI18" s="62" t="e">
        <f>LEFT(北段!#REF!,3)</f>
        <v>#REF!</v>
      </c>
      <c r="AJ18" s="62" t="e">
        <f>LEFT(北段!#REF!,3)</f>
        <v>#REF!</v>
      </c>
      <c r="AK18" s="62" t="e">
        <f>LEFT(北段!#REF!,3)</f>
        <v>#REF!</v>
      </c>
      <c r="AL18" s="62" t="e">
        <f>LEFT(北段!#REF!,3)</f>
        <v>#REF!</v>
      </c>
      <c r="AM18" s="62" t="e">
        <f>LEFT(北段!#REF!,3)</f>
        <v>#REF!</v>
      </c>
      <c r="AN18" s="62" t="e">
        <f>LEFT(北段!#REF!,3)</f>
        <v>#REF!</v>
      </c>
    </row>
    <row r="19" spans="1:40" ht="43.5" customHeight="1">
      <c r="A19" s="125"/>
      <c r="B19" s="101" t="str">
        <f>LEFT(北段!B18,6)</f>
        <v>T02359</v>
      </c>
      <c r="C19" s="151" t="str">
        <f>VLOOKUP(B19,北段!B:C,2,FALSE)</f>
        <v>陳佳婷</v>
      </c>
      <c r="D19" s="62" t="str">
        <f>LEFT(北段!I18,3)</f>
        <v>r'</v>
      </c>
      <c r="E19" s="62" t="str">
        <f>LEFT(北段!J18,3)</f>
        <v>01早</v>
      </c>
      <c r="F19" s="62" t="str">
        <f>LEFT(北段!K18,3)</f>
        <v/>
      </c>
      <c r="G19" s="62" t="str">
        <f>LEFT(北段!L18,3)</f>
        <v/>
      </c>
      <c r="H19" s="62" t="str">
        <f>LEFT(北段!M18,3)</f>
        <v/>
      </c>
      <c r="I19" s="62" t="str">
        <f>LEFT(北段!N18,3)</f>
        <v/>
      </c>
      <c r="J19" s="62" t="str">
        <f>LEFT(北段!O18,3)</f>
        <v/>
      </c>
      <c r="K19" s="62" t="str">
        <f>LEFT(北段!P18,3)</f>
        <v/>
      </c>
      <c r="L19" s="62" t="str">
        <f>LEFT(北段!Q18,3)</f>
        <v/>
      </c>
      <c r="M19" s="62" t="str">
        <f>LEFT(北段!R18,3)</f>
        <v/>
      </c>
      <c r="N19" s="62" t="str">
        <f>LEFT(北段!S18,3)</f>
        <v/>
      </c>
      <c r="O19" s="62" t="str">
        <f>LEFT(北段!T18,3)</f>
        <v/>
      </c>
      <c r="P19" s="62" t="str">
        <f>LEFT(北段!U18,3)</f>
        <v/>
      </c>
      <c r="Q19" s="62" t="str">
        <f>LEFT(北段!V18,3)</f>
        <v/>
      </c>
      <c r="R19" s="62" t="str">
        <f>LEFT(北段!W18,3)</f>
        <v/>
      </c>
      <c r="S19" s="62" t="str">
        <f>LEFT(北段!X18,3)</f>
        <v/>
      </c>
      <c r="T19" s="62" t="str">
        <f>LEFT(北段!Y18,3)</f>
        <v>R</v>
      </c>
      <c r="U19" s="62" t="str">
        <f>LEFT(北段!Z18,3)</f>
        <v>r'</v>
      </c>
      <c r="V19" s="62" t="str">
        <f>LEFT(北段!AA18,3)</f>
        <v/>
      </c>
      <c r="W19" s="62" t="str">
        <f>LEFT(北段!AB18,3)</f>
        <v/>
      </c>
      <c r="X19" s="62" t="str">
        <f>LEFT(北段!AC18,3)</f>
        <v/>
      </c>
      <c r="Y19" s="62" t="str">
        <f>LEFT(北段!AD18,3)</f>
        <v/>
      </c>
      <c r="Z19" s="62" t="str">
        <f>LEFT(北段!AE18,3)</f>
        <v/>
      </c>
      <c r="AA19" s="62" t="str">
        <f>LEFT(北段!AF18,3)</f>
        <v/>
      </c>
      <c r="AB19" s="62" t="str">
        <f>LEFT(北段!AG18,3)</f>
        <v/>
      </c>
      <c r="AC19" s="62" t="str">
        <f>LEFT(北段!AH18,3)</f>
        <v/>
      </c>
      <c r="AD19" s="62" t="str">
        <f>LEFT(北段!AI18,4)</f>
        <v/>
      </c>
      <c r="AE19" s="62" t="str">
        <f>LEFT(北段!AJ18,3)</f>
        <v/>
      </c>
      <c r="AF19" s="62" t="str">
        <f>LEFT(北段!AK18,3)</f>
        <v/>
      </c>
      <c r="AG19" s="62" t="str">
        <f>LEFT(北段!AL18,3)</f>
        <v/>
      </c>
      <c r="AH19" s="62" t="e">
        <f>LEFT(北段!#REF!,3)</f>
        <v>#REF!</v>
      </c>
      <c r="AI19" s="62" t="e">
        <f>LEFT(北段!#REF!,3)</f>
        <v>#REF!</v>
      </c>
      <c r="AJ19" s="62" t="e">
        <f>LEFT(北段!#REF!,3)</f>
        <v>#REF!</v>
      </c>
      <c r="AK19" s="62" t="e">
        <f>LEFT(北段!#REF!,3)</f>
        <v>#REF!</v>
      </c>
      <c r="AL19" s="62" t="e">
        <f>LEFT(北段!#REF!,3)</f>
        <v>#REF!</v>
      </c>
      <c r="AM19" s="62" t="e">
        <f>LEFT(北段!#REF!,3)</f>
        <v>#REF!</v>
      </c>
      <c r="AN19" s="62" t="e">
        <f>LEFT(北段!#REF!,3)</f>
        <v>#REF!</v>
      </c>
    </row>
    <row r="20" spans="1:40" ht="43.5" customHeight="1">
      <c r="A20" s="125"/>
      <c r="B20" s="101" t="str">
        <f>LEFT(北段!B19,6)</f>
        <v>T02363</v>
      </c>
      <c r="C20" s="151" t="str">
        <f>VLOOKUP(B20,北段!B:C,2,FALSE)</f>
        <v>林孟錡</v>
      </c>
      <c r="D20" s="62" t="str">
        <f>LEFT(北段!I19,3)</f>
        <v>01夜</v>
      </c>
      <c r="E20" s="62" t="str">
        <f>LEFT(北段!J19,3)</f>
        <v>01夜</v>
      </c>
      <c r="F20" s="62" t="str">
        <f>LEFT(北段!K19,3)</f>
        <v/>
      </c>
      <c r="G20" s="62" t="str">
        <f>LEFT(北段!L19,3)</f>
        <v/>
      </c>
      <c r="H20" s="62" t="str">
        <f>LEFT(北段!M19,3)</f>
        <v/>
      </c>
      <c r="I20" s="62" t="str">
        <f>LEFT(北段!N19,3)</f>
        <v/>
      </c>
      <c r="J20" s="62" t="str">
        <f>LEFT(北段!O19,3)</f>
        <v/>
      </c>
      <c r="K20" s="62" t="str">
        <f>LEFT(北段!P19,3)</f>
        <v/>
      </c>
      <c r="L20" s="62" t="str">
        <f>LEFT(北段!Q19,3)</f>
        <v/>
      </c>
      <c r="M20" s="62" t="str">
        <f>LEFT(北段!R19,3)</f>
        <v/>
      </c>
      <c r="N20" s="62" t="str">
        <f>LEFT(北段!S19,3)</f>
        <v/>
      </c>
      <c r="O20" s="62" t="str">
        <f>LEFT(北段!T19,3)</f>
        <v/>
      </c>
      <c r="P20" s="62" t="str">
        <f>LEFT(北段!U19,3)</f>
        <v/>
      </c>
      <c r="Q20" s="62" t="str">
        <f>LEFT(北段!V19,3)</f>
        <v/>
      </c>
      <c r="R20" s="62" t="str">
        <f>LEFT(北段!W19,3)</f>
        <v/>
      </c>
      <c r="S20" s="62" t="str">
        <f>LEFT(北段!X19,3)</f>
        <v/>
      </c>
      <c r="T20" s="62" t="str">
        <f>LEFT(北段!Y19,3)</f>
        <v/>
      </c>
      <c r="U20" s="62" t="str">
        <f>LEFT(北段!Z19,3)</f>
        <v/>
      </c>
      <c r="V20" s="62" t="str">
        <f>LEFT(北段!AA19,3)</f>
        <v/>
      </c>
      <c r="W20" s="62" t="str">
        <f>LEFT(北段!AB19,3)</f>
        <v/>
      </c>
      <c r="X20" s="62" t="str">
        <f>LEFT(北段!AC19,3)</f>
        <v/>
      </c>
      <c r="Y20" s="62" t="str">
        <f>LEFT(北段!AD19,3)</f>
        <v/>
      </c>
      <c r="Z20" s="62" t="str">
        <f>LEFT(北段!AE19,3)</f>
        <v/>
      </c>
      <c r="AA20" s="62" t="str">
        <f>LEFT(北段!AF19,3)</f>
        <v/>
      </c>
      <c r="AB20" s="62" t="str">
        <f>LEFT(北段!AG19,3)</f>
        <v/>
      </c>
      <c r="AC20" s="62" t="str">
        <f>LEFT(北段!AH19,3)</f>
        <v/>
      </c>
      <c r="AD20" s="62" t="str">
        <f>LEFT(北段!AI19,3)</f>
        <v/>
      </c>
      <c r="AE20" s="62" t="str">
        <f>LEFT(北段!AJ19,3)</f>
        <v/>
      </c>
      <c r="AF20" s="62" t="str">
        <f>LEFT(北段!AK19,3)</f>
        <v/>
      </c>
      <c r="AG20" s="62" t="str">
        <f>LEFT(北段!AL19,3)</f>
        <v/>
      </c>
      <c r="AH20" s="62" t="e">
        <f>LEFT(北段!#REF!,3)</f>
        <v>#REF!</v>
      </c>
      <c r="AI20" s="62" t="e">
        <f>LEFT(北段!#REF!,3)</f>
        <v>#REF!</v>
      </c>
      <c r="AJ20" s="62" t="e">
        <f>LEFT(北段!#REF!,3)</f>
        <v>#REF!</v>
      </c>
      <c r="AK20" s="62" t="e">
        <f>LEFT(北段!#REF!,3)</f>
        <v>#REF!</v>
      </c>
      <c r="AL20" s="62" t="e">
        <f>LEFT(北段!#REF!,3)</f>
        <v>#REF!</v>
      </c>
      <c r="AM20" s="62" t="e">
        <f>LEFT(北段!#REF!,3)</f>
        <v>#REF!</v>
      </c>
      <c r="AN20" s="62" t="e">
        <f>LEFT(北段!#REF!,3)</f>
        <v>#REF!</v>
      </c>
    </row>
    <row r="21" spans="1:40" s="36" customFormat="1" ht="43.5" customHeight="1">
      <c r="A21" s="125"/>
      <c r="B21" s="101" t="str">
        <f>LEFT(北段!B20,6)</f>
        <v>T02504</v>
      </c>
      <c r="C21" s="151" t="str">
        <f>VLOOKUP(B21,北段!B:C,2,FALSE)</f>
        <v>潘元浩</v>
      </c>
      <c r="D21" s="62" t="str">
        <f>LEFT(北段!I20,3)</f>
        <v>01午</v>
      </c>
      <c r="E21" s="62" t="str">
        <f>LEFT(北段!J20,3)</f>
        <v>01午</v>
      </c>
      <c r="F21" s="62" t="str">
        <f>LEFT(北段!K20,3)</f>
        <v/>
      </c>
      <c r="G21" s="62" t="str">
        <f>LEFT(北段!L20,3)</f>
        <v/>
      </c>
      <c r="H21" s="62" t="str">
        <f>LEFT(北段!M20,3)</f>
        <v/>
      </c>
      <c r="I21" s="62" t="str">
        <f>LEFT(北段!N20,3)</f>
        <v/>
      </c>
      <c r="J21" s="62" t="str">
        <f>LEFT(北段!O20,3)</f>
        <v/>
      </c>
      <c r="K21" s="62" t="str">
        <f>LEFT(北段!P20,3)</f>
        <v/>
      </c>
      <c r="L21" s="62" t="str">
        <f>LEFT(北段!Q20,3)</f>
        <v/>
      </c>
      <c r="M21" s="62" t="str">
        <f>LEFT(北段!R20,3)</f>
        <v/>
      </c>
      <c r="N21" s="62" t="str">
        <f>LEFT(北段!S20,3)</f>
        <v/>
      </c>
      <c r="O21" s="62" t="str">
        <f>LEFT(北段!T20,3)</f>
        <v/>
      </c>
      <c r="P21" s="62" t="str">
        <f>LEFT(北段!U20,3)</f>
        <v/>
      </c>
      <c r="Q21" s="62" t="str">
        <f>LEFT(北段!V20,3)</f>
        <v/>
      </c>
      <c r="R21" s="62" t="str">
        <f>LEFT(北段!W20,3)</f>
        <v/>
      </c>
      <c r="S21" s="62" t="str">
        <f>LEFT(北段!X20,3)</f>
        <v/>
      </c>
      <c r="T21" s="62" t="str">
        <f>LEFT(北段!Y20,3)</f>
        <v/>
      </c>
      <c r="U21" s="62" t="str">
        <f>LEFT(北段!Z20,3)</f>
        <v/>
      </c>
      <c r="V21" s="62" t="str">
        <f>LEFT(北段!AA20,3)</f>
        <v/>
      </c>
      <c r="W21" s="62" t="str">
        <f>LEFT(北段!AB20,3)</f>
        <v/>
      </c>
      <c r="X21" s="62" t="str">
        <f>LEFT(北段!AC20,3)</f>
        <v>R</v>
      </c>
      <c r="Y21" s="62" t="str">
        <f>LEFT(北段!AD20,3)</f>
        <v>r'</v>
      </c>
      <c r="Z21" s="62" t="str">
        <f>LEFT(北段!AE20,3)</f>
        <v>L</v>
      </c>
      <c r="AA21" s="62" t="str">
        <f>LEFT(北段!AF20,3)</f>
        <v>L</v>
      </c>
      <c r="AB21" s="62" t="str">
        <f>LEFT(北段!AG20,3)</f>
        <v/>
      </c>
      <c r="AC21" s="62" t="str">
        <f>LEFT(北段!AH20,3)</f>
        <v/>
      </c>
      <c r="AD21" s="62" t="str">
        <f>LEFT(北段!AI20,3)</f>
        <v/>
      </c>
      <c r="AE21" s="62" t="str">
        <f>LEFT(北段!AJ20,3)</f>
        <v/>
      </c>
      <c r="AF21" s="62" t="str">
        <f>LEFT(北段!AK20,3)</f>
        <v/>
      </c>
      <c r="AG21" s="62" t="str">
        <f>LEFT(北段!AL20,3)</f>
        <v/>
      </c>
      <c r="AH21" s="62" t="e">
        <f>LEFT(北段!#REF!,4)</f>
        <v>#REF!</v>
      </c>
      <c r="AI21" s="62" t="e">
        <f>LEFT(北段!#REF!,3)</f>
        <v>#REF!</v>
      </c>
      <c r="AJ21" s="62" t="e">
        <f>LEFT(北段!#REF!,3)</f>
        <v>#REF!</v>
      </c>
      <c r="AK21" s="62" t="e">
        <f>LEFT(北段!#REF!,3)</f>
        <v>#REF!</v>
      </c>
      <c r="AL21" s="62" t="e">
        <f>LEFT(北段!#REF!,3)</f>
        <v>#REF!</v>
      </c>
      <c r="AM21" s="62" t="e">
        <f>LEFT(北段!#REF!,3)</f>
        <v>#REF!</v>
      </c>
      <c r="AN21" s="62" t="e">
        <f>LEFT(北段!#REF!,3)</f>
        <v>#REF!</v>
      </c>
    </row>
    <row r="22" spans="1:40" ht="43.5" customHeight="1">
      <c r="A22" s="125"/>
      <c r="B22" s="101" t="str">
        <f>LEFT(北段!B21,6)</f>
        <v>T02505</v>
      </c>
      <c r="C22" s="151" t="str">
        <f>VLOOKUP(B22,北段!B:C,2,FALSE)</f>
        <v>李慧盺</v>
      </c>
      <c r="D22" s="62" t="str">
        <f>LEFT(北段!I21,3)</f>
        <v>P</v>
      </c>
      <c r="E22" s="62" t="str">
        <f>LEFT(北段!J21,3)</f>
        <v>r'</v>
      </c>
      <c r="F22" s="62" t="str">
        <f>LEFT(北段!K21,3)</f>
        <v/>
      </c>
      <c r="G22" s="62" t="str">
        <f>LEFT(北段!L21,3)</f>
        <v/>
      </c>
      <c r="H22" s="62" t="str">
        <f>LEFT(北段!M21,3)</f>
        <v/>
      </c>
      <c r="I22" s="62" t="str">
        <f>LEFT(北段!N21,3)</f>
        <v/>
      </c>
      <c r="J22" s="62" t="str">
        <f>LEFT(北段!O21,3)</f>
        <v/>
      </c>
      <c r="K22" s="62" t="str">
        <f>LEFT(北段!P21,3)</f>
        <v/>
      </c>
      <c r="L22" s="62" t="str">
        <f>LEFT(北段!Q21,3)</f>
        <v/>
      </c>
      <c r="M22" s="62" t="str">
        <f>LEFT(北段!R21,3)</f>
        <v/>
      </c>
      <c r="N22" s="62" t="str">
        <f>LEFT(北段!S21,3)</f>
        <v/>
      </c>
      <c r="O22" s="62" t="str">
        <f>LEFT(北段!T21,3)</f>
        <v/>
      </c>
      <c r="P22" s="62" t="str">
        <f>LEFT(北段!U21,3)</f>
        <v/>
      </c>
      <c r="Q22" s="62" t="str">
        <f>LEFT(北段!V21,3)</f>
        <v/>
      </c>
      <c r="R22" s="62" t="str">
        <f>LEFT(北段!W21,3)</f>
        <v/>
      </c>
      <c r="S22" s="62" t="str">
        <f>LEFT(北段!X21,3)</f>
        <v/>
      </c>
      <c r="T22" s="62" t="str">
        <f>LEFT(北段!Y21,3)</f>
        <v/>
      </c>
      <c r="U22" s="62" t="str">
        <f>LEFT(北段!Z21,3)</f>
        <v/>
      </c>
      <c r="V22" s="62" t="str">
        <f>LEFT(北段!AA21,3)</f>
        <v/>
      </c>
      <c r="W22" s="62" t="str">
        <f>LEFT(北段!AB21,3)</f>
        <v/>
      </c>
      <c r="X22" s="62" t="str">
        <f>LEFT(北段!AC21,3)</f>
        <v>R</v>
      </c>
      <c r="Y22" s="62" t="str">
        <f>LEFT(北段!AD21,3)</f>
        <v>r'</v>
      </c>
      <c r="Z22" s="62" t="str">
        <f>LEFT(北段!AE21,3)</f>
        <v>L</v>
      </c>
      <c r="AA22" s="62" t="str">
        <f>LEFT(北段!AF21,3)</f>
        <v>L</v>
      </c>
      <c r="AB22" s="62" t="str">
        <f>LEFT(北段!AG21,3)</f>
        <v/>
      </c>
      <c r="AC22" s="62" t="str">
        <f>LEFT(北段!AH21,3)</f>
        <v/>
      </c>
      <c r="AD22" s="62" t="str">
        <f>LEFT(北段!AI21,3)</f>
        <v/>
      </c>
      <c r="AE22" s="62" t="str">
        <f>LEFT(北段!AJ21,3)</f>
        <v/>
      </c>
      <c r="AF22" s="62" t="str">
        <f>LEFT(北段!AK21,4)</f>
        <v/>
      </c>
      <c r="AG22" s="62" t="str">
        <f>LEFT(北段!AL21,3)</f>
        <v/>
      </c>
      <c r="AH22" s="62" t="e">
        <f>LEFT(北段!#REF!,3)</f>
        <v>#REF!</v>
      </c>
      <c r="AI22" s="62" t="e">
        <f>LEFT(北段!#REF!,3)</f>
        <v>#REF!</v>
      </c>
      <c r="AJ22" s="62" t="e">
        <f>LEFT(北段!#REF!,3)</f>
        <v>#REF!</v>
      </c>
      <c r="AK22" s="62" t="e">
        <f>LEFT(北段!#REF!,3)</f>
        <v>#REF!</v>
      </c>
      <c r="AL22" s="62" t="e">
        <f>LEFT(北段!#REF!,3)</f>
        <v>#REF!</v>
      </c>
      <c r="AM22" s="62" t="e">
        <f>LEFT(北段!#REF!,3)</f>
        <v>#REF!</v>
      </c>
      <c r="AN22" s="62" t="e">
        <f>LEFT(北段!#REF!,3)</f>
        <v>#REF!</v>
      </c>
    </row>
    <row r="23" spans="1:40" ht="43.5" customHeight="1">
      <c r="A23" s="125"/>
      <c r="B23" s="101" t="str">
        <f>LEFT(北段!B22,6)</f>
        <v>T00557</v>
      </c>
      <c r="C23" s="151" t="str">
        <f>VLOOKUP(B23,北段!B:C,2,FALSE)</f>
        <v>陳志明</v>
      </c>
      <c r="D23" s="62" t="str">
        <f>LEFT(北段!I22,3)</f>
        <v>01早</v>
      </c>
      <c r="E23" s="62" t="str">
        <f>LEFT(北段!J22,3)</f>
        <v>r'</v>
      </c>
      <c r="F23" s="62" t="str">
        <f>LEFT(北段!K22,3)</f>
        <v/>
      </c>
      <c r="G23" s="62" t="str">
        <f>LEFT(北段!L22,4)</f>
        <v/>
      </c>
      <c r="H23" s="62" t="str">
        <f>LEFT(北段!M22,3)</f>
        <v/>
      </c>
      <c r="I23" s="62" t="str">
        <f>LEFT(北段!N22,3)</f>
        <v/>
      </c>
      <c r="J23" s="62" t="str">
        <f>LEFT(北段!O22,3)</f>
        <v/>
      </c>
      <c r="K23" s="62" t="str">
        <f>LEFT(北段!P22,3)</f>
        <v>L</v>
      </c>
      <c r="L23" s="62" t="str">
        <f>LEFT(北段!Q22,3)</f>
        <v>R</v>
      </c>
      <c r="M23" s="62" t="str">
        <f>LEFT(北段!R22,3)</f>
        <v>R</v>
      </c>
      <c r="N23" s="62" t="str">
        <f>LEFT(北段!S22,3)</f>
        <v/>
      </c>
      <c r="O23" s="62" t="str">
        <f>LEFT(北段!T22,3)</f>
        <v/>
      </c>
      <c r="P23" s="62" t="str">
        <f>LEFT(北段!U22,3)</f>
        <v/>
      </c>
      <c r="Q23" s="62" t="str">
        <f>LEFT(北段!V22,3)</f>
        <v/>
      </c>
      <c r="R23" s="62" t="str">
        <f>LEFT(北段!W22,3)</f>
        <v/>
      </c>
      <c r="S23" s="62" t="str">
        <f>LEFT(北段!X22,3)</f>
        <v/>
      </c>
      <c r="T23" s="62" t="str">
        <f>LEFT(北段!Y22,3)</f>
        <v/>
      </c>
      <c r="U23" s="62" t="str">
        <f>LEFT(北段!Z22,3)</f>
        <v>R</v>
      </c>
      <c r="V23" s="62" t="str">
        <f>LEFT(北段!AA22,3)</f>
        <v/>
      </c>
      <c r="W23" s="62" t="str">
        <f>LEFT(北段!AB22,3)</f>
        <v/>
      </c>
      <c r="X23" s="62" t="str">
        <f>LEFT(北段!AC22,3)</f>
        <v/>
      </c>
      <c r="Y23" s="62" t="str">
        <f>LEFT(北段!AD22,3)</f>
        <v/>
      </c>
      <c r="Z23" s="62" t="str">
        <f>LEFT(北段!AE22,3)</f>
        <v/>
      </c>
      <c r="AA23" s="62" t="str">
        <f>LEFT(北段!AF22,3)</f>
        <v/>
      </c>
      <c r="AB23" s="62" t="str">
        <f>LEFT(北段!AG22,3)</f>
        <v/>
      </c>
      <c r="AC23" s="62" t="str">
        <f>LEFT(北段!AH22,3)</f>
        <v/>
      </c>
      <c r="AD23" s="62" t="str">
        <f>LEFT(北段!AI22,3)</f>
        <v/>
      </c>
      <c r="AE23" s="62" t="str">
        <f>LEFT(北段!AJ22,3)</f>
        <v/>
      </c>
      <c r="AF23" s="62" t="str">
        <f>LEFT(北段!AK22,3)</f>
        <v/>
      </c>
      <c r="AG23" s="62" t="str">
        <f>LEFT(北段!AL22,4)</f>
        <v/>
      </c>
      <c r="AH23" s="62" t="e">
        <f>LEFT(北段!#REF!,3)</f>
        <v>#REF!</v>
      </c>
      <c r="AI23" s="62" t="e">
        <f>LEFT(北段!#REF!,3)</f>
        <v>#REF!</v>
      </c>
      <c r="AJ23" s="62" t="e">
        <f>LEFT(北段!#REF!,3)</f>
        <v>#REF!</v>
      </c>
      <c r="AK23" s="62" t="e">
        <f>LEFT(北段!#REF!,3)</f>
        <v>#REF!</v>
      </c>
      <c r="AL23" s="62" t="e">
        <f>LEFT(北段!#REF!,3)</f>
        <v>#REF!</v>
      </c>
      <c r="AM23" s="62" t="e">
        <f>LEFT(北段!#REF!,3)</f>
        <v>#REF!</v>
      </c>
      <c r="AN23" s="62" t="e">
        <f>LEFT(北段!#REF!,3)</f>
        <v>#REF!</v>
      </c>
    </row>
    <row r="24" spans="1:40" ht="43.5" customHeight="1">
      <c r="A24" s="125"/>
      <c r="B24" s="101" t="str">
        <f>LEFT(北段!B23,6)</f>
        <v>T00929</v>
      </c>
      <c r="C24" s="151" t="str">
        <f>VLOOKUP(B24,北段!B:C,2,FALSE)</f>
        <v>簡婉蓁</v>
      </c>
      <c r="D24" s="62" t="str">
        <f>LEFT(北段!I23,3)</f>
        <v>01中</v>
      </c>
      <c r="E24" s="62" t="str">
        <f>LEFT(北段!J23,3)</f>
        <v>r'</v>
      </c>
      <c r="F24" s="62" t="str">
        <f>LEFT(北段!K23,3)</f>
        <v>長假</v>
      </c>
      <c r="G24" s="62" t="str">
        <f>LEFT(北段!L23,3)</f>
        <v>長假</v>
      </c>
      <c r="H24" s="62" t="str">
        <f>LEFT(北段!M23,3)</f>
        <v>長假(</v>
      </c>
      <c r="I24" s="62" t="str">
        <f>LEFT(北段!N23,3)</f>
        <v>長假(</v>
      </c>
      <c r="J24" s="62" t="str">
        <f>LEFT(北段!O23,3)</f>
        <v>長假(</v>
      </c>
      <c r="K24" s="62" t="str">
        <f>LEFT(北段!P23,3)</f>
        <v>長假(</v>
      </c>
      <c r="L24" s="62" t="str">
        <f>LEFT(北段!Q23,3)</f>
        <v>長假</v>
      </c>
      <c r="M24" s="62" t="str">
        <f>LEFT(北段!R23,3)</f>
        <v>長假</v>
      </c>
      <c r="N24" s="62" t="str">
        <f>LEFT(北段!S23,3)</f>
        <v/>
      </c>
      <c r="O24" s="62" t="str">
        <f>LEFT(北段!T23,3)</f>
        <v/>
      </c>
      <c r="P24" s="62" t="str">
        <f>LEFT(北段!U23,3)</f>
        <v/>
      </c>
      <c r="Q24" s="62" t="str">
        <f>LEFT(北段!V23,3)</f>
        <v/>
      </c>
      <c r="R24" s="62" t="str">
        <f>LEFT(北段!W23,3)</f>
        <v/>
      </c>
      <c r="S24" s="62" t="str">
        <f>LEFT(北段!X23,3)</f>
        <v/>
      </c>
      <c r="T24" s="62" t="str">
        <f>LEFT(北段!Y23,3)</f>
        <v/>
      </c>
      <c r="U24" s="62" t="str">
        <f>LEFT(北段!Z23,3)</f>
        <v/>
      </c>
      <c r="V24" s="62" t="str">
        <f>LEFT(北段!AA23,3)</f>
        <v/>
      </c>
      <c r="W24" s="62" t="str">
        <f>LEFT(北段!AB23,3)</f>
        <v/>
      </c>
      <c r="X24" s="62" t="str">
        <f>LEFT(北段!AC23,3)</f>
        <v/>
      </c>
      <c r="Y24" s="62" t="str">
        <f>LEFT(北段!AD23,3)</f>
        <v/>
      </c>
      <c r="Z24" s="62" t="str">
        <f>LEFT(北段!AE23,3)</f>
        <v/>
      </c>
      <c r="AA24" s="62" t="str">
        <f>LEFT(北段!AF23,3)</f>
        <v/>
      </c>
      <c r="AB24" s="62" t="str">
        <f>LEFT(北段!AG23,3)</f>
        <v/>
      </c>
      <c r="AC24" s="62" t="str">
        <f>LEFT(北段!AH23,3)</f>
        <v/>
      </c>
      <c r="AD24" s="62" t="str">
        <f>LEFT(北段!AI23,3)</f>
        <v/>
      </c>
      <c r="AE24" s="62" t="str">
        <f>LEFT(北段!AJ23,3)</f>
        <v/>
      </c>
      <c r="AF24" s="62" t="str">
        <f>LEFT(北段!AK23,3)</f>
        <v/>
      </c>
      <c r="AG24" s="62" t="str">
        <f>LEFT(北段!AL23,3)</f>
        <v/>
      </c>
      <c r="AH24" s="62" t="e">
        <f>LEFT(北段!#REF!,3)</f>
        <v>#REF!</v>
      </c>
      <c r="AI24" s="62" t="e">
        <f>LEFT(北段!#REF!,3)</f>
        <v>#REF!</v>
      </c>
      <c r="AJ24" s="62" t="e">
        <f>LEFT(北段!#REF!,3)</f>
        <v>#REF!</v>
      </c>
      <c r="AK24" s="62" t="e">
        <f>LEFT(北段!#REF!,3)</f>
        <v>#REF!</v>
      </c>
      <c r="AL24" s="62" t="e">
        <f>LEFT(北段!#REF!,3)</f>
        <v>#REF!</v>
      </c>
      <c r="AM24" s="62" t="e">
        <f>LEFT(北段!#REF!,3)</f>
        <v>#REF!</v>
      </c>
      <c r="AN24" s="62" t="e">
        <f>LEFT(北段!#REF!,3)</f>
        <v>#REF!</v>
      </c>
    </row>
    <row r="25" spans="1:40" ht="43.5" customHeight="1">
      <c r="A25" s="125"/>
      <c r="B25" s="101" t="str">
        <f>LEFT(北段!B24,6)</f>
        <v>T01459</v>
      </c>
      <c r="C25" s="151" t="str">
        <f>VLOOKUP(B25,北段!B:C,2,FALSE)</f>
        <v>林禹丞</v>
      </c>
      <c r="D25" s="62" t="str">
        <f>LEFT(北段!I24,3)</f>
        <v>01午</v>
      </c>
      <c r="E25" s="62" t="str">
        <f>LEFT(北段!J24,3)</f>
        <v>01午</v>
      </c>
      <c r="F25" s="62" t="str">
        <f>LEFT(北段!K24,3)</f>
        <v/>
      </c>
      <c r="G25" s="62" t="str">
        <f>LEFT(北段!L24,3)</f>
        <v/>
      </c>
      <c r="H25" s="62" t="str">
        <f>LEFT(北段!M24,3)</f>
        <v/>
      </c>
      <c r="I25" s="62" t="str">
        <f>LEFT(北段!N24,3)</f>
        <v/>
      </c>
      <c r="J25" s="62" t="str">
        <f>LEFT(北段!O24,3)</f>
        <v/>
      </c>
      <c r="K25" s="62" t="str">
        <f>LEFT(北段!P24,3)</f>
        <v/>
      </c>
      <c r="L25" s="62" t="str">
        <f>LEFT(北段!Q24,3)</f>
        <v/>
      </c>
      <c r="M25" s="62" t="str">
        <f>LEFT(北段!R24,3)</f>
        <v>R</v>
      </c>
      <c r="N25" s="62" t="str">
        <f>LEFT(北段!S24,3)</f>
        <v>L</v>
      </c>
      <c r="O25" s="62" t="str">
        <f>LEFT(北段!T24,3)</f>
        <v/>
      </c>
      <c r="P25" s="62" t="str">
        <f>LEFT(北段!U24,4)</f>
        <v/>
      </c>
      <c r="Q25" s="62" t="str">
        <f>LEFT(北段!V24,3)</f>
        <v/>
      </c>
      <c r="R25" s="62" t="str">
        <f>LEFT(北段!W24,3)</f>
        <v/>
      </c>
      <c r="S25" s="62" t="str">
        <f>LEFT(北段!X24,3)</f>
        <v/>
      </c>
      <c r="T25" s="62" t="str">
        <f>LEFT(北段!Y24,3)</f>
        <v/>
      </c>
      <c r="U25" s="62" t="str">
        <f>LEFT(北段!Z24,3)</f>
        <v/>
      </c>
      <c r="V25" s="62" t="str">
        <f>LEFT(北段!AA24,4)</f>
        <v/>
      </c>
      <c r="W25" s="62" t="str">
        <f>LEFT(北段!AB24,3)</f>
        <v/>
      </c>
      <c r="X25" s="62" t="str">
        <f>LEFT(北段!AC24,3)</f>
        <v/>
      </c>
      <c r="Y25" s="62" t="str">
        <f>LEFT(北段!AD24,3)</f>
        <v/>
      </c>
      <c r="Z25" s="62" t="str">
        <f>LEFT(北段!AE24,3)</f>
        <v/>
      </c>
      <c r="AA25" s="62" t="str">
        <f>LEFT(北段!AF24,3)</f>
        <v>R</v>
      </c>
      <c r="AB25" s="62" t="str">
        <f>LEFT(北段!AG24,3)</f>
        <v>L</v>
      </c>
      <c r="AC25" s="62" t="str">
        <f>LEFT(北段!AH24,3)</f>
        <v/>
      </c>
      <c r="AD25" s="62" t="str">
        <f>LEFT(北段!AI24,3)</f>
        <v/>
      </c>
      <c r="AE25" s="62" t="str">
        <f>LEFT(北段!AJ24,3)</f>
        <v/>
      </c>
      <c r="AF25" s="62" t="str">
        <f>LEFT(北段!AK24,3)</f>
        <v/>
      </c>
      <c r="AG25" s="62" t="str">
        <f>LEFT(北段!AL24,3)</f>
        <v/>
      </c>
      <c r="AH25" s="62" t="e">
        <f>LEFT(北段!#REF!,3)</f>
        <v>#REF!</v>
      </c>
      <c r="AI25" s="62" t="e">
        <f>LEFT(北段!#REF!,3)</f>
        <v>#REF!</v>
      </c>
      <c r="AJ25" s="62" t="e">
        <f>LEFT(北段!#REF!,4)</f>
        <v>#REF!</v>
      </c>
      <c r="AK25" s="62" t="e">
        <f>LEFT(北段!#REF!,3)</f>
        <v>#REF!</v>
      </c>
      <c r="AL25" s="62" t="e">
        <f>LEFT(北段!#REF!,3)</f>
        <v>#REF!</v>
      </c>
      <c r="AM25" s="62" t="e">
        <f>LEFT(北段!#REF!,3)</f>
        <v>#REF!</v>
      </c>
      <c r="AN25" s="62" t="e">
        <f>LEFT(北段!#REF!,3)</f>
        <v>#REF!</v>
      </c>
    </row>
    <row r="26" spans="1:40" ht="43.5" customHeight="1">
      <c r="A26" s="125"/>
      <c r="B26" s="101" t="str">
        <f>LEFT(北段!B25,6)</f>
        <v>T01600</v>
      </c>
      <c r="C26" s="151" t="str">
        <f>VLOOKUP(B26,北段!B:C,2,FALSE)</f>
        <v>陳奎羽</v>
      </c>
      <c r="D26" s="62" t="str">
        <f>LEFT(北段!I25,3)</f>
        <v>01早</v>
      </c>
      <c r="E26" s="62" t="str">
        <f>LEFT(北段!J25,3)</f>
        <v>r'</v>
      </c>
      <c r="F26" s="62" t="str">
        <f>LEFT(北段!K25,3)</f>
        <v/>
      </c>
      <c r="G26" s="62" t="str">
        <f>LEFT(北段!L25,3)</f>
        <v/>
      </c>
      <c r="H26" s="62" t="str">
        <f>LEFT(北段!M25,4)</f>
        <v/>
      </c>
      <c r="I26" s="62" t="str">
        <f>LEFT(北段!N25,3)</f>
        <v/>
      </c>
      <c r="J26" s="62" t="str">
        <f>LEFT(北段!O25,3)</f>
        <v/>
      </c>
      <c r="K26" s="62" t="str">
        <f>LEFT(北段!P25,3)</f>
        <v/>
      </c>
      <c r="L26" s="62" t="str">
        <f>LEFT(北段!Q25,3)</f>
        <v/>
      </c>
      <c r="M26" s="62" t="str">
        <f>LEFT(北段!R25,3)</f>
        <v/>
      </c>
      <c r="N26" s="62" t="str">
        <f>LEFT(北段!S25,3)</f>
        <v/>
      </c>
      <c r="O26" s="62" t="str">
        <f>LEFT(北段!T25,3)</f>
        <v/>
      </c>
      <c r="P26" s="62" t="str">
        <f>LEFT(北段!U25,3)</f>
        <v/>
      </c>
      <c r="Q26" s="62" t="str">
        <f>LEFT(北段!V25,3)</f>
        <v/>
      </c>
      <c r="R26" s="62" t="str">
        <f>LEFT(北段!W25,3)</f>
        <v/>
      </c>
      <c r="S26" s="62" t="str">
        <f>LEFT(北段!X25,3)</f>
        <v/>
      </c>
      <c r="T26" s="62" t="str">
        <f>LEFT(北段!Y25,3)</f>
        <v/>
      </c>
      <c r="U26" s="62" t="str">
        <f>LEFT(北段!Z25,3)</f>
        <v/>
      </c>
      <c r="V26" s="62" t="str">
        <f>LEFT(北段!AA25,3)</f>
        <v/>
      </c>
      <c r="W26" s="62" t="str">
        <f>LEFT(北段!AB25,3)</f>
        <v/>
      </c>
      <c r="X26" s="62" t="str">
        <f>LEFT(北段!AC25,3)</f>
        <v/>
      </c>
      <c r="Y26" s="62" t="str">
        <f>LEFT(北段!AD25,3)</f>
        <v/>
      </c>
      <c r="Z26" s="62" t="str">
        <f>LEFT(北段!AE25,3)</f>
        <v>R</v>
      </c>
      <c r="AA26" s="62" t="str">
        <f>LEFT(北段!AF25,3)</f>
        <v>L</v>
      </c>
      <c r="AB26" s="62" t="str">
        <f>LEFT(北段!AG25,3)</f>
        <v>R</v>
      </c>
      <c r="AC26" s="62" t="str">
        <f>LEFT(北段!AH25,3)</f>
        <v/>
      </c>
      <c r="AD26" s="62" t="str">
        <f>LEFT(北段!AI25,3)</f>
        <v/>
      </c>
      <c r="AE26" s="62" t="str">
        <f>LEFT(北段!AJ25,3)</f>
        <v/>
      </c>
      <c r="AF26" s="62" t="str">
        <f>LEFT(北段!AK25,3)</f>
        <v/>
      </c>
      <c r="AG26" s="62" t="str">
        <f>LEFT(北段!AL25,3)</f>
        <v/>
      </c>
      <c r="AH26" s="62" t="e">
        <f>LEFT(北段!#REF!,3)</f>
        <v>#REF!</v>
      </c>
      <c r="AI26" s="62" t="e">
        <f>LEFT(北段!#REF!,3)</f>
        <v>#REF!</v>
      </c>
      <c r="AJ26" s="62" t="e">
        <f>LEFT(北段!#REF!,3)</f>
        <v>#REF!</v>
      </c>
      <c r="AK26" s="62" t="e">
        <f>LEFT(北段!#REF!,3)</f>
        <v>#REF!</v>
      </c>
      <c r="AL26" s="62" t="e">
        <f>LEFT(北段!#REF!,3)</f>
        <v>#REF!</v>
      </c>
      <c r="AM26" s="62" t="e">
        <f>LEFT(北段!#REF!,3)</f>
        <v>#REF!</v>
      </c>
      <c r="AN26" s="62" t="e">
        <f>LEFT(北段!#REF!,3)</f>
        <v>#REF!</v>
      </c>
    </row>
    <row r="27" spans="1:40" s="36" customFormat="1" ht="43.5" customHeight="1">
      <c r="A27" s="125"/>
      <c r="B27" s="101" t="str">
        <f>LEFT(北段!B26,6)</f>
        <v>T01795</v>
      </c>
      <c r="C27" s="151" t="str">
        <f>VLOOKUP(B27,北段!B:C,2,FALSE)</f>
        <v>黃羿綾</v>
      </c>
      <c r="D27" s="62" t="str">
        <f>LEFT(北段!I26,3)</f>
        <v>R</v>
      </c>
      <c r="E27" s="62" t="str">
        <f>LEFT(北段!J26,3)</f>
        <v>r'</v>
      </c>
      <c r="F27" s="62" t="str">
        <f>LEFT(北段!K26,3)</f>
        <v>r'</v>
      </c>
      <c r="G27" s="62" t="str">
        <f>LEFT(北段!L26,3)</f>
        <v>R</v>
      </c>
      <c r="H27" s="62" t="str">
        <f>LEFT(北段!M26,3)</f>
        <v/>
      </c>
      <c r="I27" s="62" t="str">
        <f>LEFT(北段!N26,3)</f>
        <v/>
      </c>
      <c r="J27" s="62" t="str">
        <f>LEFT(北段!O26,3)</f>
        <v/>
      </c>
      <c r="K27" s="62" t="str">
        <f>LEFT(北段!P26,3)</f>
        <v>R</v>
      </c>
      <c r="L27" s="62" t="str">
        <f>LEFT(北段!Q26,3)</f>
        <v/>
      </c>
      <c r="M27" s="62" t="str">
        <f>LEFT(北段!R26,3)</f>
        <v>r'</v>
      </c>
      <c r="N27" s="62" t="str">
        <f>LEFT(北段!S26,3)</f>
        <v/>
      </c>
      <c r="O27" s="62" t="str">
        <f>LEFT(北段!T26,3)</f>
        <v/>
      </c>
      <c r="P27" s="62" t="str">
        <f>LEFT(北段!U26,3)</f>
        <v/>
      </c>
      <c r="Q27" s="62" t="str">
        <f>LEFT(北段!V26,3)</f>
        <v/>
      </c>
      <c r="R27" s="62" t="str">
        <f>LEFT(北段!W26,3)</f>
        <v/>
      </c>
      <c r="S27" s="62" t="str">
        <f>LEFT(北段!X26,3)</f>
        <v/>
      </c>
      <c r="T27" s="62" t="str">
        <f>LEFT(北段!Y26,3)</f>
        <v/>
      </c>
      <c r="U27" s="62" t="str">
        <f>LEFT(北段!Z26,4)</f>
        <v/>
      </c>
      <c r="V27" s="62" t="str">
        <f>LEFT(北段!AA26,3)</f>
        <v/>
      </c>
      <c r="W27" s="62" t="str">
        <f>LEFT(北段!AB26,3)</f>
        <v/>
      </c>
      <c r="X27" s="62" t="str">
        <f>LEFT(北段!AC26,3)</f>
        <v/>
      </c>
      <c r="Y27" s="62" t="str">
        <f>LEFT(北段!AD26,3)</f>
        <v/>
      </c>
      <c r="Z27" s="62" t="str">
        <f>LEFT(北段!AE26,3)</f>
        <v/>
      </c>
      <c r="AA27" s="62" t="str">
        <f>LEFT(北段!AF26,3)</f>
        <v/>
      </c>
      <c r="AB27" s="62" t="str">
        <f>LEFT(北段!AG26,3)</f>
        <v/>
      </c>
      <c r="AC27" s="62" t="str">
        <f>LEFT(北段!AH26,4)</f>
        <v/>
      </c>
      <c r="AD27" s="62" t="str">
        <f>LEFT(北段!AI26,3)</f>
        <v/>
      </c>
      <c r="AE27" s="62" t="str">
        <f>LEFT(北段!AJ26,3)</f>
        <v/>
      </c>
      <c r="AF27" s="62" t="str">
        <f>LEFT(北段!AK26,3)</f>
        <v/>
      </c>
      <c r="AG27" s="62" t="str">
        <f>LEFT(北段!AL26,3)</f>
        <v/>
      </c>
      <c r="AH27" s="62" t="e">
        <f>LEFT(北段!#REF!,3)</f>
        <v>#REF!</v>
      </c>
      <c r="AI27" s="62" t="e">
        <f>LEFT(北段!#REF!,3)</f>
        <v>#REF!</v>
      </c>
      <c r="AJ27" s="62" t="e">
        <f>LEFT(北段!#REF!,3)</f>
        <v>#REF!</v>
      </c>
      <c r="AK27" s="62" t="e">
        <f>LEFT(北段!#REF!,3)</f>
        <v>#REF!</v>
      </c>
      <c r="AL27" s="62" t="e">
        <f>LEFT(北段!#REF!,3)</f>
        <v>#REF!</v>
      </c>
      <c r="AM27" s="62" t="e">
        <f>LEFT(北段!#REF!,3)</f>
        <v>#REF!</v>
      </c>
      <c r="AN27" s="62" t="e">
        <f>LEFT(北段!#REF!,3)</f>
        <v>#REF!</v>
      </c>
    </row>
    <row r="28" spans="1:40" s="36" customFormat="1" ht="43.5" customHeight="1">
      <c r="A28" s="125"/>
      <c r="B28" s="101" t="str">
        <f>LEFT(北段!B27,6)</f>
        <v>T02222</v>
      </c>
      <c r="C28" s="151" t="str">
        <f>VLOOKUP(B28,北段!B:C,2,FALSE)</f>
        <v>𡍼文妤</v>
      </c>
      <c r="D28" s="62" t="str">
        <f>LEFT(北段!I27,3)</f>
        <v>R</v>
      </c>
      <c r="E28" s="62" t="str">
        <f>LEFT(北段!J27,3)</f>
        <v>01早</v>
      </c>
      <c r="F28" s="62" t="str">
        <f>LEFT(北段!K27,3)</f>
        <v/>
      </c>
      <c r="G28" s="62" t="str">
        <f>LEFT(北段!L27,3)</f>
        <v/>
      </c>
      <c r="H28" s="62" t="str">
        <f>LEFT(北段!M27,3)</f>
        <v/>
      </c>
      <c r="I28" s="62" t="str">
        <f>LEFT(北段!N27,3)</f>
        <v/>
      </c>
      <c r="J28" s="62" t="str">
        <f>LEFT(北段!O27,3)</f>
        <v/>
      </c>
      <c r="K28" s="62" t="str">
        <f>LEFT(北段!P27,3)</f>
        <v/>
      </c>
      <c r="L28" s="62" t="str">
        <f>LEFT(北段!Q27,3)</f>
        <v/>
      </c>
      <c r="M28" s="62" t="str">
        <f>LEFT(北段!R27,3)</f>
        <v/>
      </c>
      <c r="N28" s="62" t="str">
        <f>LEFT(北段!S27,3)</f>
        <v/>
      </c>
      <c r="O28" s="62" t="str">
        <f>LEFT(北段!T27,3)</f>
        <v/>
      </c>
      <c r="P28" s="62" t="str">
        <f>LEFT(北段!U27,3)</f>
        <v/>
      </c>
      <c r="Q28" s="62" t="str">
        <f>LEFT(北段!V27,3)</f>
        <v/>
      </c>
      <c r="R28" s="62" t="str">
        <f>LEFT(北段!W27,3)</f>
        <v/>
      </c>
      <c r="S28" s="62" t="str">
        <f>LEFT(北段!X27,3)</f>
        <v/>
      </c>
      <c r="T28" s="62" t="str">
        <f>LEFT(北段!Y27,3)</f>
        <v/>
      </c>
      <c r="U28" s="62" t="str">
        <f>LEFT(北段!Z27,3)</f>
        <v/>
      </c>
      <c r="V28" s="62" t="str">
        <f>LEFT(北段!AA27,3)</f>
        <v>勞安訓</v>
      </c>
      <c r="W28" s="62" t="str">
        <f>LEFT(北段!AB27,4)</f>
        <v/>
      </c>
      <c r="X28" s="62" t="str">
        <f>LEFT(北段!AC27,3)</f>
        <v/>
      </c>
      <c r="Y28" s="62" t="str">
        <f>LEFT(北段!AD27,3)</f>
        <v/>
      </c>
      <c r="Z28" s="62" t="str">
        <f>LEFT(北段!AE27,3)</f>
        <v/>
      </c>
      <c r="AA28" s="62" t="str">
        <f>LEFT(北段!AF27,3)</f>
        <v>R</v>
      </c>
      <c r="AB28" s="62" t="str">
        <f>LEFT(北段!AG27,3)</f>
        <v>r'</v>
      </c>
      <c r="AC28" s="62" t="str">
        <f>LEFT(北段!AH27,3)</f>
        <v/>
      </c>
      <c r="AD28" s="62" t="str">
        <f>LEFT(北段!AI27,3)</f>
        <v/>
      </c>
      <c r="AE28" s="62" t="str">
        <f>LEFT(北段!AJ27,3)</f>
        <v/>
      </c>
      <c r="AF28" s="62" t="str">
        <f>LEFT(北段!AK27,3)</f>
        <v/>
      </c>
      <c r="AG28" s="62" t="str">
        <f>LEFT(北段!AL27,3)</f>
        <v/>
      </c>
      <c r="AH28" s="62" t="e">
        <f>LEFT(北段!#REF!,3)</f>
        <v>#REF!</v>
      </c>
      <c r="AI28" s="62" t="e">
        <f>LEFT(北段!#REF!,3)</f>
        <v>#REF!</v>
      </c>
      <c r="AJ28" s="62" t="e">
        <f>LEFT(北段!#REF!,3)</f>
        <v>#REF!</v>
      </c>
      <c r="AK28" s="62" t="e">
        <f>LEFT(北段!#REF!,3)</f>
        <v>#REF!</v>
      </c>
      <c r="AL28" s="62" t="e">
        <f>LEFT(北段!#REF!,4)</f>
        <v>#REF!</v>
      </c>
      <c r="AM28" s="62" t="e">
        <f>LEFT(北段!#REF!,3)</f>
        <v>#REF!</v>
      </c>
      <c r="AN28" s="62" t="e">
        <f>LEFT(北段!#REF!,3)</f>
        <v>#REF!</v>
      </c>
    </row>
    <row r="29" spans="1:40" s="36" customFormat="1" ht="43.5" customHeight="1">
      <c r="A29" s="125"/>
      <c r="B29" s="101" t="str">
        <f>LEFT(北段!B28,6)</f>
        <v>T02233</v>
      </c>
      <c r="C29" s="151" t="str">
        <f>VLOOKUP(B29,北段!B:C,2,FALSE)</f>
        <v>簡悅如</v>
      </c>
      <c r="D29" s="62" t="str">
        <f>LEFT(北段!I28,3)</f>
        <v>01早</v>
      </c>
      <c r="E29" s="62" t="str">
        <f>LEFT(北段!J28,3)</f>
        <v>01早</v>
      </c>
      <c r="F29" s="62" t="str">
        <f>LEFT(北段!K28,3)</f>
        <v/>
      </c>
      <c r="G29" s="62" t="str">
        <f>LEFT(北段!L28,3)</f>
        <v/>
      </c>
      <c r="H29" s="62" t="str">
        <f>LEFT(北段!M28,3)</f>
        <v>L</v>
      </c>
      <c r="I29" s="62" t="str">
        <f>LEFT(北段!N28,3)</f>
        <v/>
      </c>
      <c r="J29" s="62" t="str">
        <f>LEFT(北段!O28,3)</f>
        <v/>
      </c>
      <c r="K29" s="62" t="str">
        <f>LEFT(北段!P28,3)</f>
        <v/>
      </c>
      <c r="L29" s="62" t="str">
        <f>LEFT(北段!Q28,3)</f>
        <v/>
      </c>
      <c r="M29" s="62" t="str">
        <f>LEFT(北段!R28,3)</f>
        <v/>
      </c>
      <c r="N29" s="62" t="str">
        <f>LEFT(北段!S28,3)</f>
        <v/>
      </c>
      <c r="O29" s="62" t="str">
        <f>LEFT(北段!T28,3)</f>
        <v/>
      </c>
      <c r="P29" s="62" t="str">
        <f>LEFT(北段!U28,3)</f>
        <v/>
      </c>
      <c r="Q29" s="62" t="str">
        <f>LEFT(北段!V28,3)</f>
        <v/>
      </c>
      <c r="R29" s="62" t="str">
        <f>LEFT(北段!W28,3)</f>
        <v>L</v>
      </c>
      <c r="S29" s="62" t="str">
        <f>LEFT(北段!X28,3)</f>
        <v>L</v>
      </c>
      <c r="T29" s="62" t="str">
        <f>LEFT(北段!Y28,3)</f>
        <v>L</v>
      </c>
      <c r="U29" s="62" t="str">
        <f>LEFT(北段!Z28,3)</f>
        <v/>
      </c>
      <c r="V29" s="62" t="str">
        <f>LEFT(北段!AA28,3)</f>
        <v/>
      </c>
      <c r="W29" s="62" t="str">
        <f>LEFT(北段!AB28,3)</f>
        <v/>
      </c>
      <c r="X29" s="62" t="str">
        <f>LEFT(北段!AC28,3)</f>
        <v/>
      </c>
      <c r="Y29" s="62" t="str">
        <f>LEFT(北段!AD28,3)</f>
        <v/>
      </c>
      <c r="Z29" s="62" t="str">
        <f>LEFT(北段!AE28,4)</f>
        <v/>
      </c>
      <c r="AA29" s="62" t="str">
        <f>LEFT(北段!AF28,3)</f>
        <v/>
      </c>
      <c r="AB29" s="62" t="str">
        <f>LEFT(北段!AG28,3)</f>
        <v/>
      </c>
      <c r="AC29" s="62" t="str">
        <f>LEFT(北段!AH28,3)</f>
        <v/>
      </c>
      <c r="AD29" s="62" t="str">
        <f>LEFT(北段!AI28,3)</f>
        <v/>
      </c>
      <c r="AE29" s="62" t="str">
        <f>LEFT(北段!AJ28,3)</f>
        <v/>
      </c>
      <c r="AF29" s="62" t="str">
        <f>LEFT(北段!AK28,1)</f>
        <v/>
      </c>
      <c r="AG29" s="62" t="str">
        <f>LEFT(北段!AL28,3)</f>
        <v/>
      </c>
      <c r="AH29" s="62" t="e">
        <f>LEFT(北段!#REF!,3)</f>
        <v>#REF!</v>
      </c>
      <c r="AI29" s="62" t="e">
        <f>LEFT(北段!#REF!,3)</f>
        <v>#REF!</v>
      </c>
      <c r="AJ29" s="62" t="e">
        <f>LEFT(北段!#REF!,3)</f>
        <v>#REF!</v>
      </c>
      <c r="AK29" s="62" t="e">
        <f>LEFT(北段!#REF!,3)</f>
        <v>#REF!</v>
      </c>
      <c r="AL29" s="62" t="e">
        <f>LEFT(北段!#REF!,4)</f>
        <v>#REF!</v>
      </c>
      <c r="AM29" s="62" t="e">
        <f>LEFT(北段!#REF!,1)</f>
        <v>#REF!</v>
      </c>
      <c r="AN29" s="62" t="e">
        <f>LEFT(北段!#REF!,3)</f>
        <v>#REF!</v>
      </c>
    </row>
    <row r="30" spans="1:40" ht="43.5" customHeight="1">
      <c r="A30" s="125"/>
      <c r="B30" s="101" t="str">
        <f>LEFT(北段!B29,6)</f>
        <v>T02498</v>
      </c>
      <c r="C30" s="151" t="str">
        <f>VLOOKUP(B30,北段!B:C,2,FALSE)</f>
        <v>張芯瑜</v>
      </c>
      <c r="D30" s="62" t="str">
        <f>LEFT(北段!I29,3)</f>
        <v>01午</v>
      </c>
      <c r="E30" s="62" t="str">
        <f>LEFT(北段!J29,3)</f>
        <v>R</v>
      </c>
      <c r="F30" s="62" t="str">
        <f>LEFT(北段!K29,3)</f>
        <v>長假</v>
      </c>
      <c r="G30" s="62" t="str">
        <f>LEFT(北段!L29,3)</f>
        <v>長假</v>
      </c>
      <c r="H30" s="62" t="str">
        <f>LEFT(北段!M29,3)</f>
        <v>長假</v>
      </c>
      <c r="I30" s="62" t="str">
        <f>LEFT(北段!N29,3)</f>
        <v>長假</v>
      </c>
      <c r="J30" s="62" t="str">
        <f>LEFT(北段!O29,3)</f>
        <v>長假</v>
      </c>
      <c r="K30" s="62" t="str">
        <f>LEFT(北段!P29,3)</f>
        <v>長假</v>
      </c>
      <c r="L30" s="62" t="str">
        <f>LEFT(北段!Q29,3)</f>
        <v/>
      </c>
      <c r="M30" s="62" t="str">
        <f>LEFT(北段!R29,3)</f>
        <v/>
      </c>
      <c r="N30" s="62" t="str">
        <f>LEFT(北段!S29,4)</f>
        <v/>
      </c>
      <c r="O30" s="62" t="str">
        <f>LEFT(北段!T29,3)</f>
        <v/>
      </c>
      <c r="P30" s="62" t="str">
        <f>LEFT(北段!U29,3)</f>
        <v/>
      </c>
      <c r="Q30" s="62" t="str">
        <f>LEFT(北段!V29,3)</f>
        <v/>
      </c>
      <c r="R30" s="62" t="str">
        <f>LEFT(北段!W29,3)</f>
        <v/>
      </c>
      <c r="S30" s="62" t="str">
        <f>LEFT(北段!X29,3)</f>
        <v/>
      </c>
      <c r="T30" s="62" t="str">
        <f>LEFT(北段!Y29,3)</f>
        <v/>
      </c>
      <c r="U30" s="62" t="str">
        <f>LEFT(北段!Z29,3)</f>
        <v/>
      </c>
      <c r="V30" s="62" t="str">
        <f>LEFT(北段!AA29,3)</f>
        <v/>
      </c>
      <c r="W30" s="62" t="str">
        <f>LEFT(北段!AB29,3)</f>
        <v/>
      </c>
      <c r="X30" s="62" t="str">
        <f>LEFT(北段!AC29,3)</f>
        <v/>
      </c>
      <c r="Y30" s="62" t="str">
        <f>LEFT(北段!AD29,4)</f>
        <v/>
      </c>
      <c r="Z30" s="62" t="str">
        <f>LEFT(北段!AE29,3)</f>
        <v/>
      </c>
      <c r="AA30" s="62" t="str">
        <f>LEFT(北段!AF29,3)</f>
        <v/>
      </c>
      <c r="AB30" s="62" t="str">
        <f>LEFT(北段!AG29,3)</f>
        <v/>
      </c>
      <c r="AC30" s="62" t="str">
        <f>LEFT(北段!AH29,3)</f>
        <v/>
      </c>
      <c r="AD30" s="62" t="str">
        <f>LEFT(北段!AI29,3)</f>
        <v/>
      </c>
      <c r="AE30" s="62" t="str">
        <f>LEFT(北段!AJ29,3)</f>
        <v/>
      </c>
      <c r="AF30" s="62" t="str">
        <f>LEFT(北段!AK29,3)</f>
        <v/>
      </c>
      <c r="AG30" s="62" t="str">
        <f>LEFT(北段!AL29,3)</f>
        <v/>
      </c>
      <c r="AH30" s="62" t="e">
        <f>LEFT(北段!#REF!,3)</f>
        <v>#REF!</v>
      </c>
      <c r="AI30" s="62" t="e">
        <f>LEFT(北段!#REF!,3)</f>
        <v>#REF!</v>
      </c>
      <c r="AJ30" s="62" t="e">
        <f>LEFT(北段!#REF!,3)</f>
        <v>#REF!</v>
      </c>
      <c r="AK30" s="62" t="e">
        <f>LEFT(北段!#REF!,3)</f>
        <v>#REF!</v>
      </c>
      <c r="AL30" s="62" t="e">
        <f>LEFT(北段!#REF!,3)</f>
        <v>#REF!</v>
      </c>
      <c r="AM30" s="62" t="e">
        <f>LEFT(北段!#REF!,3)</f>
        <v>#REF!</v>
      </c>
      <c r="AN30" s="62" t="e">
        <f>LEFT(北段!#REF!,3)</f>
        <v>#REF!</v>
      </c>
    </row>
    <row r="31" spans="1:40" ht="43.5" customHeight="1">
      <c r="A31" s="125"/>
      <c r="B31" s="101" t="str">
        <f>LEFT(北段!B30,6)</f>
        <v>T02612</v>
      </c>
      <c r="C31" s="151" t="str">
        <f>VLOOKUP(B31,北段!B:C,2,FALSE)</f>
        <v>蕭曉琦</v>
      </c>
      <c r="D31" s="62" t="str">
        <f>LEFT(北段!I30,3)</f>
        <v>r'</v>
      </c>
      <c r="E31" s="62" t="str">
        <f>LEFT(北段!J30,3)</f>
        <v>01早</v>
      </c>
      <c r="F31" s="62" t="str">
        <f>LEFT(北段!K30,3)</f>
        <v/>
      </c>
      <c r="G31" s="62" t="str">
        <f>LEFT(北段!L30,3)</f>
        <v/>
      </c>
      <c r="H31" s="62" t="str">
        <f>LEFT(北段!M30,3)</f>
        <v/>
      </c>
      <c r="I31" s="62" t="str">
        <f>LEFT(北段!N30,3)</f>
        <v/>
      </c>
      <c r="J31" s="62" t="str">
        <f>LEFT(北段!O30,3)</f>
        <v/>
      </c>
      <c r="K31" s="62" t="str">
        <f>LEFT(北段!P30,3)</f>
        <v/>
      </c>
      <c r="L31" s="62" t="str">
        <f>LEFT(北段!Q30,3)</f>
        <v/>
      </c>
      <c r="M31" s="62" t="str">
        <f>LEFT(北段!R30,3)</f>
        <v>R</v>
      </c>
      <c r="N31" s="62" t="str">
        <f>LEFT(北段!S30,3)</f>
        <v/>
      </c>
      <c r="O31" s="62" t="str">
        <f>LEFT(北段!T30,3)</f>
        <v/>
      </c>
      <c r="P31" s="62" t="str">
        <f>LEFT(北段!U30,3)</f>
        <v/>
      </c>
      <c r="Q31" s="62" t="str">
        <f>LEFT(北段!V30,4)</f>
        <v/>
      </c>
      <c r="R31" s="62" t="str">
        <f>LEFT(北段!W30,4)</f>
        <v/>
      </c>
      <c r="S31" s="62" t="str">
        <f>LEFT(北段!X30,3)</f>
        <v/>
      </c>
      <c r="T31" s="62" t="str">
        <f>LEFT(北段!Y30,3)</f>
        <v/>
      </c>
      <c r="U31" s="62" t="str">
        <f>LEFT(北段!Z30,3)</f>
        <v/>
      </c>
      <c r="V31" s="62" t="str">
        <f>LEFT(北段!AA30,3)</f>
        <v/>
      </c>
      <c r="W31" s="62" t="str">
        <f>LEFT(北段!AB30,3)</f>
        <v/>
      </c>
      <c r="X31" s="62" t="str">
        <f>LEFT(北段!AC30,3)</f>
        <v/>
      </c>
      <c r="Y31" s="62" t="str">
        <f>LEFT(北段!AD30,3)</f>
        <v/>
      </c>
      <c r="Z31" s="62" t="str">
        <f>LEFT(北段!AE30,3)</f>
        <v/>
      </c>
      <c r="AA31" s="62" t="str">
        <f>LEFT(北段!AF30,4)</f>
        <v>R</v>
      </c>
      <c r="AB31" s="62" t="str">
        <f>LEFT(北段!AG30,3)</f>
        <v/>
      </c>
      <c r="AC31" s="62" t="str">
        <f>LEFT(北段!AH30,3)</f>
        <v/>
      </c>
      <c r="AD31" s="62" t="str">
        <f>LEFT(北段!AI30,3)</f>
        <v/>
      </c>
      <c r="AE31" s="62" t="str">
        <f>LEFT(北段!AJ30,3)</f>
        <v/>
      </c>
      <c r="AF31" s="62" t="str">
        <f>LEFT(北段!AK30,3)</f>
        <v/>
      </c>
      <c r="AG31" s="62" t="str">
        <f>LEFT(北段!AL30,3)</f>
        <v/>
      </c>
      <c r="AH31" s="62" t="e">
        <f>LEFT(北段!#REF!,3)</f>
        <v>#REF!</v>
      </c>
      <c r="AI31" s="62" t="e">
        <f>LEFT(北段!#REF!,4)</f>
        <v>#REF!</v>
      </c>
      <c r="AJ31" s="62" t="e">
        <f>LEFT(北段!#REF!,3)</f>
        <v>#REF!</v>
      </c>
      <c r="AK31" s="62" t="e">
        <f>LEFT(北段!#REF!,3)</f>
        <v>#REF!</v>
      </c>
      <c r="AL31" s="62" t="e">
        <f>LEFT(北段!#REF!,3)</f>
        <v>#REF!</v>
      </c>
      <c r="AM31" s="62" t="e">
        <f>LEFT(北段!#REF!,3)</f>
        <v>#REF!</v>
      </c>
      <c r="AN31" s="62" t="e">
        <f>LEFT(北段!#REF!,3)</f>
        <v>#REF!</v>
      </c>
    </row>
    <row r="32" spans="1:40" ht="43.5" customHeight="1" thickBot="1">
      <c r="A32" s="127"/>
      <c r="B32" s="100" t="str">
        <f>LEFT(北段!B31,6)</f>
        <v>T02613</v>
      </c>
      <c r="C32" s="152" t="str">
        <f>VLOOKUP(B32,北段!B:C,2,FALSE)</f>
        <v>張雅荃</v>
      </c>
      <c r="D32" s="62" t="str">
        <f>LEFT(北段!I31,3)</f>
        <v>r'</v>
      </c>
      <c r="E32" s="62" t="str">
        <f>LEFT(北段!J31,3)</f>
        <v>01午</v>
      </c>
      <c r="F32" s="62" t="str">
        <f>LEFT(北段!K31,3)</f>
        <v/>
      </c>
      <c r="G32" s="62" t="str">
        <f>LEFT(北段!L31,3)</f>
        <v/>
      </c>
      <c r="H32" s="62" t="str">
        <f>LEFT(北段!M31,3)</f>
        <v/>
      </c>
      <c r="I32" s="62" t="str">
        <f>LEFT(北段!N31,3)</f>
        <v/>
      </c>
      <c r="J32" s="62" t="str">
        <f>LEFT(北段!O31,3)</f>
        <v/>
      </c>
      <c r="K32" s="62" t="str">
        <f>LEFT(北段!P31,3)</f>
        <v/>
      </c>
      <c r="L32" s="62" t="str">
        <f>LEFT(北段!Q31,3)</f>
        <v/>
      </c>
      <c r="M32" s="62" t="str">
        <f>LEFT(北段!R31,3)</f>
        <v/>
      </c>
      <c r="N32" s="62" t="str">
        <f>LEFT(北段!S31,3)</f>
        <v/>
      </c>
      <c r="O32" s="62" t="str">
        <f>LEFT(北段!T31,3)</f>
        <v/>
      </c>
      <c r="P32" s="62" t="str">
        <f>LEFT(北段!U31,3)</f>
        <v>R</v>
      </c>
      <c r="Q32" s="62" t="str">
        <f>LEFT(北段!V31,4)</f>
        <v/>
      </c>
      <c r="R32" s="62" t="str">
        <f>LEFT(北段!W31,3)</f>
        <v/>
      </c>
      <c r="S32" s="62" t="str">
        <f>LEFT(北段!X31,4)</f>
        <v/>
      </c>
      <c r="T32" s="62" t="str">
        <f>LEFT(北段!Y31,3)</f>
        <v/>
      </c>
      <c r="U32" s="62" t="str">
        <f>LEFT(北段!Z31,3)</f>
        <v/>
      </c>
      <c r="V32" s="62" t="str">
        <f>LEFT(北段!AA31,3)</f>
        <v/>
      </c>
      <c r="W32" s="62" t="str">
        <f>LEFT(北段!AB31,3)</f>
        <v/>
      </c>
      <c r="X32" s="62" t="str">
        <f>LEFT(北段!AC31,3)</f>
        <v/>
      </c>
      <c r="Y32" s="62" t="str">
        <f>LEFT(北段!AD31,3)</f>
        <v/>
      </c>
      <c r="Z32" s="62" t="str">
        <f>LEFT(北段!AE31,3)</f>
        <v>R</v>
      </c>
      <c r="AA32" s="62" t="str">
        <f>LEFT(北段!AF31,3)</f>
        <v>r'</v>
      </c>
      <c r="AB32" s="62" t="str">
        <f>LEFT(北段!AG31,3)</f>
        <v/>
      </c>
      <c r="AC32" s="62" t="str">
        <f>LEFT(北段!AH31,3)</f>
        <v/>
      </c>
      <c r="AD32" s="62" t="str">
        <f>LEFT(北段!AI31,3)</f>
        <v/>
      </c>
      <c r="AE32" s="62" t="str">
        <f>LEFT(北段!AJ31,3)</f>
        <v/>
      </c>
      <c r="AF32" s="62" t="str">
        <f>LEFT(北段!AK31,3)</f>
        <v>r'</v>
      </c>
      <c r="AG32" s="62" t="str">
        <f>LEFT(北段!AL31,3)</f>
        <v/>
      </c>
      <c r="AH32" s="62" t="e">
        <f>LEFT(北段!#REF!,3)</f>
        <v>#REF!</v>
      </c>
      <c r="AI32" s="62" t="e">
        <f>LEFT(北段!#REF!,3)</f>
        <v>#REF!</v>
      </c>
      <c r="AJ32" s="62" t="e">
        <f>LEFT(北段!#REF!,3)</f>
        <v>#REF!</v>
      </c>
      <c r="AK32" s="62" t="e">
        <f>LEFT(北段!#REF!,3)</f>
        <v>#REF!</v>
      </c>
      <c r="AL32" s="62" t="e">
        <f>LEFT(北段!#REF!,3)</f>
        <v>#REF!</v>
      </c>
      <c r="AM32" s="62" t="e">
        <f>LEFT(北段!#REF!,3)</f>
        <v>#REF!</v>
      </c>
      <c r="AN32" s="62" t="e">
        <f>LEFT(北段!#REF!,3)</f>
        <v>#REF!</v>
      </c>
    </row>
    <row r="33" spans="1:40" ht="43.5" customHeight="1">
      <c r="A33" s="124"/>
      <c r="B33" s="121" t="str">
        <f>LEFT(北段!B32,6)</f>
        <v>T00489</v>
      </c>
      <c r="C33" s="153" t="str">
        <f>VLOOKUP(B33,北段!B:C,2,FALSE)</f>
        <v>吳珮伃</v>
      </c>
      <c r="D33" s="62" t="str">
        <f>LEFT(北段!I32,4)</f>
        <v>r'</v>
      </c>
      <c r="E33" s="62" t="str">
        <f>LEFT(北段!J32,4)</f>
        <v>02午</v>
      </c>
      <c r="F33" s="62" t="str">
        <f>LEFT(北段!K32,4)</f>
        <v/>
      </c>
      <c r="G33" s="62" t="str">
        <f>LEFT(北段!L32,4)</f>
        <v/>
      </c>
      <c r="H33" s="62" t="str">
        <f>LEFT(北段!M32,4)</f>
        <v/>
      </c>
      <c r="I33" s="62" t="str">
        <f>LEFT(北段!N32,4)</f>
        <v/>
      </c>
      <c r="J33" s="62" t="str">
        <f>LEFT(北段!O32,3)</f>
        <v/>
      </c>
      <c r="K33" s="62" t="str">
        <f>LEFT(北段!P32,4)</f>
        <v/>
      </c>
      <c r="L33" s="62" t="str">
        <f>LEFT(北段!Q32,3)</f>
        <v/>
      </c>
      <c r="M33" s="62" t="str">
        <f>LEFT(北段!R32,4)</f>
        <v/>
      </c>
      <c r="N33" s="62" t="str">
        <f>LEFT(北段!S32,4)</f>
        <v/>
      </c>
      <c r="O33" s="62" t="str">
        <f>LEFT(北段!T32,4)</f>
        <v/>
      </c>
      <c r="P33" s="62" t="str">
        <f>LEFT(北段!U32,4)</f>
        <v/>
      </c>
      <c r="Q33" s="62" t="str">
        <f>LEFT(北段!V32,3)</f>
        <v>長假</v>
      </c>
      <c r="R33" s="62" t="str">
        <f>LEFT(北段!W32,4)</f>
        <v>長假</v>
      </c>
      <c r="S33" s="62" t="str">
        <f>LEFT(北段!X32,4)</f>
        <v>長假</v>
      </c>
      <c r="T33" s="62" t="str">
        <f>LEFT(北段!Y32,4)</f>
        <v>長假</v>
      </c>
      <c r="U33" s="62" t="str">
        <f>LEFT(北段!Z32,4)</f>
        <v>長假</v>
      </c>
      <c r="V33" s="62" t="str">
        <f>LEFT(北段!AA32,4)</f>
        <v>長假</v>
      </c>
      <c r="W33" s="62" t="str">
        <f>LEFT(北段!AB32,4)</f>
        <v>長假</v>
      </c>
      <c r="X33" s="62" t="str">
        <f>LEFT(北段!AC32,4)</f>
        <v>長假</v>
      </c>
      <c r="Y33" s="62" t="str">
        <f>LEFT(北段!AD32,3)</f>
        <v>長假</v>
      </c>
      <c r="Z33" s="62" t="str">
        <f>LEFT(北段!AE32,4)</f>
        <v/>
      </c>
      <c r="AA33" s="62" t="str">
        <f>LEFT(北段!AF32,4)</f>
        <v/>
      </c>
      <c r="AB33" s="62" t="str">
        <f>LEFT(北段!AG32,4)</f>
        <v/>
      </c>
      <c r="AC33" s="62" t="str">
        <f>LEFT(北段!AH32,4)</f>
        <v/>
      </c>
      <c r="AD33" s="62" t="str">
        <f>LEFT(北段!AI32,8)</f>
        <v/>
      </c>
      <c r="AE33" s="62" t="str">
        <f>LEFT(北段!AJ32,4)</f>
        <v/>
      </c>
      <c r="AF33" s="62" t="str">
        <f>LEFT(北段!AK32,4)</f>
        <v/>
      </c>
      <c r="AG33" s="62" t="str">
        <f>LEFT(北段!AL32,4)</f>
        <v/>
      </c>
      <c r="AH33" s="62" t="e">
        <f>LEFT(北段!#REF!,4)</f>
        <v>#REF!</v>
      </c>
      <c r="AI33" s="62" t="e">
        <f>LEFT(北段!#REF!,4)</f>
        <v>#REF!</v>
      </c>
      <c r="AJ33" s="62" t="e">
        <f>LEFT(北段!#REF!,4)</f>
        <v>#REF!</v>
      </c>
      <c r="AK33" s="62" t="e">
        <f>LEFT(北段!#REF!,4)</f>
        <v>#REF!</v>
      </c>
      <c r="AL33" s="62" t="e">
        <f>LEFT(北段!#REF!,4)</f>
        <v>#REF!</v>
      </c>
      <c r="AM33" s="62" t="e">
        <f>LEFT(北段!#REF!,4)</f>
        <v>#REF!</v>
      </c>
      <c r="AN33" s="62" t="e">
        <f>LEFT(北段!#REF!,4)</f>
        <v>#REF!</v>
      </c>
    </row>
    <row r="34" spans="1:40" s="36" customFormat="1" ht="43.5" customHeight="1">
      <c r="A34" s="125"/>
      <c r="B34" s="101" t="str">
        <f>LEFT(北段!B33,6)</f>
        <v>T00523</v>
      </c>
      <c r="C34" s="151" t="str">
        <f>VLOOKUP(B34,北段!B:C,2,FALSE)</f>
        <v>鄭翰鴻</v>
      </c>
      <c r="D34" s="62" t="str">
        <f>LEFT(北段!I33,4)</f>
        <v>02早</v>
      </c>
      <c r="E34" s="62" t="str">
        <f>LEFT(北段!J33,4)</f>
        <v>02早</v>
      </c>
      <c r="F34" s="62" t="str">
        <f>LEFT(北段!K33,4)</f>
        <v/>
      </c>
      <c r="G34" s="62" t="str">
        <f>LEFT(北段!L33,3)</f>
        <v/>
      </c>
      <c r="H34" s="62" t="str">
        <f>LEFT(北段!M33,3)</f>
        <v/>
      </c>
      <c r="I34" s="62" t="str">
        <f>LEFT(北段!N33,4)</f>
        <v/>
      </c>
      <c r="J34" s="62" t="str">
        <f>LEFT(北段!O33,4)</f>
        <v/>
      </c>
      <c r="K34" s="62" t="str">
        <f>LEFT(北段!P33,4)</f>
        <v/>
      </c>
      <c r="L34" s="62" t="str">
        <f>LEFT(北段!Q33,4)</f>
        <v/>
      </c>
      <c r="M34" s="62" t="str">
        <f>LEFT(北段!R33,4)</f>
        <v/>
      </c>
      <c r="N34" s="62" t="str">
        <f>LEFT(北段!S33,4)</f>
        <v/>
      </c>
      <c r="O34" s="62" t="str">
        <f>LEFT(北段!T33,3)</f>
        <v/>
      </c>
      <c r="P34" s="62" t="str">
        <f>LEFT(北段!U33,4)</f>
        <v/>
      </c>
      <c r="Q34" s="62" t="str">
        <f>LEFT(北段!V33,4)</f>
        <v/>
      </c>
      <c r="R34" s="62" t="str">
        <f>LEFT(北段!W33,4)</f>
        <v/>
      </c>
      <c r="S34" s="62" t="str">
        <f>LEFT(北段!X33,4)</f>
        <v/>
      </c>
      <c r="T34" s="62" t="str">
        <f>LEFT(北段!Y33,4)</f>
        <v/>
      </c>
      <c r="U34" s="62" t="str">
        <f>LEFT(北段!Z33,4)</f>
        <v/>
      </c>
      <c r="V34" s="62" t="str">
        <f>LEFT(北段!AA33,4)</f>
        <v/>
      </c>
      <c r="W34" s="62" t="str">
        <f>LEFT(北段!AB33,4)</f>
        <v/>
      </c>
      <c r="X34" s="62" t="str">
        <f>LEFT(北段!AC33,4)</f>
        <v/>
      </c>
      <c r="Y34" s="62" t="str">
        <f>LEFT(北段!AD33,4)</f>
        <v/>
      </c>
      <c r="Z34" s="62" t="str">
        <f>LEFT(北段!AE33,4)</f>
        <v/>
      </c>
      <c r="AA34" s="62" t="str">
        <f>LEFT(北段!AF33,4)</f>
        <v/>
      </c>
      <c r="AB34" s="62" t="str">
        <f>LEFT(北段!AG33,4)</f>
        <v/>
      </c>
      <c r="AC34" s="62" t="str">
        <f>LEFT(北段!AH33,4)</f>
        <v/>
      </c>
      <c r="AD34" s="62" t="str">
        <f>LEFT(北段!AI33,4)</f>
        <v/>
      </c>
      <c r="AE34" s="62" t="str">
        <f>LEFT(北段!AJ33,4)</f>
        <v/>
      </c>
      <c r="AF34" s="62" t="str">
        <f>LEFT(北段!AK33,4)</f>
        <v/>
      </c>
      <c r="AG34" s="62" t="str">
        <f>LEFT(北段!AL33,4)</f>
        <v/>
      </c>
      <c r="AH34" s="62" t="e">
        <f>LEFT(北段!#REF!,4)</f>
        <v>#REF!</v>
      </c>
      <c r="AI34" s="62" t="e">
        <f>LEFT(北段!#REF!,4)</f>
        <v>#REF!</v>
      </c>
      <c r="AJ34" s="62" t="e">
        <f>LEFT(北段!#REF!,4)</f>
        <v>#REF!</v>
      </c>
      <c r="AK34" s="62" t="e">
        <f>LEFT(北段!#REF!,4)</f>
        <v>#REF!</v>
      </c>
      <c r="AL34" s="62" t="e">
        <f>LEFT(北段!#REF!,4)</f>
        <v>#REF!</v>
      </c>
      <c r="AM34" s="62" t="e">
        <f>LEFT(北段!#REF!,4)</f>
        <v>#REF!</v>
      </c>
      <c r="AN34" s="62" t="e">
        <f>LEFT(北段!#REF!,4)</f>
        <v>#REF!</v>
      </c>
    </row>
    <row r="35" spans="1:40" ht="43.5" customHeight="1">
      <c r="A35" s="125"/>
      <c r="B35" s="101" t="str">
        <f>LEFT(北段!B34,6)</f>
        <v>T00899</v>
      </c>
      <c r="C35" s="151" t="str">
        <f>VLOOKUP(B35,北段!B:C,2,FALSE)</f>
        <v>陳炘玉</v>
      </c>
      <c r="D35" s="62" t="str">
        <f>LEFT(北段!I34,4)</f>
        <v>02夜</v>
      </c>
      <c r="E35" s="62" t="str">
        <f>LEFT(北段!J34,4)</f>
        <v>02夜</v>
      </c>
      <c r="F35" s="62" t="str">
        <f>LEFT(北段!K34,4)</f>
        <v/>
      </c>
      <c r="G35" s="62" t="str">
        <f>LEFT(北段!L34,4)</f>
        <v/>
      </c>
      <c r="H35" s="62" t="str">
        <f>LEFT(北段!M34,4)</f>
        <v/>
      </c>
      <c r="I35" s="62" t="str">
        <f>LEFT(北段!N34,4)</f>
        <v/>
      </c>
      <c r="J35" s="62" t="str">
        <f>LEFT(北段!O34,3)</f>
        <v/>
      </c>
      <c r="K35" s="62" t="str">
        <f>LEFT(北段!P34,4)</f>
        <v/>
      </c>
      <c r="L35" s="62" t="str">
        <f>LEFT(北段!Q34,3)</f>
        <v/>
      </c>
      <c r="M35" s="62" t="str">
        <f>LEFT(北段!R34,4)</f>
        <v/>
      </c>
      <c r="N35" s="62" t="str">
        <f>LEFT(北段!S34,4)</f>
        <v/>
      </c>
      <c r="O35" s="62" t="str">
        <f>LEFT(北段!T34,4)</f>
        <v/>
      </c>
      <c r="P35" s="62" t="str">
        <f>LEFT(北段!U34,4)</f>
        <v/>
      </c>
      <c r="Q35" s="62" t="str">
        <f>LEFT(北段!V34,4)</f>
        <v/>
      </c>
      <c r="R35" s="62" t="str">
        <f>LEFT(北段!W34,4)</f>
        <v/>
      </c>
      <c r="S35" s="62" t="str">
        <f>LEFT(北段!X34,4)</f>
        <v/>
      </c>
      <c r="T35" s="62" t="str">
        <f>LEFT(北段!Y34,4)</f>
        <v/>
      </c>
      <c r="U35" s="62" t="str">
        <f>LEFT(北段!Z34,4)</f>
        <v/>
      </c>
      <c r="V35" s="62" t="str">
        <f>LEFT(北段!AA34,4)</f>
        <v/>
      </c>
      <c r="W35" s="62" t="str">
        <f>LEFT(北段!AB34,4)</f>
        <v/>
      </c>
      <c r="X35" s="62" t="str">
        <f>LEFT(北段!AC34,4)</f>
        <v/>
      </c>
      <c r="Y35" s="62" t="str">
        <f>LEFT(北段!AD34,3)</f>
        <v/>
      </c>
      <c r="Z35" s="62" t="str">
        <f>LEFT(北段!AE34,3)</f>
        <v/>
      </c>
      <c r="AA35" s="62" t="str">
        <f>LEFT(北段!AF34,4)</f>
        <v/>
      </c>
      <c r="AB35" s="62" t="str">
        <f>LEFT(北段!AG34,4)</f>
        <v/>
      </c>
      <c r="AC35" s="62" t="str">
        <f>LEFT(北段!AH34,4)</f>
        <v/>
      </c>
      <c r="AD35" s="62" t="str">
        <f>LEFT(北段!AI34,4)</f>
        <v>長假</v>
      </c>
      <c r="AE35" s="62" t="str">
        <f>LEFT(北段!AJ34,4)</f>
        <v>長假</v>
      </c>
      <c r="AF35" s="62" t="str">
        <f>LEFT(北段!AK34,4)</f>
        <v>長假</v>
      </c>
      <c r="AG35" s="62" t="str">
        <f>LEFT(北段!AL34,4)</f>
        <v>長假</v>
      </c>
      <c r="AH35" s="62" t="e">
        <f>LEFT(北段!#REF!,4)</f>
        <v>#REF!</v>
      </c>
      <c r="AI35" s="62" t="e">
        <f>LEFT(北段!#REF!,4)</f>
        <v>#REF!</v>
      </c>
      <c r="AJ35" s="62" t="e">
        <f>LEFT(北段!#REF!,4)</f>
        <v>#REF!</v>
      </c>
      <c r="AK35" s="62" t="e">
        <f>LEFT(北段!#REF!,4)</f>
        <v>#REF!</v>
      </c>
      <c r="AL35" s="62" t="e">
        <f>LEFT(北段!#REF!,4)</f>
        <v>#REF!</v>
      </c>
      <c r="AM35" s="62" t="e">
        <f>LEFT(北段!#REF!,4)</f>
        <v>#REF!</v>
      </c>
      <c r="AN35" s="62" t="e">
        <f>LEFT(北段!#REF!,4)</f>
        <v>#REF!</v>
      </c>
    </row>
    <row r="36" spans="1:40" ht="43.5" customHeight="1">
      <c r="A36" s="125"/>
      <c r="B36" s="101" t="str">
        <f>LEFT(北段!B35,6)</f>
        <v>T01025</v>
      </c>
      <c r="C36" s="151" t="str">
        <f>VLOOKUP(B36,北段!B:C,2,FALSE)</f>
        <v>卓子揚</v>
      </c>
      <c r="D36" s="62" t="str">
        <f>LEFT(北段!I35,4)</f>
        <v>r'</v>
      </c>
      <c r="E36" s="62" t="str">
        <f>LEFT(北段!J35,4)</f>
        <v>R</v>
      </c>
      <c r="F36" s="62" t="str">
        <f>LEFT(北段!K35,4)</f>
        <v/>
      </c>
      <c r="G36" s="62" t="str">
        <f>LEFT(北段!L35,4)</f>
        <v/>
      </c>
      <c r="H36" s="62" t="str">
        <f>LEFT(北段!M35,4)</f>
        <v/>
      </c>
      <c r="I36" s="62" t="str">
        <f>LEFT(北段!N35,4)</f>
        <v>長假</v>
      </c>
      <c r="J36" s="62" t="str">
        <f>LEFT(北段!O35,4)</f>
        <v>長假</v>
      </c>
      <c r="K36" s="62" t="str">
        <f>LEFT(北段!P35,4)</f>
        <v>長假</v>
      </c>
      <c r="L36" s="62" t="str">
        <f>LEFT(北段!Q35,4)</f>
        <v>長假</v>
      </c>
      <c r="M36" s="62" t="str">
        <f>LEFT(北段!R35,4)</f>
        <v>長假</v>
      </c>
      <c r="N36" s="62" t="str">
        <f>LEFT(北段!S35,4)</f>
        <v/>
      </c>
      <c r="O36" s="62" t="str">
        <f>LEFT(北段!T35,3)</f>
        <v/>
      </c>
      <c r="P36" s="62" t="str">
        <f>LEFT(北段!U35,4)</f>
        <v/>
      </c>
      <c r="Q36" s="62" t="str">
        <f>LEFT(北段!V35,4)</f>
        <v/>
      </c>
      <c r="R36" s="62" t="str">
        <f>LEFT(北段!W35,1)</f>
        <v/>
      </c>
      <c r="S36" s="62" t="str">
        <f>LEFT(北段!X35,4)</f>
        <v/>
      </c>
      <c r="T36" s="62" t="str">
        <f>LEFT(北段!Y35,4)</f>
        <v/>
      </c>
      <c r="U36" s="62" t="str">
        <f>LEFT(北段!Z35,4)</f>
        <v/>
      </c>
      <c r="V36" s="62" t="str">
        <f>LEFT(北段!AA35,4)</f>
        <v/>
      </c>
      <c r="W36" s="62" t="str">
        <f>LEFT(北段!AB35,4)</f>
        <v/>
      </c>
      <c r="X36" s="62" t="str">
        <f>LEFT(北段!AC35,4)</f>
        <v/>
      </c>
      <c r="Y36" s="62" t="str">
        <f>LEFT(北段!AD35,4)</f>
        <v/>
      </c>
      <c r="Z36" s="62" t="str">
        <f>LEFT(北段!AE35,3)</f>
        <v/>
      </c>
      <c r="AA36" s="62" t="str">
        <f>LEFT(北段!AF35,3)</f>
        <v/>
      </c>
      <c r="AB36" s="62" t="str">
        <f>LEFT(北段!AG35,4)</f>
        <v/>
      </c>
      <c r="AC36" s="62" t="str">
        <f>LEFT(北段!AH35,4)</f>
        <v/>
      </c>
      <c r="AD36" s="62" t="str">
        <f>LEFT(北段!AI35,4)</f>
        <v/>
      </c>
      <c r="AE36" s="62" t="str">
        <f>LEFT(北段!AJ35,4)</f>
        <v/>
      </c>
      <c r="AF36" s="62" t="str">
        <f>LEFT(北段!AK35,4)</f>
        <v/>
      </c>
      <c r="AG36" s="62" t="str">
        <f>LEFT(北段!AL35,4)</f>
        <v/>
      </c>
      <c r="AH36" s="62" t="e">
        <f>LEFT(北段!#REF!,4)</f>
        <v>#REF!</v>
      </c>
      <c r="AI36" s="62" t="e">
        <f>LEFT(北段!#REF!,4)</f>
        <v>#REF!</v>
      </c>
      <c r="AJ36" s="62" t="e">
        <f>LEFT(北段!#REF!,4)</f>
        <v>#REF!</v>
      </c>
      <c r="AK36" s="62" t="e">
        <f>LEFT(北段!#REF!,4)</f>
        <v>#REF!</v>
      </c>
      <c r="AL36" s="62" t="e">
        <f>LEFT(北段!#REF!,4)</f>
        <v>#REF!</v>
      </c>
      <c r="AM36" s="62" t="e">
        <f>LEFT(北段!#REF!,4)</f>
        <v>#REF!</v>
      </c>
      <c r="AN36" s="62" t="e">
        <f>LEFT(北段!#REF!,4)</f>
        <v>#REF!</v>
      </c>
    </row>
    <row r="37" spans="1:40" ht="43.5" customHeight="1">
      <c r="A37" s="125"/>
      <c r="B37" s="101" t="str">
        <f>LEFT(北段!B36,6)</f>
        <v>T02510</v>
      </c>
      <c r="C37" s="151" t="str">
        <f>VLOOKUP(B37,北段!B:C,2,FALSE)</f>
        <v>張詠迎</v>
      </c>
      <c r="D37" s="62" t="str">
        <f>LEFT(北段!I36,4)</f>
        <v>02午</v>
      </c>
      <c r="E37" s="62" t="str">
        <f>LEFT(北段!J36,4)</f>
        <v>r'</v>
      </c>
      <c r="F37" s="62" t="str">
        <f>LEFT(北段!K36,4)</f>
        <v>長假</v>
      </c>
      <c r="G37" s="62" t="str">
        <f>LEFT(北段!L36,3)</f>
        <v>長假</v>
      </c>
      <c r="H37" s="62" t="str">
        <f>LEFT(北段!M36,3)</f>
        <v>長假</v>
      </c>
      <c r="I37" s="62" t="str">
        <f>LEFT(北段!N36,4)</f>
        <v>長假</v>
      </c>
      <c r="J37" s="62" t="str">
        <f>LEFT(北段!O36,4)</f>
        <v>長假</v>
      </c>
      <c r="K37" s="62" t="str">
        <f>LEFT(北段!P36,4)</f>
        <v/>
      </c>
      <c r="L37" s="62" t="str">
        <f>LEFT(北段!Q36,4)</f>
        <v/>
      </c>
      <c r="M37" s="62" t="str">
        <f>LEFT(北段!R36,4)</f>
        <v/>
      </c>
      <c r="N37" s="62" t="str">
        <f>LEFT(北段!S36,4)</f>
        <v/>
      </c>
      <c r="O37" s="62" t="str">
        <f>LEFT(北段!T36,4)</f>
        <v/>
      </c>
      <c r="P37" s="62" t="str">
        <f>LEFT(北段!U36,4)</f>
        <v/>
      </c>
      <c r="Q37" s="62" t="str">
        <f>LEFT(北段!V36,4)</f>
        <v/>
      </c>
      <c r="R37" s="62" t="str">
        <f>LEFT(北段!W36,4)</f>
        <v/>
      </c>
      <c r="S37" s="62" t="str">
        <f>LEFT(北段!X36,4)</f>
        <v/>
      </c>
      <c r="T37" s="62" t="str">
        <f>LEFT(北段!Y36,4)</f>
        <v/>
      </c>
      <c r="U37" s="62" t="str">
        <f>LEFT(北段!Z36,4)</f>
        <v/>
      </c>
      <c r="V37" s="62" t="str">
        <f>LEFT(北段!AA36,4)</f>
        <v/>
      </c>
      <c r="W37" s="62" t="str">
        <f>LEFT(北段!AB36,4)</f>
        <v/>
      </c>
      <c r="X37" s="62" t="str">
        <f>LEFT(北段!AC36,4)</f>
        <v/>
      </c>
      <c r="Y37" s="62" t="str">
        <f>LEFT(北段!AD36,3)</f>
        <v/>
      </c>
      <c r="Z37" s="62" t="str">
        <f>LEFT(北段!AE36,4)</f>
        <v/>
      </c>
      <c r="AA37" s="62" t="str">
        <f>LEFT(北段!AF36,4)</f>
        <v/>
      </c>
      <c r="AB37" s="62" t="str">
        <f>LEFT(北段!AG36,4)</f>
        <v/>
      </c>
      <c r="AC37" s="62" t="str">
        <f>LEFT(北段!AH36,4)</f>
        <v/>
      </c>
      <c r="AD37" s="62" t="str">
        <f>LEFT(北段!AI36,4)</f>
        <v/>
      </c>
      <c r="AE37" s="62" t="str">
        <f>LEFT(北段!AJ36,4)</f>
        <v/>
      </c>
      <c r="AF37" s="62" t="str">
        <f>LEFT(北段!AK36,4)</f>
        <v/>
      </c>
      <c r="AG37" s="62" t="str">
        <f>LEFT(北段!AL36,4)</f>
        <v/>
      </c>
      <c r="AH37" s="62" t="e">
        <f>LEFT(北段!#REF!,4)</f>
        <v>#REF!</v>
      </c>
      <c r="AI37" s="62" t="e">
        <f>LEFT(北段!#REF!,4)</f>
        <v>#REF!</v>
      </c>
      <c r="AJ37" s="62" t="e">
        <f>LEFT(北段!#REF!,4)</f>
        <v>#REF!</v>
      </c>
      <c r="AK37" s="62" t="e">
        <f>LEFT(北段!#REF!,4)</f>
        <v>#REF!</v>
      </c>
      <c r="AL37" s="62" t="e">
        <f>LEFT(北段!#REF!,4)</f>
        <v>#REF!</v>
      </c>
      <c r="AM37" s="62" t="e">
        <f>LEFT(北段!#REF!,4)</f>
        <v>#REF!</v>
      </c>
      <c r="AN37" s="62" t="e">
        <f>LEFT(北段!#REF!,4)</f>
        <v>#REF!</v>
      </c>
    </row>
    <row r="38" spans="1:40" ht="43.5" customHeight="1">
      <c r="A38" s="125"/>
      <c r="B38" s="101" t="str">
        <f>LEFT(北段!B37,6)</f>
        <v>T00510</v>
      </c>
      <c r="C38" s="151" t="str">
        <f>VLOOKUP(B38,北段!B:C,2,FALSE)</f>
        <v>郭凌毓</v>
      </c>
      <c r="D38" s="62" t="str">
        <f>LEFT(北段!I37,4)</f>
        <v>L</v>
      </c>
      <c r="E38" s="62" t="str">
        <f>LEFT(北段!J37,4)</f>
        <v>r'</v>
      </c>
      <c r="F38" s="62" t="str">
        <f>LEFT(北段!K37,4)</f>
        <v/>
      </c>
      <c r="G38" s="62" t="str">
        <f>LEFT(北段!L37,4)</f>
        <v/>
      </c>
      <c r="H38" s="62" t="str">
        <f>LEFT(北段!M37,4)</f>
        <v/>
      </c>
      <c r="I38" s="62" t="str">
        <f>LEFT(北段!N37,4)</f>
        <v/>
      </c>
      <c r="J38" s="62" t="str">
        <f>LEFT(北段!O37,4)</f>
        <v/>
      </c>
      <c r="K38" s="62" t="str">
        <f>LEFT(北段!P37,4)</f>
        <v/>
      </c>
      <c r="L38" s="62" t="str">
        <f>LEFT(北段!Q37,4)</f>
        <v/>
      </c>
      <c r="M38" s="62" t="str">
        <f>LEFT(北段!R37,4)</f>
        <v/>
      </c>
      <c r="N38" s="62" t="str">
        <f>LEFT(北段!S37,4)</f>
        <v/>
      </c>
      <c r="O38" s="62" t="str">
        <f>LEFT(北段!T37,4)</f>
        <v/>
      </c>
      <c r="P38" s="62" t="str">
        <f>LEFT(北段!U37,4)</f>
        <v/>
      </c>
      <c r="Q38" s="62" t="str">
        <f>LEFT(北段!V37,4)</f>
        <v/>
      </c>
      <c r="R38" s="62" t="str">
        <f>LEFT(北段!W37,4)</f>
        <v/>
      </c>
      <c r="S38" s="62" t="str">
        <f>LEFT(北段!X37,4)</f>
        <v/>
      </c>
      <c r="T38" s="62" t="str">
        <f>LEFT(北段!Y37,4)</f>
        <v/>
      </c>
      <c r="U38" s="62" t="str">
        <f>LEFT(北段!Z37,4)</f>
        <v/>
      </c>
      <c r="V38" s="62" t="str">
        <f>LEFT(北段!AA37,4)</f>
        <v/>
      </c>
      <c r="W38" s="62" t="str">
        <f>LEFT(北段!AB37,4)</f>
        <v/>
      </c>
      <c r="X38" s="62" t="str">
        <f>LEFT(北段!AC37,4)</f>
        <v/>
      </c>
      <c r="Y38" s="62" t="str">
        <f>LEFT(北段!AD37,4)</f>
        <v/>
      </c>
      <c r="Z38" s="62" t="str">
        <f>LEFT(北段!AE37,4)</f>
        <v/>
      </c>
      <c r="AA38" s="62" t="str">
        <f>LEFT(北段!AF37,4)</f>
        <v/>
      </c>
      <c r="AB38" s="62" t="str">
        <f>LEFT(北段!AG37,4)</f>
        <v/>
      </c>
      <c r="AC38" s="62" t="str">
        <f>LEFT(北段!AH37,4)</f>
        <v/>
      </c>
      <c r="AD38" s="62" t="str">
        <f>LEFT(北段!AI37,4)</f>
        <v/>
      </c>
      <c r="AE38" s="62" t="str">
        <f>LEFT(北段!AJ37,4)</f>
        <v/>
      </c>
      <c r="AF38" s="62" t="str">
        <f>LEFT(北段!AK37,4)</f>
        <v/>
      </c>
      <c r="AG38" s="62" t="str">
        <f>LEFT(北段!AL37,4)</f>
        <v/>
      </c>
      <c r="AH38" s="62" t="e">
        <f>LEFT(北段!#REF!,4)</f>
        <v>#REF!</v>
      </c>
      <c r="AI38" s="62" t="e">
        <f>LEFT(北段!#REF!,4)</f>
        <v>#REF!</v>
      </c>
      <c r="AJ38" s="62" t="e">
        <f>LEFT(北段!#REF!,4)</f>
        <v>#REF!</v>
      </c>
      <c r="AK38" s="62" t="e">
        <f>LEFT(北段!#REF!,4)</f>
        <v>#REF!</v>
      </c>
      <c r="AL38" s="62" t="e">
        <f>LEFT(北段!#REF!,4)</f>
        <v>#REF!</v>
      </c>
      <c r="AM38" s="62" t="e">
        <f>LEFT(北段!#REF!,4)</f>
        <v>#REF!</v>
      </c>
      <c r="AN38" s="62" t="e">
        <f>LEFT(北段!#REF!,4)</f>
        <v>#REF!</v>
      </c>
    </row>
    <row r="39" spans="1:40" ht="43.5" customHeight="1">
      <c r="A39" s="125"/>
      <c r="B39" s="101" t="str">
        <f>LEFT(北段!B38,6)</f>
        <v>T01264</v>
      </c>
      <c r="C39" s="151" t="str">
        <f>VLOOKUP(B39,北段!B:C,2,FALSE)</f>
        <v>高子翔</v>
      </c>
      <c r="D39" s="62" t="str">
        <f>LEFT(北段!I38,4)</f>
        <v>P</v>
      </c>
      <c r="E39" s="62" t="str">
        <f>LEFT(北段!J38,4)</f>
        <v>02早</v>
      </c>
      <c r="F39" s="62" t="str">
        <f>LEFT(北段!K38,4)</f>
        <v/>
      </c>
      <c r="G39" s="62" t="str">
        <f>LEFT(北段!L38,4)</f>
        <v/>
      </c>
      <c r="H39" s="62" t="str">
        <f>LEFT(北段!M38,4)</f>
        <v/>
      </c>
      <c r="I39" s="62" t="str">
        <f>LEFT(北段!N38,4)</f>
        <v/>
      </c>
      <c r="J39" s="62" t="str">
        <f>LEFT(北段!O38,8)</f>
        <v/>
      </c>
      <c r="K39" s="62" t="str">
        <f>LEFT(北段!P38,4)</f>
        <v/>
      </c>
      <c r="L39" s="62" t="str">
        <f>LEFT(北段!Q38,4)</f>
        <v/>
      </c>
      <c r="M39" s="62" t="str">
        <f>LEFT(北段!R38,4)</f>
        <v/>
      </c>
      <c r="N39" s="62" t="str">
        <f>LEFT(北段!S38,4)</f>
        <v/>
      </c>
      <c r="O39" s="62" t="str">
        <f>LEFT(北段!T38,4)</f>
        <v/>
      </c>
      <c r="P39" s="62" t="str">
        <f>LEFT(北段!U38,4)</f>
        <v/>
      </c>
      <c r="Q39" s="62" t="str">
        <f>LEFT(北段!V38,4)</f>
        <v/>
      </c>
      <c r="R39" s="62" t="str">
        <f>LEFT(北段!W38,4)</f>
        <v/>
      </c>
      <c r="S39" s="62" t="str">
        <f>LEFT(北段!X38,4)</f>
        <v/>
      </c>
      <c r="T39" s="62" t="str">
        <f>LEFT(北段!Y38,4)</f>
        <v/>
      </c>
      <c r="U39" s="62" t="str">
        <f>LEFT(北段!Z38,4)</f>
        <v/>
      </c>
      <c r="V39" s="62" t="str">
        <f>LEFT(北段!AA38,4)</f>
        <v>勞安訓</v>
      </c>
      <c r="W39" s="62" t="str">
        <f>LEFT(北段!AB38,4)</f>
        <v/>
      </c>
      <c r="X39" s="62" t="str">
        <f>LEFT(北段!AC38,4)</f>
        <v/>
      </c>
      <c r="Y39" s="62" t="str">
        <f>LEFT(北段!AD38,4)</f>
        <v/>
      </c>
      <c r="Z39" s="62" t="str">
        <f>LEFT(北段!AE38,4)</f>
        <v/>
      </c>
      <c r="AA39" s="62" t="str">
        <f>LEFT(北段!AF38,4)</f>
        <v/>
      </c>
      <c r="AB39" s="62" t="str">
        <f>LEFT(北段!AG38,4)</f>
        <v/>
      </c>
      <c r="AC39" s="62" t="str">
        <f>LEFT(北段!AH38,4)</f>
        <v/>
      </c>
      <c r="AD39" s="62" t="str">
        <f>LEFT(北段!AI38,4)</f>
        <v/>
      </c>
      <c r="AE39" s="62" t="str">
        <f>LEFT(北段!AJ38,4)</f>
        <v/>
      </c>
      <c r="AF39" s="62" t="str">
        <f>LEFT(北段!AK38,4)</f>
        <v/>
      </c>
      <c r="AG39" s="62" t="str">
        <f>LEFT(北段!AL38,4)</f>
        <v/>
      </c>
      <c r="AH39" s="62" t="e">
        <f>LEFT(北段!#REF!,4)</f>
        <v>#REF!</v>
      </c>
      <c r="AI39" s="62" t="e">
        <f>LEFT(北段!#REF!,4)</f>
        <v>#REF!</v>
      </c>
      <c r="AJ39" s="62" t="e">
        <f>LEFT(北段!#REF!,4)</f>
        <v>#REF!</v>
      </c>
      <c r="AK39" s="62" t="e">
        <f>LEFT(北段!#REF!,4)</f>
        <v>#REF!</v>
      </c>
      <c r="AL39" s="62" t="e">
        <f>LEFT(北段!#REF!,4)</f>
        <v>#REF!</v>
      </c>
      <c r="AM39" s="62" t="e">
        <f>LEFT(北段!#REF!,4)</f>
        <v>#REF!</v>
      </c>
      <c r="AN39" s="62" t="e">
        <f>LEFT(北段!#REF!,4)</f>
        <v>#REF!</v>
      </c>
    </row>
    <row r="40" spans="1:40" s="36" customFormat="1" ht="43.5" customHeight="1">
      <c r="A40" s="125"/>
      <c r="B40" s="101" t="str">
        <f>LEFT(北段!B39,6)</f>
        <v>T01746</v>
      </c>
      <c r="C40" s="151" t="str">
        <f>VLOOKUP(B40,北段!B:C,2,FALSE)</f>
        <v>古佩宜</v>
      </c>
      <c r="D40" s="62" t="str">
        <f>LEFT(北段!I39,4)</f>
        <v>R</v>
      </c>
      <c r="E40" s="62" t="str">
        <f>LEFT(北段!J39,4)</f>
        <v>r'</v>
      </c>
      <c r="F40" s="62" t="str">
        <f>LEFT(北段!K39,4)</f>
        <v/>
      </c>
      <c r="G40" s="62" t="str">
        <f>LEFT(北段!L39,4)</f>
        <v/>
      </c>
      <c r="H40" s="62" t="str">
        <f>LEFT(北段!M39,4)</f>
        <v/>
      </c>
      <c r="I40" s="62" t="str">
        <f>LEFT(北段!N39,4)</f>
        <v/>
      </c>
      <c r="J40" s="62" t="str">
        <f>LEFT(北段!O39,4)</f>
        <v/>
      </c>
      <c r="K40" s="62" t="str">
        <f>LEFT(北段!P39,4)</f>
        <v/>
      </c>
      <c r="L40" s="62" t="str">
        <f>LEFT(北段!Q39,4)</f>
        <v/>
      </c>
      <c r="M40" s="62" t="str">
        <f>LEFT(北段!R39,4)</f>
        <v/>
      </c>
      <c r="N40" s="62" t="str">
        <f>LEFT(北段!S39,3)</f>
        <v/>
      </c>
      <c r="O40" s="62" t="str">
        <f>LEFT(北段!T39,4)</f>
        <v/>
      </c>
      <c r="P40" s="62" t="str">
        <f>LEFT(北段!U39,4)</f>
        <v/>
      </c>
      <c r="Q40" s="62" t="str">
        <f>LEFT(北段!V39,4)</f>
        <v/>
      </c>
      <c r="R40" s="62" t="str">
        <f>LEFT(北段!W39,4)</f>
        <v/>
      </c>
      <c r="S40" s="62" t="str">
        <f>LEFT(北段!X39,4)</f>
        <v/>
      </c>
      <c r="T40" s="62" t="str">
        <f>LEFT(北段!Y39,4)</f>
        <v/>
      </c>
      <c r="U40" s="62" t="str">
        <f>LEFT(北段!Z39,4)</f>
        <v/>
      </c>
      <c r="V40" s="62" t="str">
        <f>LEFT(北段!AA39,4)</f>
        <v/>
      </c>
      <c r="W40" s="62" t="str">
        <f>LEFT(北段!AB39,4)</f>
        <v/>
      </c>
      <c r="X40" s="62" t="str">
        <f>LEFT(北段!AC39,4)</f>
        <v/>
      </c>
      <c r="Y40" s="62" t="str">
        <f>LEFT(北段!AD39,4)</f>
        <v/>
      </c>
      <c r="Z40" s="62" t="str">
        <f>LEFT(北段!AE39,4)</f>
        <v/>
      </c>
      <c r="AA40" s="62" t="str">
        <f>LEFT(北段!AF39,4)</f>
        <v/>
      </c>
      <c r="AB40" s="62" t="str">
        <f>LEFT(北段!AG39,4)</f>
        <v/>
      </c>
      <c r="AC40" s="62" t="str">
        <f>LEFT(北段!AH39,4)</f>
        <v/>
      </c>
      <c r="AD40" s="62" t="str">
        <f>LEFT(北段!AI39,4)</f>
        <v/>
      </c>
      <c r="AE40" s="62" t="str">
        <f>LEFT(北段!AJ39,4)</f>
        <v/>
      </c>
      <c r="AF40" s="62" t="str">
        <f>LEFT(北段!AK39,4)</f>
        <v/>
      </c>
      <c r="AG40" s="62" t="str">
        <f>LEFT(北段!AL39,4)</f>
        <v>長假</v>
      </c>
      <c r="AH40" s="62" t="e">
        <f>LEFT(北段!#REF!,4)</f>
        <v>#REF!</v>
      </c>
      <c r="AI40" s="62" t="e">
        <f>LEFT(北段!#REF!,4)</f>
        <v>#REF!</v>
      </c>
      <c r="AJ40" s="62" t="e">
        <f>LEFT(北段!#REF!,4)</f>
        <v>#REF!</v>
      </c>
      <c r="AK40" s="62" t="e">
        <f>LEFT(北段!#REF!,4)</f>
        <v>#REF!</v>
      </c>
      <c r="AL40" s="62" t="e">
        <f>LEFT(北段!#REF!,4)</f>
        <v>#REF!</v>
      </c>
      <c r="AM40" s="62" t="e">
        <f>LEFT(北段!#REF!,4)</f>
        <v>#REF!</v>
      </c>
      <c r="AN40" s="62" t="e">
        <f>LEFT(北段!#REF!,4)</f>
        <v>#REF!</v>
      </c>
    </row>
    <row r="41" spans="1:40" ht="43.5" customHeight="1" thickBot="1">
      <c r="A41" s="127"/>
      <c r="B41" s="100" t="str">
        <f>LEFT(北段!B40,6)</f>
        <v>T01865</v>
      </c>
      <c r="C41" s="152" t="str">
        <f>VLOOKUP(B41,北段!B:C,2,FALSE)</f>
        <v>顏志宇</v>
      </c>
      <c r="D41" s="62" t="str">
        <f>LEFT(北段!I40,4)</f>
        <v>02午</v>
      </c>
      <c r="E41" s="62" t="str">
        <f>LEFT(北段!J40,4)</f>
        <v>02午</v>
      </c>
      <c r="F41" s="62" t="str">
        <f>LEFT(北段!K40,4)</f>
        <v/>
      </c>
      <c r="G41" s="62" t="str">
        <f>LEFT(北段!L40,4)</f>
        <v/>
      </c>
      <c r="H41" s="62" t="str">
        <f>LEFT(北段!M40,4)</f>
        <v/>
      </c>
      <c r="I41" s="62" t="str">
        <f>LEFT(北段!N40,4)</f>
        <v/>
      </c>
      <c r="J41" s="62" t="str">
        <f>LEFT(北段!O40,4)</f>
        <v/>
      </c>
      <c r="K41" s="62" t="str">
        <f>LEFT(北段!P40,3)</f>
        <v/>
      </c>
      <c r="L41" s="62" t="str">
        <f>LEFT(北段!Q40,4)</f>
        <v/>
      </c>
      <c r="M41" s="62" t="str">
        <f>LEFT(北段!R40,4)</f>
        <v/>
      </c>
      <c r="N41" s="62" t="str">
        <f>LEFT(北段!S40,4)</f>
        <v/>
      </c>
      <c r="O41" s="62" t="str">
        <f>LEFT(北段!T40,4)</f>
        <v/>
      </c>
      <c r="P41" s="62" t="str">
        <f>LEFT(北段!U40,4)</f>
        <v/>
      </c>
      <c r="Q41" s="62" t="str">
        <f>LEFT(北段!V40,4)</f>
        <v/>
      </c>
      <c r="R41" s="62" t="str">
        <f>LEFT(北段!W40,8)</f>
        <v/>
      </c>
      <c r="S41" s="62" t="str">
        <f>LEFT(北段!X40,4)</f>
        <v/>
      </c>
      <c r="T41" s="62" t="str">
        <f>LEFT(北段!Y40,4)</f>
        <v/>
      </c>
      <c r="U41" s="62" t="str">
        <f>LEFT(北段!Z40,4)</f>
        <v/>
      </c>
      <c r="V41" s="62" t="str">
        <f>LEFT(北段!AA40,4)</f>
        <v/>
      </c>
      <c r="W41" s="62" t="str">
        <f>LEFT(北段!AB40,4)</f>
        <v/>
      </c>
      <c r="X41" s="62" t="str">
        <f>LEFT(北段!AC40,4)</f>
        <v/>
      </c>
      <c r="Y41" s="62" t="str">
        <f>LEFT(北段!AD40,4)</f>
        <v/>
      </c>
      <c r="Z41" s="62" t="str">
        <f>LEFT(北段!AE40,4)</f>
        <v/>
      </c>
      <c r="AA41" s="62" t="str">
        <f>LEFT(北段!AF40,4)</f>
        <v/>
      </c>
      <c r="AB41" s="62" t="str">
        <f>LEFT(北段!AG40,4)</f>
        <v/>
      </c>
      <c r="AC41" s="62" t="str">
        <f>LEFT(北段!AH40,4)</f>
        <v/>
      </c>
      <c r="AD41" s="62" t="str">
        <f>LEFT(北段!AI40,4)</f>
        <v/>
      </c>
      <c r="AE41" s="62" t="str">
        <f>LEFT(北段!AJ40,4)</f>
        <v/>
      </c>
      <c r="AF41" s="62" t="str">
        <f>LEFT(北段!AK40,4)</f>
        <v/>
      </c>
      <c r="AG41" s="62" t="str">
        <f>LEFT(北段!AL40,4)</f>
        <v/>
      </c>
      <c r="AH41" s="62" t="e">
        <f>LEFT(北段!#REF!,4)</f>
        <v>#REF!</v>
      </c>
      <c r="AI41" s="62" t="e">
        <f>LEFT(北段!#REF!,4)</f>
        <v>#REF!</v>
      </c>
      <c r="AJ41" s="62" t="e">
        <f>LEFT(北段!#REF!,4)</f>
        <v>#REF!</v>
      </c>
      <c r="AK41" s="62" t="e">
        <f>LEFT(北段!#REF!,4)</f>
        <v>#REF!</v>
      </c>
      <c r="AL41" s="62" t="e">
        <f>LEFT(北段!#REF!,4)</f>
        <v>#REF!</v>
      </c>
      <c r="AM41" s="62" t="e">
        <f>LEFT(北段!#REF!,4)</f>
        <v>#REF!</v>
      </c>
      <c r="AN41" s="62" t="e">
        <f>LEFT(北段!#REF!,4)</f>
        <v>#REF!</v>
      </c>
    </row>
    <row r="42" spans="1:40" ht="43.5" customHeight="1">
      <c r="A42" s="124"/>
      <c r="B42" s="121" t="str">
        <f>LEFT(北段!B41,6)</f>
        <v>T00806</v>
      </c>
      <c r="C42" s="153" t="str">
        <f>VLOOKUP(B42,北段!B:C,2,FALSE)</f>
        <v>郭育瑋</v>
      </c>
      <c r="D42" s="62" t="str">
        <f>LEFT(北段!I41,4)</f>
        <v>L</v>
      </c>
      <c r="E42" s="62" t="str">
        <f>LEFT(北段!J41,4)</f>
        <v>R</v>
      </c>
      <c r="F42" s="62" t="str">
        <f>LEFT(北段!K41,4)</f>
        <v/>
      </c>
      <c r="G42" s="62" t="str">
        <f>LEFT(北段!L41,3)</f>
        <v/>
      </c>
      <c r="H42" s="62" t="str">
        <f>LEFT(北段!M41,4)</f>
        <v/>
      </c>
      <c r="I42" s="62" t="str">
        <f>LEFT(北段!N41,7)</f>
        <v/>
      </c>
      <c r="J42" s="62" t="str">
        <f>LEFT(北段!O41,8)</f>
        <v/>
      </c>
      <c r="K42" s="62" t="str">
        <f>LEFT(北段!P41,8)</f>
        <v/>
      </c>
      <c r="L42" s="62" t="str">
        <f>LEFT(北段!Q41,3)</f>
        <v/>
      </c>
      <c r="M42" s="62" t="str">
        <f>LEFT(北段!R41,4)</f>
        <v/>
      </c>
      <c r="N42" s="62" t="str">
        <f>LEFT(北段!S41,4)</f>
        <v/>
      </c>
      <c r="O42" s="62" t="str">
        <f>LEFT(北段!T41,3)</f>
        <v/>
      </c>
      <c r="P42" s="62" t="str">
        <f>LEFT(北段!U41,3)</f>
        <v/>
      </c>
      <c r="Q42" s="62" t="str">
        <f>LEFT(北段!V41,3)</f>
        <v/>
      </c>
      <c r="R42" s="62" t="str">
        <f>LEFT(北段!W41,3)</f>
        <v/>
      </c>
      <c r="S42" s="62" t="str">
        <f>LEFT(北段!X41,4)</f>
        <v/>
      </c>
      <c r="T42" s="62" t="str">
        <f>LEFT(北段!Y41,4)</f>
        <v/>
      </c>
      <c r="U42" s="62" t="str">
        <f>LEFT(北段!Z41,4)</f>
        <v/>
      </c>
      <c r="V42" s="62" t="str">
        <f>LEFT(北段!AA41,4)</f>
        <v/>
      </c>
      <c r="W42" s="62" t="str">
        <f>LEFT(北段!AB41,4)</f>
        <v/>
      </c>
      <c r="X42" s="62" t="str">
        <f>LEFT(北段!AC41,4)</f>
        <v/>
      </c>
      <c r="Y42" s="62" t="str">
        <f>LEFT(北段!AD41,3)</f>
        <v/>
      </c>
      <c r="Z42" s="62" t="str">
        <f>LEFT(北段!AE41,8)</f>
        <v/>
      </c>
      <c r="AA42" s="62" t="str">
        <f>LEFT(北段!AF41,4)</f>
        <v/>
      </c>
      <c r="AB42" s="62" t="str">
        <f>LEFT(北段!AG41,4)</f>
        <v/>
      </c>
      <c r="AC42" s="62" t="str">
        <f>LEFT(北段!AH41,4)</f>
        <v/>
      </c>
      <c r="AD42" s="62" t="str">
        <f>LEFT(北段!AI41,4)</f>
        <v/>
      </c>
      <c r="AE42" s="62" t="str">
        <f>LEFT(北段!AJ41,4)</f>
        <v/>
      </c>
      <c r="AF42" s="62" t="str">
        <f>LEFT(北段!AK41,4)</f>
        <v/>
      </c>
      <c r="AG42" s="62" t="str">
        <f>LEFT(北段!AL41,4)</f>
        <v/>
      </c>
      <c r="AH42" s="62" t="e">
        <f>LEFT(北段!#REF!,4)</f>
        <v>#REF!</v>
      </c>
      <c r="AI42" s="62" t="e">
        <f>LEFT(北段!#REF!,4)</f>
        <v>#REF!</v>
      </c>
      <c r="AJ42" s="62" t="e">
        <f>LEFT(北段!#REF!,4)</f>
        <v>#REF!</v>
      </c>
      <c r="AK42" s="62" t="e">
        <f>LEFT(北段!#REF!,4)</f>
        <v>#REF!</v>
      </c>
      <c r="AL42" s="62" t="e">
        <f>LEFT(北段!#REF!,4)</f>
        <v>#REF!</v>
      </c>
      <c r="AM42" s="62" t="e">
        <f>LEFT(北段!#REF!,4)</f>
        <v>#REF!</v>
      </c>
      <c r="AN42" s="62" t="e">
        <f>LEFT(北段!#REF!,4)</f>
        <v>#REF!</v>
      </c>
    </row>
    <row r="43" spans="1:40" ht="43.5" customHeight="1">
      <c r="A43" s="125"/>
      <c r="B43" s="101" t="str">
        <f>LEFT(北段!B42,6)</f>
        <v>T01864</v>
      </c>
      <c r="C43" s="151" t="str">
        <f>VLOOKUP(B43,北段!B:C,2,FALSE)</f>
        <v>謝宗昇</v>
      </c>
      <c r="D43" s="62" t="str">
        <f>LEFT(北段!I42,7)</f>
        <v>03午</v>
      </c>
      <c r="E43" s="62" t="str">
        <f>LEFT(北段!J42,4)</f>
        <v>03午</v>
      </c>
      <c r="F43" s="62" t="str">
        <f>LEFT(北段!K42,4)</f>
        <v/>
      </c>
      <c r="G43" s="62" t="str">
        <f>LEFT(北段!L42,3)</f>
        <v/>
      </c>
      <c r="H43" s="62" t="str">
        <f>LEFT(北段!M42,4)</f>
        <v/>
      </c>
      <c r="I43" s="62" t="str">
        <f>LEFT(北段!N42,4)</f>
        <v/>
      </c>
      <c r="J43" s="62" t="str">
        <f>LEFT(北段!O42,4)</f>
        <v/>
      </c>
      <c r="K43" s="62" t="str">
        <f>LEFT(北段!P42,4)</f>
        <v/>
      </c>
      <c r="L43" s="62" t="str">
        <f>LEFT(北段!Q42,4)</f>
        <v/>
      </c>
      <c r="M43" s="62" t="str">
        <f>LEFT(北段!R42,4)</f>
        <v/>
      </c>
      <c r="N43" s="62" t="str">
        <f>LEFT(北段!S42,4)</f>
        <v/>
      </c>
      <c r="O43" s="62" t="str">
        <f>LEFT(北段!T42,4)</f>
        <v/>
      </c>
      <c r="P43" s="62" t="str">
        <f>LEFT(北段!U42,4)</f>
        <v/>
      </c>
      <c r="Q43" s="62" t="str">
        <f>LEFT(北段!V42,4)</f>
        <v/>
      </c>
      <c r="R43" s="62" t="str">
        <f>LEFT(北段!W42,4)</f>
        <v/>
      </c>
      <c r="S43" s="62" t="str">
        <f>LEFT(北段!X42,4)</f>
        <v/>
      </c>
      <c r="T43" s="62" t="str">
        <f>LEFT(北段!Y42,4)</f>
        <v/>
      </c>
      <c r="U43" s="62" t="str">
        <f>LEFT(北段!Z42,4)</f>
        <v/>
      </c>
      <c r="V43" s="62" t="str">
        <f>LEFT(北段!AA42,4)</f>
        <v/>
      </c>
      <c r="W43" s="62" t="str">
        <f>LEFT(北段!AB42,4)</f>
        <v/>
      </c>
      <c r="X43" s="62" t="str">
        <f>LEFT(北段!AC42,4)</f>
        <v/>
      </c>
      <c r="Y43" s="62" t="str">
        <f>LEFT(北段!AD42,3)</f>
        <v/>
      </c>
      <c r="Z43" s="62" t="str">
        <f>LEFT(北段!AE42,4)</f>
        <v/>
      </c>
      <c r="AA43" s="62" t="str">
        <f>LEFT(北段!AF42,4)</f>
        <v/>
      </c>
      <c r="AB43" s="62" t="str">
        <f>LEFT(北段!AG42,4)</f>
        <v/>
      </c>
      <c r="AC43" s="62" t="str">
        <f>LEFT(北段!AH42,4)</f>
        <v/>
      </c>
      <c r="AD43" s="62" t="str">
        <f>LEFT(北段!AI42,4)</f>
        <v/>
      </c>
      <c r="AE43" s="62" t="str">
        <f>LEFT(北段!AJ42,4)</f>
        <v/>
      </c>
      <c r="AF43" s="62" t="str">
        <f>LEFT(北段!AK42,4)</f>
        <v/>
      </c>
      <c r="AG43" s="62" t="str">
        <f>LEFT(北段!AL42,4)</f>
        <v/>
      </c>
      <c r="AH43" s="62" t="e">
        <f>LEFT(北段!#REF!,4)</f>
        <v>#REF!</v>
      </c>
      <c r="AI43" s="62" t="e">
        <f>LEFT(北段!#REF!,4)</f>
        <v>#REF!</v>
      </c>
      <c r="AJ43" s="62" t="e">
        <f>LEFT(北段!#REF!,4)</f>
        <v>#REF!</v>
      </c>
      <c r="AK43" s="62" t="e">
        <f>LEFT(北段!#REF!,4)</f>
        <v>#REF!</v>
      </c>
      <c r="AL43" s="62" t="e">
        <f>LEFT(北段!#REF!,4)</f>
        <v>#REF!</v>
      </c>
      <c r="AM43" s="62" t="e">
        <f>LEFT(北段!#REF!,4)</f>
        <v>#REF!</v>
      </c>
      <c r="AN43" s="62" t="e">
        <f>LEFT(北段!#REF!,4)</f>
        <v>#REF!</v>
      </c>
    </row>
    <row r="44" spans="1:40" ht="43.5" customHeight="1">
      <c r="A44" s="125"/>
      <c r="B44" s="101" t="str">
        <f>LEFT(北段!B43,6)</f>
        <v>T02503</v>
      </c>
      <c r="C44" s="151" t="str">
        <f>VLOOKUP(B44,北段!B:C,2,FALSE)</f>
        <v>蘇宸毅</v>
      </c>
      <c r="D44" s="62" t="str">
        <f>LEFT(北段!I43,4)</f>
        <v>03夜</v>
      </c>
      <c r="E44" s="62" t="str">
        <f>LEFT(北段!J43,4)</f>
        <v>03夜</v>
      </c>
      <c r="F44" s="62" t="str">
        <f>LEFT(北段!K43,4)</f>
        <v/>
      </c>
      <c r="G44" s="62" t="str">
        <f>LEFT(北段!L43,3)</f>
        <v/>
      </c>
      <c r="H44" s="62" t="str">
        <f>LEFT(北段!M43,4)</f>
        <v/>
      </c>
      <c r="I44" s="62" t="str">
        <f>LEFT(北段!N43,4)</f>
        <v/>
      </c>
      <c r="J44" s="62" t="str">
        <f>LEFT(北段!O43,3)</f>
        <v/>
      </c>
      <c r="K44" s="62" t="str">
        <f>LEFT(北段!P43,4)</f>
        <v/>
      </c>
      <c r="L44" s="62" t="str">
        <f>LEFT(北段!Q43,3)</f>
        <v/>
      </c>
      <c r="M44" s="62" t="str">
        <f>LEFT(北段!R43,4)</f>
        <v/>
      </c>
      <c r="N44" s="62" t="str">
        <f>LEFT(北段!S43,4)</f>
        <v/>
      </c>
      <c r="O44" s="62" t="str">
        <f>LEFT(北段!T43,4)</f>
        <v/>
      </c>
      <c r="P44" s="62" t="str">
        <f>LEFT(北段!U43,4)</f>
        <v/>
      </c>
      <c r="Q44" s="62" t="str">
        <f>LEFT(北段!V43,4)</f>
        <v/>
      </c>
      <c r="R44" s="62" t="str">
        <f>LEFT(北段!W43,4)</f>
        <v/>
      </c>
      <c r="S44" s="62" t="str">
        <f>LEFT(北段!X43,8)</f>
        <v/>
      </c>
      <c r="T44" s="62" t="str">
        <f>LEFT(北段!Y43,4)</f>
        <v/>
      </c>
      <c r="U44" s="62" t="str">
        <f>LEFT(北段!Z43,4)</f>
        <v/>
      </c>
      <c r="V44" s="62" t="str">
        <f>LEFT(北段!AA43,4)</f>
        <v/>
      </c>
      <c r="W44" s="62" t="str">
        <f>LEFT(北段!AB43,4)</f>
        <v/>
      </c>
      <c r="X44" s="62" t="str">
        <f>LEFT(北段!AC43,4)</f>
        <v/>
      </c>
      <c r="Y44" s="62" t="str">
        <f>LEFT(北段!AD43,4)</f>
        <v/>
      </c>
      <c r="Z44" s="62" t="str">
        <f>LEFT(北段!AE43,4)</f>
        <v/>
      </c>
      <c r="AA44" s="62" t="str">
        <f>LEFT(北段!AF43,4)</f>
        <v/>
      </c>
      <c r="AB44" s="62" t="str">
        <f>LEFT(北段!AG43,4)</f>
        <v/>
      </c>
      <c r="AC44" s="62" t="str">
        <f>LEFT(北段!AH43,4)</f>
        <v/>
      </c>
      <c r="AD44" s="62" t="str">
        <f>LEFT(北段!AI43,4)</f>
        <v/>
      </c>
      <c r="AE44" s="62" t="str">
        <f>LEFT(北段!AJ43,4)</f>
        <v/>
      </c>
      <c r="AF44" s="62" t="str">
        <f>LEFT(北段!AK43,4)</f>
        <v/>
      </c>
      <c r="AG44" s="62" t="str">
        <f>LEFT(北段!AL43,4)</f>
        <v/>
      </c>
      <c r="AH44" s="62" t="e">
        <f>LEFT(北段!#REF!,4)</f>
        <v>#REF!</v>
      </c>
      <c r="AI44" s="62" t="e">
        <f>LEFT(北段!#REF!,4)</f>
        <v>#REF!</v>
      </c>
      <c r="AJ44" s="62" t="e">
        <f>LEFT(北段!#REF!,4)</f>
        <v>#REF!</v>
      </c>
      <c r="AK44" s="62" t="e">
        <f>LEFT(北段!#REF!,4)</f>
        <v>#REF!</v>
      </c>
      <c r="AL44" s="62" t="e">
        <f>LEFT(北段!#REF!,4)</f>
        <v>#REF!</v>
      </c>
      <c r="AM44" s="62" t="e">
        <f>LEFT(北段!#REF!,4)</f>
        <v>#REF!</v>
      </c>
      <c r="AN44" s="62" t="e">
        <f>LEFT(北段!#REF!,4)</f>
        <v>#REF!</v>
      </c>
    </row>
    <row r="45" spans="1:40" ht="43.5" customHeight="1">
      <c r="A45" s="125"/>
      <c r="B45" s="101" t="str">
        <f>LEFT(北段!B44,6)</f>
        <v>T02509</v>
      </c>
      <c r="C45" s="151" t="str">
        <f>VLOOKUP(B45,北段!B:C,2,FALSE)</f>
        <v>薛朋竹</v>
      </c>
      <c r="D45" s="62" t="str">
        <f>LEFT(北段!I44,4)</f>
        <v>03早</v>
      </c>
      <c r="E45" s="62" t="str">
        <f>LEFT(北段!J44,4)</f>
        <v>03早</v>
      </c>
      <c r="F45" s="62" t="str">
        <f>LEFT(北段!K44,4)</f>
        <v/>
      </c>
      <c r="G45" s="62" t="str">
        <f>LEFT(北段!L44,4)</f>
        <v/>
      </c>
      <c r="H45" s="62" t="str">
        <f>LEFT(北段!M44,4)</f>
        <v/>
      </c>
      <c r="I45" s="62" t="str">
        <f>LEFT(北段!N44,4)</f>
        <v/>
      </c>
      <c r="J45" s="62" t="str">
        <f>LEFT(北段!O44,4)</f>
        <v/>
      </c>
      <c r="K45" s="62" t="str">
        <f>LEFT(北段!P44,4)</f>
        <v/>
      </c>
      <c r="L45" s="62" t="str">
        <f>LEFT(北段!Q44,4)</f>
        <v/>
      </c>
      <c r="M45" s="62" t="str">
        <f>LEFT(北段!R44,4)</f>
        <v/>
      </c>
      <c r="N45" s="62" t="str">
        <f>LEFT(北段!S44,4)</f>
        <v/>
      </c>
      <c r="O45" s="62" t="str">
        <f>LEFT(北段!T44,4)</f>
        <v/>
      </c>
      <c r="P45" s="62" t="str">
        <f>LEFT(北段!U44,3)</f>
        <v/>
      </c>
      <c r="Q45" s="62" t="str">
        <f>LEFT(北段!V44,4)</f>
        <v/>
      </c>
      <c r="R45" s="62" t="str">
        <f>LEFT(北段!W44,4)</f>
        <v/>
      </c>
      <c r="S45" s="62" t="str">
        <f>LEFT(北段!X44,4)</f>
        <v/>
      </c>
      <c r="T45" s="62" t="str">
        <f>LEFT(北段!Y44,4)</f>
        <v/>
      </c>
      <c r="U45" s="62" t="str">
        <f>LEFT(北段!Z44,4)</f>
        <v/>
      </c>
      <c r="V45" s="62" t="str">
        <f>LEFT(北段!AA44,4)</f>
        <v/>
      </c>
      <c r="W45" s="62" t="str">
        <f>LEFT(北段!AB44,4)</f>
        <v/>
      </c>
      <c r="X45" s="62" t="str">
        <f>LEFT(北段!AC44,4)</f>
        <v/>
      </c>
      <c r="Y45" s="62" t="str">
        <f>LEFT(北段!AD44,4)</f>
        <v/>
      </c>
      <c r="Z45" s="62" t="str">
        <f>LEFT(北段!AE44,3)</f>
        <v/>
      </c>
      <c r="AA45" s="62" t="str">
        <f>LEFT(北段!AF44,4)</f>
        <v/>
      </c>
      <c r="AB45" s="62" t="str">
        <f>LEFT(北段!AG44,4)</f>
        <v/>
      </c>
      <c r="AC45" s="62" t="str">
        <f>LEFT(北段!AH44,4)</f>
        <v/>
      </c>
      <c r="AD45" s="62" t="str">
        <f>LEFT(北段!AI44,4)</f>
        <v/>
      </c>
      <c r="AE45" s="62" t="str">
        <f>LEFT(北段!AJ44,4)</f>
        <v/>
      </c>
      <c r="AF45" s="62" t="str">
        <f>LEFT(北段!AK44,4)</f>
        <v/>
      </c>
      <c r="AG45" s="62" t="str">
        <f>LEFT(北段!AL44,4)</f>
        <v/>
      </c>
      <c r="AH45" s="62" t="e">
        <f>LEFT(北段!#REF!,4)</f>
        <v>#REF!</v>
      </c>
      <c r="AI45" s="62" t="e">
        <f>LEFT(北段!#REF!,4)</f>
        <v>#REF!</v>
      </c>
      <c r="AJ45" s="62" t="e">
        <f>LEFT(北段!#REF!,4)</f>
        <v>#REF!</v>
      </c>
      <c r="AK45" s="62" t="e">
        <f>LEFT(北段!#REF!,4)</f>
        <v>#REF!</v>
      </c>
      <c r="AL45" s="62" t="e">
        <f>LEFT(北段!#REF!,4)</f>
        <v>#REF!</v>
      </c>
      <c r="AM45" s="62" t="e">
        <f>LEFT(北段!#REF!,4)</f>
        <v>#REF!</v>
      </c>
      <c r="AN45" s="62" t="e">
        <f>LEFT(北段!#REF!,4)</f>
        <v>#REF!</v>
      </c>
    </row>
    <row r="46" spans="1:40" s="36" customFormat="1" ht="43.5" customHeight="1">
      <c r="A46" s="125"/>
      <c r="B46" s="101" t="str">
        <f>LEFT(北段!B45,6)</f>
        <v>T00924</v>
      </c>
      <c r="C46" s="151" t="str">
        <f>VLOOKUP(B46,北段!B:C,2,FALSE)</f>
        <v>鄧宛萍</v>
      </c>
      <c r="D46" s="62" t="str">
        <f>LEFT(北段!I45,4)</f>
        <v>03午</v>
      </c>
      <c r="E46" s="62" t="str">
        <f>LEFT(北段!J45,4)</f>
        <v>03午</v>
      </c>
      <c r="F46" s="62" t="str">
        <f>LEFT(北段!K45,4)</f>
        <v/>
      </c>
      <c r="G46" s="62" t="str">
        <f>LEFT(北段!L45,4)</f>
        <v/>
      </c>
      <c r="H46" s="62" t="str">
        <f>LEFT(北段!M45,3)</f>
        <v/>
      </c>
      <c r="I46" s="62" t="str">
        <f>LEFT(北段!N45,4)</f>
        <v/>
      </c>
      <c r="J46" s="62" t="str">
        <f>LEFT(北段!O45,4)</f>
        <v/>
      </c>
      <c r="K46" s="62" t="str">
        <f>LEFT(北段!P45,4)</f>
        <v/>
      </c>
      <c r="L46" s="62" t="str">
        <f>LEFT(北段!Q45,4)</f>
        <v/>
      </c>
      <c r="M46" s="62" t="str">
        <f>LEFT(北段!R45,4)</f>
        <v/>
      </c>
      <c r="N46" s="62" t="str">
        <f>LEFT(北段!S45,4)</f>
        <v/>
      </c>
      <c r="O46" s="62" t="str">
        <f>LEFT(北段!T45,4)</f>
        <v/>
      </c>
      <c r="P46" s="62" t="str">
        <f>LEFT(北段!U45,4)</f>
        <v/>
      </c>
      <c r="Q46" s="62" t="str">
        <f>LEFT(北段!V45,4)</f>
        <v/>
      </c>
      <c r="R46" s="62" t="str">
        <f>LEFT(北段!W45,4)</f>
        <v/>
      </c>
      <c r="S46" s="62" t="str">
        <f>LEFT(北段!X45,4)</f>
        <v>長假</v>
      </c>
      <c r="T46" s="62" t="str">
        <f>LEFT(北段!Y45,4)</f>
        <v>長假</v>
      </c>
      <c r="U46" s="62" t="str">
        <f>LEFT(北段!Z45,4)</f>
        <v>長假</v>
      </c>
      <c r="V46" s="62" t="str">
        <f>LEFT(北段!AA45,4)</f>
        <v>長假</v>
      </c>
      <c r="W46" s="62" t="str">
        <f>LEFT(北段!AB45,4)</f>
        <v>長假</v>
      </c>
      <c r="X46" s="62" t="str">
        <f>LEFT(北段!AC45,4)</f>
        <v>長假</v>
      </c>
      <c r="Y46" s="62" t="str">
        <f>LEFT(北段!AD45,4)</f>
        <v>長假</v>
      </c>
      <c r="Z46" s="62" t="str">
        <f>LEFT(北段!AE45,4)</f>
        <v>長假</v>
      </c>
      <c r="AA46" s="62" t="str">
        <f>LEFT(北段!AF45,3)</f>
        <v>長假</v>
      </c>
      <c r="AB46" s="62" t="str">
        <f>LEFT(北段!AG45,4)</f>
        <v>長假</v>
      </c>
      <c r="AC46" s="62" t="str">
        <f>LEFT(北段!AH45,4)</f>
        <v/>
      </c>
      <c r="AD46" s="62" t="str">
        <f>LEFT(北段!AI45,4)</f>
        <v/>
      </c>
      <c r="AE46" s="62" t="str">
        <f>LEFT(北段!AJ45,4)</f>
        <v/>
      </c>
      <c r="AF46" s="62" t="str">
        <f>LEFT(北段!AK45,4)</f>
        <v/>
      </c>
      <c r="AG46" s="62" t="str">
        <f>LEFT(北段!AL45,4)</f>
        <v/>
      </c>
      <c r="AH46" s="62" t="e">
        <f>LEFT(北段!#REF!,4)</f>
        <v>#REF!</v>
      </c>
      <c r="AI46" s="62" t="e">
        <f>LEFT(北段!#REF!,4)</f>
        <v>#REF!</v>
      </c>
      <c r="AJ46" s="62" t="e">
        <f>LEFT(北段!#REF!,4)</f>
        <v>#REF!</v>
      </c>
      <c r="AK46" s="62" t="e">
        <f>LEFT(北段!#REF!,4)</f>
        <v>#REF!</v>
      </c>
      <c r="AL46" s="62" t="e">
        <f>LEFT(北段!#REF!,4)</f>
        <v>#REF!</v>
      </c>
      <c r="AM46" s="62" t="e">
        <f>LEFT(北段!#REF!,4)</f>
        <v>#REF!</v>
      </c>
      <c r="AN46" s="62" t="e">
        <f>LEFT(北段!#REF!,4)</f>
        <v>#REF!</v>
      </c>
    </row>
    <row r="47" spans="1:40" ht="43.5" customHeight="1">
      <c r="A47" s="125"/>
      <c r="B47" s="101" t="str">
        <f>LEFT(北段!B46,6)</f>
        <v>T01198</v>
      </c>
      <c r="C47" s="151" t="str">
        <f>VLOOKUP(B47,北段!B:C,2,FALSE)</f>
        <v>許慰音</v>
      </c>
      <c r="D47" s="62" t="str">
        <f>LEFT(北段!I46,4)</f>
        <v>r'</v>
      </c>
      <c r="E47" s="62" t="str">
        <f>LEFT(北段!J46,4)</f>
        <v>R</v>
      </c>
      <c r="F47" s="62" t="str">
        <f>LEFT(北段!K46,4)</f>
        <v/>
      </c>
      <c r="G47" s="62" t="str">
        <f>LEFT(北段!L46,4)</f>
        <v/>
      </c>
      <c r="H47" s="62" t="str">
        <f>LEFT(北段!M46,4)</f>
        <v/>
      </c>
      <c r="I47" s="62" t="str">
        <f>LEFT(北段!N46,4)</f>
        <v/>
      </c>
      <c r="J47" s="62" t="str">
        <f>LEFT(北段!O46,4)</f>
        <v/>
      </c>
      <c r="K47" s="62" t="str">
        <f>LEFT(北段!P46,4)</f>
        <v/>
      </c>
      <c r="L47" s="62" t="str">
        <f>LEFT(北段!Q46,4)</f>
        <v/>
      </c>
      <c r="M47" s="62" t="str">
        <f>LEFT(北段!R46,4)</f>
        <v/>
      </c>
      <c r="N47" s="62" t="str">
        <f>LEFT(北段!S46,4)</f>
        <v/>
      </c>
      <c r="O47" s="62" t="str">
        <f>LEFT(北段!T46,4)</f>
        <v/>
      </c>
      <c r="P47" s="62" t="str">
        <f>LEFT(北段!U46,4)</f>
        <v/>
      </c>
      <c r="Q47" s="62" t="str">
        <f>LEFT(北段!V46,3)</f>
        <v/>
      </c>
      <c r="R47" s="62" t="str">
        <f>LEFT(北段!W46,1)</f>
        <v/>
      </c>
      <c r="S47" s="62" t="str">
        <f>LEFT(北段!X46,4)</f>
        <v/>
      </c>
      <c r="T47" s="62" t="str">
        <f>LEFT(北段!Y46,4)</f>
        <v/>
      </c>
      <c r="U47" s="62" t="str">
        <f>LEFT(北段!Z46,4)</f>
        <v/>
      </c>
      <c r="V47" s="62" t="str">
        <f>LEFT(北段!AA46,4)</f>
        <v/>
      </c>
      <c r="W47" s="62" t="str">
        <f>LEFT(北段!AB46,4)</f>
        <v/>
      </c>
      <c r="X47" s="62" t="str">
        <f>LEFT(北段!AC46,4)</f>
        <v/>
      </c>
      <c r="Y47" s="62" t="str">
        <f>LEFT(北段!AD46,4)</f>
        <v/>
      </c>
      <c r="Z47" s="62" t="str">
        <f>LEFT(北段!AE46,4)</f>
        <v/>
      </c>
      <c r="AA47" s="62" t="str">
        <f>LEFT(北段!AF46,4)</f>
        <v/>
      </c>
      <c r="AB47" s="62" t="str">
        <f>LEFT(北段!AG46,4)</f>
        <v/>
      </c>
      <c r="AC47" s="62" t="str">
        <f>LEFT(北段!AH46,4)</f>
        <v/>
      </c>
      <c r="AD47" s="62" t="str">
        <f>LEFT(北段!AI46,4)</f>
        <v/>
      </c>
      <c r="AE47" s="62" t="str">
        <f>LEFT(北段!AJ46,4)</f>
        <v/>
      </c>
      <c r="AF47" s="62" t="str">
        <f>LEFT(北段!AK46,4)</f>
        <v/>
      </c>
      <c r="AG47" s="62" t="str">
        <f>LEFT(北段!AL46,4)</f>
        <v/>
      </c>
      <c r="AH47" s="62" t="e">
        <f>LEFT(北段!#REF!,4)</f>
        <v>#REF!</v>
      </c>
      <c r="AI47" s="62" t="e">
        <f>LEFT(北段!#REF!,4)</f>
        <v>#REF!</v>
      </c>
      <c r="AJ47" s="62" t="e">
        <f>LEFT(北段!#REF!,4)</f>
        <v>#REF!</v>
      </c>
      <c r="AK47" s="62" t="e">
        <f>LEFT(北段!#REF!,4)</f>
        <v>#REF!</v>
      </c>
      <c r="AL47" s="62" t="e">
        <f>LEFT(北段!#REF!,4)</f>
        <v>#REF!</v>
      </c>
      <c r="AM47" s="62" t="e">
        <f>LEFT(北段!#REF!,4)</f>
        <v>#REF!</v>
      </c>
      <c r="AN47" s="62" t="e">
        <f>LEFT(北段!#REF!,4)</f>
        <v>#REF!</v>
      </c>
    </row>
    <row r="48" spans="1:40" ht="43.5" customHeight="1">
      <c r="A48" s="125"/>
      <c r="B48" s="101" t="str">
        <f>LEFT(北段!B47,6)</f>
        <v>T01260</v>
      </c>
      <c r="C48" s="151" t="str">
        <f>VLOOKUP(B48,北段!B:C,2,FALSE)</f>
        <v>林毓萱</v>
      </c>
      <c r="D48" s="62" t="str">
        <f>LEFT(北段!I47,4)</f>
        <v>03早A</v>
      </c>
      <c r="E48" s="62" t="str">
        <f>LEFT(北段!J47,4)</f>
        <v>03早</v>
      </c>
      <c r="F48" s="62" t="str">
        <f>LEFT(北段!K47,4)</f>
        <v/>
      </c>
      <c r="G48" s="62" t="str">
        <f>LEFT(北段!L47,3)</f>
        <v>長假</v>
      </c>
      <c r="H48" s="62" t="str">
        <f>LEFT(北段!M47,4)</f>
        <v>長假</v>
      </c>
      <c r="I48" s="62" t="str">
        <f>LEFT(北段!N47,4)</f>
        <v>長假</v>
      </c>
      <c r="J48" s="62" t="str">
        <f>LEFT(北段!O47,4)</f>
        <v>長假</v>
      </c>
      <c r="K48" s="62" t="str">
        <f>LEFT(北段!P47,4)</f>
        <v>長假</v>
      </c>
      <c r="L48" s="62" t="str">
        <f>LEFT(北段!Q47,4)</f>
        <v>長假</v>
      </c>
      <c r="M48" s="62" t="str">
        <f>LEFT(北段!R47,4)</f>
        <v>長假</v>
      </c>
      <c r="N48" s="62" t="str">
        <f>LEFT(北段!S47,4)</f>
        <v/>
      </c>
      <c r="O48" s="62" t="str">
        <f>LEFT(北段!T47,4)</f>
        <v/>
      </c>
      <c r="P48" s="62" t="str">
        <f>LEFT(北段!U47,4)</f>
        <v/>
      </c>
      <c r="Q48" s="62" t="str">
        <f>LEFT(北段!V47,4)</f>
        <v/>
      </c>
      <c r="R48" s="62" t="str">
        <f>LEFT(北段!W47,4)</f>
        <v/>
      </c>
      <c r="S48" s="62" t="str">
        <f>LEFT(北段!X47,4)</f>
        <v/>
      </c>
      <c r="T48" s="62" t="str">
        <f>LEFT(北段!Y47,4)</f>
        <v/>
      </c>
      <c r="U48" s="62" t="str">
        <f>LEFT(北段!Z47,4)</f>
        <v/>
      </c>
      <c r="V48" s="62" t="str">
        <f>LEFT(北段!AA47,3)</f>
        <v/>
      </c>
      <c r="W48" s="62" t="str">
        <f>LEFT(北段!AB47,4)</f>
        <v/>
      </c>
      <c r="X48" s="62" t="str">
        <f>LEFT(北段!AC47,4)</f>
        <v/>
      </c>
      <c r="Y48" s="62" t="str">
        <f>LEFT(北段!AD47,4)</f>
        <v/>
      </c>
      <c r="Z48" s="62" t="str">
        <f>LEFT(北段!AE47,4)</f>
        <v/>
      </c>
      <c r="AA48" s="62" t="str">
        <f>LEFT(北段!AF47,4)</f>
        <v/>
      </c>
      <c r="AB48" s="62" t="str">
        <f>LEFT(北段!AG47,4)</f>
        <v/>
      </c>
      <c r="AC48" s="62" t="str">
        <f>LEFT(北段!AH47,4)</f>
        <v/>
      </c>
      <c r="AD48" s="62" t="str">
        <f>LEFT(北段!AI47,4)</f>
        <v/>
      </c>
      <c r="AE48" s="62" t="str">
        <f>LEFT(北段!AJ47,4)</f>
        <v/>
      </c>
      <c r="AF48" s="62" t="str">
        <f>LEFT(北段!AK47,4)</f>
        <v/>
      </c>
      <c r="AG48" s="62" t="str">
        <f>LEFT(北段!AL47,4)</f>
        <v/>
      </c>
      <c r="AH48" s="62" t="e">
        <f>LEFT(北段!#REF!,4)</f>
        <v>#REF!</v>
      </c>
      <c r="AI48" s="62" t="e">
        <f>LEFT(北段!#REF!,4)</f>
        <v>#REF!</v>
      </c>
      <c r="AJ48" s="62" t="e">
        <f>LEFT(北段!#REF!,4)</f>
        <v>#REF!</v>
      </c>
      <c r="AK48" s="62" t="e">
        <f>LEFT(北段!#REF!,4)</f>
        <v>#REF!</v>
      </c>
      <c r="AL48" s="62" t="e">
        <f>LEFT(北段!#REF!,4)</f>
        <v>#REF!</v>
      </c>
      <c r="AM48" s="62" t="e">
        <f>LEFT(北段!#REF!,4)</f>
        <v>#REF!</v>
      </c>
      <c r="AN48" s="62" t="e">
        <f>LEFT(北段!#REF!,4)</f>
        <v>#REF!</v>
      </c>
    </row>
    <row r="49" spans="1:40" s="36" customFormat="1" ht="43.5" customHeight="1">
      <c r="A49" s="125"/>
      <c r="B49" s="101" t="str">
        <f>LEFT(北段!B48,6)</f>
        <v>T02220</v>
      </c>
      <c r="C49" s="151" t="str">
        <f>VLOOKUP(B49,北段!B:C,2,FALSE)</f>
        <v>曹宇嫺</v>
      </c>
      <c r="D49" s="62" t="str">
        <f>LEFT(北段!I48,4)</f>
        <v>03午F</v>
      </c>
      <c r="E49" s="62" t="str">
        <f>LEFT(北段!J48,4)</f>
        <v>03午F</v>
      </c>
      <c r="F49" s="62" t="str">
        <f>LEFT(北段!K48,4)</f>
        <v/>
      </c>
      <c r="G49" s="62" t="str">
        <f>LEFT(北段!L48,4)</f>
        <v/>
      </c>
      <c r="H49" s="62" t="str">
        <f>LEFT(北段!M48,3)</f>
        <v/>
      </c>
      <c r="I49" s="62" t="str">
        <f>LEFT(北段!N48,4)</f>
        <v/>
      </c>
      <c r="J49" s="62" t="str">
        <f>LEFT(北段!O48,3)</f>
        <v/>
      </c>
      <c r="K49" s="62" t="str">
        <f>LEFT(北段!P48,4)</f>
        <v/>
      </c>
      <c r="L49" s="62" t="str">
        <f>LEFT(北段!Q48,4)</f>
        <v/>
      </c>
      <c r="M49" s="62" t="str">
        <f>LEFT(北段!R48,4)</f>
        <v/>
      </c>
      <c r="N49" s="62" t="str">
        <f>LEFT(北段!S48,4)</f>
        <v/>
      </c>
      <c r="O49" s="62" t="str">
        <f>LEFT(北段!T48,4)</f>
        <v/>
      </c>
      <c r="P49" s="62" t="str">
        <f>LEFT(北段!U48,4)</f>
        <v/>
      </c>
      <c r="Q49" s="62" t="str">
        <f>LEFT(北段!V48,4)</f>
        <v/>
      </c>
      <c r="R49" s="62" t="str">
        <f>LEFT(北段!W48,4)</f>
        <v/>
      </c>
      <c r="S49" s="62" t="str">
        <f>LEFT(北段!X48,4)</f>
        <v/>
      </c>
      <c r="T49" s="62" t="str">
        <f>LEFT(北段!Y48,4)</f>
        <v/>
      </c>
      <c r="U49" s="62" t="str">
        <f>LEFT(北段!Z48,4)</f>
        <v/>
      </c>
      <c r="V49" s="62" t="str">
        <f>LEFT(北段!AA48,4)</f>
        <v/>
      </c>
      <c r="W49" s="62" t="str">
        <f>LEFT(北段!AB48,4)</f>
        <v/>
      </c>
      <c r="X49" s="62" t="str">
        <f>LEFT(北段!AC48,4)</f>
        <v/>
      </c>
      <c r="Y49" s="62" t="str">
        <f>LEFT(北段!AD48,4)</f>
        <v/>
      </c>
      <c r="Z49" s="62" t="str">
        <f>LEFT(北段!AE48,4)</f>
        <v/>
      </c>
      <c r="AA49" s="62" t="str">
        <f>LEFT(北段!AF48,4)</f>
        <v/>
      </c>
      <c r="AB49" s="62" t="str">
        <f>LEFT(北段!AG48,4)</f>
        <v/>
      </c>
      <c r="AC49" s="62" t="str">
        <f>LEFT(北段!AH48,4)</f>
        <v/>
      </c>
      <c r="AD49" s="62" t="str">
        <f>LEFT(北段!AI48,4)</f>
        <v/>
      </c>
      <c r="AE49" s="62" t="str">
        <f>LEFT(北段!AJ48,4)</f>
        <v/>
      </c>
      <c r="AF49" s="62" t="str">
        <f>LEFT(北段!AK48,4)</f>
        <v/>
      </c>
      <c r="AG49" s="62" t="str">
        <f>LEFT(北段!AL48,4)</f>
        <v/>
      </c>
      <c r="AH49" s="62" t="e">
        <f>LEFT(北段!#REF!,4)</f>
        <v>#REF!</v>
      </c>
      <c r="AI49" s="62" t="e">
        <f>LEFT(北段!#REF!,4)</f>
        <v>#REF!</v>
      </c>
      <c r="AJ49" s="62" t="e">
        <f>LEFT(北段!#REF!,4)</f>
        <v>#REF!</v>
      </c>
      <c r="AK49" s="62" t="e">
        <f>LEFT(北段!#REF!,4)</f>
        <v>#REF!</v>
      </c>
      <c r="AL49" s="62" t="e">
        <f>LEFT(北段!#REF!,4)</f>
        <v>#REF!</v>
      </c>
      <c r="AM49" s="62" t="e">
        <f>LEFT(北段!#REF!,4)</f>
        <v>#REF!</v>
      </c>
      <c r="AN49" s="62" t="e">
        <f>LEFT(北段!#REF!,4)</f>
        <v>#REF!</v>
      </c>
    </row>
    <row r="50" spans="1:40" s="36" customFormat="1" ht="43.5" customHeight="1">
      <c r="A50" s="125"/>
      <c r="B50" s="101" t="str">
        <f>LEFT(北段!B49,6)</f>
        <v>T02221</v>
      </c>
      <c r="C50" s="151" t="str">
        <f>VLOOKUP(B50,北段!B:C,2,FALSE)</f>
        <v>陳彥伶</v>
      </c>
      <c r="D50" s="62" t="str">
        <f>LEFT(北段!I49,4)</f>
        <v>03早</v>
      </c>
      <c r="E50" s="62" t="str">
        <f>LEFT(北段!J49,4)</f>
        <v>r'</v>
      </c>
      <c r="F50" s="62" t="str">
        <f>LEFT(北段!K49,4)</f>
        <v/>
      </c>
      <c r="G50" s="62" t="str">
        <f>LEFT(北段!L49,4)</f>
        <v/>
      </c>
      <c r="H50" s="62" t="str">
        <f>LEFT(北段!M49,4)</f>
        <v/>
      </c>
      <c r="I50" s="62" t="str">
        <f>LEFT(北段!N49,4)</f>
        <v/>
      </c>
      <c r="J50" s="62" t="str">
        <f>LEFT(北段!O49,4)</f>
        <v/>
      </c>
      <c r="K50" s="62" t="str">
        <f>LEFT(北段!P49,4)</f>
        <v/>
      </c>
      <c r="L50" s="62" t="str">
        <f>LEFT(北段!Q49,4)</f>
        <v/>
      </c>
      <c r="M50" s="62" t="str">
        <f>LEFT(北段!R49,4)</f>
        <v/>
      </c>
      <c r="N50" s="62" t="str">
        <f>LEFT(北段!S49,4)</f>
        <v/>
      </c>
      <c r="O50" s="62" t="str">
        <f>LEFT(北段!T49,4)</f>
        <v/>
      </c>
      <c r="P50" s="62" t="str">
        <f>LEFT(北段!U49,4)</f>
        <v/>
      </c>
      <c r="Q50" s="62" t="str">
        <f>LEFT(北段!V49,4)</f>
        <v/>
      </c>
      <c r="R50" s="62" t="str">
        <f>LEFT(北段!W49,4)</f>
        <v/>
      </c>
      <c r="S50" s="62" t="str">
        <f>LEFT(北段!X49,4)</f>
        <v/>
      </c>
      <c r="T50" s="62" t="str">
        <f>LEFT(北段!Y49,4)</f>
        <v/>
      </c>
      <c r="U50" s="62" t="str">
        <f>LEFT(北段!Z49,4)</f>
        <v/>
      </c>
      <c r="V50" s="62" t="str">
        <f>LEFT(北段!AA49,4)</f>
        <v/>
      </c>
      <c r="W50" s="62" t="str">
        <f>LEFT(北段!AB49,4)</f>
        <v/>
      </c>
      <c r="X50" s="62" t="str">
        <f>LEFT(北段!AC49,4)</f>
        <v/>
      </c>
      <c r="Y50" s="62" t="str">
        <f>LEFT(北段!AD49,4)</f>
        <v/>
      </c>
      <c r="Z50" s="62" t="str">
        <f>LEFT(北段!AE49,4)</f>
        <v/>
      </c>
      <c r="AA50" s="62" t="str">
        <f>LEFT(北段!AF49,4)</f>
        <v/>
      </c>
      <c r="AB50" s="62" t="str">
        <f>LEFT(北段!AG49,4)</f>
        <v/>
      </c>
      <c r="AC50" s="62" t="str">
        <f>LEFT(北段!AH49,4)</f>
        <v/>
      </c>
      <c r="AD50" s="62" t="str">
        <f>LEFT(北段!AI49,4)</f>
        <v/>
      </c>
      <c r="AE50" s="62" t="str">
        <f>LEFT(北段!AJ49,4)</f>
        <v/>
      </c>
      <c r="AF50" s="62" t="str">
        <f>LEFT(北段!AK49,4)</f>
        <v/>
      </c>
      <c r="AG50" s="62" t="str">
        <f>LEFT(北段!AL49,4)</f>
        <v/>
      </c>
      <c r="AH50" s="62" t="e">
        <f>LEFT(北段!#REF!,4)</f>
        <v>#REF!</v>
      </c>
      <c r="AI50" s="62" t="e">
        <f>LEFT(北段!#REF!,4)</f>
        <v>#REF!</v>
      </c>
      <c r="AJ50" s="62" t="e">
        <f>LEFT(北段!#REF!,4)</f>
        <v>#REF!</v>
      </c>
      <c r="AK50" s="62" t="e">
        <f>LEFT(北段!#REF!,4)</f>
        <v>#REF!</v>
      </c>
      <c r="AL50" s="62" t="e">
        <f>LEFT(北段!#REF!,4)</f>
        <v>#REF!</v>
      </c>
      <c r="AM50" s="62" t="e">
        <f>LEFT(北段!#REF!,4)</f>
        <v>#REF!</v>
      </c>
      <c r="AN50" s="62" t="e">
        <f>LEFT(北段!#REF!,4)</f>
        <v>#REF!</v>
      </c>
    </row>
    <row r="51" spans="1:40" ht="43.5" customHeight="1" thickBot="1">
      <c r="A51" s="127"/>
      <c r="B51" s="100" t="str">
        <f>LEFT(北段!B50,6)</f>
        <v>T02223</v>
      </c>
      <c r="C51" s="152" t="str">
        <f>VLOOKUP(B51,北段!B:C,2,FALSE)</f>
        <v>鄭景豪</v>
      </c>
      <c r="D51" s="62" t="str">
        <f>LEFT(北段!I50,4)</f>
        <v>P</v>
      </c>
      <c r="E51" s="62" t="str">
        <f>LEFT(北段!J50,4)</f>
        <v>r'</v>
      </c>
      <c r="F51" s="62" t="str">
        <f>LEFT(北段!K50,4)</f>
        <v/>
      </c>
      <c r="G51" s="62" t="str">
        <f>LEFT(北段!L50,4)</f>
        <v/>
      </c>
      <c r="H51" s="62" t="str">
        <f>LEFT(北段!M50,4)</f>
        <v/>
      </c>
      <c r="I51" s="62" t="str">
        <f>LEFT(北段!N50,4)</f>
        <v/>
      </c>
      <c r="J51" s="62" t="str">
        <f>LEFT(北段!O50,2)</f>
        <v/>
      </c>
      <c r="K51" s="62" t="str">
        <f>LEFT(北段!P50,4)</f>
        <v/>
      </c>
      <c r="L51" s="62" t="str">
        <f>LEFT(北段!Q50,4)</f>
        <v/>
      </c>
      <c r="M51" s="62" t="str">
        <f>LEFT(北段!R50,4)</f>
        <v/>
      </c>
      <c r="N51" s="62" t="str">
        <f>LEFT(北段!S50,4)</f>
        <v/>
      </c>
      <c r="O51" s="62" t="str">
        <f>LEFT(北段!T50,4)</f>
        <v/>
      </c>
      <c r="P51" s="62" t="str">
        <f>LEFT(北段!U50,4)</f>
        <v/>
      </c>
      <c r="Q51" s="62" t="str">
        <f>LEFT(北段!V50,4)</f>
        <v/>
      </c>
      <c r="R51" s="62" t="str">
        <f>LEFT(北段!W50,4)</f>
        <v/>
      </c>
      <c r="S51" s="62" t="str">
        <f>LEFT(北段!X50,4)</f>
        <v/>
      </c>
      <c r="T51" s="62" t="str">
        <f>LEFT(北段!Y50,4)</f>
        <v/>
      </c>
      <c r="U51" s="62" t="str">
        <f>LEFT(北段!Z50,4)</f>
        <v/>
      </c>
      <c r="V51" s="62" t="str">
        <f>LEFT(北段!AA50,3)</f>
        <v>勞安訓</v>
      </c>
      <c r="W51" s="62" t="str">
        <f>LEFT(北段!AB50,4)</f>
        <v/>
      </c>
      <c r="X51" s="62" t="str">
        <f>LEFT(北段!AC50,4)</f>
        <v/>
      </c>
      <c r="Y51" s="62" t="str">
        <f>LEFT(北段!AD50,4)</f>
        <v/>
      </c>
      <c r="Z51" s="62" t="str">
        <f>LEFT(北段!AE50,4)</f>
        <v/>
      </c>
      <c r="AA51" s="62" t="str">
        <f>LEFT(北段!AF50,4)</f>
        <v/>
      </c>
      <c r="AB51" s="62" t="str">
        <f>LEFT(北段!AG50,4)</f>
        <v/>
      </c>
      <c r="AC51" s="62" t="str">
        <f>LEFT(北段!AH50,4)</f>
        <v/>
      </c>
      <c r="AD51" s="62" t="str">
        <f>LEFT(北段!AI50,4)</f>
        <v/>
      </c>
      <c r="AE51" s="62" t="str">
        <f>LEFT(北段!AJ50,4)</f>
        <v/>
      </c>
      <c r="AF51" s="62" t="str">
        <f>LEFT(北段!AK50,4)</f>
        <v/>
      </c>
      <c r="AG51" s="62" t="str">
        <f>LEFT(北段!AL50,4)</f>
        <v/>
      </c>
      <c r="AH51" s="62" t="e">
        <f>LEFT(北段!#REF!,4)</f>
        <v>#REF!</v>
      </c>
      <c r="AI51" s="62" t="e">
        <f>LEFT(北段!#REF!,4)</f>
        <v>#REF!</v>
      </c>
      <c r="AJ51" s="62" t="e">
        <f>LEFT(北段!#REF!,4)</f>
        <v>#REF!</v>
      </c>
      <c r="AK51" s="62" t="e">
        <f>LEFT(北段!#REF!,4)</f>
        <v>#REF!</v>
      </c>
      <c r="AL51" s="62" t="e">
        <f>LEFT(北段!#REF!,4)</f>
        <v>#REF!</v>
      </c>
      <c r="AM51" s="62" t="e">
        <f>LEFT(北段!#REF!,4)</f>
        <v>#REF!</v>
      </c>
      <c r="AN51" s="62" t="e">
        <f>LEFT(北段!#REF!,4)</f>
        <v>#REF!</v>
      </c>
    </row>
    <row r="52" spans="1:40" ht="43.5" customHeight="1">
      <c r="A52" s="124"/>
      <c r="B52" s="121" t="str">
        <f>LEFT(北段!B51,6)</f>
        <v>T01083</v>
      </c>
      <c r="C52" s="153" t="str">
        <f>VLOOKUP(B52,北段!B:C,2,FALSE)</f>
        <v>趙中靖</v>
      </c>
      <c r="D52" s="62" t="str">
        <f>LEFT(北段!I51,4)</f>
        <v>P</v>
      </c>
      <c r="E52" s="62" t="str">
        <f>LEFT(北段!J51,7)</f>
        <v>04午</v>
      </c>
      <c r="F52" s="62" t="str">
        <f>LEFT(北段!K51,4)</f>
        <v/>
      </c>
      <c r="G52" s="62" t="str">
        <f>LEFT(北段!L51,4)</f>
        <v/>
      </c>
      <c r="H52" s="62" t="str">
        <f>LEFT(北段!M51,3)</f>
        <v/>
      </c>
      <c r="I52" s="62" t="str">
        <f>LEFT(北段!N51,4)</f>
        <v/>
      </c>
      <c r="J52" s="62" t="str">
        <f>LEFT(北段!O51,7)</f>
        <v/>
      </c>
      <c r="K52" s="62" t="str">
        <f>LEFT(北段!P51,4)</f>
        <v/>
      </c>
      <c r="L52" s="62" t="str">
        <f>LEFT(北段!Q51,3)</f>
        <v/>
      </c>
      <c r="M52" s="62" t="str">
        <f>LEFT(北段!R51,4)</f>
        <v/>
      </c>
      <c r="N52" s="62" t="str">
        <f>LEFT(北段!S51,4)</f>
        <v/>
      </c>
      <c r="O52" s="62" t="str">
        <f>LEFT(北段!T51,4)</f>
        <v/>
      </c>
      <c r="P52" s="62" t="str">
        <f>LEFT(北段!U51,7)</f>
        <v/>
      </c>
      <c r="Q52" s="62" t="str">
        <f>LEFT(北段!V51,3)</f>
        <v/>
      </c>
      <c r="R52" s="62" t="str">
        <f>LEFT(北段!W51,2)</f>
        <v/>
      </c>
      <c r="S52" s="62" t="str">
        <f>LEFT(北段!X51,4)</f>
        <v/>
      </c>
      <c r="T52" s="62" t="str">
        <f>LEFT(北段!Y51,4)</f>
        <v/>
      </c>
      <c r="U52" s="62" t="str">
        <f>LEFT(北段!Z51,4)</f>
        <v/>
      </c>
      <c r="V52" s="62" t="str">
        <f>LEFT(北段!AA51,4)</f>
        <v/>
      </c>
      <c r="W52" s="62" t="str">
        <f>LEFT(北段!AB51,4)</f>
        <v/>
      </c>
      <c r="X52" s="62" t="str">
        <f>LEFT(北段!AC51,4)</f>
        <v/>
      </c>
      <c r="Y52" s="62" t="str">
        <f>LEFT(北段!AD51,4)</f>
        <v/>
      </c>
      <c r="Z52" s="62" t="str">
        <f>LEFT(北段!AE51,8)</f>
        <v/>
      </c>
      <c r="AA52" s="62" t="str">
        <f>LEFT(北段!AF51,8)</f>
        <v/>
      </c>
      <c r="AB52" s="62" t="str">
        <f>LEFT(北段!AG51,4)</f>
        <v/>
      </c>
      <c r="AC52" s="62" t="str">
        <f>LEFT(北段!AH51,4)</f>
        <v/>
      </c>
      <c r="AD52" s="62" t="str">
        <f>LEFT(北段!AI51,8)</f>
        <v/>
      </c>
      <c r="AE52" s="62" t="str">
        <f>LEFT(北段!AJ51,8)</f>
        <v/>
      </c>
      <c r="AF52" s="62" t="str">
        <f>LEFT(北段!AK51,4)</f>
        <v/>
      </c>
      <c r="AG52" s="62" t="str">
        <f>LEFT(北段!AL51,4)</f>
        <v/>
      </c>
      <c r="AH52" s="62" t="e">
        <f>LEFT(北段!#REF!,4)</f>
        <v>#REF!</v>
      </c>
      <c r="AI52" s="62" t="e">
        <f>LEFT(北段!#REF!,4)</f>
        <v>#REF!</v>
      </c>
      <c r="AJ52" s="62" t="e">
        <f>LEFT(北段!#REF!,4)</f>
        <v>#REF!</v>
      </c>
      <c r="AK52" s="62" t="e">
        <f>LEFT(北段!#REF!,4)</f>
        <v>#REF!</v>
      </c>
      <c r="AL52" s="62" t="e">
        <f>LEFT(北段!#REF!,8)</f>
        <v>#REF!</v>
      </c>
      <c r="AM52" s="62" t="e">
        <f>LEFT(北段!#REF!,4)</f>
        <v>#REF!</v>
      </c>
      <c r="AN52" s="62" t="e">
        <f>LEFT(北段!#REF!,4)</f>
        <v>#REF!</v>
      </c>
    </row>
    <row r="53" spans="1:40" ht="43.5" customHeight="1">
      <c r="A53" s="125"/>
      <c r="B53" s="101" t="str">
        <f>LEFT(北段!B52,6)</f>
        <v>T00515</v>
      </c>
      <c r="C53" s="151" t="str">
        <f>VLOOKUP(B53,北段!B:C,2,FALSE)</f>
        <v>曾靜君</v>
      </c>
      <c r="D53" s="62" t="str">
        <f>LEFT(北段!I52,4)</f>
        <v>04夜</v>
      </c>
      <c r="E53" s="62" t="str">
        <f>LEFT(北段!J52,4)</f>
        <v>04夜</v>
      </c>
      <c r="F53" s="62" t="str">
        <f>LEFT(北段!K52,4)</f>
        <v/>
      </c>
      <c r="G53" s="62" t="str">
        <f>LEFT(北段!L52,3)</f>
        <v/>
      </c>
      <c r="H53" s="62" t="str">
        <f>LEFT(北段!M52,4)</f>
        <v/>
      </c>
      <c r="I53" s="62" t="str">
        <f>LEFT(北段!N52,4)</f>
        <v/>
      </c>
      <c r="J53" s="62" t="str">
        <f>LEFT(北段!O52,4)</f>
        <v/>
      </c>
      <c r="K53" s="62" t="str">
        <f>LEFT(北段!P52,4)</f>
        <v/>
      </c>
      <c r="L53" s="62" t="str">
        <f>LEFT(北段!Q52,4)</f>
        <v/>
      </c>
      <c r="M53" s="62" t="str">
        <f>LEFT(北段!R52,4)</f>
        <v/>
      </c>
      <c r="N53" s="62" t="str">
        <f>LEFT(北段!S52,4)</f>
        <v/>
      </c>
      <c r="O53" s="62" t="str">
        <f>LEFT(北段!T52,4)</f>
        <v/>
      </c>
      <c r="P53" s="62" t="str">
        <f>LEFT(北段!U52,4)</f>
        <v/>
      </c>
      <c r="Q53" s="62" t="str">
        <f>LEFT(北段!V52,4)</f>
        <v/>
      </c>
      <c r="R53" s="62" t="str">
        <f>LEFT(北段!W52,4)</f>
        <v/>
      </c>
      <c r="S53" s="62" t="str">
        <f>LEFT(北段!X52,4)</f>
        <v/>
      </c>
      <c r="T53" s="62" t="str">
        <f>LEFT(北段!Y52,4)</f>
        <v/>
      </c>
      <c r="U53" s="62" t="str">
        <f>LEFT(北段!Z52,4)</f>
        <v/>
      </c>
      <c r="V53" s="62" t="str">
        <f>LEFT(北段!AA52,4)</f>
        <v/>
      </c>
      <c r="W53" s="62" t="str">
        <f>LEFT(北段!AB52,4)</f>
        <v/>
      </c>
      <c r="X53" s="62" t="str">
        <f>LEFT(北段!AC52,4)</f>
        <v/>
      </c>
      <c r="Y53" s="62" t="str">
        <f>LEFT(北段!AD52,4)</f>
        <v/>
      </c>
      <c r="Z53" s="62" t="str">
        <f>LEFT(北段!AE52,4)</f>
        <v/>
      </c>
      <c r="AA53" s="62" t="str">
        <f>LEFT(北段!AF52,4)</f>
        <v/>
      </c>
      <c r="AB53" s="62" t="str">
        <f>LEFT(北段!AG52,4)</f>
        <v/>
      </c>
      <c r="AC53" s="62" t="str">
        <f>LEFT(北段!AH52,4)</f>
        <v/>
      </c>
      <c r="AD53" s="62" t="str">
        <f>LEFT(北段!AI52,4)</f>
        <v/>
      </c>
      <c r="AE53" s="62" t="str">
        <f>LEFT(北段!AJ52,4)</f>
        <v/>
      </c>
      <c r="AF53" s="62" t="str">
        <f>LEFT(北段!AK52,4)</f>
        <v/>
      </c>
      <c r="AG53" s="62" t="str">
        <f>LEFT(北段!AL52,4)</f>
        <v/>
      </c>
      <c r="AH53" s="62" t="e">
        <f>LEFT(北段!#REF!,4)</f>
        <v>#REF!</v>
      </c>
      <c r="AI53" s="62" t="e">
        <f>LEFT(北段!#REF!,4)</f>
        <v>#REF!</v>
      </c>
      <c r="AJ53" s="62" t="e">
        <f>LEFT(北段!#REF!,4)</f>
        <v>#REF!</v>
      </c>
      <c r="AK53" s="62" t="e">
        <f>LEFT(北段!#REF!,4)</f>
        <v>#REF!</v>
      </c>
      <c r="AL53" s="62" t="e">
        <f>LEFT(北段!#REF!,4)</f>
        <v>#REF!</v>
      </c>
      <c r="AM53" s="62" t="e">
        <f>LEFT(北段!#REF!,4)</f>
        <v>#REF!</v>
      </c>
      <c r="AN53" s="62" t="e">
        <f>LEFT(北段!#REF!,4)</f>
        <v>#REF!</v>
      </c>
    </row>
    <row r="54" spans="1:40" ht="43.5" customHeight="1">
      <c r="A54" s="125"/>
      <c r="B54" s="101" t="str">
        <f>LEFT(北段!B53,6)</f>
        <v>T00895</v>
      </c>
      <c r="C54" s="151" t="str">
        <f>VLOOKUP(B54,北段!B:C,2,FALSE)</f>
        <v>張鑫聰</v>
      </c>
      <c r="D54" s="62" t="str">
        <f>LEFT(北段!I53,4)</f>
        <v>04早</v>
      </c>
      <c r="E54" s="62" t="str">
        <f>LEFT(北段!J53,4)</f>
        <v>04早</v>
      </c>
      <c r="F54" s="62" t="str">
        <f>LEFT(北段!K53,4)</f>
        <v/>
      </c>
      <c r="G54" s="62" t="str">
        <f>LEFT(北段!L53,4)</f>
        <v/>
      </c>
      <c r="H54" s="62" t="str">
        <f>LEFT(北段!M53,4)</f>
        <v/>
      </c>
      <c r="I54" s="62" t="str">
        <f>LEFT(北段!N53,4)</f>
        <v/>
      </c>
      <c r="J54" s="62" t="str">
        <f>LEFT(北段!O53,3)</f>
        <v/>
      </c>
      <c r="K54" s="62" t="str">
        <f>LEFT(北段!P53,4)</f>
        <v/>
      </c>
      <c r="L54" s="62" t="str">
        <f>LEFT(北段!Q53,4)</f>
        <v/>
      </c>
      <c r="M54" s="62" t="str">
        <f>LEFT(北段!R53,4)</f>
        <v/>
      </c>
      <c r="N54" s="62" t="str">
        <f>LEFT(北段!S53,4)</f>
        <v/>
      </c>
      <c r="O54" s="62" t="str">
        <f>LEFT(北段!T53,4)</f>
        <v/>
      </c>
      <c r="P54" s="62" t="str">
        <f>LEFT(北段!U53,4)</f>
        <v/>
      </c>
      <c r="Q54" s="62" t="str">
        <f>LEFT(北段!V53,4)</f>
        <v/>
      </c>
      <c r="R54" s="62" t="str">
        <f>LEFT(北段!W53,4)</f>
        <v/>
      </c>
      <c r="S54" s="62" t="str">
        <f>LEFT(北段!X53,4)</f>
        <v/>
      </c>
      <c r="T54" s="62" t="str">
        <f>LEFT(北段!Y53,4)</f>
        <v/>
      </c>
      <c r="U54" s="62" t="str">
        <f>LEFT(北段!Z53,4)</f>
        <v/>
      </c>
      <c r="V54" s="62" t="str">
        <f>LEFT(北段!AA53,4)</f>
        <v/>
      </c>
      <c r="W54" s="62" t="str">
        <f>LEFT(北段!AB53,4)</f>
        <v/>
      </c>
      <c r="X54" s="62" t="str">
        <f>LEFT(北段!AC53,4)</f>
        <v/>
      </c>
      <c r="Y54" s="62" t="str">
        <f>LEFT(北段!AD53,4)</f>
        <v/>
      </c>
      <c r="Z54" s="62" t="str">
        <f>LEFT(北段!AE53,4)</f>
        <v/>
      </c>
      <c r="AA54" s="62" t="str">
        <f>LEFT(北段!AF53,4)</f>
        <v/>
      </c>
      <c r="AB54" s="62" t="str">
        <f>LEFT(北段!AG53,4)</f>
        <v/>
      </c>
      <c r="AC54" s="62" t="str">
        <f>LEFT(北段!AH53,4)</f>
        <v/>
      </c>
      <c r="AD54" s="62" t="str">
        <f>LEFT(北段!AI53,4)</f>
        <v/>
      </c>
      <c r="AE54" s="62" t="str">
        <f>LEFT(北段!AJ53,4)</f>
        <v/>
      </c>
      <c r="AF54" s="62" t="str">
        <f>LEFT(北段!AK53,4)</f>
        <v/>
      </c>
      <c r="AG54" s="62" t="str">
        <f>LEFT(北段!AL53,4)</f>
        <v/>
      </c>
      <c r="AH54" s="62" t="e">
        <f>LEFT(北段!#REF!,4)</f>
        <v>#REF!</v>
      </c>
      <c r="AI54" s="62" t="e">
        <f>LEFT(北段!#REF!,4)</f>
        <v>#REF!</v>
      </c>
      <c r="AJ54" s="62" t="e">
        <f>LEFT(北段!#REF!,4)</f>
        <v>#REF!</v>
      </c>
      <c r="AK54" s="62" t="e">
        <f>LEFT(北段!#REF!,4)</f>
        <v>#REF!</v>
      </c>
      <c r="AL54" s="62" t="e">
        <f>LEFT(北段!#REF!,4)</f>
        <v>#REF!</v>
      </c>
      <c r="AM54" s="62" t="e">
        <f>LEFT(北段!#REF!,4)</f>
        <v>#REF!</v>
      </c>
      <c r="AN54" s="62" t="e">
        <f>LEFT(北段!#REF!,4)</f>
        <v>#REF!</v>
      </c>
    </row>
    <row r="55" spans="1:40" ht="43.5" customHeight="1">
      <c r="A55" s="125"/>
      <c r="B55" s="101" t="str">
        <f>LEFT(北段!B54,6)</f>
        <v>T01066</v>
      </c>
      <c r="C55" s="151" t="str">
        <f>VLOOKUP(B55,北段!B:C,2,FALSE)</f>
        <v>陳瑞欽</v>
      </c>
      <c r="D55" s="62" t="str">
        <f>LEFT(北段!I54,4)</f>
        <v>L</v>
      </c>
      <c r="E55" s="62" t="str">
        <f>LEFT(北段!J54,4)</f>
        <v>r'</v>
      </c>
      <c r="F55" s="62" t="str">
        <f>LEFT(北段!K54,4)</f>
        <v/>
      </c>
      <c r="G55" s="62" t="str">
        <f>LEFT(北段!L54,3)</f>
        <v/>
      </c>
      <c r="H55" s="62" t="str">
        <f>LEFT(北段!M54,4)</f>
        <v/>
      </c>
      <c r="I55" s="62" t="str">
        <f>LEFT(北段!N54,4)</f>
        <v/>
      </c>
      <c r="J55" s="62" t="str">
        <f>LEFT(北段!O54,4)</f>
        <v/>
      </c>
      <c r="K55" s="62" t="str">
        <f>LEFT(北段!P54,4)</f>
        <v/>
      </c>
      <c r="L55" s="62" t="str">
        <f>LEFT(北段!Q54,3)</f>
        <v/>
      </c>
      <c r="M55" s="62" t="str">
        <f>LEFT(北段!R54,4)</f>
        <v/>
      </c>
      <c r="N55" s="62" t="str">
        <f>LEFT(北段!S54,4)</f>
        <v/>
      </c>
      <c r="O55" s="62" t="str">
        <f>LEFT(北段!T54,3)</f>
        <v/>
      </c>
      <c r="P55" s="62" t="str">
        <f>LEFT(北段!U54,4)</f>
        <v/>
      </c>
      <c r="Q55" s="62" t="str">
        <f>LEFT(北段!V54,3)</f>
        <v/>
      </c>
      <c r="R55" s="62" t="str">
        <f>LEFT(北段!W54,4)</f>
        <v/>
      </c>
      <c r="S55" s="62" t="str">
        <f>LEFT(北段!X54,4)</f>
        <v/>
      </c>
      <c r="T55" s="62" t="str">
        <f>LEFT(北段!Y54,4)</f>
        <v/>
      </c>
      <c r="U55" s="62" t="str">
        <f>LEFT(北段!Z54,4)</f>
        <v/>
      </c>
      <c r="V55" s="62" t="str">
        <f>LEFT(北段!AA54,4)</f>
        <v/>
      </c>
      <c r="W55" s="62" t="str">
        <f>LEFT(北段!AB54,4)</f>
        <v/>
      </c>
      <c r="X55" s="62" t="str">
        <f>LEFT(北段!AC54,4)</f>
        <v/>
      </c>
      <c r="Y55" s="62" t="str">
        <f>LEFT(北段!AD54,4)</f>
        <v/>
      </c>
      <c r="Z55" s="62" t="str">
        <f>LEFT(北段!AE54,3)</f>
        <v/>
      </c>
      <c r="AA55" s="62" t="str">
        <f>LEFT(北段!AF54,4)</f>
        <v/>
      </c>
      <c r="AB55" s="62" t="str">
        <f>LEFT(北段!AG54,4)</f>
        <v/>
      </c>
      <c r="AC55" s="62" t="str">
        <f>LEFT(北段!AH54,4)</f>
        <v/>
      </c>
      <c r="AD55" s="62" t="str">
        <f>LEFT(北段!AI54,4)</f>
        <v/>
      </c>
      <c r="AE55" s="62" t="str">
        <f>LEFT(北段!AJ54,4)</f>
        <v/>
      </c>
      <c r="AF55" s="62" t="str">
        <f>LEFT(北段!AK54,4)</f>
        <v/>
      </c>
      <c r="AG55" s="62" t="str">
        <f>LEFT(北段!AL54,4)</f>
        <v/>
      </c>
      <c r="AH55" s="62" t="e">
        <f>LEFT(北段!#REF!,4)</f>
        <v>#REF!</v>
      </c>
      <c r="AI55" s="62" t="e">
        <f>LEFT(北段!#REF!,4)</f>
        <v>#REF!</v>
      </c>
      <c r="AJ55" s="62" t="e">
        <f>LEFT(北段!#REF!,4)</f>
        <v>#REF!</v>
      </c>
      <c r="AK55" s="62" t="e">
        <f>LEFT(北段!#REF!,4)</f>
        <v>#REF!</v>
      </c>
      <c r="AL55" s="62" t="e">
        <f>LEFT(北段!#REF!,4)</f>
        <v>#REF!</v>
      </c>
      <c r="AM55" s="62" t="e">
        <f>LEFT(北段!#REF!,4)</f>
        <v>#REF!</v>
      </c>
      <c r="AN55" s="62" t="e">
        <f>LEFT(北段!#REF!,4)</f>
        <v>#REF!</v>
      </c>
    </row>
    <row r="56" spans="1:40" s="36" customFormat="1" ht="43.5" customHeight="1">
      <c r="A56" s="125"/>
      <c r="B56" s="101" t="str">
        <f>LEFT(北段!B55,6)</f>
        <v>T01427</v>
      </c>
      <c r="C56" s="151" t="str">
        <f>VLOOKUP(B56,北段!B:C,2,FALSE)</f>
        <v>沈裕謙</v>
      </c>
      <c r="D56" s="62" t="str">
        <f>LEFT(北段!I55,4)</f>
        <v>04午</v>
      </c>
      <c r="E56" s="62" t="str">
        <f>LEFT(北段!J55,4)</f>
        <v>r'</v>
      </c>
      <c r="F56" s="62" t="str">
        <f>LEFT(北段!K55,4)</f>
        <v/>
      </c>
      <c r="G56" s="62" t="str">
        <f>LEFT(北段!L55,4)</f>
        <v/>
      </c>
      <c r="H56" s="62" t="str">
        <f>LEFT(北段!M55,4)</f>
        <v/>
      </c>
      <c r="I56" s="62" t="str">
        <f>LEFT(北段!N55,4)</f>
        <v/>
      </c>
      <c r="J56" s="62" t="str">
        <f>LEFT(北段!O55,1)</f>
        <v/>
      </c>
      <c r="K56" s="62" t="str">
        <f>LEFT(北段!P55,4)</f>
        <v/>
      </c>
      <c r="L56" s="62" t="str">
        <f>LEFT(北段!Q55,4)</f>
        <v/>
      </c>
      <c r="M56" s="62" t="str">
        <f>LEFT(北段!R55,4)</f>
        <v/>
      </c>
      <c r="N56" s="62" t="str">
        <f>LEFT(北段!S55,4)</f>
        <v/>
      </c>
      <c r="O56" s="62" t="str">
        <f>LEFT(北段!T55,4)</f>
        <v/>
      </c>
      <c r="P56" s="62" t="str">
        <f>LEFT(北段!U55,4)</f>
        <v/>
      </c>
      <c r="Q56" s="62" t="str">
        <f>LEFT(北段!V55,4)</f>
        <v/>
      </c>
      <c r="R56" s="62" t="str">
        <f>LEFT(北段!W55,4)</f>
        <v/>
      </c>
      <c r="S56" s="62" t="str">
        <f>LEFT(北段!X55,4)</f>
        <v/>
      </c>
      <c r="T56" s="62" t="str">
        <f>LEFT(北段!Y55,4)</f>
        <v/>
      </c>
      <c r="U56" s="62" t="str">
        <f>LEFT(北段!Z55,4)</f>
        <v/>
      </c>
      <c r="V56" s="62" t="str">
        <f>LEFT(北段!AA55,4)</f>
        <v>勞安訓</v>
      </c>
      <c r="W56" s="62" t="str">
        <f>LEFT(北段!AB55,4)</f>
        <v/>
      </c>
      <c r="X56" s="62" t="str">
        <f>LEFT(北段!AC55,4)</f>
        <v/>
      </c>
      <c r="Y56" s="62" t="str">
        <f>LEFT(北段!AD55,4)</f>
        <v/>
      </c>
      <c r="Z56" s="62" t="str">
        <f>LEFT(北段!AE55,4)</f>
        <v/>
      </c>
      <c r="AA56" s="62" t="str">
        <f>LEFT(北段!AF55,4)</f>
        <v/>
      </c>
      <c r="AB56" s="62" t="str">
        <f>LEFT(北段!AG55,4)</f>
        <v/>
      </c>
      <c r="AC56" s="62" t="str">
        <f>LEFT(北段!AH55,4)</f>
        <v/>
      </c>
      <c r="AD56" s="62" t="str">
        <f>LEFT(北段!AI55,4)</f>
        <v/>
      </c>
      <c r="AE56" s="62" t="str">
        <f>LEFT(北段!AJ55,4)</f>
        <v/>
      </c>
      <c r="AF56" s="62" t="str">
        <f>LEFT(北段!AK55,4)</f>
        <v/>
      </c>
      <c r="AG56" s="62" t="str">
        <f>LEFT(北段!AL55,4)</f>
        <v/>
      </c>
      <c r="AH56" s="62" t="e">
        <f>LEFT(北段!#REF!,4)</f>
        <v>#REF!</v>
      </c>
      <c r="AI56" s="62" t="e">
        <f>LEFT(北段!#REF!,4)</f>
        <v>#REF!</v>
      </c>
      <c r="AJ56" s="62" t="e">
        <f>LEFT(北段!#REF!,4)</f>
        <v>#REF!</v>
      </c>
      <c r="AK56" s="62" t="e">
        <f>LEFT(北段!#REF!,4)</f>
        <v>#REF!</v>
      </c>
      <c r="AL56" s="62" t="e">
        <f>LEFT(北段!#REF!,4)</f>
        <v>#REF!</v>
      </c>
      <c r="AM56" s="62" t="e">
        <f>LEFT(北段!#REF!,4)</f>
        <v>#REF!</v>
      </c>
      <c r="AN56" s="62" t="e">
        <f>LEFT(北段!#REF!,4)</f>
        <v>#REF!</v>
      </c>
    </row>
    <row r="57" spans="1:40" s="36" customFormat="1" ht="43.5" customHeight="1">
      <c r="A57" s="125"/>
      <c r="B57" s="101" t="str">
        <f>LEFT(北段!B56,6)</f>
        <v>T00501</v>
      </c>
      <c r="C57" s="151" t="str">
        <f>VLOOKUP(B57,北段!B:C,2,FALSE)</f>
        <v>林慧姍</v>
      </c>
      <c r="D57" s="62" t="str">
        <f>LEFT(北段!I56,4)</f>
        <v>L</v>
      </c>
      <c r="E57" s="62" t="str">
        <f>LEFT(北段!J56,4)</f>
        <v>r'</v>
      </c>
      <c r="F57" s="62" t="str">
        <f>LEFT(北段!K56,4)</f>
        <v/>
      </c>
      <c r="G57" s="62" t="str">
        <f>LEFT(北段!L56,4)</f>
        <v/>
      </c>
      <c r="H57" s="62" t="str">
        <f>LEFT(北段!M56,4)</f>
        <v/>
      </c>
      <c r="I57" s="62" t="str">
        <f>LEFT(北段!N56,4)</f>
        <v/>
      </c>
      <c r="J57" s="62" t="str">
        <f>LEFT(北段!O56,4)</f>
        <v/>
      </c>
      <c r="K57" s="62" t="str">
        <f>LEFT(北段!P56,4)</f>
        <v/>
      </c>
      <c r="L57" s="62" t="str">
        <f>LEFT(北段!Q56,4)</f>
        <v/>
      </c>
      <c r="M57" s="62" t="str">
        <f>LEFT(北段!R56,4)</f>
        <v/>
      </c>
      <c r="N57" s="62" t="str">
        <f>LEFT(北段!S56,4)</f>
        <v/>
      </c>
      <c r="O57" s="62" t="str">
        <f>LEFT(北段!T56,4)</f>
        <v/>
      </c>
      <c r="P57" s="62" t="str">
        <f>LEFT(北段!U56,4)</f>
        <v/>
      </c>
      <c r="Q57" s="62" t="str">
        <f>LEFT(北段!V56,4)</f>
        <v/>
      </c>
      <c r="R57" s="62" t="str">
        <f>LEFT(北段!W56,4)</f>
        <v/>
      </c>
      <c r="S57" s="62" t="str">
        <f>LEFT(北段!X56,4)</f>
        <v/>
      </c>
      <c r="T57" s="62" t="str">
        <f>LEFT(北段!Y56,4)</f>
        <v/>
      </c>
      <c r="U57" s="62" t="str">
        <f>LEFT(北段!Z56,4)</f>
        <v/>
      </c>
      <c r="V57" s="62" t="str">
        <f>LEFT(北段!AA56,4)</f>
        <v/>
      </c>
      <c r="W57" s="62" t="str">
        <f>LEFT(北段!AB56,4)</f>
        <v/>
      </c>
      <c r="X57" s="62" t="str">
        <f>LEFT(北段!AC56,4)</f>
        <v/>
      </c>
      <c r="Y57" s="62" t="str">
        <f>LEFT(北段!AD56,4)</f>
        <v/>
      </c>
      <c r="Z57" s="62" t="str">
        <f>LEFT(北段!AE56,4)</f>
        <v/>
      </c>
      <c r="AA57" s="62" t="str">
        <f>LEFT(北段!AF56,4)</f>
        <v/>
      </c>
      <c r="AB57" s="62" t="str">
        <f>LEFT(北段!AG56,4)</f>
        <v/>
      </c>
      <c r="AC57" s="62" t="str">
        <f>LEFT(北段!AH56,4)</f>
        <v/>
      </c>
      <c r="AD57" s="62" t="str">
        <f>LEFT(北段!AI56,4)</f>
        <v/>
      </c>
      <c r="AE57" s="62" t="str">
        <f>LEFT(北段!AJ56,4)</f>
        <v/>
      </c>
      <c r="AF57" s="62" t="str">
        <f>LEFT(北段!AK56,4)</f>
        <v/>
      </c>
      <c r="AG57" s="62" t="str">
        <f>LEFT(北段!AL56,4)</f>
        <v/>
      </c>
      <c r="AH57" s="62" t="e">
        <f>LEFT(北段!#REF!,4)</f>
        <v>#REF!</v>
      </c>
      <c r="AI57" s="62" t="e">
        <f>LEFT(北段!#REF!,4)</f>
        <v>#REF!</v>
      </c>
      <c r="AJ57" s="62" t="e">
        <f>LEFT(北段!#REF!,4)</f>
        <v>#REF!</v>
      </c>
      <c r="AK57" s="62" t="e">
        <f>LEFT(北段!#REF!,4)</f>
        <v>#REF!</v>
      </c>
      <c r="AL57" s="62" t="e">
        <f>LEFT(北段!#REF!,4)</f>
        <v>#REF!</v>
      </c>
      <c r="AM57" s="62" t="e">
        <f>LEFT(北段!#REF!,4)</f>
        <v>#REF!</v>
      </c>
      <c r="AN57" s="62" t="e">
        <f>LEFT(北段!#REF!,4)</f>
        <v>#REF!</v>
      </c>
    </row>
    <row r="58" spans="1:40" ht="43.5" customHeight="1">
      <c r="A58" s="125"/>
      <c r="B58" s="101" t="str">
        <f>LEFT(北段!B57,6)</f>
        <v>T00925</v>
      </c>
      <c r="C58" s="151" t="str">
        <f>VLOOKUP(B58,北段!B:C,2,FALSE)</f>
        <v>鄭淑玲</v>
      </c>
      <c r="D58" s="62" t="str">
        <f>LEFT(北段!I57,4)</f>
        <v>04中A</v>
      </c>
      <c r="E58" s="62" t="str">
        <f>LEFT(北段!J57,4)</f>
        <v>r'</v>
      </c>
      <c r="F58" s="62" t="str">
        <f>LEFT(北段!K57,4)</f>
        <v/>
      </c>
      <c r="G58" s="62" t="str">
        <f>LEFT(北段!L57,4)</f>
        <v/>
      </c>
      <c r="H58" s="62" t="str">
        <f>LEFT(北段!M57,4)</f>
        <v/>
      </c>
      <c r="I58" s="62" t="str">
        <f>LEFT(北段!N57,4)</f>
        <v/>
      </c>
      <c r="J58" s="62" t="str">
        <f>LEFT(北段!O57,3)</f>
        <v/>
      </c>
      <c r="K58" s="62" t="str">
        <f>LEFT(北段!P57,4)</f>
        <v/>
      </c>
      <c r="L58" s="62" t="str">
        <f>LEFT(北段!Q57,4)</f>
        <v/>
      </c>
      <c r="M58" s="62" t="str">
        <f>LEFT(北段!R57,4)</f>
        <v/>
      </c>
      <c r="N58" s="62" t="str">
        <f>LEFT(北段!S57,4)</f>
        <v/>
      </c>
      <c r="O58" s="62" t="str">
        <f>LEFT(北段!T57,4)</f>
        <v/>
      </c>
      <c r="P58" s="62" t="str">
        <f>LEFT(北段!U57,4)</f>
        <v/>
      </c>
      <c r="Q58" s="62" t="str">
        <f>LEFT(北段!V57,3)</f>
        <v/>
      </c>
      <c r="R58" s="62" t="str">
        <f>LEFT(北段!W57,4)</f>
        <v/>
      </c>
      <c r="S58" s="62" t="str">
        <f>LEFT(北段!X57,4)</f>
        <v/>
      </c>
      <c r="T58" s="62" t="str">
        <f>LEFT(北段!Y57,4)</f>
        <v/>
      </c>
      <c r="U58" s="62" t="str">
        <f>LEFT(北段!Z57,4)</f>
        <v/>
      </c>
      <c r="V58" s="62" t="str">
        <f>LEFT(北段!AA57,4)</f>
        <v>勞安訓</v>
      </c>
      <c r="W58" s="62" t="str">
        <f>LEFT(北段!AB57,4)</f>
        <v/>
      </c>
      <c r="X58" s="62" t="str">
        <f>LEFT(北段!AC57,4)</f>
        <v/>
      </c>
      <c r="Y58" s="62" t="str">
        <f>LEFT(北段!AD57,4)</f>
        <v/>
      </c>
      <c r="Z58" s="62" t="str">
        <f>LEFT(北段!AE57,4)</f>
        <v/>
      </c>
      <c r="AA58" s="62" t="str">
        <f>LEFT(北段!AF57,4)</f>
        <v/>
      </c>
      <c r="AB58" s="62" t="str">
        <f>LEFT(北段!AG57,4)</f>
        <v/>
      </c>
      <c r="AC58" s="62" t="str">
        <f>LEFT(北段!AH57,4)</f>
        <v/>
      </c>
      <c r="AD58" s="62" t="str">
        <f>LEFT(北段!AI57,4)</f>
        <v/>
      </c>
      <c r="AE58" s="62" t="str">
        <f>LEFT(北段!AJ57,4)</f>
        <v/>
      </c>
      <c r="AF58" s="62" t="str">
        <f>LEFT(北段!AK57,4)</f>
        <v/>
      </c>
      <c r="AG58" s="62" t="str">
        <f>LEFT(北段!AL57,4)</f>
        <v/>
      </c>
      <c r="AH58" s="62" t="e">
        <f>LEFT(北段!#REF!,4)</f>
        <v>#REF!</v>
      </c>
      <c r="AI58" s="62" t="e">
        <f>LEFT(北段!#REF!,4)</f>
        <v>#REF!</v>
      </c>
      <c r="AJ58" s="62" t="e">
        <f>LEFT(北段!#REF!,4)</f>
        <v>#REF!</v>
      </c>
      <c r="AK58" s="62" t="e">
        <f>LEFT(北段!#REF!,4)</f>
        <v>#REF!</v>
      </c>
      <c r="AL58" s="62" t="e">
        <f>LEFT(北段!#REF!,4)</f>
        <v>#REF!</v>
      </c>
      <c r="AM58" s="62" t="e">
        <f>LEFT(北段!#REF!,4)</f>
        <v>#REF!</v>
      </c>
      <c r="AN58" s="62" t="e">
        <f>LEFT(北段!#REF!,4)</f>
        <v>#REF!</v>
      </c>
    </row>
    <row r="59" spans="1:40" ht="43.5" customHeight="1" thickBot="1">
      <c r="A59" s="127"/>
      <c r="B59" s="100" t="str">
        <f>LEFT(北段!B58,6)</f>
        <v>T01426</v>
      </c>
      <c r="C59" s="152" t="str">
        <f>VLOOKUP(B59,北段!B:C,2,FALSE)</f>
        <v>林怡輝</v>
      </c>
      <c r="D59" s="62" t="str">
        <f>LEFT(北段!I58,4)</f>
        <v>r'</v>
      </c>
      <c r="E59" s="62" t="str">
        <f>LEFT(北段!J58,4)</f>
        <v>04中A</v>
      </c>
      <c r="F59" s="62" t="str">
        <f>LEFT(北段!K58,4)</f>
        <v/>
      </c>
      <c r="G59" s="62" t="str">
        <f>LEFT(北段!L58,4)</f>
        <v/>
      </c>
      <c r="H59" s="62" t="str">
        <f>LEFT(北段!M58,4)</f>
        <v/>
      </c>
      <c r="I59" s="62" t="str">
        <f>LEFT(北段!N58,4)</f>
        <v/>
      </c>
      <c r="J59" s="62" t="str">
        <f>LEFT(北段!O58,4)</f>
        <v/>
      </c>
      <c r="K59" s="62" t="str">
        <f>LEFT(北段!P58,4)</f>
        <v/>
      </c>
      <c r="L59" s="62" t="str">
        <f>LEFT(北段!Q58,4)</f>
        <v/>
      </c>
      <c r="M59" s="62" t="str">
        <f>LEFT(北段!R58,4)</f>
        <v/>
      </c>
      <c r="N59" s="62" t="str">
        <f>LEFT(北段!S58,4)</f>
        <v/>
      </c>
      <c r="O59" s="62" t="str">
        <f>LEFT(北段!T58,4)</f>
        <v/>
      </c>
      <c r="P59" s="62" t="str">
        <f>LEFT(北段!U58,4)</f>
        <v/>
      </c>
      <c r="Q59" s="62" t="str">
        <f>LEFT(北段!V58,4)</f>
        <v/>
      </c>
      <c r="R59" s="62" t="str">
        <f>LEFT(北段!W58,4)</f>
        <v/>
      </c>
      <c r="S59" s="62" t="str">
        <f>LEFT(北段!X58,4)</f>
        <v/>
      </c>
      <c r="T59" s="62" t="str">
        <f>LEFT(北段!Y58,4)</f>
        <v/>
      </c>
      <c r="U59" s="62" t="str">
        <f>LEFT(北段!Z58,4)</f>
        <v/>
      </c>
      <c r="V59" s="62" t="str">
        <f>LEFT(北段!AA58,4)</f>
        <v/>
      </c>
      <c r="W59" s="62" t="str">
        <f>LEFT(北段!AB58,4)</f>
        <v/>
      </c>
      <c r="X59" s="62" t="str">
        <f>LEFT(北段!AC58,4)</f>
        <v/>
      </c>
      <c r="Y59" s="62" t="str">
        <f>LEFT(北段!AD58,4)</f>
        <v/>
      </c>
      <c r="Z59" s="62" t="str">
        <f>LEFT(北段!AE58,4)</f>
        <v/>
      </c>
      <c r="AA59" s="62" t="str">
        <f>LEFT(北段!AF58,4)</f>
        <v/>
      </c>
      <c r="AB59" s="62" t="str">
        <f>LEFT(北段!AG58,4)</f>
        <v/>
      </c>
      <c r="AC59" s="62" t="str">
        <f>LEFT(北段!AH58,4)</f>
        <v/>
      </c>
      <c r="AD59" s="62" t="str">
        <f>LEFT(北段!AI58,4)</f>
        <v/>
      </c>
      <c r="AE59" s="62" t="str">
        <f>LEFT(北段!AJ58,4)</f>
        <v/>
      </c>
      <c r="AF59" s="62" t="str">
        <f>LEFT(北段!AK58,4)</f>
        <v/>
      </c>
      <c r="AG59" s="62" t="str">
        <f>LEFT(北段!AL58,4)</f>
        <v/>
      </c>
      <c r="AH59" s="62" t="e">
        <f>LEFT(北段!#REF!,4)</f>
        <v>#REF!</v>
      </c>
      <c r="AI59" s="62" t="e">
        <f>LEFT(北段!#REF!,4)</f>
        <v>#REF!</v>
      </c>
      <c r="AJ59" s="62" t="e">
        <f>LEFT(北段!#REF!,4)</f>
        <v>#REF!</v>
      </c>
      <c r="AK59" s="62" t="e">
        <f>LEFT(北段!#REF!,4)</f>
        <v>#REF!</v>
      </c>
      <c r="AL59" s="62" t="e">
        <f>LEFT(北段!#REF!,4)</f>
        <v>#REF!</v>
      </c>
      <c r="AM59" s="62" t="e">
        <f>LEFT(北段!#REF!,4)</f>
        <v>#REF!</v>
      </c>
      <c r="AN59" s="62" t="e">
        <f>LEFT(北段!#REF!,4)</f>
        <v>#REF!</v>
      </c>
    </row>
    <row r="60" spans="1:40" ht="43.5" customHeight="1">
      <c r="A60" s="124"/>
      <c r="B60" s="121" t="str">
        <f>LEFT(北段!B59,6)</f>
        <v>T00487</v>
      </c>
      <c r="C60" s="153" t="str">
        <f>VLOOKUP(B60,北段!B:C,2,FALSE)</f>
        <v>余柏翰</v>
      </c>
      <c r="D60" s="62" t="str">
        <f>LEFT(北段!I59,4)</f>
        <v>05夜</v>
      </c>
      <c r="E60" s="62" t="str">
        <f>LEFT(北段!J59,4)</f>
        <v>r'</v>
      </c>
      <c r="F60" s="62" t="str">
        <f>LEFT(北段!K59,4)</f>
        <v/>
      </c>
      <c r="G60" s="62" t="str">
        <f>LEFT(北段!L59,3)</f>
        <v/>
      </c>
      <c r="H60" s="62" t="str">
        <f>LEFT(北段!M59,4)</f>
        <v/>
      </c>
      <c r="I60" s="62" t="str">
        <f>LEFT(北段!N59,4)</f>
        <v/>
      </c>
      <c r="J60" s="62" t="str">
        <f>LEFT(北段!O59,4)</f>
        <v/>
      </c>
      <c r="K60" s="62" t="str">
        <f>LEFT(北段!P59,4)</f>
        <v/>
      </c>
      <c r="L60" s="62" t="str">
        <f>LEFT(北段!Q59,4)</f>
        <v/>
      </c>
      <c r="M60" s="62" t="str">
        <f>LEFT(北段!R59,4)</f>
        <v/>
      </c>
      <c r="N60" s="62" t="str">
        <f>LEFT(北段!S59,4)</f>
        <v/>
      </c>
      <c r="O60" s="62" t="str">
        <f>LEFT(北段!T59,4)</f>
        <v/>
      </c>
      <c r="P60" s="62" t="str">
        <f>LEFT(北段!U59,4)</f>
        <v/>
      </c>
      <c r="Q60" s="62" t="str">
        <f>LEFT(北段!V59,4)</f>
        <v/>
      </c>
      <c r="R60" s="62" t="str">
        <f>LEFT(北段!W59,4)</f>
        <v/>
      </c>
      <c r="S60" s="62" t="str">
        <f>LEFT(北段!X59,4)</f>
        <v/>
      </c>
      <c r="T60" s="62" t="str">
        <f>LEFT(北段!Y59,4)</f>
        <v/>
      </c>
      <c r="U60" s="62" t="str">
        <f>LEFT(北段!Z59,4)</f>
        <v/>
      </c>
      <c r="V60" s="62" t="str">
        <f>LEFT(北段!AA59,4)</f>
        <v/>
      </c>
      <c r="W60" s="62" t="str">
        <f>LEFT(北段!AB59,4)</f>
        <v/>
      </c>
      <c r="X60" s="62" t="str">
        <f>LEFT(北段!AC59,4)</f>
        <v/>
      </c>
      <c r="Y60" s="62" t="str">
        <f>LEFT(北段!AD59,4)</f>
        <v/>
      </c>
      <c r="Z60" s="62" t="str">
        <f>LEFT(北段!AE59,4)</f>
        <v/>
      </c>
      <c r="AA60" s="62" t="str">
        <f>LEFT(北段!AF59,4)</f>
        <v/>
      </c>
      <c r="AB60" s="62" t="str">
        <f>LEFT(北段!AG59,4)</f>
        <v/>
      </c>
      <c r="AC60" s="62" t="str">
        <f>LEFT(北段!AH59,4)</f>
        <v/>
      </c>
      <c r="AD60" s="62" t="str">
        <f>LEFT(北段!AI59,4)</f>
        <v/>
      </c>
      <c r="AE60" s="62" t="str">
        <f>LEFT(北段!AJ59,4)</f>
        <v/>
      </c>
      <c r="AF60" s="62" t="str">
        <f>LEFT(北段!AK59,4)</f>
        <v/>
      </c>
      <c r="AG60" s="62" t="str">
        <f>LEFT(北段!AL59,4)</f>
        <v/>
      </c>
      <c r="AH60" s="62" t="e">
        <f>LEFT(北段!#REF!,4)</f>
        <v>#REF!</v>
      </c>
      <c r="AI60" s="62" t="e">
        <f>LEFT(北段!#REF!,4)</f>
        <v>#REF!</v>
      </c>
      <c r="AJ60" s="62" t="e">
        <f>LEFT(北段!#REF!,4)</f>
        <v>#REF!</v>
      </c>
      <c r="AK60" s="62" t="e">
        <f>LEFT(北段!#REF!,4)</f>
        <v>#REF!</v>
      </c>
      <c r="AL60" s="62" t="e">
        <f>LEFT(北段!#REF!,8)</f>
        <v>#REF!</v>
      </c>
      <c r="AM60" s="62" t="e">
        <f>LEFT(北段!#REF!,4)</f>
        <v>#REF!</v>
      </c>
      <c r="AN60" s="62" t="e">
        <f>LEFT(北段!#REF!,4)</f>
        <v>#REF!</v>
      </c>
    </row>
    <row r="61" spans="1:40" ht="43.5" customHeight="1">
      <c r="A61" s="125"/>
      <c r="B61" s="101" t="str">
        <f>LEFT(北段!B60,6)</f>
        <v>T00506</v>
      </c>
      <c r="C61" s="151" t="str">
        <f>VLOOKUP(B61,北段!B:C,2,FALSE)</f>
        <v>高雅婷</v>
      </c>
      <c r="D61" s="62" t="str">
        <f>LEFT(北段!I60,4)</f>
        <v>05早</v>
      </c>
      <c r="E61" s="62" t="str">
        <f>LEFT(北段!J60,4)</f>
        <v>05早</v>
      </c>
      <c r="F61" s="62" t="str">
        <f>LEFT(北段!K60,4)</f>
        <v/>
      </c>
      <c r="G61" s="62" t="str">
        <f>LEFT(北段!L60,3)</f>
        <v/>
      </c>
      <c r="H61" s="62" t="str">
        <f>LEFT(北段!M60,4)</f>
        <v/>
      </c>
      <c r="I61" s="62" t="str">
        <f>LEFT(北段!N60,4)</f>
        <v/>
      </c>
      <c r="J61" s="62" t="str">
        <f>LEFT(北段!O60,4)</f>
        <v/>
      </c>
      <c r="K61" s="62" t="str">
        <f>LEFT(北段!P60,4)</f>
        <v/>
      </c>
      <c r="L61" s="62" t="str">
        <f>LEFT(北段!Q60,4)</f>
        <v/>
      </c>
      <c r="M61" s="62" t="str">
        <f>LEFT(北段!R60,8)</f>
        <v/>
      </c>
      <c r="N61" s="62" t="str">
        <f>LEFT(北段!S60,4)</f>
        <v/>
      </c>
      <c r="O61" s="62" t="str">
        <f>LEFT(北段!T60,4)</f>
        <v/>
      </c>
      <c r="P61" s="62" t="str">
        <f>LEFT(北段!U60,4)</f>
        <v/>
      </c>
      <c r="Q61" s="62" t="str">
        <f>LEFT(北段!V60,4)</f>
        <v/>
      </c>
      <c r="R61" s="62" t="str">
        <f>LEFT(北段!W60,4)</f>
        <v/>
      </c>
      <c r="S61" s="62" t="str">
        <f>LEFT(北段!X60,4)</f>
        <v/>
      </c>
      <c r="T61" s="62" t="str">
        <f>LEFT(北段!Y60,4)</f>
        <v/>
      </c>
      <c r="U61" s="62" t="str">
        <f>LEFT(北段!Z60,4)</f>
        <v/>
      </c>
      <c r="V61" s="62" t="str">
        <f>LEFT(北段!AA60,4)</f>
        <v/>
      </c>
      <c r="W61" s="62" t="str">
        <f>LEFT(北段!AB60,4)</f>
        <v/>
      </c>
      <c r="X61" s="62" t="str">
        <f>LEFT(北段!AC60,4)</f>
        <v/>
      </c>
      <c r="Y61" s="62" t="str">
        <f>LEFT(北段!AD60,4)</f>
        <v/>
      </c>
      <c r="Z61" s="62" t="str">
        <f>LEFT(北段!AE60,4)</f>
        <v/>
      </c>
      <c r="AA61" s="62" t="str">
        <f>LEFT(北段!AF60,4)</f>
        <v/>
      </c>
      <c r="AB61" s="62" t="str">
        <f>LEFT(北段!AG60,4)</f>
        <v/>
      </c>
      <c r="AC61" s="62" t="str">
        <f>LEFT(北段!AH60,4)</f>
        <v/>
      </c>
      <c r="AD61" s="62" t="str">
        <f>LEFT(北段!AI60,4)</f>
        <v/>
      </c>
      <c r="AE61" s="62" t="str">
        <f>LEFT(北段!AJ60,4)</f>
        <v/>
      </c>
      <c r="AF61" s="62" t="str">
        <f>LEFT(北段!AK60,4)</f>
        <v/>
      </c>
      <c r="AG61" s="62" t="str">
        <f>LEFT(北段!AL60,4)</f>
        <v/>
      </c>
      <c r="AH61" s="62" t="e">
        <f>LEFT(北段!#REF!,4)</f>
        <v>#REF!</v>
      </c>
      <c r="AI61" s="62" t="e">
        <f>LEFT(北段!#REF!,4)</f>
        <v>#REF!</v>
      </c>
      <c r="AJ61" s="62" t="e">
        <f>LEFT(北段!#REF!,4)</f>
        <v>#REF!</v>
      </c>
      <c r="AK61" s="62" t="e">
        <f>LEFT(北段!#REF!,4)</f>
        <v>#REF!</v>
      </c>
      <c r="AL61" s="62" t="e">
        <f>LEFT(北段!#REF!,4)</f>
        <v>#REF!</v>
      </c>
      <c r="AM61" s="62" t="e">
        <f>LEFT(北段!#REF!,4)</f>
        <v>#REF!</v>
      </c>
      <c r="AN61" s="62" t="e">
        <f>LEFT(北段!#REF!,4)</f>
        <v>#REF!</v>
      </c>
    </row>
    <row r="62" spans="1:40" ht="43.5" customHeight="1">
      <c r="A62" s="125"/>
      <c r="B62" s="101" t="str">
        <f>LEFT(北段!B61,6)</f>
        <v>T00839</v>
      </c>
      <c r="C62" s="151" t="str">
        <f>VLOOKUP(B62,北段!B:C,2,FALSE)</f>
        <v>蘇雅惠</v>
      </c>
      <c r="D62" s="62" t="str">
        <f>LEFT(北段!I61,4)</f>
        <v>r'</v>
      </c>
      <c r="E62" s="62" t="str">
        <f>LEFT(北段!J61,4)</f>
        <v>05夜</v>
      </c>
      <c r="F62" s="62" t="str">
        <f>LEFT(北段!K61,4)</f>
        <v/>
      </c>
      <c r="G62" s="62" t="str">
        <f>LEFT(北段!L61,4)</f>
        <v/>
      </c>
      <c r="H62" s="62" t="str">
        <f>LEFT(北段!M61,4)</f>
        <v/>
      </c>
      <c r="I62" s="62" t="str">
        <f>LEFT(北段!N61,4)</f>
        <v/>
      </c>
      <c r="J62" s="62" t="str">
        <f>LEFT(北段!O61,4)</f>
        <v/>
      </c>
      <c r="K62" s="62" t="str">
        <f>LEFT(北段!P61,4)</f>
        <v/>
      </c>
      <c r="L62" s="62" t="str">
        <f>LEFT(北段!Q61,4)</f>
        <v/>
      </c>
      <c r="M62" s="62" t="str">
        <f>LEFT(北段!R61,4)</f>
        <v/>
      </c>
      <c r="N62" s="62" t="str">
        <f>LEFT(北段!S61,4)</f>
        <v/>
      </c>
      <c r="O62" s="62" t="str">
        <f>LEFT(北段!T61,4)</f>
        <v/>
      </c>
      <c r="P62" s="62" t="str">
        <f>LEFT(北段!U61,4)</f>
        <v/>
      </c>
      <c r="Q62" s="62" t="str">
        <f>LEFT(北段!V61,4)</f>
        <v/>
      </c>
      <c r="R62" s="62" t="str">
        <f>LEFT(北段!W61,4)</f>
        <v/>
      </c>
      <c r="S62" s="62" t="str">
        <f>LEFT(北段!X61,4)</f>
        <v/>
      </c>
      <c r="T62" s="62" t="str">
        <f>LEFT(北段!Y61,4)</f>
        <v/>
      </c>
      <c r="U62" s="62" t="str">
        <f>LEFT(北段!Z61,4)</f>
        <v/>
      </c>
      <c r="V62" s="62" t="str">
        <f>LEFT(北段!AA61,4)</f>
        <v/>
      </c>
      <c r="W62" s="62" t="str">
        <f>LEFT(北段!AB61,4)</f>
        <v/>
      </c>
      <c r="X62" s="62" t="str">
        <f>LEFT(北段!AC61,4)</f>
        <v/>
      </c>
      <c r="Y62" s="62" t="str">
        <f>LEFT(北段!AD61,4)</f>
        <v/>
      </c>
      <c r="Z62" s="62" t="str">
        <f>LEFT(北段!AE61,4)</f>
        <v/>
      </c>
      <c r="AA62" s="62" t="str">
        <f>LEFT(北段!AF61,4)</f>
        <v/>
      </c>
      <c r="AB62" s="62" t="str">
        <f>LEFT(北段!AG61,4)</f>
        <v/>
      </c>
      <c r="AC62" s="62" t="str">
        <f>LEFT(北段!AH61,4)</f>
        <v/>
      </c>
      <c r="AD62" s="62" t="str">
        <f>LEFT(北段!AI61,4)</f>
        <v/>
      </c>
      <c r="AE62" s="62" t="str">
        <f>LEFT(北段!AJ61,4)</f>
        <v/>
      </c>
      <c r="AF62" s="62" t="str">
        <f>LEFT(北段!AK61,4)</f>
        <v/>
      </c>
      <c r="AG62" s="62" t="str">
        <f>LEFT(北段!AL61,4)</f>
        <v/>
      </c>
      <c r="AH62" s="62" t="e">
        <f>LEFT(北段!#REF!,4)</f>
        <v>#REF!</v>
      </c>
      <c r="AI62" s="62" t="e">
        <f>LEFT(北段!#REF!,4)</f>
        <v>#REF!</v>
      </c>
      <c r="AJ62" s="62" t="e">
        <f>LEFT(北段!#REF!,4)</f>
        <v>#REF!</v>
      </c>
      <c r="AK62" s="62" t="e">
        <f>LEFT(北段!#REF!,4)</f>
        <v>#REF!</v>
      </c>
      <c r="AL62" s="62" t="e">
        <f>LEFT(北段!#REF!,4)</f>
        <v>#REF!</v>
      </c>
      <c r="AM62" s="62" t="e">
        <f>LEFT(北段!#REF!,4)</f>
        <v>#REF!</v>
      </c>
      <c r="AN62" s="62" t="e">
        <f>LEFT(北段!#REF!,4)</f>
        <v>#REF!</v>
      </c>
    </row>
    <row r="63" spans="1:40" ht="43.5" customHeight="1">
      <c r="A63" s="125"/>
      <c r="B63" s="101" t="str">
        <f>LEFT(北段!B62,6)</f>
        <v>T02362</v>
      </c>
      <c r="C63" s="151" t="str">
        <f>VLOOKUP(B63,北段!B:C,2,FALSE)</f>
        <v>簡維頤</v>
      </c>
      <c r="D63" s="62" t="str">
        <f>LEFT(北段!I62,4)</f>
        <v>05午</v>
      </c>
      <c r="E63" s="62" t="str">
        <f>LEFT(北段!J62,4)</f>
        <v>05午</v>
      </c>
      <c r="F63" s="62" t="str">
        <f>LEFT(北段!K62,4)</f>
        <v/>
      </c>
      <c r="G63" s="62" t="str">
        <f>LEFT(北段!L62,4)</f>
        <v/>
      </c>
      <c r="H63" s="62" t="str">
        <f>LEFT(北段!M62,4)</f>
        <v/>
      </c>
      <c r="I63" s="62" t="str">
        <f>LEFT(北段!N62,4)</f>
        <v/>
      </c>
      <c r="J63" s="62" t="str">
        <f>LEFT(北段!O62,4)</f>
        <v/>
      </c>
      <c r="K63" s="62" t="str">
        <f>LEFT(北段!P62,4)</f>
        <v/>
      </c>
      <c r="L63" s="62" t="str">
        <f>LEFT(北段!Q62,4)</f>
        <v/>
      </c>
      <c r="M63" s="62" t="str">
        <f>LEFT(北段!R62,4)</f>
        <v/>
      </c>
      <c r="N63" s="62" t="str">
        <f>LEFT(北段!S62,4)</f>
        <v/>
      </c>
      <c r="O63" s="62" t="str">
        <f>LEFT(北段!T62,4)</f>
        <v/>
      </c>
      <c r="P63" s="62" t="str">
        <f>LEFT(北段!U62,4)</f>
        <v/>
      </c>
      <c r="Q63" s="62" t="str">
        <f>LEFT(北段!V62,4)</f>
        <v/>
      </c>
      <c r="R63" s="62" t="str">
        <f>LEFT(北段!W62,4)</f>
        <v/>
      </c>
      <c r="S63" s="62" t="str">
        <f>LEFT(北段!X62,4)</f>
        <v/>
      </c>
      <c r="T63" s="62" t="str">
        <f>LEFT(北段!Y62,4)</f>
        <v/>
      </c>
      <c r="U63" s="62" t="str">
        <f>LEFT(北段!Z62,4)</f>
        <v/>
      </c>
      <c r="V63" s="62" t="str">
        <f>LEFT(北段!AA62,4)</f>
        <v/>
      </c>
      <c r="W63" s="62" t="str">
        <f>LEFT(北段!AB62,4)</f>
        <v/>
      </c>
      <c r="X63" s="62" t="str">
        <f>LEFT(北段!AC62,4)</f>
        <v/>
      </c>
      <c r="Y63" s="62" t="str">
        <f>LEFT(北段!AD62,4)</f>
        <v/>
      </c>
      <c r="Z63" s="62" t="str">
        <f>LEFT(北段!AE62,4)</f>
        <v/>
      </c>
      <c r="AA63" s="62" t="str">
        <f>LEFT(北段!AF62,4)</f>
        <v/>
      </c>
      <c r="AB63" s="62" t="str">
        <f>LEFT(北段!AG62,4)</f>
        <v/>
      </c>
      <c r="AC63" s="62" t="str">
        <f>LEFT(北段!AH62,4)</f>
        <v/>
      </c>
      <c r="AD63" s="62" t="str">
        <f>LEFT(北段!AI62,4)</f>
        <v/>
      </c>
      <c r="AE63" s="62" t="str">
        <f>LEFT(北段!AJ62,4)</f>
        <v/>
      </c>
      <c r="AF63" s="62" t="str">
        <f>LEFT(北段!AK62,4)</f>
        <v/>
      </c>
      <c r="AG63" s="62" t="str">
        <f>LEFT(北段!AL62,4)</f>
        <v/>
      </c>
      <c r="AH63" s="62" t="e">
        <f>LEFT(北段!#REF!,4)</f>
        <v>#REF!</v>
      </c>
      <c r="AI63" s="62" t="e">
        <f>LEFT(北段!#REF!,4)</f>
        <v>#REF!</v>
      </c>
      <c r="AJ63" s="62" t="e">
        <f>LEFT(北段!#REF!,4)</f>
        <v>#REF!</v>
      </c>
      <c r="AK63" s="62" t="e">
        <f>LEFT(北段!#REF!,4)</f>
        <v>#REF!</v>
      </c>
      <c r="AL63" s="62" t="e">
        <f>LEFT(北段!#REF!,4)</f>
        <v>#REF!</v>
      </c>
      <c r="AM63" s="62" t="e">
        <f>LEFT(北段!#REF!,4)</f>
        <v>#REF!</v>
      </c>
      <c r="AN63" s="62" t="e">
        <f>LEFT(北段!#REF!,4)</f>
        <v>#REF!</v>
      </c>
    </row>
    <row r="64" spans="1:40" ht="43.5" customHeight="1">
      <c r="A64" s="125"/>
      <c r="B64" s="101" t="str">
        <f>LEFT(北段!B63,6)</f>
        <v>T01736</v>
      </c>
      <c r="C64" s="151" t="str">
        <f>VLOOKUP(B64,北段!B:C,2,FALSE)</f>
        <v>廖紫吟</v>
      </c>
      <c r="D64" s="62" t="str">
        <f>LEFT(北段!I63,4)</f>
        <v>02早</v>
      </c>
      <c r="E64" s="62" t="str">
        <f>LEFT(北段!J63,4)</f>
        <v>r'</v>
      </c>
      <c r="F64" s="62" t="str">
        <f>LEFT(北段!K63,4)</f>
        <v/>
      </c>
      <c r="G64" s="62" t="str">
        <f>LEFT(北段!L63,4)</f>
        <v/>
      </c>
      <c r="H64" s="62" t="str">
        <f>LEFT(北段!M63,3)</f>
        <v/>
      </c>
      <c r="I64" s="62" t="str">
        <f>LEFT(北段!N63,4)</f>
        <v/>
      </c>
      <c r="J64" s="62" t="str">
        <f>LEFT(北段!O63,4)</f>
        <v/>
      </c>
      <c r="K64" s="62" t="str">
        <f>LEFT(北段!P63,4)</f>
        <v/>
      </c>
      <c r="L64" s="62" t="str">
        <f>LEFT(北段!Q63,4)</f>
        <v/>
      </c>
      <c r="M64" s="62" t="str">
        <f>LEFT(北段!R63,4)</f>
        <v/>
      </c>
      <c r="N64" s="62" t="str">
        <f>LEFT(北段!S63,4)</f>
        <v/>
      </c>
      <c r="O64" s="62" t="str">
        <f>LEFT(北段!T63,4)</f>
        <v/>
      </c>
      <c r="P64" s="62" t="str">
        <f>LEFT(北段!U63,4)</f>
        <v/>
      </c>
      <c r="Q64" s="62" t="str">
        <f>LEFT(北段!V63,4)</f>
        <v/>
      </c>
      <c r="R64" s="62" t="str">
        <f>LEFT(北段!W63,4)</f>
        <v/>
      </c>
      <c r="S64" s="62" t="str">
        <f>LEFT(北段!X63,4)</f>
        <v/>
      </c>
      <c r="T64" s="62" t="str">
        <f>LEFT(北段!Y63,4)</f>
        <v/>
      </c>
      <c r="U64" s="62" t="str">
        <f>LEFT(北段!Z63,4)</f>
        <v/>
      </c>
      <c r="V64" s="62" t="str">
        <f>LEFT(北段!AA63,3)</f>
        <v/>
      </c>
      <c r="W64" s="62" t="str">
        <f>LEFT(北段!AB63,4)</f>
        <v/>
      </c>
      <c r="X64" s="62" t="str">
        <f>LEFT(北段!AC63,4)</f>
        <v/>
      </c>
      <c r="Y64" s="62" t="str">
        <f>LEFT(北段!AD63,4)</f>
        <v/>
      </c>
      <c r="Z64" s="62" t="str">
        <f>LEFT(北段!AE63,4)</f>
        <v/>
      </c>
      <c r="AA64" s="62" t="str">
        <f>LEFT(北段!AF63,4)</f>
        <v/>
      </c>
      <c r="AB64" s="62" t="str">
        <f>LEFT(北段!AG63,4)</f>
        <v/>
      </c>
      <c r="AC64" s="62" t="str">
        <f>LEFT(北段!AH63,4)</f>
        <v/>
      </c>
      <c r="AD64" s="62" t="str">
        <f>LEFT(北段!AI63,4)</f>
        <v/>
      </c>
      <c r="AE64" s="62" t="str">
        <f>LEFT(北段!AJ63,4)</f>
        <v/>
      </c>
      <c r="AF64" s="62" t="str">
        <f>LEFT(北段!AK63,4)</f>
        <v/>
      </c>
      <c r="AG64" s="62" t="str">
        <f>LEFT(北段!AL63,4)</f>
        <v/>
      </c>
      <c r="AH64" s="62" t="e">
        <f>LEFT(北段!#REF!,4)</f>
        <v>#REF!</v>
      </c>
      <c r="AI64" s="62" t="e">
        <f>LEFT(北段!#REF!,4)</f>
        <v>#REF!</v>
      </c>
      <c r="AJ64" s="62" t="e">
        <f>LEFT(北段!#REF!,4)</f>
        <v>#REF!</v>
      </c>
      <c r="AK64" s="62" t="e">
        <f>LEFT(北段!#REF!,4)</f>
        <v>#REF!</v>
      </c>
      <c r="AL64" s="62" t="e">
        <f>LEFT(北段!#REF!,4)</f>
        <v>#REF!</v>
      </c>
      <c r="AM64" s="62" t="e">
        <f>LEFT(北段!#REF!,4)</f>
        <v>#REF!</v>
      </c>
      <c r="AN64" s="62" t="e">
        <f>LEFT(北段!#REF!,4)</f>
        <v>#REF!</v>
      </c>
    </row>
    <row r="65" spans="1:40" ht="43.5" customHeight="1" thickBot="1">
      <c r="A65" s="127"/>
      <c r="B65" s="100" t="str">
        <f>LEFT(北段!B64,6)</f>
        <v>T02124</v>
      </c>
      <c r="C65" s="152" t="str">
        <f>VLOOKUP(B65,北段!B:C,2,FALSE)</f>
        <v>張宸睿</v>
      </c>
      <c r="D65" s="62" t="str">
        <f>LEFT(北段!I64,4)</f>
        <v>05中A</v>
      </c>
      <c r="E65" s="62" t="str">
        <f>LEFT(北段!J64,4)</f>
        <v>05中A</v>
      </c>
      <c r="F65" s="62" t="str">
        <f>LEFT(北段!K64,4)</f>
        <v/>
      </c>
      <c r="G65" s="62" t="str">
        <f>LEFT(北段!L64,4)</f>
        <v/>
      </c>
      <c r="H65" s="62" t="str">
        <f>LEFT(北段!M64,3)</f>
        <v/>
      </c>
      <c r="I65" s="62" t="str">
        <f>LEFT(北段!N64,4)</f>
        <v/>
      </c>
      <c r="J65" s="62" t="str">
        <f>LEFT(北段!O64,4)</f>
        <v/>
      </c>
      <c r="K65" s="62" t="str">
        <f>LEFT(北段!P64,4)</f>
        <v/>
      </c>
      <c r="L65" s="62" t="str">
        <f>LEFT(北段!Q64,4)</f>
        <v/>
      </c>
      <c r="M65" s="62" t="str">
        <f>LEFT(北段!R64,4)</f>
        <v/>
      </c>
      <c r="N65" s="62" t="str">
        <f>LEFT(北段!S64,4)</f>
        <v/>
      </c>
      <c r="O65" s="62" t="str">
        <f>LEFT(北段!T64,4)</f>
        <v/>
      </c>
      <c r="P65" s="62" t="str">
        <f>LEFT(北段!U64,4)</f>
        <v/>
      </c>
      <c r="Q65" s="62" t="str">
        <f>LEFT(北段!V64,4)</f>
        <v/>
      </c>
      <c r="R65" s="62" t="str">
        <f>LEFT(北段!W64,4)</f>
        <v/>
      </c>
      <c r="S65" s="62" t="str">
        <f>LEFT(北段!X64,4)</f>
        <v/>
      </c>
      <c r="T65" s="62" t="str">
        <f>LEFT(北段!Y64,4)</f>
        <v/>
      </c>
      <c r="U65" s="62" t="str">
        <f>LEFT(北段!Z64,4)</f>
        <v/>
      </c>
      <c r="V65" s="62" t="str">
        <f>LEFT(北段!AA64,3)</f>
        <v/>
      </c>
      <c r="W65" s="62" t="str">
        <f>LEFT(北段!AB64,4)</f>
        <v/>
      </c>
      <c r="X65" s="62" t="str">
        <f>LEFT(北段!AC64,4)</f>
        <v/>
      </c>
      <c r="Y65" s="62" t="str">
        <f>LEFT(北段!AD64,4)</f>
        <v/>
      </c>
      <c r="Z65" s="62" t="str">
        <f>LEFT(北段!AE64,4)</f>
        <v/>
      </c>
      <c r="AA65" s="62" t="str">
        <f>LEFT(北段!AF64,4)</f>
        <v/>
      </c>
      <c r="AB65" s="62" t="str">
        <f>LEFT(北段!AG64,4)</f>
        <v/>
      </c>
      <c r="AC65" s="62" t="str">
        <f>LEFT(北段!AH64,4)</f>
        <v/>
      </c>
      <c r="AD65" s="62" t="str">
        <f>LEFT(北段!AI64,4)</f>
        <v/>
      </c>
      <c r="AE65" s="62" t="str">
        <f>LEFT(北段!AJ64,4)</f>
        <v/>
      </c>
      <c r="AF65" s="62" t="str">
        <f>LEFT(北段!AK64,4)</f>
        <v/>
      </c>
      <c r="AG65" s="62" t="str">
        <f>LEFT(北段!AL64,4)</f>
        <v/>
      </c>
      <c r="AH65" s="62" t="e">
        <f>LEFT(北段!#REF!,4)</f>
        <v>#REF!</v>
      </c>
      <c r="AI65" s="62" t="e">
        <f>LEFT(北段!#REF!,4)</f>
        <v>#REF!</v>
      </c>
      <c r="AJ65" s="62" t="e">
        <f>LEFT(北段!#REF!,4)</f>
        <v>#REF!</v>
      </c>
      <c r="AK65" s="62" t="e">
        <f>LEFT(北段!#REF!,4)</f>
        <v>#REF!</v>
      </c>
      <c r="AL65" s="62" t="e">
        <f>LEFT(北段!#REF!,4)</f>
        <v>#REF!</v>
      </c>
      <c r="AM65" s="62" t="e">
        <f>LEFT(北段!#REF!,4)</f>
        <v>#REF!</v>
      </c>
      <c r="AN65" s="62" t="e">
        <f>LEFT(北段!#REF!,4)</f>
        <v>#REF!</v>
      </c>
    </row>
    <row r="66" spans="1:40" s="36" customFormat="1" ht="43.5" customHeight="1">
      <c r="A66" s="124"/>
      <c r="B66" s="121" t="str">
        <f>LEFT(北段!B65,6)</f>
        <v>T00921</v>
      </c>
      <c r="C66" s="153" t="str">
        <f>VLOOKUP(B66,北段!B:C,2,FALSE)</f>
        <v>蔡承昊</v>
      </c>
      <c r="D66" s="62" t="str">
        <f>LEFT(北段!I65,4)</f>
        <v>r'</v>
      </c>
      <c r="E66" s="62" t="str">
        <f>LEFT(北段!J65,4)</f>
        <v>R</v>
      </c>
      <c r="F66" s="62" t="str">
        <f>LEFT(北段!K65,4)</f>
        <v/>
      </c>
      <c r="G66" s="62" t="str">
        <f>LEFT(北段!L65,3)</f>
        <v/>
      </c>
      <c r="H66" s="62" t="str">
        <f>LEFT(北段!M65,3)</f>
        <v/>
      </c>
      <c r="I66" s="62" t="str">
        <f>LEFT(北段!N65,4)</f>
        <v/>
      </c>
      <c r="J66" s="62" t="str">
        <f>LEFT(北段!O65,2)</f>
        <v/>
      </c>
      <c r="K66" s="62" t="str">
        <f>LEFT(北段!P65,4)</f>
        <v/>
      </c>
      <c r="L66" s="62" t="str">
        <f>LEFT(北段!Q65,3)</f>
        <v/>
      </c>
      <c r="M66" s="62" t="str">
        <f>LEFT(北段!R65,4)</f>
        <v/>
      </c>
      <c r="N66" s="62" t="str">
        <f>LEFT(北段!S65,4)</f>
        <v/>
      </c>
      <c r="O66" s="62" t="str">
        <f>LEFT(北段!T65,3)</f>
        <v/>
      </c>
      <c r="P66" s="62" t="str">
        <f>LEFT(北段!U65,4)</f>
        <v/>
      </c>
      <c r="Q66" s="62" t="str">
        <f>LEFT(北段!V65,3)</f>
        <v/>
      </c>
      <c r="R66" s="62" t="str">
        <f>LEFT(北段!W65,4)</f>
        <v/>
      </c>
      <c r="S66" s="62" t="str">
        <f>LEFT(北段!X65,4)</f>
        <v/>
      </c>
      <c r="T66" s="62" t="str">
        <f>LEFT(北段!Y65,4)</f>
        <v/>
      </c>
      <c r="U66" s="62" t="str">
        <f>LEFT(北段!Z65,4)</f>
        <v/>
      </c>
      <c r="V66" s="62" t="str">
        <f>LEFT(北段!AA65,3)</f>
        <v/>
      </c>
      <c r="W66" s="62" t="str">
        <f>LEFT(北段!AB65,4)</f>
        <v/>
      </c>
      <c r="X66" s="62" t="str">
        <f>LEFT(北段!AC65,4)</f>
        <v/>
      </c>
      <c r="Y66" s="62" t="str">
        <f>LEFT(北段!AD65,4)</f>
        <v/>
      </c>
      <c r="Z66" s="62" t="str">
        <f>LEFT(北段!AE65,4)</f>
        <v/>
      </c>
      <c r="AA66" s="62" t="str">
        <f>LEFT(北段!AF65,4)</f>
        <v/>
      </c>
      <c r="AB66" s="62" t="str">
        <f>LEFT(北段!AG65,4)</f>
        <v/>
      </c>
      <c r="AC66" s="62" t="str">
        <f>LEFT(北段!AH65,4)</f>
        <v/>
      </c>
      <c r="AD66" s="62" t="str">
        <f>LEFT(北段!AI65,4)</f>
        <v/>
      </c>
      <c r="AE66" s="62" t="str">
        <f>LEFT(北段!AJ65,4)</f>
        <v/>
      </c>
      <c r="AF66" s="62" t="str">
        <f>LEFT(北段!AK65,4)</f>
        <v/>
      </c>
      <c r="AG66" s="62" t="str">
        <f>LEFT(北段!AL65,4)</f>
        <v/>
      </c>
      <c r="AH66" s="62" t="e">
        <f>LEFT(北段!#REF!,4)</f>
        <v>#REF!</v>
      </c>
      <c r="AI66" s="62" t="e">
        <f>LEFT(北段!#REF!,4)</f>
        <v>#REF!</v>
      </c>
      <c r="AJ66" s="62" t="e">
        <f>LEFT(北段!#REF!,4)</f>
        <v>#REF!</v>
      </c>
      <c r="AK66" s="62" t="e">
        <f>LEFT(北段!#REF!,4)</f>
        <v>#REF!</v>
      </c>
      <c r="AL66" s="62" t="e">
        <f>LEFT(北段!#REF!,4)</f>
        <v>#REF!</v>
      </c>
      <c r="AM66" s="62" t="e">
        <f>LEFT(北段!#REF!,4)</f>
        <v>#REF!</v>
      </c>
      <c r="AN66" s="62" t="e">
        <f>LEFT(北段!#REF!,4)</f>
        <v>#REF!</v>
      </c>
    </row>
    <row r="67" spans="1:40" ht="43.5" customHeight="1">
      <c r="A67" s="125"/>
      <c r="B67" s="101" t="str">
        <f>LEFT(北段!B66,6)</f>
        <v>T00503</v>
      </c>
      <c r="C67" s="151" t="str">
        <f>VLOOKUP(B67,北段!B:C,2,FALSE)</f>
        <v>范素梅</v>
      </c>
      <c r="D67" s="62" t="str">
        <f>LEFT(北段!I66,4)</f>
        <v>06早</v>
      </c>
      <c r="E67" s="62" t="str">
        <f>LEFT(北段!J66,4)</f>
        <v>r'</v>
      </c>
      <c r="F67" s="62" t="str">
        <f>LEFT(北段!K66,4)</f>
        <v/>
      </c>
      <c r="G67" s="62" t="str">
        <f>LEFT(北段!L66,4)</f>
        <v/>
      </c>
      <c r="H67" s="62" t="str">
        <f>LEFT(北段!M66,4)</f>
        <v/>
      </c>
      <c r="I67" s="62" t="str">
        <f>LEFT(北段!N66,4)</f>
        <v/>
      </c>
      <c r="J67" s="62" t="str">
        <f>LEFT(北段!O66,4)</f>
        <v/>
      </c>
      <c r="K67" s="62" t="str">
        <f>LEFT(北段!P66,4)</f>
        <v/>
      </c>
      <c r="L67" s="62" t="str">
        <f>LEFT(北段!Q66,3)</f>
        <v/>
      </c>
      <c r="M67" s="62" t="str">
        <f>LEFT(北段!R66,4)</f>
        <v/>
      </c>
      <c r="N67" s="62" t="str">
        <f>LEFT(北段!S66,4)</f>
        <v/>
      </c>
      <c r="O67" s="62" t="str">
        <f>LEFT(北段!T66,3)</f>
        <v/>
      </c>
      <c r="P67" s="62" t="str">
        <f>LEFT(北段!U66,4)</f>
        <v/>
      </c>
      <c r="Q67" s="62" t="str">
        <f>LEFT(北段!V66,4)</f>
        <v/>
      </c>
      <c r="R67" s="62" t="str">
        <f>LEFT(北段!W66,3)</f>
        <v/>
      </c>
      <c r="S67" s="62" t="str">
        <f>LEFT(北段!X66,4)</f>
        <v/>
      </c>
      <c r="T67" s="62" t="str">
        <f>LEFT(北段!Y66,4)</f>
        <v/>
      </c>
      <c r="U67" s="62" t="str">
        <f>LEFT(北段!Z66,4)</f>
        <v/>
      </c>
      <c r="V67" s="62" t="str">
        <f>LEFT(北段!AA66,4)</f>
        <v/>
      </c>
      <c r="W67" s="62" t="str">
        <f>LEFT(北段!AB66,4)</f>
        <v/>
      </c>
      <c r="X67" s="62" t="str">
        <f>LEFT(北段!AC66,4)</f>
        <v/>
      </c>
      <c r="Y67" s="62" t="str">
        <f>LEFT(北段!AD66,3)</f>
        <v/>
      </c>
      <c r="Z67" s="62" t="str">
        <f>LEFT(北段!AE66,3)</f>
        <v/>
      </c>
      <c r="AA67" s="62" t="str">
        <f>LEFT(北段!AF66,4)</f>
        <v/>
      </c>
      <c r="AB67" s="62" t="str">
        <f>LEFT(北段!AG66,4)</f>
        <v/>
      </c>
      <c r="AC67" s="62" t="str">
        <f>LEFT(北段!AH66,4)</f>
        <v/>
      </c>
      <c r="AD67" s="62" t="str">
        <f>LEFT(北段!AI66,4)</f>
        <v/>
      </c>
      <c r="AE67" s="62" t="str">
        <f>LEFT(北段!AJ66,4)</f>
        <v/>
      </c>
      <c r="AF67" s="62" t="str">
        <f>LEFT(北段!AK66,4)</f>
        <v/>
      </c>
      <c r="AG67" s="62" t="str">
        <f>LEFT(北段!AL66,4)</f>
        <v/>
      </c>
      <c r="AH67" s="62" t="e">
        <f>LEFT(北段!#REF!,4)</f>
        <v>#REF!</v>
      </c>
      <c r="AI67" s="62" t="e">
        <f>LEFT(北段!#REF!,4)</f>
        <v>#REF!</v>
      </c>
      <c r="AJ67" s="62" t="e">
        <f>LEFT(北段!#REF!,4)</f>
        <v>#REF!</v>
      </c>
      <c r="AK67" s="62" t="e">
        <f>LEFT(北段!#REF!,4)</f>
        <v>#REF!</v>
      </c>
      <c r="AL67" s="62" t="e">
        <f>LEFT(北段!#REF!,4)</f>
        <v>#REF!</v>
      </c>
      <c r="AM67" s="62" t="e">
        <f>LEFT(北段!#REF!,4)</f>
        <v>#REF!</v>
      </c>
      <c r="AN67" s="62" t="e">
        <f>LEFT(北段!#REF!,4)</f>
        <v>#REF!</v>
      </c>
    </row>
    <row r="68" spans="1:40" ht="43.5" customHeight="1">
      <c r="A68" s="125"/>
      <c r="B68" s="101" t="str">
        <f>LEFT(北段!B67,6)</f>
        <v>T01084</v>
      </c>
      <c r="C68" s="151" t="str">
        <f>VLOOKUP(B68,北段!B:C,2,FALSE)</f>
        <v>蔡佳玲</v>
      </c>
      <c r="D68" s="62" t="str">
        <f>LEFT(北段!I67,4)</f>
        <v>06夜</v>
      </c>
      <c r="E68" s="62" t="str">
        <f>LEFT(北段!J67,4)</f>
        <v>06夜</v>
      </c>
      <c r="F68" s="62" t="str">
        <f>LEFT(北段!K67,4)</f>
        <v/>
      </c>
      <c r="G68" s="62" t="str">
        <f>LEFT(北段!L67,3)</f>
        <v/>
      </c>
      <c r="H68" s="62" t="str">
        <f>LEFT(北段!M67,4)</f>
        <v/>
      </c>
      <c r="I68" s="62" t="str">
        <f>LEFT(北段!N67,4)</f>
        <v/>
      </c>
      <c r="J68" s="62" t="str">
        <f>LEFT(北段!O67,4)</f>
        <v/>
      </c>
      <c r="K68" s="62" t="str">
        <f>LEFT(北段!P67,4)</f>
        <v/>
      </c>
      <c r="L68" s="62" t="str">
        <f>LEFT(北段!Q67,4)</f>
        <v/>
      </c>
      <c r="M68" s="62" t="str">
        <f>LEFT(北段!R67,4)</f>
        <v/>
      </c>
      <c r="N68" s="62" t="str">
        <f>LEFT(北段!S67,4)</f>
        <v/>
      </c>
      <c r="O68" s="62" t="str">
        <f>LEFT(北段!T67,4)</f>
        <v/>
      </c>
      <c r="P68" s="62" t="str">
        <f>LEFT(北段!U67,4)</f>
        <v/>
      </c>
      <c r="Q68" s="62" t="str">
        <f>LEFT(北段!V67,4)</f>
        <v/>
      </c>
      <c r="R68" s="62" t="str">
        <f>LEFT(北段!W67,4)</f>
        <v/>
      </c>
      <c r="S68" s="62" t="str">
        <f>LEFT(北段!X67,4)</f>
        <v/>
      </c>
      <c r="T68" s="62" t="str">
        <f>LEFT(北段!Y67,4)</f>
        <v/>
      </c>
      <c r="U68" s="62" t="str">
        <f>LEFT(北段!Z67,4)</f>
        <v/>
      </c>
      <c r="V68" s="62" t="str">
        <f>LEFT(北段!AA67,4)</f>
        <v/>
      </c>
      <c r="W68" s="62" t="str">
        <f>LEFT(北段!AB67,4)</f>
        <v/>
      </c>
      <c r="X68" s="62" t="str">
        <f>LEFT(北段!AC67,4)</f>
        <v/>
      </c>
      <c r="Y68" s="62" t="str">
        <f>LEFT(北段!AD67,3)</f>
        <v/>
      </c>
      <c r="Z68" s="62" t="str">
        <f>LEFT(北段!AE67,4)</f>
        <v/>
      </c>
      <c r="AA68" s="62" t="str">
        <f>LEFT(北段!AF67,4)</f>
        <v/>
      </c>
      <c r="AB68" s="62" t="str">
        <f>LEFT(北段!AG67,4)</f>
        <v/>
      </c>
      <c r="AC68" s="62" t="str">
        <f>LEFT(北段!AH67,4)</f>
        <v/>
      </c>
      <c r="AD68" s="62" t="str">
        <f>LEFT(北段!AI67,4)</f>
        <v/>
      </c>
      <c r="AE68" s="62" t="str">
        <f>LEFT(北段!AJ67,4)</f>
        <v/>
      </c>
      <c r="AF68" s="62" t="str">
        <f>LEFT(北段!AK67,4)</f>
        <v/>
      </c>
      <c r="AG68" s="62" t="str">
        <f>LEFT(北段!AL67,4)</f>
        <v/>
      </c>
      <c r="AH68" s="62" t="e">
        <f>LEFT(北段!#REF!,4)</f>
        <v>#REF!</v>
      </c>
      <c r="AI68" s="62" t="e">
        <f>LEFT(北段!#REF!,4)</f>
        <v>#REF!</v>
      </c>
      <c r="AJ68" s="62" t="e">
        <f>LEFT(北段!#REF!,4)</f>
        <v>#REF!</v>
      </c>
      <c r="AK68" s="62" t="e">
        <f>LEFT(北段!#REF!,4)</f>
        <v>#REF!</v>
      </c>
      <c r="AL68" s="62" t="e">
        <f>LEFT(北段!#REF!,4)</f>
        <v>#REF!</v>
      </c>
      <c r="AM68" s="62" t="e">
        <f>LEFT(北段!#REF!,4)</f>
        <v>#REF!</v>
      </c>
      <c r="AN68" s="62" t="e">
        <f>LEFT(北段!#REF!,4)</f>
        <v>#REF!</v>
      </c>
    </row>
    <row r="69" spans="1:40" s="36" customFormat="1" ht="43.5" customHeight="1">
      <c r="A69" s="125"/>
      <c r="B69" s="101" t="str">
        <f>LEFT(北段!B68,6)</f>
        <v>T01465</v>
      </c>
      <c r="C69" s="151" t="str">
        <f>VLOOKUP(B69,北段!B:C,2,FALSE)</f>
        <v>簡聖育</v>
      </c>
      <c r="D69" s="62" t="str">
        <f>LEFT(北段!I68,4)</f>
        <v>06午</v>
      </c>
      <c r="E69" s="62" t="str">
        <f>LEFT(北段!J68,4)</f>
        <v>06午</v>
      </c>
      <c r="F69" s="62" t="str">
        <f>LEFT(北段!K68,4)</f>
        <v/>
      </c>
      <c r="G69" s="62" t="str">
        <f>LEFT(北段!L68,4)</f>
        <v/>
      </c>
      <c r="H69" s="62" t="str">
        <f>LEFT(北段!M68,4)</f>
        <v/>
      </c>
      <c r="I69" s="62" t="str">
        <f>LEFT(北段!N68,4)</f>
        <v/>
      </c>
      <c r="J69" s="62" t="str">
        <f>LEFT(北段!O68,3)</f>
        <v/>
      </c>
      <c r="K69" s="62" t="str">
        <f>LEFT(北段!P68,4)</f>
        <v/>
      </c>
      <c r="L69" s="62" t="str">
        <f>LEFT(北段!Q68,4)</f>
        <v/>
      </c>
      <c r="M69" s="62" t="str">
        <f>LEFT(北段!R68,4)</f>
        <v/>
      </c>
      <c r="N69" s="62" t="str">
        <f>LEFT(北段!S68,4)</f>
        <v/>
      </c>
      <c r="O69" s="62" t="str">
        <f>LEFT(北段!T68,4)</f>
        <v/>
      </c>
      <c r="P69" s="62" t="str">
        <f>LEFT(北段!U68,4)</f>
        <v/>
      </c>
      <c r="Q69" s="62" t="str">
        <f>LEFT(北段!V68,4)</f>
        <v/>
      </c>
      <c r="R69" s="62" t="str">
        <f>LEFT(北段!W68,4)</f>
        <v/>
      </c>
      <c r="S69" s="62" t="str">
        <f>LEFT(北段!X68,4)</f>
        <v/>
      </c>
      <c r="T69" s="62" t="str">
        <f>LEFT(北段!Y68,4)</f>
        <v/>
      </c>
      <c r="U69" s="62" t="str">
        <f>LEFT(北段!Z68,4)</f>
        <v/>
      </c>
      <c r="V69" s="62" t="str">
        <f>LEFT(北段!AA68,3)</f>
        <v/>
      </c>
      <c r="W69" s="62" t="str">
        <f>LEFT(北段!AB68,4)</f>
        <v/>
      </c>
      <c r="X69" s="62" t="str">
        <f>LEFT(北段!AC68,4)</f>
        <v/>
      </c>
      <c r="Y69" s="62" t="str">
        <f>LEFT(北段!AD68,4)</f>
        <v/>
      </c>
      <c r="Z69" s="62" t="str">
        <f>LEFT(北段!AE68,4)</f>
        <v/>
      </c>
      <c r="AA69" s="62" t="str">
        <f>LEFT(北段!AF68,4)</f>
        <v/>
      </c>
      <c r="AB69" s="62" t="str">
        <f>LEFT(北段!AG68,4)</f>
        <v/>
      </c>
      <c r="AC69" s="62" t="str">
        <f>LEFT(北段!AH68,4)</f>
        <v/>
      </c>
      <c r="AD69" s="62" t="str">
        <f>LEFT(北段!AI68,4)</f>
        <v/>
      </c>
      <c r="AE69" s="62" t="str">
        <f>LEFT(北段!AJ68,4)</f>
        <v/>
      </c>
      <c r="AF69" s="62" t="str">
        <f>LEFT(北段!AK68,4)</f>
        <v/>
      </c>
      <c r="AG69" s="62" t="str">
        <f>LEFT(北段!AL68,4)</f>
        <v/>
      </c>
      <c r="AH69" s="62" t="e">
        <f>LEFT(北段!#REF!,4)</f>
        <v>#REF!</v>
      </c>
      <c r="AI69" s="62" t="e">
        <f>LEFT(北段!#REF!,4)</f>
        <v>#REF!</v>
      </c>
      <c r="AJ69" s="62" t="e">
        <f>LEFT(北段!#REF!,4)</f>
        <v>#REF!</v>
      </c>
      <c r="AK69" s="62" t="e">
        <f>LEFT(北段!#REF!,4)</f>
        <v>#REF!</v>
      </c>
      <c r="AL69" s="62" t="e">
        <f>LEFT(北段!#REF!,4)</f>
        <v>#REF!</v>
      </c>
      <c r="AM69" s="62" t="e">
        <f>LEFT(北段!#REF!,4)</f>
        <v>#REF!</v>
      </c>
      <c r="AN69" s="62" t="e">
        <f>LEFT(北段!#REF!,4)</f>
        <v>#REF!</v>
      </c>
    </row>
    <row r="70" spans="1:40" s="36" customFormat="1" ht="43.5" customHeight="1">
      <c r="A70" s="122"/>
      <c r="B70" s="101" t="str">
        <f>LEFT(北段!B69,6)</f>
        <v>T02230</v>
      </c>
      <c r="C70" s="151" t="str">
        <f>VLOOKUP(B70,北段!B:C,2,FALSE)</f>
        <v>葉夏</v>
      </c>
      <c r="D70" s="62" t="str">
        <f>LEFT(北段!I69,4)</f>
        <v/>
      </c>
      <c r="E70" s="62" t="str">
        <f>LEFT(北段!J69,4)</f>
        <v/>
      </c>
      <c r="F70" s="62" t="str">
        <f>LEFT(北段!K69,4)</f>
        <v/>
      </c>
      <c r="G70" s="62" t="str">
        <f>LEFT(北段!L69,4)</f>
        <v/>
      </c>
      <c r="H70" s="62" t="str">
        <f>LEFT(北段!M69,3)</f>
        <v/>
      </c>
      <c r="I70" s="62" t="str">
        <f>LEFT(北段!N69,4)</f>
        <v/>
      </c>
      <c r="J70" s="62" t="str">
        <f>LEFT(北段!O69,4)</f>
        <v/>
      </c>
      <c r="K70" s="62" t="str">
        <f>LEFT(北段!P69,4)</f>
        <v/>
      </c>
      <c r="L70" s="62" t="str">
        <f>LEFT(北段!Q69,4)</f>
        <v/>
      </c>
      <c r="M70" s="62" t="str">
        <f>LEFT(北段!R69,4)</f>
        <v/>
      </c>
      <c r="N70" s="62" t="str">
        <f>LEFT(北段!S69,4)</f>
        <v/>
      </c>
      <c r="O70" s="62" t="str">
        <f>LEFT(北段!T69,4)</f>
        <v/>
      </c>
      <c r="P70" s="62" t="str">
        <f>LEFT(北段!U69,4)</f>
        <v/>
      </c>
      <c r="Q70" s="62" t="str">
        <f>LEFT(北段!V69,4)</f>
        <v/>
      </c>
      <c r="R70" s="62" t="str">
        <f>LEFT(北段!W69,4)</f>
        <v/>
      </c>
      <c r="S70" s="62" t="str">
        <f>LEFT(北段!X69,4)</f>
        <v/>
      </c>
      <c r="T70" s="62" t="str">
        <f>LEFT(北段!Y69,4)</f>
        <v/>
      </c>
      <c r="U70" s="62" t="str">
        <f>LEFT(北段!Z69,3)</f>
        <v/>
      </c>
      <c r="V70" s="62" t="str">
        <f>LEFT(北段!AA69,4)</f>
        <v/>
      </c>
      <c r="W70" s="62" t="str">
        <f>LEFT(北段!AB69,4)</f>
        <v/>
      </c>
      <c r="X70" s="62" t="str">
        <f>LEFT(北段!AC69,4)</f>
        <v/>
      </c>
      <c r="Y70" s="62" t="str">
        <f>LEFT(北段!AD69,4)</f>
        <v/>
      </c>
      <c r="Z70" s="62" t="str">
        <f>LEFT(北段!AE69,4)</f>
        <v/>
      </c>
      <c r="AA70" s="62" t="str">
        <f>LEFT(北段!AF69,4)</f>
        <v/>
      </c>
      <c r="AB70" s="62" t="str">
        <f>LEFT(北段!AG69,4)</f>
        <v/>
      </c>
      <c r="AC70" s="62" t="str">
        <f>LEFT(北段!AH69,4)</f>
        <v/>
      </c>
      <c r="AD70" s="62" t="str">
        <f>LEFT(北段!AI69,4)</f>
        <v/>
      </c>
      <c r="AE70" s="62" t="str">
        <f>LEFT(北段!AJ69,4)</f>
        <v/>
      </c>
      <c r="AF70" s="62" t="str">
        <f>LEFT(北段!AK69,4)</f>
        <v/>
      </c>
      <c r="AG70" s="62" t="str">
        <f>LEFT(北段!AL69,4)</f>
        <v/>
      </c>
      <c r="AH70" s="62" t="e">
        <f>LEFT(北段!#REF!,4)</f>
        <v>#REF!</v>
      </c>
      <c r="AI70" s="62" t="e">
        <f>LEFT(北段!#REF!,4)</f>
        <v>#REF!</v>
      </c>
      <c r="AJ70" s="62" t="e">
        <f>LEFT(北段!#REF!,4)</f>
        <v>#REF!</v>
      </c>
      <c r="AK70" s="62" t="e">
        <f>LEFT(北段!#REF!,4)</f>
        <v>#REF!</v>
      </c>
      <c r="AL70" s="62" t="e">
        <f>LEFT(北段!#REF!,4)</f>
        <v>#REF!</v>
      </c>
      <c r="AM70" s="62" t="e">
        <f>LEFT(北段!#REF!,4)</f>
        <v>#REF!</v>
      </c>
      <c r="AN70" s="62" t="e">
        <f>LEFT(北段!#REF!,4)</f>
        <v>#REF!</v>
      </c>
    </row>
    <row r="71" spans="1:40" ht="43.5" customHeight="1">
      <c r="A71" s="126"/>
      <c r="B71" s="101" t="str">
        <f>LEFT(北段!B70,6)</f>
        <v>T00813</v>
      </c>
      <c r="C71" s="151" t="str">
        <f>VLOOKUP(B71,北段!B:C,2,FALSE)</f>
        <v>陳雅愉</v>
      </c>
      <c r="D71" s="62" t="str">
        <f>LEFT(北段!I70,4)</f>
        <v>L</v>
      </c>
      <c r="E71" s="62" t="str">
        <f>LEFT(北段!J70,4)</f>
        <v>r'</v>
      </c>
      <c r="F71" s="62" t="str">
        <f>LEFT(北段!K70,4)</f>
        <v/>
      </c>
      <c r="G71" s="62" t="str">
        <f>LEFT(北段!L70,4)</f>
        <v/>
      </c>
      <c r="H71" s="62" t="str">
        <f>LEFT(北段!M70,4)</f>
        <v/>
      </c>
      <c r="I71" s="62" t="str">
        <f>LEFT(北段!N70,4)</f>
        <v/>
      </c>
      <c r="J71" s="62" t="str">
        <f>LEFT(北段!O70,4)</f>
        <v/>
      </c>
      <c r="K71" s="62" t="str">
        <f>LEFT(北段!P70,4)</f>
        <v/>
      </c>
      <c r="L71" s="62" t="str">
        <f>LEFT(北段!Q70,4)</f>
        <v/>
      </c>
      <c r="M71" s="62" t="str">
        <f>LEFT(北段!R70,4)</f>
        <v/>
      </c>
      <c r="N71" s="62" t="str">
        <f>LEFT(北段!S70,4)</f>
        <v/>
      </c>
      <c r="O71" s="62" t="str">
        <f>LEFT(北段!T70,4)</f>
        <v/>
      </c>
      <c r="P71" s="62" t="str">
        <f>LEFT(北段!U70,4)</f>
        <v/>
      </c>
      <c r="Q71" s="62" t="str">
        <f>LEFT(北段!V70,4)</f>
        <v/>
      </c>
      <c r="R71" s="62" t="str">
        <f>LEFT(北段!W70,4)</f>
        <v/>
      </c>
      <c r="S71" s="62" t="str">
        <f>LEFT(北段!X70,4)</f>
        <v/>
      </c>
      <c r="T71" s="62" t="str">
        <f>LEFT(北段!Y70,4)</f>
        <v/>
      </c>
      <c r="U71" s="62" t="str">
        <f>LEFT(北段!Z70,4)</f>
        <v/>
      </c>
      <c r="V71" s="62" t="str">
        <f>LEFT(北段!AA70,4)</f>
        <v/>
      </c>
      <c r="W71" s="62" t="str">
        <f>LEFT(北段!AB70,4)</f>
        <v/>
      </c>
      <c r="X71" s="62" t="str">
        <f>LEFT(北段!AC70,4)</f>
        <v/>
      </c>
      <c r="Y71" s="62" t="str">
        <f>LEFT(北段!AD70,4)</f>
        <v/>
      </c>
      <c r="Z71" s="62" t="str">
        <f>LEFT(北段!AE70,4)</f>
        <v/>
      </c>
      <c r="AA71" s="62" t="str">
        <f>LEFT(北段!AF70,4)</f>
        <v/>
      </c>
      <c r="AB71" s="62" t="str">
        <f>LEFT(北段!AG70,4)</f>
        <v/>
      </c>
      <c r="AC71" s="62" t="str">
        <f>LEFT(北段!AH70,4)</f>
        <v/>
      </c>
      <c r="AD71" s="62" t="str">
        <f>LEFT(北段!AI70,4)</f>
        <v/>
      </c>
      <c r="AE71" s="62" t="str">
        <f>LEFT(北段!AJ70,4)</f>
        <v/>
      </c>
      <c r="AF71" s="62" t="str">
        <f>LEFT(北段!AK70,4)</f>
        <v/>
      </c>
      <c r="AG71" s="62" t="str">
        <f>LEFT(北段!AL70,4)</f>
        <v/>
      </c>
      <c r="AH71" s="62" t="e">
        <f>LEFT(北段!#REF!,4)</f>
        <v>#REF!</v>
      </c>
      <c r="AI71" s="62" t="e">
        <f>LEFT(北段!#REF!,4)</f>
        <v>#REF!</v>
      </c>
      <c r="AJ71" s="62" t="e">
        <f>LEFT(北段!#REF!,4)</f>
        <v>#REF!</v>
      </c>
      <c r="AK71" s="62" t="e">
        <f>LEFT(北段!#REF!,4)</f>
        <v>#REF!</v>
      </c>
      <c r="AL71" s="62" t="e">
        <f>LEFT(北段!#REF!,4)</f>
        <v>#REF!</v>
      </c>
      <c r="AM71" s="62" t="e">
        <f>LEFT(北段!#REF!,4)</f>
        <v>#REF!</v>
      </c>
      <c r="AN71" s="62" t="e">
        <f>LEFT(北段!#REF!,4)</f>
        <v>#REF!</v>
      </c>
    </row>
    <row r="72" spans="1:40" s="99" customFormat="1" ht="43.5" customHeight="1">
      <c r="A72" s="126"/>
      <c r="B72" s="101" t="str">
        <f>LEFT(北段!B71,6)</f>
        <v>T02215</v>
      </c>
      <c r="C72" s="151" t="str">
        <f>VLOOKUP(B72,北段!B:C,2,FALSE)</f>
        <v>吳尚達</v>
      </c>
      <c r="D72" s="62" t="str">
        <f>LEFT(北段!I71,4)</f>
        <v>R</v>
      </c>
      <c r="E72" s="62" t="str">
        <f>LEFT(北段!J71,4)</f>
        <v>r'</v>
      </c>
      <c r="F72" s="62" t="str">
        <f>LEFT(北段!K71,4)</f>
        <v/>
      </c>
      <c r="G72" s="62" t="str">
        <f>LEFT(北段!L71,4)</f>
        <v/>
      </c>
      <c r="H72" s="62" t="str">
        <f>LEFT(北段!M71,4)</f>
        <v/>
      </c>
      <c r="I72" s="62" t="str">
        <f>LEFT(北段!N71,4)</f>
        <v/>
      </c>
      <c r="J72" s="62" t="str">
        <f>LEFT(北段!O71,4)</f>
        <v/>
      </c>
      <c r="K72" s="62" t="str">
        <f>LEFT(北段!P71,4)</f>
        <v/>
      </c>
      <c r="L72" s="62" t="str">
        <f>LEFT(北段!Q71,4)</f>
        <v/>
      </c>
      <c r="M72" s="62" t="str">
        <f>LEFT(北段!R71,4)</f>
        <v/>
      </c>
      <c r="N72" s="62" t="str">
        <f>LEFT(北段!S71,4)</f>
        <v/>
      </c>
      <c r="O72" s="62" t="str">
        <f>LEFT(北段!T71,8)</f>
        <v/>
      </c>
      <c r="P72" s="62" t="str">
        <f>LEFT(北段!U71,4)</f>
        <v/>
      </c>
      <c r="Q72" s="62" t="str">
        <f>LEFT(北段!V71,4)</f>
        <v/>
      </c>
      <c r="R72" s="62" t="str">
        <f>LEFT(北段!W71,4)</f>
        <v/>
      </c>
      <c r="S72" s="62" t="str">
        <f>LEFT(北段!X71,4)</f>
        <v/>
      </c>
      <c r="T72" s="62" t="str">
        <f>LEFT(北段!Y71,4)</f>
        <v/>
      </c>
      <c r="U72" s="62" t="str">
        <f>LEFT(北段!Z71,4)</f>
        <v/>
      </c>
      <c r="V72" s="62" t="str">
        <f>LEFT(北段!AA71,4)</f>
        <v>勞安訓</v>
      </c>
      <c r="W72" s="62" t="str">
        <f>LEFT(北段!AB71,4)</f>
        <v/>
      </c>
      <c r="X72" s="62" t="str">
        <f>LEFT(北段!AC71,4)</f>
        <v/>
      </c>
      <c r="Y72" s="62" t="str">
        <f>LEFT(北段!AD71,4)</f>
        <v/>
      </c>
      <c r="Z72" s="62" t="str">
        <f>LEFT(北段!AE71,4)</f>
        <v/>
      </c>
      <c r="AA72" s="62" t="str">
        <f>LEFT(北段!AF71,4)</f>
        <v/>
      </c>
      <c r="AB72" s="62" t="str">
        <f>LEFT(北段!AG71,4)</f>
        <v/>
      </c>
      <c r="AC72" s="62" t="str">
        <f>LEFT(北段!AH71,4)</f>
        <v/>
      </c>
      <c r="AD72" s="62" t="str">
        <f>LEFT(北段!AI71,4)</f>
        <v/>
      </c>
      <c r="AE72" s="62" t="str">
        <f>LEFT(北段!AJ71,4)</f>
        <v/>
      </c>
      <c r="AF72" s="62" t="str">
        <f>LEFT(北段!AK71,4)</f>
        <v/>
      </c>
      <c r="AG72" s="62" t="str">
        <f>LEFT(北段!AL71,4)</f>
        <v/>
      </c>
      <c r="AH72" s="62" t="e">
        <f>LEFT(北段!#REF!,4)</f>
        <v>#REF!</v>
      </c>
      <c r="AI72" s="62" t="e">
        <f>LEFT(北段!#REF!,4)</f>
        <v>#REF!</v>
      </c>
      <c r="AJ72" s="62" t="e">
        <f>LEFT(北段!#REF!,4)</f>
        <v>#REF!</v>
      </c>
      <c r="AK72" s="62" t="e">
        <f>LEFT(北段!#REF!,4)</f>
        <v>#REF!</v>
      </c>
      <c r="AL72" s="62" t="e">
        <f>LEFT(北段!#REF!,4)</f>
        <v>#REF!</v>
      </c>
      <c r="AM72" s="62" t="e">
        <f>LEFT(北段!#REF!,4)</f>
        <v>#REF!</v>
      </c>
      <c r="AN72" s="62" t="e">
        <f>LEFT(北段!#REF!,4)</f>
        <v>#REF!</v>
      </c>
    </row>
    <row r="73" spans="1:40" s="99" customFormat="1" ht="43.5" customHeight="1" thickBot="1">
      <c r="A73" s="123"/>
      <c r="B73" s="100" t="str">
        <f>LEFT(北段!B72,6)</f>
        <v>T02229</v>
      </c>
      <c r="C73" s="152" t="str">
        <f>VLOOKUP(B73,北段!B:C,2,FALSE)</f>
        <v>吳意甄</v>
      </c>
      <c r="D73" s="62" t="str">
        <f>LEFT(北段!I72,4)</f>
        <v>06中A</v>
      </c>
      <c r="E73" s="62" t="str">
        <f>LEFT(北段!J72,4)</f>
        <v>06中A</v>
      </c>
      <c r="F73" s="62" t="str">
        <f>LEFT(北段!K72,4)</f>
        <v/>
      </c>
      <c r="G73" s="62" t="str">
        <f>LEFT(北段!L72,4)</f>
        <v/>
      </c>
      <c r="H73" s="62" t="str">
        <f>LEFT(北段!M72,4)</f>
        <v/>
      </c>
      <c r="I73" s="62" t="str">
        <f>LEFT(北段!N72,4)</f>
        <v/>
      </c>
      <c r="J73" s="62" t="str">
        <f>LEFT(北段!O72,4)</f>
        <v/>
      </c>
      <c r="K73" s="62" t="str">
        <f>LEFT(北段!P72,4)</f>
        <v/>
      </c>
      <c r="L73" s="62" t="str">
        <f>LEFT(北段!Q72,4)</f>
        <v/>
      </c>
      <c r="M73" s="62" t="str">
        <f>LEFT(北段!R72,4)</f>
        <v/>
      </c>
      <c r="N73" s="62" t="str">
        <f>LEFT(北段!S72,4)</f>
        <v/>
      </c>
      <c r="O73" s="62" t="str">
        <f>LEFT(北段!T72,4)</f>
        <v/>
      </c>
      <c r="P73" s="62" t="str">
        <f>LEFT(北段!U72,4)</f>
        <v/>
      </c>
      <c r="Q73" s="62" t="str">
        <f>LEFT(北段!V72,4)</f>
        <v/>
      </c>
      <c r="R73" s="62" t="str">
        <f>LEFT(北段!W72,3)</f>
        <v/>
      </c>
      <c r="S73" s="62" t="str">
        <f>LEFT(北段!X72,4)</f>
        <v/>
      </c>
      <c r="T73" s="62" t="str">
        <f>LEFT(北段!Y72,4)</f>
        <v/>
      </c>
      <c r="U73" s="62" t="str">
        <f>LEFT(北段!Z72,4)</f>
        <v/>
      </c>
      <c r="V73" s="62" t="str">
        <f>LEFT(北段!AA72,4)</f>
        <v/>
      </c>
      <c r="W73" s="62" t="str">
        <f>LEFT(北段!AB72,4)</f>
        <v/>
      </c>
      <c r="X73" s="62" t="str">
        <f>LEFT(北段!AC72,4)</f>
        <v/>
      </c>
      <c r="Y73" s="62" t="str">
        <f>LEFT(北段!AD72,4)</f>
        <v/>
      </c>
      <c r="Z73" s="62" t="str">
        <f>LEFT(北段!AE72,4)</f>
        <v/>
      </c>
      <c r="AA73" s="62" t="str">
        <f>LEFT(北段!AF72,4)</f>
        <v/>
      </c>
      <c r="AB73" s="62" t="str">
        <f>LEFT(北段!AG72,4)</f>
        <v/>
      </c>
      <c r="AC73" s="62" t="str">
        <f>LEFT(北段!AH72,4)</f>
        <v/>
      </c>
      <c r="AD73" s="62" t="str">
        <f>LEFT(北段!AI72,4)</f>
        <v/>
      </c>
      <c r="AE73" s="62" t="str">
        <f>LEFT(北段!AJ72,4)</f>
        <v/>
      </c>
      <c r="AF73" s="62" t="str">
        <f>LEFT(北段!AK72,4)</f>
        <v/>
      </c>
      <c r="AG73" s="62" t="str">
        <f>LEFT(北段!AL72,4)</f>
        <v/>
      </c>
      <c r="AH73" s="62" t="e">
        <f>LEFT(北段!#REF!,4)</f>
        <v>#REF!</v>
      </c>
      <c r="AI73" s="62" t="e">
        <f>LEFT(北段!#REF!,4)</f>
        <v>#REF!</v>
      </c>
      <c r="AJ73" s="62" t="e">
        <f>LEFT(北段!#REF!,4)</f>
        <v>#REF!</v>
      </c>
      <c r="AK73" s="62" t="e">
        <f>LEFT(北段!#REF!,4)</f>
        <v>#REF!</v>
      </c>
      <c r="AL73" s="62" t="e">
        <f>LEFT(北段!#REF!,4)</f>
        <v>#REF!</v>
      </c>
      <c r="AM73" s="62" t="e">
        <f>LEFT(北段!#REF!,4)</f>
        <v>#REF!</v>
      </c>
      <c r="AN73" s="62" t="e">
        <f>LEFT(北段!#REF!,4)</f>
        <v>#REF!</v>
      </c>
    </row>
    <row r="74" spans="1:40" s="99" customFormat="1"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AC74" s="10"/>
    </row>
    <row r="75" spans="1:40" s="99" customFormat="1"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AC75" s="10"/>
    </row>
    <row r="76" spans="1:40" s="99" customFormat="1"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AC76" s="10"/>
    </row>
    <row r="77" spans="1:40" s="99" customFormat="1"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AC77" s="10"/>
    </row>
    <row r="78" spans="1:40" s="99" customFormat="1"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AC78" s="10"/>
    </row>
    <row r="79" spans="1:40" s="99" customFormat="1"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AC79" s="10"/>
    </row>
    <row r="80" spans="1:40" s="99" customFormat="1"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AC80" s="10"/>
    </row>
    <row r="81" spans="1:40" s="99" customFormat="1"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AC81" s="10"/>
    </row>
    <row r="82" spans="1:40" s="99" customFormat="1"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AC82" s="10"/>
    </row>
    <row r="83" spans="1:40" s="99" customFormat="1" ht="17.25" thickBot="1"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AC83" s="10"/>
    </row>
    <row r="84" spans="1:40" s="26" customFormat="1" ht="32.450000000000003" customHeight="1">
      <c r="A84" s="22"/>
      <c r="B84" s="22"/>
      <c r="C84" s="63" t="s">
        <v>147</v>
      </c>
      <c r="D84" s="24">
        <f t="shared" ref="D84:E84" si="14">COUNTIF(D$3:D$70,"41早")</f>
        <v>1</v>
      </c>
      <c r="E84" s="24">
        <f t="shared" si="14"/>
        <v>1</v>
      </c>
      <c r="F84" s="24">
        <f>COUNTIF(F$3:F$73,"41早")</f>
        <v>0</v>
      </c>
      <c r="G84" s="24">
        <f t="shared" ref="G84:AN84" si="15">COUNTIF(G$3:G$73,"41早")</f>
        <v>0</v>
      </c>
      <c r="H84" s="24">
        <f t="shared" si="15"/>
        <v>0</v>
      </c>
      <c r="I84" s="24">
        <f t="shared" si="15"/>
        <v>0</v>
      </c>
      <c r="J84" s="24">
        <f t="shared" si="15"/>
        <v>0</v>
      </c>
      <c r="K84" s="24">
        <f t="shared" si="15"/>
        <v>0</v>
      </c>
      <c r="L84" s="24">
        <f t="shared" si="15"/>
        <v>0</v>
      </c>
      <c r="M84" s="24">
        <f t="shared" si="15"/>
        <v>0</v>
      </c>
      <c r="N84" s="24">
        <f t="shared" si="15"/>
        <v>0</v>
      </c>
      <c r="O84" s="24">
        <f t="shared" si="15"/>
        <v>0</v>
      </c>
      <c r="P84" s="24">
        <f t="shared" si="15"/>
        <v>0</v>
      </c>
      <c r="Q84" s="24">
        <f t="shared" si="15"/>
        <v>0</v>
      </c>
      <c r="R84" s="24">
        <f t="shared" si="15"/>
        <v>0</v>
      </c>
      <c r="S84" s="24">
        <f t="shared" si="15"/>
        <v>0</v>
      </c>
      <c r="T84" s="24">
        <f t="shared" si="15"/>
        <v>0</v>
      </c>
      <c r="U84" s="24">
        <f t="shared" si="15"/>
        <v>0</v>
      </c>
      <c r="V84" s="24">
        <f t="shared" si="15"/>
        <v>0</v>
      </c>
      <c r="W84" s="24">
        <f t="shared" si="15"/>
        <v>0</v>
      </c>
      <c r="X84" s="24">
        <f t="shared" si="15"/>
        <v>0</v>
      </c>
      <c r="Y84" s="24">
        <f t="shared" si="15"/>
        <v>0</v>
      </c>
      <c r="Z84" s="24">
        <f t="shared" si="15"/>
        <v>0</v>
      </c>
      <c r="AA84" s="24">
        <f t="shared" si="15"/>
        <v>0</v>
      </c>
      <c r="AB84" s="24">
        <f t="shared" si="15"/>
        <v>0</v>
      </c>
      <c r="AC84" s="24">
        <f t="shared" si="15"/>
        <v>0</v>
      </c>
      <c r="AD84" s="24">
        <f t="shared" si="15"/>
        <v>0</v>
      </c>
      <c r="AE84" s="24">
        <f t="shared" si="15"/>
        <v>0</v>
      </c>
      <c r="AF84" s="24">
        <f t="shared" si="15"/>
        <v>0</v>
      </c>
      <c r="AG84" s="24">
        <f t="shared" si="15"/>
        <v>0</v>
      </c>
      <c r="AH84" s="24">
        <f t="shared" si="15"/>
        <v>0</v>
      </c>
      <c r="AI84" s="24">
        <f t="shared" si="15"/>
        <v>0</v>
      </c>
      <c r="AJ84" s="24">
        <f t="shared" si="15"/>
        <v>0</v>
      </c>
      <c r="AK84" s="24">
        <f t="shared" si="15"/>
        <v>0</v>
      </c>
      <c r="AL84" s="24">
        <f t="shared" si="15"/>
        <v>0</v>
      </c>
      <c r="AM84" s="24">
        <f t="shared" si="15"/>
        <v>0</v>
      </c>
      <c r="AN84" s="24">
        <f t="shared" si="15"/>
        <v>0</v>
      </c>
    </row>
    <row r="85" spans="1:40" s="26" customFormat="1" ht="32.450000000000003" customHeight="1">
      <c r="A85" s="22"/>
      <c r="B85" s="22"/>
      <c r="C85" s="28" t="s">
        <v>149</v>
      </c>
      <c r="D85" s="27">
        <f t="shared" ref="D85:E85" si="16">COUNTIF(D$3:D$70,"41午")</f>
        <v>1</v>
      </c>
      <c r="E85" s="27">
        <f t="shared" si="16"/>
        <v>1</v>
      </c>
      <c r="F85" s="27">
        <f>COUNTIF(F$3:F$73,"41午")</f>
        <v>0</v>
      </c>
      <c r="G85" s="27">
        <f t="shared" ref="G85:AN85" si="17">COUNTIF(G$3:G$73,"41午")</f>
        <v>0</v>
      </c>
      <c r="H85" s="27">
        <f t="shared" si="17"/>
        <v>0</v>
      </c>
      <c r="I85" s="27">
        <f t="shared" si="17"/>
        <v>0</v>
      </c>
      <c r="J85" s="27">
        <f t="shared" si="17"/>
        <v>0</v>
      </c>
      <c r="K85" s="27">
        <f t="shared" si="17"/>
        <v>0</v>
      </c>
      <c r="L85" s="27">
        <f t="shared" si="17"/>
        <v>0</v>
      </c>
      <c r="M85" s="27">
        <f t="shared" si="17"/>
        <v>0</v>
      </c>
      <c r="N85" s="27">
        <f t="shared" si="17"/>
        <v>0</v>
      </c>
      <c r="O85" s="27">
        <f t="shared" si="17"/>
        <v>0</v>
      </c>
      <c r="P85" s="27">
        <f t="shared" si="17"/>
        <v>0</v>
      </c>
      <c r="Q85" s="27">
        <f t="shared" si="17"/>
        <v>0</v>
      </c>
      <c r="R85" s="27">
        <f t="shared" si="17"/>
        <v>0</v>
      </c>
      <c r="S85" s="27">
        <f t="shared" si="17"/>
        <v>0</v>
      </c>
      <c r="T85" s="27">
        <f t="shared" si="17"/>
        <v>0</v>
      </c>
      <c r="U85" s="27">
        <f t="shared" si="17"/>
        <v>0</v>
      </c>
      <c r="V85" s="27">
        <f t="shared" si="17"/>
        <v>0</v>
      </c>
      <c r="W85" s="27">
        <f t="shared" si="17"/>
        <v>0</v>
      </c>
      <c r="X85" s="27">
        <f t="shared" si="17"/>
        <v>0</v>
      </c>
      <c r="Y85" s="27">
        <f t="shared" si="17"/>
        <v>0</v>
      </c>
      <c r="Z85" s="27">
        <f t="shared" si="17"/>
        <v>0</v>
      </c>
      <c r="AA85" s="27">
        <f t="shared" si="17"/>
        <v>0</v>
      </c>
      <c r="AB85" s="27">
        <f t="shared" si="17"/>
        <v>0</v>
      </c>
      <c r="AC85" s="27">
        <f t="shared" si="17"/>
        <v>0</v>
      </c>
      <c r="AD85" s="27">
        <f t="shared" si="17"/>
        <v>0</v>
      </c>
      <c r="AE85" s="27">
        <f t="shared" si="17"/>
        <v>0</v>
      </c>
      <c r="AF85" s="27">
        <f t="shared" si="17"/>
        <v>0</v>
      </c>
      <c r="AG85" s="27">
        <f t="shared" si="17"/>
        <v>0</v>
      </c>
      <c r="AH85" s="27">
        <f t="shared" si="17"/>
        <v>0</v>
      </c>
      <c r="AI85" s="27">
        <f t="shared" si="17"/>
        <v>0</v>
      </c>
      <c r="AJ85" s="27">
        <f t="shared" si="17"/>
        <v>0</v>
      </c>
      <c r="AK85" s="27">
        <f t="shared" si="17"/>
        <v>0</v>
      </c>
      <c r="AL85" s="27">
        <f t="shared" si="17"/>
        <v>0</v>
      </c>
      <c r="AM85" s="27">
        <f t="shared" si="17"/>
        <v>0</v>
      </c>
      <c r="AN85" s="27">
        <f t="shared" si="17"/>
        <v>0</v>
      </c>
    </row>
    <row r="86" spans="1:40" s="26" customFormat="1" ht="32.450000000000003" customHeight="1" thickBot="1">
      <c r="A86" s="22"/>
      <c r="B86" s="22"/>
      <c r="C86" s="29" t="s">
        <v>150</v>
      </c>
      <c r="D86" s="30">
        <f t="shared" ref="D86:E86" si="18">COUNTIF(D$3:D$70,"41夜*")</f>
        <v>1</v>
      </c>
      <c r="E86" s="30">
        <f t="shared" si="18"/>
        <v>1</v>
      </c>
      <c r="F86" s="30">
        <f>COUNTIF(F$3:F$73,"41夜*")</f>
        <v>0</v>
      </c>
      <c r="G86" s="30">
        <f t="shared" ref="G86:AN86" si="19">COUNTIF(G$3:G$73,"41夜*")</f>
        <v>0</v>
      </c>
      <c r="H86" s="30">
        <f t="shared" si="19"/>
        <v>0</v>
      </c>
      <c r="I86" s="30">
        <f t="shared" si="19"/>
        <v>0</v>
      </c>
      <c r="J86" s="30">
        <f t="shared" si="19"/>
        <v>0</v>
      </c>
      <c r="K86" s="30">
        <f t="shared" si="19"/>
        <v>0</v>
      </c>
      <c r="L86" s="30">
        <f t="shared" si="19"/>
        <v>0</v>
      </c>
      <c r="M86" s="30">
        <f t="shared" si="19"/>
        <v>0</v>
      </c>
      <c r="N86" s="30">
        <f t="shared" si="19"/>
        <v>0</v>
      </c>
      <c r="O86" s="30">
        <f t="shared" si="19"/>
        <v>0</v>
      </c>
      <c r="P86" s="30">
        <f t="shared" si="19"/>
        <v>0</v>
      </c>
      <c r="Q86" s="30">
        <f t="shared" si="19"/>
        <v>0</v>
      </c>
      <c r="R86" s="30">
        <f t="shared" si="19"/>
        <v>0</v>
      </c>
      <c r="S86" s="30">
        <f t="shared" si="19"/>
        <v>0</v>
      </c>
      <c r="T86" s="30">
        <f t="shared" si="19"/>
        <v>0</v>
      </c>
      <c r="U86" s="30">
        <f t="shared" si="19"/>
        <v>0</v>
      </c>
      <c r="V86" s="30">
        <f t="shared" si="19"/>
        <v>0</v>
      </c>
      <c r="W86" s="30">
        <f t="shared" si="19"/>
        <v>0</v>
      </c>
      <c r="X86" s="30">
        <f t="shared" si="19"/>
        <v>0</v>
      </c>
      <c r="Y86" s="30">
        <f t="shared" si="19"/>
        <v>0</v>
      </c>
      <c r="Z86" s="30">
        <f t="shared" si="19"/>
        <v>0</v>
      </c>
      <c r="AA86" s="30">
        <f t="shared" si="19"/>
        <v>0</v>
      </c>
      <c r="AB86" s="30">
        <f t="shared" si="19"/>
        <v>0</v>
      </c>
      <c r="AC86" s="30">
        <f t="shared" si="19"/>
        <v>0</v>
      </c>
      <c r="AD86" s="30">
        <f t="shared" si="19"/>
        <v>0</v>
      </c>
      <c r="AE86" s="30">
        <f t="shared" si="19"/>
        <v>0</v>
      </c>
      <c r="AF86" s="30">
        <f t="shared" si="19"/>
        <v>0</v>
      </c>
      <c r="AG86" s="30">
        <f t="shared" si="19"/>
        <v>0</v>
      </c>
      <c r="AH86" s="30">
        <f t="shared" si="19"/>
        <v>0</v>
      </c>
      <c r="AI86" s="30">
        <f t="shared" si="19"/>
        <v>0</v>
      </c>
      <c r="AJ86" s="30">
        <f t="shared" si="19"/>
        <v>0</v>
      </c>
      <c r="AK86" s="30">
        <f t="shared" si="19"/>
        <v>0</v>
      </c>
      <c r="AL86" s="30">
        <f t="shared" si="19"/>
        <v>0</v>
      </c>
      <c r="AM86" s="30">
        <f t="shared" si="19"/>
        <v>0</v>
      </c>
      <c r="AN86" s="30">
        <f t="shared" si="19"/>
        <v>0</v>
      </c>
    </row>
    <row r="87" spans="1:40" s="26" customFormat="1" ht="32.450000000000003" customHeight="1">
      <c r="A87" s="22"/>
      <c r="B87" s="291"/>
      <c r="C87" s="63" t="s">
        <v>83</v>
      </c>
      <c r="D87" s="24">
        <f t="shared" ref="D87:E87" si="20">COUNTIF(D$3:D$70,"01早*")</f>
        <v>5</v>
      </c>
      <c r="E87" s="24">
        <f t="shared" si="20"/>
        <v>5</v>
      </c>
      <c r="F87" s="24">
        <f>COUNTIF(F$3:F$73,"01早*")</f>
        <v>0</v>
      </c>
      <c r="G87" s="24">
        <f t="shared" ref="G87:AN87" si="21">COUNTIF(G$3:G$73,"01早*")</f>
        <v>0</v>
      </c>
      <c r="H87" s="24">
        <f t="shared" si="21"/>
        <v>0</v>
      </c>
      <c r="I87" s="24">
        <f t="shared" si="21"/>
        <v>0</v>
      </c>
      <c r="J87" s="24">
        <f t="shared" si="21"/>
        <v>0</v>
      </c>
      <c r="K87" s="24">
        <f t="shared" si="21"/>
        <v>0</v>
      </c>
      <c r="L87" s="24">
        <f t="shared" si="21"/>
        <v>0</v>
      </c>
      <c r="M87" s="24">
        <f t="shared" si="21"/>
        <v>0</v>
      </c>
      <c r="N87" s="24">
        <f t="shared" si="21"/>
        <v>0</v>
      </c>
      <c r="O87" s="24">
        <f t="shared" si="21"/>
        <v>0</v>
      </c>
      <c r="P87" s="24">
        <f t="shared" si="21"/>
        <v>0</v>
      </c>
      <c r="Q87" s="24">
        <f t="shared" si="21"/>
        <v>0</v>
      </c>
      <c r="R87" s="24">
        <f t="shared" si="21"/>
        <v>0</v>
      </c>
      <c r="S87" s="24">
        <f t="shared" si="21"/>
        <v>0</v>
      </c>
      <c r="T87" s="24">
        <f t="shared" si="21"/>
        <v>0</v>
      </c>
      <c r="U87" s="24">
        <f t="shared" si="21"/>
        <v>0</v>
      </c>
      <c r="V87" s="24">
        <f t="shared" si="21"/>
        <v>0</v>
      </c>
      <c r="W87" s="24">
        <f t="shared" si="21"/>
        <v>0</v>
      </c>
      <c r="X87" s="24">
        <f t="shared" si="21"/>
        <v>0</v>
      </c>
      <c r="Y87" s="24">
        <f t="shared" si="21"/>
        <v>0</v>
      </c>
      <c r="Z87" s="24">
        <f t="shared" si="21"/>
        <v>0</v>
      </c>
      <c r="AA87" s="24">
        <f t="shared" si="21"/>
        <v>0</v>
      </c>
      <c r="AB87" s="24">
        <f t="shared" si="21"/>
        <v>0</v>
      </c>
      <c r="AC87" s="24">
        <f t="shared" si="21"/>
        <v>0</v>
      </c>
      <c r="AD87" s="24">
        <f t="shared" si="21"/>
        <v>0</v>
      </c>
      <c r="AE87" s="24">
        <f t="shared" si="21"/>
        <v>0</v>
      </c>
      <c r="AF87" s="24">
        <f t="shared" si="21"/>
        <v>0</v>
      </c>
      <c r="AG87" s="24">
        <f t="shared" si="21"/>
        <v>0</v>
      </c>
      <c r="AH87" s="24">
        <f t="shared" si="21"/>
        <v>0</v>
      </c>
      <c r="AI87" s="24">
        <f t="shared" si="21"/>
        <v>0</v>
      </c>
      <c r="AJ87" s="24">
        <f t="shared" si="21"/>
        <v>0</v>
      </c>
      <c r="AK87" s="24">
        <f t="shared" si="21"/>
        <v>0</v>
      </c>
      <c r="AL87" s="24">
        <f t="shared" si="21"/>
        <v>0</v>
      </c>
      <c r="AM87" s="24">
        <f t="shared" si="21"/>
        <v>0</v>
      </c>
      <c r="AN87" s="24">
        <f t="shared" si="21"/>
        <v>0</v>
      </c>
    </row>
    <row r="88" spans="1:40" s="26" customFormat="1" ht="32.450000000000003" customHeight="1">
      <c r="A88" s="22"/>
      <c r="B88" s="291"/>
      <c r="C88" s="63" t="s">
        <v>84</v>
      </c>
      <c r="D88" s="27">
        <f t="shared" ref="D88:E88" si="22">COUNTIF(D$3:D$70,"01中A*")</f>
        <v>0</v>
      </c>
      <c r="E88" s="27">
        <f t="shared" si="22"/>
        <v>0</v>
      </c>
      <c r="F88" s="27">
        <f>COUNTIF(F$3:F$73,"01中A*")</f>
        <v>0</v>
      </c>
      <c r="G88" s="27">
        <f t="shared" ref="G88:AN88" si="23">COUNTIF(G$3:G$73,"01中A*")</f>
        <v>0</v>
      </c>
      <c r="H88" s="27">
        <f t="shared" si="23"/>
        <v>0</v>
      </c>
      <c r="I88" s="27">
        <f t="shared" si="23"/>
        <v>0</v>
      </c>
      <c r="J88" s="27">
        <f t="shared" si="23"/>
        <v>0</v>
      </c>
      <c r="K88" s="27">
        <f t="shared" si="23"/>
        <v>0</v>
      </c>
      <c r="L88" s="27">
        <f t="shared" si="23"/>
        <v>0</v>
      </c>
      <c r="M88" s="27">
        <f t="shared" si="23"/>
        <v>0</v>
      </c>
      <c r="N88" s="27">
        <f t="shared" si="23"/>
        <v>0</v>
      </c>
      <c r="O88" s="27">
        <f t="shared" si="23"/>
        <v>0</v>
      </c>
      <c r="P88" s="27">
        <f t="shared" si="23"/>
        <v>0</v>
      </c>
      <c r="Q88" s="27">
        <f t="shared" si="23"/>
        <v>0</v>
      </c>
      <c r="R88" s="27">
        <f t="shared" si="23"/>
        <v>0</v>
      </c>
      <c r="S88" s="27">
        <f t="shared" si="23"/>
        <v>0</v>
      </c>
      <c r="T88" s="27">
        <f t="shared" si="23"/>
        <v>0</v>
      </c>
      <c r="U88" s="27">
        <f t="shared" si="23"/>
        <v>0</v>
      </c>
      <c r="V88" s="27">
        <f t="shared" si="23"/>
        <v>0</v>
      </c>
      <c r="W88" s="27">
        <f t="shared" si="23"/>
        <v>0</v>
      </c>
      <c r="X88" s="27">
        <f t="shared" si="23"/>
        <v>0</v>
      </c>
      <c r="Y88" s="27">
        <f t="shared" si="23"/>
        <v>0</v>
      </c>
      <c r="Z88" s="27">
        <f t="shared" si="23"/>
        <v>0</v>
      </c>
      <c r="AA88" s="27">
        <f t="shared" si="23"/>
        <v>0</v>
      </c>
      <c r="AB88" s="27">
        <f t="shared" si="23"/>
        <v>0</v>
      </c>
      <c r="AC88" s="27">
        <f t="shared" si="23"/>
        <v>0</v>
      </c>
      <c r="AD88" s="27">
        <f t="shared" si="23"/>
        <v>0</v>
      </c>
      <c r="AE88" s="27">
        <f t="shared" si="23"/>
        <v>0</v>
      </c>
      <c r="AF88" s="27">
        <f t="shared" si="23"/>
        <v>0</v>
      </c>
      <c r="AG88" s="27">
        <f t="shared" si="23"/>
        <v>0</v>
      </c>
      <c r="AH88" s="27">
        <f t="shared" si="23"/>
        <v>0</v>
      </c>
      <c r="AI88" s="27">
        <f t="shared" si="23"/>
        <v>0</v>
      </c>
      <c r="AJ88" s="27">
        <f t="shared" si="23"/>
        <v>0</v>
      </c>
      <c r="AK88" s="27">
        <f t="shared" si="23"/>
        <v>0</v>
      </c>
      <c r="AL88" s="27">
        <f t="shared" si="23"/>
        <v>0</v>
      </c>
      <c r="AM88" s="27">
        <f t="shared" si="23"/>
        <v>0</v>
      </c>
      <c r="AN88" s="27">
        <f t="shared" si="23"/>
        <v>0</v>
      </c>
    </row>
    <row r="89" spans="1:40" s="26" customFormat="1" ht="32.450000000000003" customHeight="1">
      <c r="A89" s="22"/>
      <c r="B89" s="291"/>
      <c r="C89" s="63" t="s">
        <v>85</v>
      </c>
      <c r="D89" s="27">
        <f t="shared" ref="D89:E89" si="24">COUNTIF(D$3:D$65,"01午*")</f>
        <v>5</v>
      </c>
      <c r="E89" s="27">
        <f t="shared" si="24"/>
        <v>5</v>
      </c>
      <c r="F89" s="27">
        <f>COUNTIF(F$3:F$73,"01午*")</f>
        <v>0</v>
      </c>
      <c r="G89" s="27">
        <f t="shared" ref="G89:AN89" si="25">COUNTIF(G$3:G$73,"01午*")</f>
        <v>0</v>
      </c>
      <c r="H89" s="27">
        <f t="shared" si="25"/>
        <v>0</v>
      </c>
      <c r="I89" s="27">
        <f t="shared" si="25"/>
        <v>0</v>
      </c>
      <c r="J89" s="27">
        <f t="shared" si="25"/>
        <v>0</v>
      </c>
      <c r="K89" s="27">
        <f t="shared" si="25"/>
        <v>0</v>
      </c>
      <c r="L89" s="27">
        <f t="shared" si="25"/>
        <v>0</v>
      </c>
      <c r="M89" s="27">
        <f t="shared" si="25"/>
        <v>0</v>
      </c>
      <c r="N89" s="27">
        <f t="shared" si="25"/>
        <v>0</v>
      </c>
      <c r="O89" s="27">
        <f t="shared" si="25"/>
        <v>0</v>
      </c>
      <c r="P89" s="27">
        <f t="shared" si="25"/>
        <v>0</v>
      </c>
      <c r="Q89" s="27">
        <f t="shared" si="25"/>
        <v>0</v>
      </c>
      <c r="R89" s="27">
        <f t="shared" si="25"/>
        <v>0</v>
      </c>
      <c r="S89" s="27">
        <f t="shared" si="25"/>
        <v>0</v>
      </c>
      <c r="T89" s="27">
        <f t="shared" si="25"/>
        <v>0</v>
      </c>
      <c r="U89" s="27">
        <f t="shared" si="25"/>
        <v>0</v>
      </c>
      <c r="V89" s="27">
        <f t="shared" si="25"/>
        <v>0</v>
      </c>
      <c r="W89" s="27">
        <f t="shared" si="25"/>
        <v>0</v>
      </c>
      <c r="X89" s="27">
        <f t="shared" si="25"/>
        <v>0</v>
      </c>
      <c r="Y89" s="27">
        <f t="shared" si="25"/>
        <v>0</v>
      </c>
      <c r="Z89" s="27">
        <f t="shared" si="25"/>
        <v>0</v>
      </c>
      <c r="AA89" s="27">
        <f t="shared" si="25"/>
        <v>0</v>
      </c>
      <c r="AB89" s="27">
        <f t="shared" si="25"/>
        <v>0</v>
      </c>
      <c r="AC89" s="27">
        <f t="shared" si="25"/>
        <v>0</v>
      </c>
      <c r="AD89" s="27">
        <f t="shared" si="25"/>
        <v>0</v>
      </c>
      <c r="AE89" s="27">
        <f t="shared" si="25"/>
        <v>0</v>
      </c>
      <c r="AF89" s="27">
        <f t="shared" si="25"/>
        <v>0</v>
      </c>
      <c r="AG89" s="27">
        <f t="shared" si="25"/>
        <v>0</v>
      </c>
      <c r="AH89" s="27">
        <f t="shared" si="25"/>
        <v>0</v>
      </c>
      <c r="AI89" s="27">
        <f t="shared" si="25"/>
        <v>0</v>
      </c>
      <c r="AJ89" s="27">
        <f t="shared" si="25"/>
        <v>0</v>
      </c>
      <c r="AK89" s="27">
        <f t="shared" si="25"/>
        <v>0</v>
      </c>
      <c r="AL89" s="27">
        <f t="shared" si="25"/>
        <v>0</v>
      </c>
      <c r="AM89" s="27">
        <f t="shared" si="25"/>
        <v>0</v>
      </c>
      <c r="AN89" s="27">
        <f t="shared" si="25"/>
        <v>0</v>
      </c>
    </row>
    <row r="90" spans="1:40" s="26" customFormat="1" ht="32.25" customHeight="1" thickBot="1">
      <c r="A90" s="22"/>
      <c r="B90" s="291"/>
      <c r="C90" s="29" t="s">
        <v>86</v>
      </c>
      <c r="D90" s="30">
        <f t="shared" ref="D90:E90" si="26">COUNTIF(D$3:D$70,"01夜*")</f>
        <v>2</v>
      </c>
      <c r="E90" s="30">
        <f t="shared" si="26"/>
        <v>2</v>
      </c>
      <c r="F90" s="30">
        <f>COUNTIF(F$3:F$73,"01夜*")</f>
        <v>0</v>
      </c>
      <c r="G90" s="30">
        <f t="shared" ref="G90:AN90" si="27">COUNTIF(G$3:G$73,"01夜*")</f>
        <v>0</v>
      </c>
      <c r="H90" s="30">
        <f t="shared" si="27"/>
        <v>0</v>
      </c>
      <c r="I90" s="30">
        <f t="shared" si="27"/>
        <v>0</v>
      </c>
      <c r="J90" s="30">
        <f t="shared" si="27"/>
        <v>0</v>
      </c>
      <c r="K90" s="30">
        <f t="shared" si="27"/>
        <v>0</v>
      </c>
      <c r="L90" s="30">
        <f t="shared" si="27"/>
        <v>0</v>
      </c>
      <c r="M90" s="30">
        <f t="shared" si="27"/>
        <v>0</v>
      </c>
      <c r="N90" s="30">
        <f t="shared" si="27"/>
        <v>0</v>
      </c>
      <c r="O90" s="30">
        <f t="shared" si="27"/>
        <v>0</v>
      </c>
      <c r="P90" s="30">
        <f t="shared" si="27"/>
        <v>0</v>
      </c>
      <c r="Q90" s="30">
        <f t="shared" si="27"/>
        <v>0</v>
      </c>
      <c r="R90" s="30">
        <f t="shared" si="27"/>
        <v>0</v>
      </c>
      <c r="S90" s="30">
        <f t="shared" si="27"/>
        <v>0</v>
      </c>
      <c r="T90" s="30">
        <f t="shared" si="27"/>
        <v>0</v>
      </c>
      <c r="U90" s="30">
        <f t="shared" si="27"/>
        <v>0</v>
      </c>
      <c r="V90" s="30">
        <f t="shared" si="27"/>
        <v>0</v>
      </c>
      <c r="W90" s="30">
        <f t="shared" si="27"/>
        <v>0</v>
      </c>
      <c r="X90" s="30">
        <f t="shared" si="27"/>
        <v>0</v>
      </c>
      <c r="Y90" s="30">
        <f t="shared" si="27"/>
        <v>0</v>
      </c>
      <c r="Z90" s="30">
        <f t="shared" si="27"/>
        <v>0</v>
      </c>
      <c r="AA90" s="30">
        <f t="shared" si="27"/>
        <v>0</v>
      </c>
      <c r="AB90" s="30">
        <f t="shared" si="27"/>
        <v>0</v>
      </c>
      <c r="AC90" s="30">
        <f t="shared" si="27"/>
        <v>0</v>
      </c>
      <c r="AD90" s="30">
        <f t="shared" si="27"/>
        <v>0</v>
      </c>
      <c r="AE90" s="30">
        <f t="shared" si="27"/>
        <v>0</v>
      </c>
      <c r="AF90" s="30">
        <f t="shared" si="27"/>
        <v>0</v>
      </c>
      <c r="AG90" s="30">
        <f t="shared" si="27"/>
        <v>0</v>
      </c>
      <c r="AH90" s="30">
        <f t="shared" si="27"/>
        <v>0</v>
      </c>
      <c r="AI90" s="30">
        <f t="shared" si="27"/>
        <v>0</v>
      </c>
      <c r="AJ90" s="30">
        <f t="shared" si="27"/>
        <v>0</v>
      </c>
      <c r="AK90" s="30">
        <f t="shared" si="27"/>
        <v>0</v>
      </c>
      <c r="AL90" s="30">
        <f t="shared" si="27"/>
        <v>0</v>
      </c>
      <c r="AM90" s="30">
        <f t="shared" si="27"/>
        <v>0</v>
      </c>
      <c r="AN90" s="30">
        <f t="shared" si="27"/>
        <v>0</v>
      </c>
    </row>
    <row r="91" spans="1:40" s="26" customFormat="1" ht="32.450000000000003" customHeight="1">
      <c r="A91" s="22"/>
      <c r="B91" s="22"/>
      <c r="C91" s="61" t="s">
        <v>87</v>
      </c>
      <c r="D91" s="24">
        <f t="shared" ref="D91:E91" si="28">COUNTIF(D$3:D$70,"**02早*")</f>
        <v>2</v>
      </c>
      <c r="E91" s="24">
        <f t="shared" si="28"/>
        <v>2</v>
      </c>
      <c r="F91" s="24">
        <f>COUNTIF(F$3:F$73,"**02早*")</f>
        <v>0</v>
      </c>
      <c r="G91" s="24">
        <f t="shared" ref="G91:AN91" si="29">COUNTIF(G$3:G$73,"**02早*")</f>
        <v>0</v>
      </c>
      <c r="H91" s="24">
        <f t="shared" si="29"/>
        <v>0</v>
      </c>
      <c r="I91" s="24">
        <f t="shared" si="29"/>
        <v>0</v>
      </c>
      <c r="J91" s="24">
        <f t="shared" si="29"/>
        <v>0</v>
      </c>
      <c r="K91" s="24">
        <f t="shared" si="29"/>
        <v>0</v>
      </c>
      <c r="L91" s="24">
        <f t="shared" si="29"/>
        <v>0</v>
      </c>
      <c r="M91" s="24">
        <f t="shared" si="29"/>
        <v>0</v>
      </c>
      <c r="N91" s="24">
        <f t="shared" si="29"/>
        <v>0</v>
      </c>
      <c r="O91" s="24">
        <f t="shared" si="29"/>
        <v>0</v>
      </c>
      <c r="P91" s="24">
        <f t="shared" si="29"/>
        <v>0</v>
      </c>
      <c r="Q91" s="24">
        <f t="shared" si="29"/>
        <v>0</v>
      </c>
      <c r="R91" s="24">
        <f t="shared" si="29"/>
        <v>0</v>
      </c>
      <c r="S91" s="24">
        <f t="shared" si="29"/>
        <v>0</v>
      </c>
      <c r="T91" s="24">
        <f t="shared" si="29"/>
        <v>0</v>
      </c>
      <c r="U91" s="24">
        <f t="shared" si="29"/>
        <v>0</v>
      </c>
      <c r="V91" s="24">
        <f t="shared" si="29"/>
        <v>0</v>
      </c>
      <c r="W91" s="24">
        <f t="shared" si="29"/>
        <v>0</v>
      </c>
      <c r="X91" s="24">
        <f t="shared" si="29"/>
        <v>0</v>
      </c>
      <c r="Y91" s="24">
        <f t="shared" si="29"/>
        <v>0</v>
      </c>
      <c r="Z91" s="24">
        <f t="shared" si="29"/>
        <v>0</v>
      </c>
      <c r="AA91" s="24">
        <f t="shared" si="29"/>
        <v>0</v>
      </c>
      <c r="AB91" s="24">
        <f t="shared" si="29"/>
        <v>0</v>
      </c>
      <c r="AC91" s="24">
        <f t="shared" si="29"/>
        <v>0</v>
      </c>
      <c r="AD91" s="24">
        <f t="shared" si="29"/>
        <v>0</v>
      </c>
      <c r="AE91" s="24">
        <f t="shared" si="29"/>
        <v>0</v>
      </c>
      <c r="AF91" s="24">
        <f t="shared" si="29"/>
        <v>0</v>
      </c>
      <c r="AG91" s="24">
        <f t="shared" si="29"/>
        <v>0</v>
      </c>
      <c r="AH91" s="24">
        <f t="shared" si="29"/>
        <v>0</v>
      </c>
      <c r="AI91" s="24">
        <f t="shared" si="29"/>
        <v>0</v>
      </c>
      <c r="AJ91" s="24">
        <f t="shared" si="29"/>
        <v>0</v>
      </c>
      <c r="AK91" s="24">
        <f t="shared" si="29"/>
        <v>0</v>
      </c>
      <c r="AL91" s="24">
        <f t="shared" si="29"/>
        <v>0</v>
      </c>
      <c r="AM91" s="24">
        <f t="shared" si="29"/>
        <v>0</v>
      </c>
      <c r="AN91" s="24">
        <f t="shared" si="29"/>
        <v>0</v>
      </c>
    </row>
    <row r="92" spans="1:40" s="26" customFormat="1" ht="32.450000000000003" customHeight="1">
      <c r="A92" s="22"/>
      <c r="B92" s="22"/>
      <c r="C92" s="28" t="s">
        <v>88</v>
      </c>
      <c r="D92" s="27">
        <f t="shared" ref="D92:E92" si="30">COUNTIF(D$3:D$70,"02中A*")</f>
        <v>0</v>
      </c>
      <c r="E92" s="27">
        <f t="shared" si="30"/>
        <v>0</v>
      </c>
      <c r="F92" s="27">
        <f>COUNTIF(F$3:F$73,"02中A*")</f>
        <v>0</v>
      </c>
      <c r="G92" s="27">
        <f t="shared" ref="G92:AN92" si="31">COUNTIF(G$3:G$73,"02中A*")</f>
        <v>0</v>
      </c>
      <c r="H92" s="27">
        <f t="shared" si="31"/>
        <v>0</v>
      </c>
      <c r="I92" s="27">
        <f t="shared" si="31"/>
        <v>0</v>
      </c>
      <c r="J92" s="27">
        <f t="shared" si="31"/>
        <v>0</v>
      </c>
      <c r="K92" s="27">
        <f t="shared" si="31"/>
        <v>0</v>
      </c>
      <c r="L92" s="27">
        <f t="shared" si="31"/>
        <v>0</v>
      </c>
      <c r="M92" s="27">
        <f t="shared" si="31"/>
        <v>0</v>
      </c>
      <c r="N92" s="27">
        <f t="shared" si="31"/>
        <v>0</v>
      </c>
      <c r="O92" s="27">
        <f t="shared" si="31"/>
        <v>0</v>
      </c>
      <c r="P92" s="27">
        <f t="shared" si="31"/>
        <v>0</v>
      </c>
      <c r="Q92" s="27">
        <f t="shared" si="31"/>
        <v>0</v>
      </c>
      <c r="R92" s="27">
        <f t="shared" si="31"/>
        <v>0</v>
      </c>
      <c r="S92" s="27">
        <f t="shared" si="31"/>
        <v>0</v>
      </c>
      <c r="T92" s="27">
        <f t="shared" si="31"/>
        <v>0</v>
      </c>
      <c r="U92" s="27">
        <f t="shared" si="31"/>
        <v>0</v>
      </c>
      <c r="V92" s="27">
        <f t="shared" si="31"/>
        <v>0</v>
      </c>
      <c r="W92" s="27">
        <f t="shared" si="31"/>
        <v>0</v>
      </c>
      <c r="X92" s="27">
        <f t="shared" si="31"/>
        <v>0</v>
      </c>
      <c r="Y92" s="27">
        <f t="shared" si="31"/>
        <v>0</v>
      </c>
      <c r="Z92" s="27">
        <f t="shared" si="31"/>
        <v>0</v>
      </c>
      <c r="AA92" s="27">
        <f t="shared" si="31"/>
        <v>0</v>
      </c>
      <c r="AB92" s="27">
        <f t="shared" si="31"/>
        <v>0</v>
      </c>
      <c r="AC92" s="27">
        <f t="shared" si="31"/>
        <v>0</v>
      </c>
      <c r="AD92" s="27">
        <f t="shared" si="31"/>
        <v>0</v>
      </c>
      <c r="AE92" s="27">
        <f t="shared" si="31"/>
        <v>0</v>
      </c>
      <c r="AF92" s="27">
        <f t="shared" si="31"/>
        <v>0</v>
      </c>
      <c r="AG92" s="27">
        <f t="shared" si="31"/>
        <v>0</v>
      </c>
      <c r="AH92" s="27">
        <f t="shared" si="31"/>
        <v>0</v>
      </c>
      <c r="AI92" s="27">
        <f t="shared" si="31"/>
        <v>0</v>
      </c>
      <c r="AJ92" s="27">
        <f t="shared" si="31"/>
        <v>0</v>
      </c>
      <c r="AK92" s="27">
        <f t="shared" si="31"/>
        <v>0</v>
      </c>
      <c r="AL92" s="27">
        <f t="shared" si="31"/>
        <v>0</v>
      </c>
      <c r="AM92" s="27">
        <f t="shared" si="31"/>
        <v>0</v>
      </c>
      <c r="AN92" s="27">
        <f t="shared" si="31"/>
        <v>0</v>
      </c>
    </row>
    <row r="93" spans="1:40" s="26" customFormat="1" ht="32.450000000000003" customHeight="1">
      <c r="A93" s="22"/>
      <c r="B93" s="22"/>
      <c r="C93" s="28" t="s">
        <v>89</v>
      </c>
      <c r="D93" s="27">
        <f t="shared" ref="D93:E93" si="32">COUNTIF(D$3:D$70,"*02午*")</f>
        <v>2</v>
      </c>
      <c r="E93" s="27">
        <f t="shared" si="32"/>
        <v>2</v>
      </c>
      <c r="F93" s="27">
        <f>COUNTIF(F$3:F$73,"*02午*")</f>
        <v>0</v>
      </c>
      <c r="G93" s="27">
        <f t="shared" ref="G93:AN93" si="33">COUNTIF(G$3:G$73,"*02午*")</f>
        <v>0</v>
      </c>
      <c r="H93" s="27">
        <f t="shared" si="33"/>
        <v>0</v>
      </c>
      <c r="I93" s="27">
        <f t="shared" si="33"/>
        <v>0</v>
      </c>
      <c r="J93" s="27">
        <f t="shared" si="33"/>
        <v>0</v>
      </c>
      <c r="K93" s="27">
        <f t="shared" si="33"/>
        <v>0</v>
      </c>
      <c r="L93" s="27">
        <f t="shared" si="33"/>
        <v>0</v>
      </c>
      <c r="M93" s="27">
        <f t="shared" si="33"/>
        <v>0</v>
      </c>
      <c r="N93" s="27">
        <f t="shared" si="33"/>
        <v>0</v>
      </c>
      <c r="O93" s="27">
        <f t="shared" si="33"/>
        <v>0</v>
      </c>
      <c r="P93" s="27">
        <f t="shared" si="33"/>
        <v>0</v>
      </c>
      <c r="Q93" s="27">
        <f t="shared" si="33"/>
        <v>0</v>
      </c>
      <c r="R93" s="27">
        <f t="shared" si="33"/>
        <v>0</v>
      </c>
      <c r="S93" s="27">
        <f t="shared" si="33"/>
        <v>0</v>
      </c>
      <c r="T93" s="27">
        <f t="shared" si="33"/>
        <v>0</v>
      </c>
      <c r="U93" s="27">
        <f t="shared" si="33"/>
        <v>0</v>
      </c>
      <c r="V93" s="27">
        <f t="shared" si="33"/>
        <v>0</v>
      </c>
      <c r="W93" s="27">
        <f t="shared" si="33"/>
        <v>0</v>
      </c>
      <c r="X93" s="27">
        <f t="shared" si="33"/>
        <v>0</v>
      </c>
      <c r="Y93" s="27">
        <f t="shared" si="33"/>
        <v>0</v>
      </c>
      <c r="Z93" s="27">
        <f t="shared" si="33"/>
        <v>0</v>
      </c>
      <c r="AA93" s="27">
        <f t="shared" si="33"/>
        <v>0</v>
      </c>
      <c r="AB93" s="27">
        <f t="shared" si="33"/>
        <v>0</v>
      </c>
      <c r="AC93" s="27">
        <f t="shared" si="33"/>
        <v>0</v>
      </c>
      <c r="AD93" s="27">
        <f t="shared" si="33"/>
        <v>0</v>
      </c>
      <c r="AE93" s="27">
        <f t="shared" si="33"/>
        <v>0</v>
      </c>
      <c r="AF93" s="27">
        <f t="shared" si="33"/>
        <v>0</v>
      </c>
      <c r="AG93" s="27">
        <f t="shared" si="33"/>
        <v>0</v>
      </c>
      <c r="AH93" s="27">
        <f t="shared" si="33"/>
        <v>0</v>
      </c>
      <c r="AI93" s="27">
        <f t="shared" si="33"/>
        <v>0</v>
      </c>
      <c r="AJ93" s="27">
        <f t="shared" si="33"/>
        <v>0</v>
      </c>
      <c r="AK93" s="27">
        <f t="shared" si="33"/>
        <v>0</v>
      </c>
      <c r="AL93" s="27">
        <f t="shared" si="33"/>
        <v>0</v>
      </c>
      <c r="AM93" s="27">
        <f t="shared" si="33"/>
        <v>0</v>
      </c>
      <c r="AN93" s="27">
        <f t="shared" si="33"/>
        <v>0</v>
      </c>
    </row>
    <row r="94" spans="1:40" s="26" customFormat="1" ht="32.450000000000003" customHeight="1" thickBot="1">
      <c r="A94" s="22"/>
      <c r="B94" s="22"/>
      <c r="C94" s="29" t="s">
        <v>90</v>
      </c>
      <c r="D94" s="30">
        <f t="shared" ref="D94:E94" si="34">COUNTIF(D$3:D$70,"02夜*")</f>
        <v>1</v>
      </c>
      <c r="E94" s="30">
        <f t="shared" si="34"/>
        <v>1</v>
      </c>
      <c r="F94" s="30">
        <f>COUNTIF(F$3:F$73,"02夜*")</f>
        <v>0</v>
      </c>
      <c r="G94" s="30">
        <f t="shared" ref="G94:AN94" si="35">COUNTIF(G$3:G$73,"02夜*")</f>
        <v>0</v>
      </c>
      <c r="H94" s="30">
        <f t="shared" si="35"/>
        <v>0</v>
      </c>
      <c r="I94" s="30">
        <f t="shared" si="35"/>
        <v>0</v>
      </c>
      <c r="J94" s="30">
        <f t="shared" si="35"/>
        <v>0</v>
      </c>
      <c r="K94" s="30">
        <f t="shared" si="35"/>
        <v>0</v>
      </c>
      <c r="L94" s="30">
        <f t="shared" si="35"/>
        <v>0</v>
      </c>
      <c r="M94" s="30">
        <f t="shared" si="35"/>
        <v>0</v>
      </c>
      <c r="N94" s="30">
        <f t="shared" si="35"/>
        <v>0</v>
      </c>
      <c r="O94" s="30">
        <f t="shared" si="35"/>
        <v>0</v>
      </c>
      <c r="P94" s="30">
        <f t="shared" si="35"/>
        <v>0</v>
      </c>
      <c r="Q94" s="30">
        <f t="shared" si="35"/>
        <v>0</v>
      </c>
      <c r="R94" s="30">
        <f t="shared" si="35"/>
        <v>0</v>
      </c>
      <c r="S94" s="30">
        <f t="shared" si="35"/>
        <v>0</v>
      </c>
      <c r="T94" s="30">
        <f t="shared" si="35"/>
        <v>0</v>
      </c>
      <c r="U94" s="30">
        <f t="shared" si="35"/>
        <v>0</v>
      </c>
      <c r="V94" s="30">
        <f t="shared" si="35"/>
        <v>0</v>
      </c>
      <c r="W94" s="30">
        <f t="shared" si="35"/>
        <v>0</v>
      </c>
      <c r="X94" s="30">
        <f t="shared" si="35"/>
        <v>0</v>
      </c>
      <c r="Y94" s="30">
        <f t="shared" si="35"/>
        <v>0</v>
      </c>
      <c r="Z94" s="30">
        <f t="shared" si="35"/>
        <v>0</v>
      </c>
      <c r="AA94" s="30">
        <f t="shared" si="35"/>
        <v>0</v>
      </c>
      <c r="AB94" s="30">
        <f t="shared" si="35"/>
        <v>0</v>
      </c>
      <c r="AC94" s="30">
        <f t="shared" si="35"/>
        <v>0</v>
      </c>
      <c r="AD94" s="30">
        <f t="shared" si="35"/>
        <v>0</v>
      </c>
      <c r="AE94" s="30">
        <f t="shared" si="35"/>
        <v>0</v>
      </c>
      <c r="AF94" s="30">
        <f t="shared" si="35"/>
        <v>0</v>
      </c>
      <c r="AG94" s="30">
        <f t="shared" si="35"/>
        <v>0</v>
      </c>
      <c r="AH94" s="30">
        <f t="shared" si="35"/>
        <v>0</v>
      </c>
      <c r="AI94" s="30">
        <f t="shared" si="35"/>
        <v>0</v>
      </c>
      <c r="AJ94" s="30">
        <f t="shared" si="35"/>
        <v>0</v>
      </c>
      <c r="AK94" s="30">
        <f t="shared" si="35"/>
        <v>0</v>
      </c>
      <c r="AL94" s="30">
        <f t="shared" si="35"/>
        <v>0</v>
      </c>
      <c r="AM94" s="30">
        <f t="shared" si="35"/>
        <v>0</v>
      </c>
      <c r="AN94" s="30">
        <f t="shared" si="35"/>
        <v>0</v>
      </c>
    </row>
    <row r="95" spans="1:40" s="26" customFormat="1" ht="32.450000000000003" customHeight="1">
      <c r="A95" s="22"/>
      <c r="B95" s="22"/>
      <c r="C95" s="28" t="s">
        <v>91</v>
      </c>
      <c r="D95" s="24">
        <f t="shared" ref="D95:E95" si="36">COUNTIF(D$3:D$70,"*03早*")-D96</f>
        <v>2</v>
      </c>
      <c r="E95" s="24">
        <f t="shared" si="36"/>
        <v>2</v>
      </c>
      <c r="F95" s="24">
        <f>COUNTIF(F$3:F$73,"*03早*")-F96</f>
        <v>0</v>
      </c>
      <c r="G95" s="24">
        <f t="shared" ref="G95:AN95" si="37">COUNTIF(G$3:G$73,"*03早*")-G96</f>
        <v>0</v>
      </c>
      <c r="H95" s="24">
        <f t="shared" si="37"/>
        <v>0</v>
      </c>
      <c r="I95" s="24">
        <f t="shared" si="37"/>
        <v>0</v>
      </c>
      <c r="J95" s="24">
        <f t="shared" si="37"/>
        <v>0</v>
      </c>
      <c r="K95" s="24">
        <f t="shared" si="37"/>
        <v>0</v>
      </c>
      <c r="L95" s="24">
        <f t="shared" si="37"/>
        <v>0</v>
      </c>
      <c r="M95" s="24">
        <f t="shared" si="37"/>
        <v>0</v>
      </c>
      <c r="N95" s="24">
        <f t="shared" si="37"/>
        <v>0</v>
      </c>
      <c r="O95" s="24">
        <f t="shared" si="37"/>
        <v>0</v>
      </c>
      <c r="P95" s="24">
        <f t="shared" si="37"/>
        <v>0</v>
      </c>
      <c r="Q95" s="24">
        <f t="shared" si="37"/>
        <v>0</v>
      </c>
      <c r="R95" s="24">
        <f t="shared" si="37"/>
        <v>0</v>
      </c>
      <c r="S95" s="24">
        <f t="shared" si="37"/>
        <v>0</v>
      </c>
      <c r="T95" s="24">
        <f t="shared" si="37"/>
        <v>0</v>
      </c>
      <c r="U95" s="24">
        <f t="shared" si="37"/>
        <v>0</v>
      </c>
      <c r="V95" s="24">
        <f t="shared" si="37"/>
        <v>0</v>
      </c>
      <c r="W95" s="24">
        <f t="shared" si="37"/>
        <v>0</v>
      </c>
      <c r="X95" s="24">
        <f t="shared" si="37"/>
        <v>0</v>
      </c>
      <c r="Y95" s="24">
        <f t="shared" si="37"/>
        <v>0</v>
      </c>
      <c r="Z95" s="24">
        <f t="shared" si="37"/>
        <v>0</v>
      </c>
      <c r="AA95" s="24">
        <f t="shared" si="37"/>
        <v>0</v>
      </c>
      <c r="AB95" s="24">
        <f t="shared" si="37"/>
        <v>0</v>
      </c>
      <c r="AC95" s="24">
        <f t="shared" si="37"/>
        <v>0</v>
      </c>
      <c r="AD95" s="24">
        <f t="shared" si="37"/>
        <v>0</v>
      </c>
      <c r="AE95" s="24">
        <f t="shared" si="37"/>
        <v>0</v>
      </c>
      <c r="AF95" s="24">
        <f t="shared" si="37"/>
        <v>0</v>
      </c>
      <c r="AG95" s="24">
        <f t="shared" si="37"/>
        <v>0</v>
      </c>
      <c r="AH95" s="24">
        <f t="shared" si="37"/>
        <v>0</v>
      </c>
      <c r="AI95" s="24">
        <f t="shared" si="37"/>
        <v>0</v>
      </c>
      <c r="AJ95" s="24">
        <f t="shared" si="37"/>
        <v>0</v>
      </c>
      <c r="AK95" s="24">
        <f t="shared" si="37"/>
        <v>0</v>
      </c>
      <c r="AL95" s="24">
        <f t="shared" si="37"/>
        <v>0</v>
      </c>
      <c r="AM95" s="24">
        <f t="shared" si="37"/>
        <v>0</v>
      </c>
      <c r="AN95" s="24">
        <f t="shared" si="37"/>
        <v>0</v>
      </c>
    </row>
    <row r="96" spans="1:40" s="26" customFormat="1" ht="32.450000000000003" customHeight="1">
      <c r="A96" s="22"/>
      <c r="B96" s="22"/>
      <c r="C96" s="63" t="s">
        <v>151</v>
      </c>
      <c r="D96" s="31">
        <f t="shared" ref="D96:E96" si="38">COUNTIF(D$3:D$70,"*03早A*")</f>
        <v>1</v>
      </c>
      <c r="E96" s="31">
        <f t="shared" si="38"/>
        <v>0</v>
      </c>
      <c r="F96" s="31">
        <f>COUNTIF(F$3:F$73,"*03早A*")</f>
        <v>0</v>
      </c>
      <c r="G96" s="31">
        <f t="shared" ref="G96:AN96" si="39">COUNTIF(G$3:G$73,"*03早A*")</f>
        <v>0</v>
      </c>
      <c r="H96" s="31">
        <f t="shared" si="39"/>
        <v>0</v>
      </c>
      <c r="I96" s="31">
        <f t="shared" si="39"/>
        <v>0</v>
      </c>
      <c r="J96" s="31">
        <f t="shared" si="39"/>
        <v>0</v>
      </c>
      <c r="K96" s="31">
        <f t="shared" si="39"/>
        <v>0</v>
      </c>
      <c r="L96" s="31">
        <f t="shared" si="39"/>
        <v>0</v>
      </c>
      <c r="M96" s="31">
        <f t="shared" si="39"/>
        <v>0</v>
      </c>
      <c r="N96" s="31">
        <f t="shared" si="39"/>
        <v>0</v>
      </c>
      <c r="O96" s="31">
        <f t="shared" si="39"/>
        <v>0</v>
      </c>
      <c r="P96" s="31">
        <f t="shared" si="39"/>
        <v>0</v>
      </c>
      <c r="Q96" s="31">
        <f t="shared" si="39"/>
        <v>0</v>
      </c>
      <c r="R96" s="31">
        <f t="shared" si="39"/>
        <v>0</v>
      </c>
      <c r="S96" s="31">
        <f t="shared" si="39"/>
        <v>0</v>
      </c>
      <c r="T96" s="31">
        <f t="shared" si="39"/>
        <v>0</v>
      </c>
      <c r="U96" s="31">
        <f t="shared" si="39"/>
        <v>0</v>
      </c>
      <c r="V96" s="31">
        <f t="shared" si="39"/>
        <v>0</v>
      </c>
      <c r="W96" s="31">
        <f t="shared" si="39"/>
        <v>0</v>
      </c>
      <c r="X96" s="31">
        <f t="shared" si="39"/>
        <v>0</v>
      </c>
      <c r="Y96" s="31">
        <f t="shared" si="39"/>
        <v>0</v>
      </c>
      <c r="Z96" s="31">
        <f t="shared" si="39"/>
        <v>0</v>
      </c>
      <c r="AA96" s="31">
        <f t="shared" si="39"/>
        <v>0</v>
      </c>
      <c r="AB96" s="31">
        <f t="shared" si="39"/>
        <v>0</v>
      </c>
      <c r="AC96" s="31">
        <f t="shared" si="39"/>
        <v>0</v>
      </c>
      <c r="AD96" s="31">
        <f t="shared" si="39"/>
        <v>0</v>
      </c>
      <c r="AE96" s="31">
        <f t="shared" si="39"/>
        <v>0</v>
      </c>
      <c r="AF96" s="31">
        <f t="shared" si="39"/>
        <v>0</v>
      </c>
      <c r="AG96" s="31">
        <f t="shared" si="39"/>
        <v>0</v>
      </c>
      <c r="AH96" s="31">
        <f t="shared" si="39"/>
        <v>0</v>
      </c>
      <c r="AI96" s="31">
        <f t="shared" si="39"/>
        <v>0</v>
      </c>
      <c r="AJ96" s="31">
        <f t="shared" si="39"/>
        <v>0</v>
      </c>
      <c r="AK96" s="31">
        <f t="shared" si="39"/>
        <v>0</v>
      </c>
      <c r="AL96" s="31">
        <f t="shared" si="39"/>
        <v>0</v>
      </c>
      <c r="AM96" s="31">
        <f t="shared" si="39"/>
        <v>0</v>
      </c>
      <c r="AN96" s="31">
        <f t="shared" si="39"/>
        <v>0</v>
      </c>
    </row>
    <row r="97" spans="1:40" s="26" customFormat="1" ht="32.450000000000003" customHeight="1">
      <c r="A97" s="22"/>
      <c r="B97" s="22"/>
      <c r="C97" s="63" t="s">
        <v>92</v>
      </c>
      <c r="D97" s="27">
        <f t="shared" ref="D97:E97" si="40">COUNTIF(D$3:D$65,"03中A*")</f>
        <v>0</v>
      </c>
      <c r="E97" s="27">
        <f t="shared" si="40"/>
        <v>0</v>
      </c>
      <c r="F97" s="27">
        <f>COUNTIF(F$3:F$73,"03中A*")</f>
        <v>0</v>
      </c>
      <c r="G97" s="27">
        <f t="shared" ref="G97:AN97" si="41">COUNTIF(G$3:G$73,"03中A*")</f>
        <v>0</v>
      </c>
      <c r="H97" s="27">
        <f t="shared" si="41"/>
        <v>0</v>
      </c>
      <c r="I97" s="27">
        <f t="shared" si="41"/>
        <v>0</v>
      </c>
      <c r="J97" s="27">
        <f t="shared" si="41"/>
        <v>0</v>
      </c>
      <c r="K97" s="27">
        <f t="shared" si="41"/>
        <v>0</v>
      </c>
      <c r="L97" s="27">
        <f t="shared" si="41"/>
        <v>0</v>
      </c>
      <c r="M97" s="27">
        <f t="shared" si="41"/>
        <v>0</v>
      </c>
      <c r="N97" s="27">
        <f t="shared" si="41"/>
        <v>0</v>
      </c>
      <c r="O97" s="27">
        <f t="shared" si="41"/>
        <v>0</v>
      </c>
      <c r="P97" s="27">
        <f t="shared" si="41"/>
        <v>0</v>
      </c>
      <c r="Q97" s="27">
        <f t="shared" si="41"/>
        <v>0</v>
      </c>
      <c r="R97" s="27">
        <f t="shared" si="41"/>
        <v>0</v>
      </c>
      <c r="S97" s="27">
        <f t="shared" si="41"/>
        <v>0</v>
      </c>
      <c r="T97" s="27">
        <f t="shared" si="41"/>
        <v>0</v>
      </c>
      <c r="U97" s="27">
        <f t="shared" si="41"/>
        <v>0</v>
      </c>
      <c r="V97" s="27">
        <f t="shared" si="41"/>
        <v>0</v>
      </c>
      <c r="W97" s="27">
        <f t="shared" si="41"/>
        <v>0</v>
      </c>
      <c r="X97" s="27">
        <f t="shared" si="41"/>
        <v>0</v>
      </c>
      <c r="Y97" s="27">
        <f t="shared" si="41"/>
        <v>0</v>
      </c>
      <c r="Z97" s="27">
        <f t="shared" si="41"/>
        <v>0</v>
      </c>
      <c r="AA97" s="27">
        <f t="shared" si="41"/>
        <v>0</v>
      </c>
      <c r="AB97" s="27">
        <f t="shared" si="41"/>
        <v>0</v>
      </c>
      <c r="AC97" s="27">
        <f t="shared" si="41"/>
        <v>0</v>
      </c>
      <c r="AD97" s="27">
        <f t="shared" si="41"/>
        <v>0</v>
      </c>
      <c r="AE97" s="27">
        <f t="shared" si="41"/>
        <v>0</v>
      </c>
      <c r="AF97" s="27">
        <f t="shared" si="41"/>
        <v>0</v>
      </c>
      <c r="AG97" s="27">
        <f t="shared" si="41"/>
        <v>0</v>
      </c>
      <c r="AH97" s="27">
        <f t="shared" si="41"/>
        <v>0</v>
      </c>
      <c r="AI97" s="27">
        <f t="shared" si="41"/>
        <v>0</v>
      </c>
      <c r="AJ97" s="27">
        <f t="shared" si="41"/>
        <v>0</v>
      </c>
      <c r="AK97" s="27">
        <f t="shared" si="41"/>
        <v>0</v>
      </c>
      <c r="AL97" s="27">
        <f t="shared" si="41"/>
        <v>0</v>
      </c>
      <c r="AM97" s="27">
        <f t="shared" si="41"/>
        <v>0</v>
      </c>
      <c r="AN97" s="27">
        <f t="shared" si="41"/>
        <v>0</v>
      </c>
    </row>
    <row r="98" spans="1:40" s="26" customFormat="1" ht="32.450000000000003" customHeight="1">
      <c r="A98" s="22"/>
      <c r="B98" s="22"/>
      <c r="C98" s="63" t="s">
        <v>93</v>
      </c>
      <c r="D98" s="27">
        <f t="shared" ref="D98:E98" si="42">COUNTIF(D$3:D$70,"*03午*")-D99</f>
        <v>2</v>
      </c>
      <c r="E98" s="27">
        <f t="shared" si="42"/>
        <v>2</v>
      </c>
      <c r="F98" s="27">
        <f>COUNTIF(F$3:F$73,"*03午*")-F99</f>
        <v>0</v>
      </c>
      <c r="G98" s="27">
        <f t="shared" ref="G98:AN98" si="43">COUNTIF(G$3:G$73,"*03午*")-G99</f>
        <v>0</v>
      </c>
      <c r="H98" s="27">
        <f t="shared" si="43"/>
        <v>0</v>
      </c>
      <c r="I98" s="27">
        <f t="shared" si="43"/>
        <v>0</v>
      </c>
      <c r="J98" s="27">
        <f t="shared" si="43"/>
        <v>0</v>
      </c>
      <c r="K98" s="27">
        <f t="shared" si="43"/>
        <v>0</v>
      </c>
      <c r="L98" s="27">
        <f t="shared" si="43"/>
        <v>0</v>
      </c>
      <c r="M98" s="27">
        <f t="shared" si="43"/>
        <v>0</v>
      </c>
      <c r="N98" s="27">
        <f t="shared" si="43"/>
        <v>0</v>
      </c>
      <c r="O98" s="27">
        <f t="shared" si="43"/>
        <v>0</v>
      </c>
      <c r="P98" s="27">
        <f t="shared" si="43"/>
        <v>0</v>
      </c>
      <c r="Q98" s="27">
        <f t="shared" si="43"/>
        <v>0</v>
      </c>
      <c r="R98" s="27">
        <f t="shared" si="43"/>
        <v>0</v>
      </c>
      <c r="S98" s="27">
        <f t="shared" si="43"/>
        <v>0</v>
      </c>
      <c r="T98" s="27">
        <f t="shared" si="43"/>
        <v>0</v>
      </c>
      <c r="U98" s="27">
        <f t="shared" si="43"/>
        <v>0</v>
      </c>
      <c r="V98" s="27">
        <f t="shared" si="43"/>
        <v>0</v>
      </c>
      <c r="W98" s="27">
        <f t="shared" si="43"/>
        <v>0</v>
      </c>
      <c r="X98" s="27">
        <f t="shared" si="43"/>
        <v>0</v>
      </c>
      <c r="Y98" s="27">
        <f t="shared" si="43"/>
        <v>0</v>
      </c>
      <c r="Z98" s="27">
        <f t="shared" si="43"/>
        <v>0</v>
      </c>
      <c r="AA98" s="27">
        <f t="shared" si="43"/>
        <v>0</v>
      </c>
      <c r="AB98" s="27">
        <f t="shared" si="43"/>
        <v>0</v>
      </c>
      <c r="AC98" s="27">
        <f t="shared" si="43"/>
        <v>0</v>
      </c>
      <c r="AD98" s="27">
        <f t="shared" si="43"/>
        <v>0</v>
      </c>
      <c r="AE98" s="27">
        <f t="shared" si="43"/>
        <v>0</v>
      </c>
      <c r="AF98" s="27">
        <f t="shared" si="43"/>
        <v>0</v>
      </c>
      <c r="AG98" s="27">
        <f t="shared" si="43"/>
        <v>0</v>
      </c>
      <c r="AH98" s="27">
        <f t="shared" si="43"/>
        <v>0</v>
      </c>
      <c r="AI98" s="27">
        <f t="shared" si="43"/>
        <v>0</v>
      </c>
      <c r="AJ98" s="27">
        <f t="shared" si="43"/>
        <v>0</v>
      </c>
      <c r="AK98" s="27">
        <f t="shared" si="43"/>
        <v>0</v>
      </c>
      <c r="AL98" s="27">
        <f t="shared" si="43"/>
        <v>0</v>
      </c>
      <c r="AM98" s="27">
        <f t="shared" si="43"/>
        <v>0</v>
      </c>
      <c r="AN98" s="27">
        <f t="shared" si="43"/>
        <v>0</v>
      </c>
    </row>
    <row r="99" spans="1:40" s="26" customFormat="1" ht="32.450000000000003" customHeight="1">
      <c r="A99" s="22"/>
      <c r="B99" s="22"/>
      <c r="C99" s="63" t="s">
        <v>152</v>
      </c>
      <c r="D99" s="27">
        <f t="shared" ref="D99:E99" si="44">COUNTIF(D$3:D$70,"*03午F*")</f>
        <v>1</v>
      </c>
      <c r="E99" s="27">
        <f t="shared" si="44"/>
        <v>1</v>
      </c>
      <c r="F99" s="27">
        <f>COUNTIF(F$3:F$73,"*03午F*")</f>
        <v>0</v>
      </c>
      <c r="G99" s="27">
        <f t="shared" ref="G99:AN99" si="45">COUNTIF(G$3:G$73,"*03午F*")</f>
        <v>0</v>
      </c>
      <c r="H99" s="27">
        <f t="shared" si="45"/>
        <v>0</v>
      </c>
      <c r="I99" s="27">
        <f t="shared" si="45"/>
        <v>0</v>
      </c>
      <c r="J99" s="27">
        <f t="shared" si="45"/>
        <v>0</v>
      </c>
      <c r="K99" s="27">
        <f t="shared" si="45"/>
        <v>0</v>
      </c>
      <c r="L99" s="27">
        <f t="shared" si="45"/>
        <v>0</v>
      </c>
      <c r="M99" s="27">
        <f t="shared" si="45"/>
        <v>0</v>
      </c>
      <c r="N99" s="27">
        <f t="shared" si="45"/>
        <v>0</v>
      </c>
      <c r="O99" s="27">
        <f t="shared" si="45"/>
        <v>0</v>
      </c>
      <c r="P99" s="27">
        <f t="shared" si="45"/>
        <v>0</v>
      </c>
      <c r="Q99" s="27">
        <f t="shared" si="45"/>
        <v>0</v>
      </c>
      <c r="R99" s="27">
        <f t="shared" si="45"/>
        <v>0</v>
      </c>
      <c r="S99" s="27">
        <f t="shared" si="45"/>
        <v>0</v>
      </c>
      <c r="T99" s="27">
        <f t="shared" si="45"/>
        <v>0</v>
      </c>
      <c r="U99" s="27">
        <f t="shared" si="45"/>
        <v>0</v>
      </c>
      <c r="V99" s="27">
        <f t="shared" si="45"/>
        <v>0</v>
      </c>
      <c r="W99" s="27">
        <f t="shared" si="45"/>
        <v>0</v>
      </c>
      <c r="X99" s="27">
        <f t="shared" si="45"/>
        <v>0</v>
      </c>
      <c r="Y99" s="27">
        <f t="shared" si="45"/>
        <v>0</v>
      </c>
      <c r="Z99" s="27">
        <f t="shared" si="45"/>
        <v>0</v>
      </c>
      <c r="AA99" s="27">
        <f t="shared" si="45"/>
        <v>0</v>
      </c>
      <c r="AB99" s="27">
        <f t="shared" si="45"/>
        <v>0</v>
      </c>
      <c r="AC99" s="27">
        <f t="shared" si="45"/>
        <v>0</v>
      </c>
      <c r="AD99" s="27">
        <f t="shared" si="45"/>
        <v>0</v>
      </c>
      <c r="AE99" s="27">
        <f t="shared" si="45"/>
        <v>0</v>
      </c>
      <c r="AF99" s="27">
        <f t="shared" si="45"/>
        <v>0</v>
      </c>
      <c r="AG99" s="27">
        <f t="shared" si="45"/>
        <v>0</v>
      </c>
      <c r="AH99" s="27">
        <f t="shared" si="45"/>
        <v>0</v>
      </c>
      <c r="AI99" s="27">
        <f t="shared" si="45"/>
        <v>0</v>
      </c>
      <c r="AJ99" s="27">
        <f t="shared" si="45"/>
        <v>0</v>
      </c>
      <c r="AK99" s="27">
        <f t="shared" si="45"/>
        <v>0</v>
      </c>
      <c r="AL99" s="27">
        <f t="shared" si="45"/>
        <v>0</v>
      </c>
      <c r="AM99" s="27">
        <f t="shared" si="45"/>
        <v>0</v>
      </c>
      <c r="AN99" s="27">
        <f t="shared" si="45"/>
        <v>0</v>
      </c>
    </row>
    <row r="100" spans="1:40" s="26" customFormat="1" ht="32.450000000000003" customHeight="1" thickBot="1">
      <c r="A100" s="22"/>
      <c r="B100" s="22"/>
      <c r="C100" s="29" t="s">
        <v>94</v>
      </c>
      <c r="D100" s="30">
        <f t="shared" ref="D100:E100" si="46">COUNTIF(D$3:D$70,"03夜")</f>
        <v>1</v>
      </c>
      <c r="E100" s="30">
        <f t="shared" si="46"/>
        <v>1</v>
      </c>
      <c r="F100" s="30">
        <f>COUNTIF(F$3:F$73,"03夜")</f>
        <v>0</v>
      </c>
      <c r="G100" s="30">
        <f t="shared" ref="G100:AN100" si="47">COUNTIF(G$3:G$73,"03夜")</f>
        <v>0</v>
      </c>
      <c r="H100" s="30">
        <f t="shared" si="47"/>
        <v>0</v>
      </c>
      <c r="I100" s="30">
        <f t="shared" si="47"/>
        <v>0</v>
      </c>
      <c r="J100" s="30">
        <f t="shared" si="47"/>
        <v>0</v>
      </c>
      <c r="K100" s="30">
        <f t="shared" si="47"/>
        <v>0</v>
      </c>
      <c r="L100" s="30">
        <f t="shared" si="47"/>
        <v>0</v>
      </c>
      <c r="M100" s="30">
        <f t="shared" si="47"/>
        <v>0</v>
      </c>
      <c r="N100" s="30">
        <f t="shared" si="47"/>
        <v>0</v>
      </c>
      <c r="O100" s="30">
        <f t="shared" si="47"/>
        <v>0</v>
      </c>
      <c r="P100" s="30">
        <f t="shared" si="47"/>
        <v>0</v>
      </c>
      <c r="Q100" s="30">
        <f t="shared" si="47"/>
        <v>0</v>
      </c>
      <c r="R100" s="30">
        <f t="shared" si="47"/>
        <v>0</v>
      </c>
      <c r="S100" s="30">
        <f t="shared" si="47"/>
        <v>0</v>
      </c>
      <c r="T100" s="30">
        <f t="shared" si="47"/>
        <v>0</v>
      </c>
      <c r="U100" s="30">
        <f t="shared" si="47"/>
        <v>0</v>
      </c>
      <c r="V100" s="30">
        <f t="shared" si="47"/>
        <v>0</v>
      </c>
      <c r="W100" s="30">
        <f t="shared" si="47"/>
        <v>0</v>
      </c>
      <c r="X100" s="30">
        <f t="shared" si="47"/>
        <v>0</v>
      </c>
      <c r="Y100" s="30">
        <f t="shared" si="47"/>
        <v>0</v>
      </c>
      <c r="Z100" s="30">
        <f t="shared" si="47"/>
        <v>0</v>
      </c>
      <c r="AA100" s="30">
        <f t="shared" si="47"/>
        <v>0</v>
      </c>
      <c r="AB100" s="30">
        <f t="shared" si="47"/>
        <v>0</v>
      </c>
      <c r="AC100" s="30">
        <f t="shared" si="47"/>
        <v>0</v>
      </c>
      <c r="AD100" s="30">
        <f t="shared" si="47"/>
        <v>0</v>
      </c>
      <c r="AE100" s="30">
        <f t="shared" si="47"/>
        <v>0</v>
      </c>
      <c r="AF100" s="30">
        <f t="shared" si="47"/>
        <v>0</v>
      </c>
      <c r="AG100" s="30">
        <f t="shared" si="47"/>
        <v>0</v>
      </c>
      <c r="AH100" s="30">
        <f t="shared" si="47"/>
        <v>0</v>
      </c>
      <c r="AI100" s="30">
        <f t="shared" si="47"/>
        <v>0</v>
      </c>
      <c r="AJ100" s="30">
        <f t="shared" si="47"/>
        <v>0</v>
      </c>
      <c r="AK100" s="30">
        <f t="shared" si="47"/>
        <v>0</v>
      </c>
      <c r="AL100" s="30">
        <f t="shared" si="47"/>
        <v>0</v>
      </c>
      <c r="AM100" s="30">
        <f t="shared" si="47"/>
        <v>0</v>
      </c>
      <c r="AN100" s="30">
        <f t="shared" si="47"/>
        <v>0</v>
      </c>
    </row>
    <row r="101" spans="1:40" s="26" customFormat="1" ht="32.450000000000003" customHeight="1">
      <c r="A101" s="22"/>
      <c r="B101" s="22"/>
      <c r="C101" s="63" t="s">
        <v>95</v>
      </c>
      <c r="D101" s="24">
        <f t="shared" ref="D101:E101" si="48">COUNTIF(D$3:D$70,"*04早*")</f>
        <v>1</v>
      </c>
      <c r="E101" s="24">
        <f t="shared" si="48"/>
        <v>1</v>
      </c>
      <c r="F101" s="24">
        <f>COUNTIF(F$3:F$73,"*04早*")</f>
        <v>0</v>
      </c>
      <c r="G101" s="24">
        <f t="shared" ref="G101:AN101" si="49">COUNTIF(G$3:G$73,"*04早*")</f>
        <v>0</v>
      </c>
      <c r="H101" s="24">
        <f t="shared" si="49"/>
        <v>0</v>
      </c>
      <c r="I101" s="24">
        <f t="shared" si="49"/>
        <v>0</v>
      </c>
      <c r="J101" s="24">
        <f t="shared" si="49"/>
        <v>0</v>
      </c>
      <c r="K101" s="24">
        <f t="shared" si="49"/>
        <v>0</v>
      </c>
      <c r="L101" s="24">
        <f t="shared" si="49"/>
        <v>0</v>
      </c>
      <c r="M101" s="24">
        <f t="shared" si="49"/>
        <v>0</v>
      </c>
      <c r="N101" s="24">
        <f t="shared" si="49"/>
        <v>0</v>
      </c>
      <c r="O101" s="24">
        <f t="shared" si="49"/>
        <v>0</v>
      </c>
      <c r="P101" s="24">
        <f t="shared" si="49"/>
        <v>0</v>
      </c>
      <c r="Q101" s="24">
        <f t="shared" si="49"/>
        <v>0</v>
      </c>
      <c r="R101" s="24">
        <f t="shared" si="49"/>
        <v>0</v>
      </c>
      <c r="S101" s="24">
        <f t="shared" si="49"/>
        <v>0</v>
      </c>
      <c r="T101" s="24">
        <f t="shared" si="49"/>
        <v>0</v>
      </c>
      <c r="U101" s="24">
        <f t="shared" si="49"/>
        <v>0</v>
      </c>
      <c r="V101" s="24">
        <f t="shared" si="49"/>
        <v>0</v>
      </c>
      <c r="W101" s="24">
        <f t="shared" si="49"/>
        <v>0</v>
      </c>
      <c r="X101" s="24">
        <f t="shared" si="49"/>
        <v>0</v>
      </c>
      <c r="Y101" s="24">
        <f t="shared" si="49"/>
        <v>0</v>
      </c>
      <c r="Z101" s="24">
        <f t="shared" si="49"/>
        <v>0</v>
      </c>
      <c r="AA101" s="24">
        <f t="shared" si="49"/>
        <v>0</v>
      </c>
      <c r="AB101" s="24">
        <f t="shared" si="49"/>
        <v>0</v>
      </c>
      <c r="AC101" s="24">
        <f t="shared" si="49"/>
        <v>0</v>
      </c>
      <c r="AD101" s="24">
        <f t="shared" si="49"/>
        <v>0</v>
      </c>
      <c r="AE101" s="24">
        <f t="shared" si="49"/>
        <v>0</v>
      </c>
      <c r="AF101" s="24">
        <f t="shared" si="49"/>
        <v>0</v>
      </c>
      <c r="AG101" s="24">
        <f t="shared" si="49"/>
        <v>0</v>
      </c>
      <c r="AH101" s="24">
        <f t="shared" si="49"/>
        <v>0</v>
      </c>
      <c r="AI101" s="24">
        <f t="shared" si="49"/>
        <v>0</v>
      </c>
      <c r="AJ101" s="24">
        <f t="shared" si="49"/>
        <v>0</v>
      </c>
      <c r="AK101" s="24">
        <f t="shared" si="49"/>
        <v>0</v>
      </c>
      <c r="AL101" s="24">
        <f t="shared" si="49"/>
        <v>0</v>
      </c>
      <c r="AM101" s="24">
        <f t="shared" si="49"/>
        <v>0</v>
      </c>
      <c r="AN101" s="24">
        <f t="shared" si="49"/>
        <v>0</v>
      </c>
    </row>
    <row r="102" spans="1:40" s="26" customFormat="1" ht="32.450000000000003" customHeight="1">
      <c r="A102" s="22"/>
      <c r="B102" s="22"/>
      <c r="C102" s="63" t="s">
        <v>96</v>
      </c>
      <c r="D102" s="27">
        <f t="shared" ref="D102:E102" si="50">COUNTIF(D$3:D$70,"*04中A*")</f>
        <v>1</v>
      </c>
      <c r="E102" s="27">
        <f t="shared" si="50"/>
        <v>1</v>
      </c>
      <c r="F102" s="27">
        <f>COUNTIF(F$3:F$73,"*04中A*")</f>
        <v>0</v>
      </c>
      <c r="G102" s="27">
        <f t="shared" ref="G102:AN102" si="51">COUNTIF(G$3:G$73,"*04中A*")</f>
        <v>0</v>
      </c>
      <c r="H102" s="27">
        <f t="shared" si="51"/>
        <v>0</v>
      </c>
      <c r="I102" s="27">
        <f t="shared" si="51"/>
        <v>0</v>
      </c>
      <c r="J102" s="27">
        <f t="shared" si="51"/>
        <v>0</v>
      </c>
      <c r="K102" s="27">
        <f t="shared" si="51"/>
        <v>0</v>
      </c>
      <c r="L102" s="27">
        <f t="shared" si="51"/>
        <v>0</v>
      </c>
      <c r="M102" s="27">
        <f t="shared" si="51"/>
        <v>0</v>
      </c>
      <c r="N102" s="27">
        <f t="shared" si="51"/>
        <v>0</v>
      </c>
      <c r="O102" s="27">
        <f t="shared" si="51"/>
        <v>0</v>
      </c>
      <c r="P102" s="27">
        <f t="shared" si="51"/>
        <v>0</v>
      </c>
      <c r="Q102" s="27">
        <f t="shared" si="51"/>
        <v>0</v>
      </c>
      <c r="R102" s="27">
        <f t="shared" si="51"/>
        <v>0</v>
      </c>
      <c r="S102" s="27">
        <f t="shared" si="51"/>
        <v>0</v>
      </c>
      <c r="T102" s="27">
        <f t="shared" si="51"/>
        <v>0</v>
      </c>
      <c r="U102" s="27">
        <f t="shared" si="51"/>
        <v>0</v>
      </c>
      <c r="V102" s="27">
        <f t="shared" si="51"/>
        <v>0</v>
      </c>
      <c r="W102" s="27">
        <f t="shared" si="51"/>
        <v>0</v>
      </c>
      <c r="X102" s="27">
        <f t="shared" si="51"/>
        <v>0</v>
      </c>
      <c r="Y102" s="27">
        <f t="shared" si="51"/>
        <v>0</v>
      </c>
      <c r="Z102" s="27">
        <f t="shared" si="51"/>
        <v>0</v>
      </c>
      <c r="AA102" s="27">
        <f t="shared" si="51"/>
        <v>0</v>
      </c>
      <c r="AB102" s="27">
        <f t="shared" si="51"/>
        <v>0</v>
      </c>
      <c r="AC102" s="27">
        <f t="shared" si="51"/>
        <v>0</v>
      </c>
      <c r="AD102" s="27">
        <f t="shared" si="51"/>
        <v>0</v>
      </c>
      <c r="AE102" s="27">
        <f t="shared" si="51"/>
        <v>0</v>
      </c>
      <c r="AF102" s="27">
        <f t="shared" si="51"/>
        <v>0</v>
      </c>
      <c r="AG102" s="27">
        <f t="shared" si="51"/>
        <v>0</v>
      </c>
      <c r="AH102" s="27">
        <f t="shared" si="51"/>
        <v>0</v>
      </c>
      <c r="AI102" s="27">
        <f t="shared" si="51"/>
        <v>0</v>
      </c>
      <c r="AJ102" s="27">
        <f t="shared" si="51"/>
        <v>0</v>
      </c>
      <c r="AK102" s="27">
        <f t="shared" si="51"/>
        <v>0</v>
      </c>
      <c r="AL102" s="27">
        <f t="shared" si="51"/>
        <v>0</v>
      </c>
      <c r="AM102" s="27">
        <f t="shared" si="51"/>
        <v>0</v>
      </c>
      <c r="AN102" s="27">
        <f t="shared" si="51"/>
        <v>0</v>
      </c>
    </row>
    <row r="103" spans="1:40" s="26" customFormat="1" ht="32.450000000000003" customHeight="1">
      <c r="A103" s="22"/>
      <c r="B103" s="22"/>
      <c r="C103" s="63" t="s">
        <v>97</v>
      </c>
      <c r="D103" s="27">
        <f t="shared" ref="D103:E103" si="52">COUNTIF(D$3:D$65,"*04午*")</f>
        <v>1</v>
      </c>
      <c r="E103" s="27">
        <f t="shared" si="52"/>
        <v>1</v>
      </c>
      <c r="F103" s="27">
        <f>COUNTIF(F$3:F$73,"*04午*")</f>
        <v>0</v>
      </c>
      <c r="G103" s="27">
        <f t="shared" ref="G103:AN103" si="53">COUNTIF(G$3:G$73,"*04午*")</f>
        <v>0</v>
      </c>
      <c r="H103" s="27">
        <f t="shared" si="53"/>
        <v>0</v>
      </c>
      <c r="I103" s="27">
        <f t="shared" si="53"/>
        <v>0</v>
      </c>
      <c r="J103" s="27">
        <f t="shared" si="53"/>
        <v>0</v>
      </c>
      <c r="K103" s="27">
        <f t="shared" si="53"/>
        <v>0</v>
      </c>
      <c r="L103" s="27">
        <f t="shared" si="53"/>
        <v>0</v>
      </c>
      <c r="M103" s="27">
        <f t="shared" si="53"/>
        <v>0</v>
      </c>
      <c r="N103" s="27">
        <f t="shared" si="53"/>
        <v>0</v>
      </c>
      <c r="O103" s="27">
        <f t="shared" si="53"/>
        <v>0</v>
      </c>
      <c r="P103" s="27">
        <f t="shared" si="53"/>
        <v>0</v>
      </c>
      <c r="Q103" s="27">
        <f t="shared" si="53"/>
        <v>0</v>
      </c>
      <c r="R103" s="27">
        <f t="shared" si="53"/>
        <v>0</v>
      </c>
      <c r="S103" s="27">
        <f t="shared" si="53"/>
        <v>0</v>
      </c>
      <c r="T103" s="27">
        <f t="shared" si="53"/>
        <v>0</v>
      </c>
      <c r="U103" s="27">
        <f t="shared" si="53"/>
        <v>0</v>
      </c>
      <c r="V103" s="27">
        <f t="shared" si="53"/>
        <v>0</v>
      </c>
      <c r="W103" s="27">
        <f t="shared" si="53"/>
        <v>0</v>
      </c>
      <c r="X103" s="27">
        <f t="shared" si="53"/>
        <v>0</v>
      </c>
      <c r="Y103" s="27">
        <f t="shared" si="53"/>
        <v>0</v>
      </c>
      <c r="Z103" s="27">
        <f t="shared" si="53"/>
        <v>0</v>
      </c>
      <c r="AA103" s="27">
        <f t="shared" si="53"/>
        <v>0</v>
      </c>
      <c r="AB103" s="27">
        <f t="shared" si="53"/>
        <v>0</v>
      </c>
      <c r="AC103" s="27">
        <f t="shared" si="53"/>
        <v>0</v>
      </c>
      <c r="AD103" s="27">
        <f t="shared" si="53"/>
        <v>0</v>
      </c>
      <c r="AE103" s="27">
        <f t="shared" si="53"/>
        <v>0</v>
      </c>
      <c r="AF103" s="27">
        <f t="shared" si="53"/>
        <v>0</v>
      </c>
      <c r="AG103" s="27">
        <f t="shared" si="53"/>
        <v>0</v>
      </c>
      <c r="AH103" s="27">
        <f t="shared" si="53"/>
        <v>0</v>
      </c>
      <c r="AI103" s="27">
        <f t="shared" si="53"/>
        <v>0</v>
      </c>
      <c r="AJ103" s="27">
        <f t="shared" si="53"/>
        <v>0</v>
      </c>
      <c r="AK103" s="27">
        <f t="shared" si="53"/>
        <v>0</v>
      </c>
      <c r="AL103" s="27">
        <f t="shared" si="53"/>
        <v>0</v>
      </c>
      <c r="AM103" s="27">
        <f t="shared" si="53"/>
        <v>0</v>
      </c>
      <c r="AN103" s="27">
        <f t="shared" si="53"/>
        <v>0</v>
      </c>
    </row>
    <row r="104" spans="1:40" s="26" customFormat="1" ht="32.450000000000003" customHeight="1" thickBot="1">
      <c r="A104" s="22"/>
      <c r="B104" s="22"/>
      <c r="C104" s="29" t="s">
        <v>98</v>
      </c>
      <c r="D104" s="30">
        <f t="shared" ref="D104:E104" si="54">COUNTIF(D$3:D$70,"*04夜*")</f>
        <v>1</v>
      </c>
      <c r="E104" s="30">
        <f t="shared" si="54"/>
        <v>1</v>
      </c>
      <c r="F104" s="30">
        <f>COUNTIF(F$3:F$73,"*04夜*")</f>
        <v>0</v>
      </c>
      <c r="G104" s="30">
        <f t="shared" ref="G104:AN104" si="55">COUNTIF(G$3:G$73,"*04夜*")</f>
        <v>0</v>
      </c>
      <c r="H104" s="30">
        <f t="shared" si="55"/>
        <v>0</v>
      </c>
      <c r="I104" s="30">
        <f t="shared" si="55"/>
        <v>0</v>
      </c>
      <c r="J104" s="30">
        <f t="shared" si="55"/>
        <v>0</v>
      </c>
      <c r="K104" s="30">
        <f t="shared" si="55"/>
        <v>0</v>
      </c>
      <c r="L104" s="30">
        <f t="shared" si="55"/>
        <v>0</v>
      </c>
      <c r="M104" s="30">
        <f t="shared" si="55"/>
        <v>0</v>
      </c>
      <c r="N104" s="30">
        <f t="shared" si="55"/>
        <v>0</v>
      </c>
      <c r="O104" s="30">
        <f t="shared" si="55"/>
        <v>0</v>
      </c>
      <c r="P104" s="30">
        <f t="shared" si="55"/>
        <v>0</v>
      </c>
      <c r="Q104" s="30">
        <f t="shared" si="55"/>
        <v>0</v>
      </c>
      <c r="R104" s="30">
        <f t="shared" si="55"/>
        <v>0</v>
      </c>
      <c r="S104" s="30">
        <f t="shared" si="55"/>
        <v>0</v>
      </c>
      <c r="T104" s="30">
        <f t="shared" si="55"/>
        <v>0</v>
      </c>
      <c r="U104" s="30">
        <f t="shared" si="55"/>
        <v>0</v>
      </c>
      <c r="V104" s="30">
        <f t="shared" si="55"/>
        <v>0</v>
      </c>
      <c r="W104" s="30">
        <f t="shared" si="55"/>
        <v>0</v>
      </c>
      <c r="X104" s="30">
        <f t="shared" si="55"/>
        <v>0</v>
      </c>
      <c r="Y104" s="30">
        <f t="shared" si="55"/>
        <v>0</v>
      </c>
      <c r="Z104" s="30">
        <f t="shared" si="55"/>
        <v>0</v>
      </c>
      <c r="AA104" s="30">
        <f t="shared" si="55"/>
        <v>0</v>
      </c>
      <c r="AB104" s="30">
        <f t="shared" si="55"/>
        <v>0</v>
      </c>
      <c r="AC104" s="30">
        <f t="shared" si="55"/>
        <v>0</v>
      </c>
      <c r="AD104" s="30">
        <f t="shared" si="55"/>
        <v>0</v>
      </c>
      <c r="AE104" s="30">
        <f t="shared" si="55"/>
        <v>0</v>
      </c>
      <c r="AF104" s="30">
        <f t="shared" si="55"/>
        <v>0</v>
      </c>
      <c r="AG104" s="30">
        <f t="shared" si="55"/>
        <v>0</v>
      </c>
      <c r="AH104" s="30">
        <f t="shared" si="55"/>
        <v>0</v>
      </c>
      <c r="AI104" s="30">
        <f t="shared" si="55"/>
        <v>0</v>
      </c>
      <c r="AJ104" s="30">
        <f t="shared" si="55"/>
        <v>0</v>
      </c>
      <c r="AK104" s="30">
        <f t="shared" si="55"/>
        <v>0</v>
      </c>
      <c r="AL104" s="30">
        <f t="shared" si="55"/>
        <v>0</v>
      </c>
      <c r="AM104" s="30">
        <f t="shared" si="55"/>
        <v>0</v>
      </c>
      <c r="AN104" s="30">
        <f t="shared" si="55"/>
        <v>0</v>
      </c>
    </row>
    <row r="105" spans="1:40" s="26" customFormat="1" ht="32.450000000000003" customHeight="1">
      <c r="A105" s="22"/>
      <c r="B105" s="22"/>
      <c r="C105" s="63" t="s">
        <v>99</v>
      </c>
      <c r="D105" s="24">
        <f t="shared" ref="D105:E105" si="56">COUNTIF(D$3:D$70,"05早*")</f>
        <v>1</v>
      </c>
      <c r="E105" s="24">
        <f t="shared" si="56"/>
        <v>1</v>
      </c>
      <c r="F105" s="24">
        <f>COUNTIF(F$3:F$73,"05早*")</f>
        <v>0</v>
      </c>
      <c r="G105" s="24">
        <f t="shared" ref="G105:AN105" si="57">COUNTIF(G$3:G$73,"05早*")</f>
        <v>0</v>
      </c>
      <c r="H105" s="24">
        <f t="shared" si="57"/>
        <v>0</v>
      </c>
      <c r="I105" s="24">
        <f t="shared" si="57"/>
        <v>0</v>
      </c>
      <c r="J105" s="24">
        <f t="shared" si="57"/>
        <v>0</v>
      </c>
      <c r="K105" s="24">
        <f t="shared" si="57"/>
        <v>0</v>
      </c>
      <c r="L105" s="24">
        <f t="shared" si="57"/>
        <v>0</v>
      </c>
      <c r="M105" s="24">
        <f t="shared" si="57"/>
        <v>0</v>
      </c>
      <c r="N105" s="24">
        <f t="shared" si="57"/>
        <v>0</v>
      </c>
      <c r="O105" s="24">
        <f t="shared" si="57"/>
        <v>0</v>
      </c>
      <c r="P105" s="24">
        <f t="shared" si="57"/>
        <v>0</v>
      </c>
      <c r="Q105" s="24">
        <f t="shared" si="57"/>
        <v>0</v>
      </c>
      <c r="R105" s="24">
        <f t="shared" si="57"/>
        <v>0</v>
      </c>
      <c r="S105" s="24">
        <f t="shared" si="57"/>
        <v>0</v>
      </c>
      <c r="T105" s="24">
        <f t="shared" si="57"/>
        <v>0</v>
      </c>
      <c r="U105" s="24">
        <f t="shared" si="57"/>
        <v>0</v>
      </c>
      <c r="V105" s="24">
        <f t="shared" si="57"/>
        <v>0</v>
      </c>
      <c r="W105" s="24">
        <f t="shared" si="57"/>
        <v>0</v>
      </c>
      <c r="X105" s="24">
        <f t="shared" si="57"/>
        <v>0</v>
      </c>
      <c r="Y105" s="24">
        <f t="shared" si="57"/>
        <v>0</v>
      </c>
      <c r="Z105" s="24">
        <f t="shared" si="57"/>
        <v>0</v>
      </c>
      <c r="AA105" s="24">
        <f t="shared" si="57"/>
        <v>0</v>
      </c>
      <c r="AB105" s="24">
        <f t="shared" si="57"/>
        <v>0</v>
      </c>
      <c r="AC105" s="24">
        <f t="shared" si="57"/>
        <v>0</v>
      </c>
      <c r="AD105" s="24">
        <f t="shared" si="57"/>
        <v>0</v>
      </c>
      <c r="AE105" s="24">
        <f t="shared" si="57"/>
        <v>0</v>
      </c>
      <c r="AF105" s="24">
        <f t="shared" si="57"/>
        <v>0</v>
      </c>
      <c r="AG105" s="24">
        <f t="shared" si="57"/>
        <v>0</v>
      </c>
      <c r="AH105" s="24">
        <f t="shared" si="57"/>
        <v>0</v>
      </c>
      <c r="AI105" s="24">
        <f t="shared" si="57"/>
        <v>0</v>
      </c>
      <c r="AJ105" s="24">
        <f t="shared" si="57"/>
        <v>0</v>
      </c>
      <c r="AK105" s="24">
        <f t="shared" si="57"/>
        <v>0</v>
      </c>
      <c r="AL105" s="24">
        <f t="shared" si="57"/>
        <v>0</v>
      </c>
      <c r="AM105" s="24">
        <f t="shared" si="57"/>
        <v>0</v>
      </c>
      <c r="AN105" s="24">
        <f t="shared" si="57"/>
        <v>0</v>
      </c>
    </row>
    <row r="106" spans="1:40" s="26" customFormat="1" ht="32.450000000000003" customHeight="1">
      <c r="A106" s="22"/>
      <c r="B106" s="22"/>
      <c r="C106" s="63" t="s">
        <v>100</v>
      </c>
      <c r="D106" s="27">
        <f t="shared" ref="D106:E106" si="58">COUNTIF(D$3:D$70,"05中A*")</f>
        <v>1</v>
      </c>
      <c r="E106" s="27">
        <f t="shared" si="58"/>
        <v>1</v>
      </c>
      <c r="F106" s="27">
        <f>COUNTIF(F$3:F$73,"05中A*")</f>
        <v>0</v>
      </c>
      <c r="G106" s="27">
        <f t="shared" ref="G106:AN106" si="59">COUNTIF(G$3:G$73,"05中A*")</f>
        <v>0</v>
      </c>
      <c r="H106" s="27">
        <f t="shared" si="59"/>
        <v>0</v>
      </c>
      <c r="I106" s="27">
        <f t="shared" si="59"/>
        <v>0</v>
      </c>
      <c r="J106" s="27">
        <f t="shared" si="59"/>
        <v>0</v>
      </c>
      <c r="K106" s="27">
        <f t="shared" si="59"/>
        <v>0</v>
      </c>
      <c r="L106" s="27">
        <f t="shared" si="59"/>
        <v>0</v>
      </c>
      <c r="M106" s="27">
        <f t="shared" si="59"/>
        <v>0</v>
      </c>
      <c r="N106" s="27">
        <f t="shared" si="59"/>
        <v>0</v>
      </c>
      <c r="O106" s="27">
        <f t="shared" si="59"/>
        <v>0</v>
      </c>
      <c r="P106" s="27">
        <f t="shared" si="59"/>
        <v>0</v>
      </c>
      <c r="Q106" s="27">
        <f t="shared" si="59"/>
        <v>0</v>
      </c>
      <c r="R106" s="27">
        <f t="shared" si="59"/>
        <v>0</v>
      </c>
      <c r="S106" s="27">
        <f t="shared" si="59"/>
        <v>0</v>
      </c>
      <c r="T106" s="27">
        <f t="shared" si="59"/>
        <v>0</v>
      </c>
      <c r="U106" s="27">
        <f t="shared" si="59"/>
        <v>0</v>
      </c>
      <c r="V106" s="27">
        <f t="shared" si="59"/>
        <v>0</v>
      </c>
      <c r="W106" s="27">
        <f t="shared" si="59"/>
        <v>0</v>
      </c>
      <c r="X106" s="27">
        <f t="shared" si="59"/>
        <v>0</v>
      </c>
      <c r="Y106" s="27">
        <f t="shared" si="59"/>
        <v>0</v>
      </c>
      <c r="Z106" s="27">
        <f t="shared" si="59"/>
        <v>0</v>
      </c>
      <c r="AA106" s="27">
        <f t="shared" si="59"/>
        <v>0</v>
      </c>
      <c r="AB106" s="27">
        <f t="shared" si="59"/>
        <v>0</v>
      </c>
      <c r="AC106" s="27">
        <f t="shared" si="59"/>
        <v>0</v>
      </c>
      <c r="AD106" s="27">
        <f t="shared" si="59"/>
        <v>0</v>
      </c>
      <c r="AE106" s="27">
        <f t="shared" si="59"/>
        <v>0</v>
      </c>
      <c r="AF106" s="27">
        <f t="shared" si="59"/>
        <v>0</v>
      </c>
      <c r="AG106" s="27">
        <f t="shared" si="59"/>
        <v>0</v>
      </c>
      <c r="AH106" s="27">
        <f t="shared" si="59"/>
        <v>0</v>
      </c>
      <c r="AI106" s="27">
        <f t="shared" si="59"/>
        <v>0</v>
      </c>
      <c r="AJ106" s="27">
        <f t="shared" si="59"/>
        <v>0</v>
      </c>
      <c r="AK106" s="27">
        <f t="shared" si="59"/>
        <v>0</v>
      </c>
      <c r="AL106" s="27">
        <f t="shared" si="59"/>
        <v>0</v>
      </c>
      <c r="AM106" s="27">
        <f t="shared" si="59"/>
        <v>0</v>
      </c>
      <c r="AN106" s="27">
        <f t="shared" si="59"/>
        <v>0</v>
      </c>
    </row>
    <row r="107" spans="1:40" s="26" customFormat="1" ht="32.450000000000003" customHeight="1">
      <c r="A107" s="22"/>
      <c r="B107" s="22"/>
      <c r="C107" s="28" t="s">
        <v>101</v>
      </c>
      <c r="D107" s="27">
        <f t="shared" ref="D107:E107" si="60">COUNTIF(D$3:D$70,"05午*")</f>
        <v>1</v>
      </c>
      <c r="E107" s="27">
        <f t="shared" si="60"/>
        <v>1</v>
      </c>
      <c r="F107" s="27">
        <f>COUNTIF(F$3:F$73,"05午*")</f>
        <v>0</v>
      </c>
      <c r="G107" s="27">
        <f t="shared" ref="G107:AN107" si="61">COUNTIF(G$3:G$73,"05午*")</f>
        <v>0</v>
      </c>
      <c r="H107" s="27">
        <f t="shared" si="61"/>
        <v>0</v>
      </c>
      <c r="I107" s="27">
        <f t="shared" si="61"/>
        <v>0</v>
      </c>
      <c r="J107" s="27">
        <f t="shared" si="61"/>
        <v>0</v>
      </c>
      <c r="K107" s="27">
        <f t="shared" si="61"/>
        <v>0</v>
      </c>
      <c r="L107" s="27">
        <f t="shared" si="61"/>
        <v>0</v>
      </c>
      <c r="M107" s="27">
        <f t="shared" si="61"/>
        <v>0</v>
      </c>
      <c r="N107" s="27">
        <f t="shared" si="61"/>
        <v>0</v>
      </c>
      <c r="O107" s="27">
        <f t="shared" si="61"/>
        <v>0</v>
      </c>
      <c r="P107" s="27">
        <f t="shared" si="61"/>
        <v>0</v>
      </c>
      <c r="Q107" s="27">
        <f>COUNTIF(Q$3:Q$73,"05午")</f>
        <v>0</v>
      </c>
      <c r="R107" s="27">
        <f t="shared" si="61"/>
        <v>0</v>
      </c>
      <c r="S107" s="27">
        <f t="shared" si="61"/>
        <v>0</v>
      </c>
      <c r="T107" s="27">
        <f t="shared" si="61"/>
        <v>0</v>
      </c>
      <c r="U107" s="27">
        <f t="shared" si="61"/>
        <v>0</v>
      </c>
      <c r="V107" s="27">
        <f t="shared" si="61"/>
        <v>0</v>
      </c>
      <c r="W107" s="27">
        <f t="shared" si="61"/>
        <v>0</v>
      </c>
      <c r="X107" s="27">
        <f t="shared" si="61"/>
        <v>0</v>
      </c>
      <c r="Y107" s="27">
        <f t="shared" si="61"/>
        <v>0</v>
      </c>
      <c r="Z107" s="27">
        <f t="shared" si="61"/>
        <v>0</v>
      </c>
      <c r="AA107" s="27">
        <f t="shared" si="61"/>
        <v>0</v>
      </c>
      <c r="AB107" s="27">
        <f t="shared" si="61"/>
        <v>0</v>
      </c>
      <c r="AC107" s="27">
        <f t="shared" si="61"/>
        <v>0</v>
      </c>
      <c r="AD107" s="27">
        <f t="shared" si="61"/>
        <v>0</v>
      </c>
      <c r="AE107" s="27">
        <f t="shared" si="61"/>
        <v>0</v>
      </c>
      <c r="AF107" s="27">
        <f t="shared" si="61"/>
        <v>0</v>
      </c>
      <c r="AG107" s="27">
        <f t="shared" si="61"/>
        <v>0</v>
      </c>
      <c r="AH107" s="27">
        <f t="shared" si="61"/>
        <v>0</v>
      </c>
      <c r="AI107" s="27">
        <f t="shared" si="61"/>
        <v>0</v>
      </c>
      <c r="AJ107" s="27">
        <f t="shared" si="61"/>
        <v>0</v>
      </c>
      <c r="AK107" s="27">
        <f t="shared" si="61"/>
        <v>0</v>
      </c>
      <c r="AL107" s="27">
        <f t="shared" si="61"/>
        <v>0</v>
      </c>
      <c r="AM107" s="27">
        <f t="shared" si="61"/>
        <v>0</v>
      </c>
      <c r="AN107" s="27">
        <f t="shared" si="61"/>
        <v>0</v>
      </c>
    </row>
    <row r="108" spans="1:40" s="26" customFormat="1" ht="32.450000000000003" customHeight="1" thickBot="1">
      <c r="A108" s="22"/>
      <c r="B108" s="22"/>
      <c r="C108" s="29" t="s">
        <v>102</v>
      </c>
      <c r="D108" s="30">
        <f t="shared" ref="D108:E108" si="62">COUNTIF(D$3:D$70,"05夜*")</f>
        <v>1</v>
      </c>
      <c r="E108" s="30">
        <f t="shared" si="62"/>
        <v>1</v>
      </c>
      <c r="F108" s="30">
        <f>COUNTIF(F$3:F$73,"05夜*")</f>
        <v>0</v>
      </c>
      <c r="G108" s="30">
        <f t="shared" ref="G108:AN108" si="63">COUNTIF(G$3:G$73,"05夜*")</f>
        <v>0</v>
      </c>
      <c r="H108" s="30">
        <f t="shared" si="63"/>
        <v>0</v>
      </c>
      <c r="I108" s="30">
        <f t="shared" si="63"/>
        <v>0</v>
      </c>
      <c r="J108" s="30">
        <f t="shared" si="63"/>
        <v>0</v>
      </c>
      <c r="K108" s="30">
        <f t="shared" si="63"/>
        <v>0</v>
      </c>
      <c r="L108" s="30">
        <f t="shared" si="63"/>
        <v>0</v>
      </c>
      <c r="M108" s="30">
        <f t="shared" si="63"/>
        <v>0</v>
      </c>
      <c r="N108" s="30">
        <f t="shared" si="63"/>
        <v>0</v>
      </c>
      <c r="O108" s="30">
        <f t="shared" si="63"/>
        <v>0</v>
      </c>
      <c r="P108" s="30">
        <f t="shared" si="63"/>
        <v>0</v>
      </c>
      <c r="Q108" s="30">
        <f t="shared" si="63"/>
        <v>0</v>
      </c>
      <c r="R108" s="30">
        <f t="shared" si="63"/>
        <v>0</v>
      </c>
      <c r="S108" s="30">
        <f t="shared" si="63"/>
        <v>0</v>
      </c>
      <c r="T108" s="30">
        <f t="shared" si="63"/>
        <v>0</v>
      </c>
      <c r="U108" s="30">
        <f t="shared" si="63"/>
        <v>0</v>
      </c>
      <c r="V108" s="30">
        <f t="shared" si="63"/>
        <v>0</v>
      </c>
      <c r="W108" s="30">
        <f t="shared" si="63"/>
        <v>0</v>
      </c>
      <c r="X108" s="30">
        <f t="shared" si="63"/>
        <v>0</v>
      </c>
      <c r="Y108" s="30">
        <f t="shared" si="63"/>
        <v>0</v>
      </c>
      <c r="Z108" s="30">
        <f t="shared" si="63"/>
        <v>0</v>
      </c>
      <c r="AA108" s="30">
        <f t="shared" si="63"/>
        <v>0</v>
      </c>
      <c r="AB108" s="30">
        <f t="shared" si="63"/>
        <v>0</v>
      </c>
      <c r="AC108" s="30">
        <f t="shared" si="63"/>
        <v>0</v>
      </c>
      <c r="AD108" s="30">
        <f t="shared" si="63"/>
        <v>0</v>
      </c>
      <c r="AE108" s="30">
        <f t="shared" si="63"/>
        <v>0</v>
      </c>
      <c r="AF108" s="30">
        <f t="shared" si="63"/>
        <v>0</v>
      </c>
      <c r="AG108" s="30">
        <f t="shared" si="63"/>
        <v>0</v>
      </c>
      <c r="AH108" s="30">
        <f t="shared" si="63"/>
        <v>0</v>
      </c>
      <c r="AI108" s="30">
        <f t="shared" si="63"/>
        <v>0</v>
      </c>
      <c r="AJ108" s="30">
        <f t="shared" si="63"/>
        <v>0</v>
      </c>
      <c r="AK108" s="30">
        <f t="shared" si="63"/>
        <v>0</v>
      </c>
      <c r="AL108" s="30">
        <f t="shared" si="63"/>
        <v>0</v>
      </c>
      <c r="AM108" s="30">
        <f t="shared" si="63"/>
        <v>0</v>
      </c>
      <c r="AN108" s="30">
        <f t="shared" si="63"/>
        <v>0</v>
      </c>
    </row>
    <row r="109" spans="1:40" s="26" customFormat="1" ht="32.450000000000003" customHeight="1">
      <c r="A109" s="22"/>
      <c r="B109" s="22"/>
      <c r="C109" s="63" t="s">
        <v>103</v>
      </c>
      <c r="D109" s="24">
        <f t="shared" ref="D109:E109" si="64">COUNTIF(D$3:D$70,"06早*")</f>
        <v>1</v>
      </c>
      <c r="E109" s="24">
        <f t="shared" si="64"/>
        <v>1</v>
      </c>
      <c r="F109" s="24">
        <f>COUNTIF(F$3:F$73,"06早*")</f>
        <v>0</v>
      </c>
      <c r="G109" s="24">
        <f t="shared" ref="G109:AN109" si="65">COUNTIF(G$3:G$73,"06早*")</f>
        <v>0</v>
      </c>
      <c r="H109" s="24">
        <f t="shared" si="65"/>
        <v>0</v>
      </c>
      <c r="I109" s="24">
        <f t="shared" si="65"/>
        <v>0</v>
      </c>
      <c r="J109" s="24">
        <f t="shared" si="65"/>
        <v>0</v>
      </c>
      <c r="K109" s="24">
        <f t="shared" si="65"/>
        <v>0</v>
      </c>
      <c r="L109" s="24">
        <f t="shared" si="65"/>
        <v>0</v>
      </c>
      <c r="M109" s="24">
        <f t="shared" si="65"/>
        <v>0</v>
      </c>
      <c r="N109" s="24">
        <f t="shared" si="65"/>
        <v>0</v>
      </c>
      <c r="O109" s="24">
        <f t="shared" si="65"/>
        <v>0</v>
      </c>
      <c r="P109" s="24">
        <f t="shared" si="65"/>
        <v>0</v>
      </c>
      <c r="Q109" s="24">
        <f t="shared" si="65"/>
        <v>0</v>
      </c>
      <c r="R109" s="24">
        <f t="shared" si="65"/>
        <v>0</v>
      </c>
      <c r="S109" s="24">
        <f t="shared" si="65"/>
        <v>0</v>
      </c>
      <c r="T109" s="24">
        <f t="shared" si="65"/>
        <v>0</v>
      </c>
      <c r="U109" s="24">
        <f t="shared" si="65"/>
        <v>0</v>
      </c>
      <c r="V109" s="24">
        <f t="shared" si="65"/>
        <v>0</v>
      </c>
      <c r="W109" s="24">
        <f t="shared" si="65"/>
        <v>0</v>
      </c>
      <c r="X109" s="24">
        <f t="shared" si="65"/>
        <v>0</v>
      </c>
      <c r="Y109" s="24">
        <f t="shared" si="65"/>
        <v>0</v>
      </c>
      <c r="Z109" s="24">
        <f t="shared" si="65"/>
        <v>0</v>
      </c>
      <c r="AA109" s="24">
        <f t="shared" si="65"/>
        <v>0</v>
      </c>
      <c r="AB109" s="24">
        <f t="shared" si="65"/>
        <v>0</v>
      </c>
      <c r="AC109" s="24">
        <f t="shared" si="65"/>
        <v>0</v>
      </c>
      <c r="AD109" s="24">
        <f t="shared" si="65"/>
        <v>0</v>
      </c>
      <c r="AE109" s="24">
        <f t="shared" si="65"/>
        <v>0</v>
      </c>
      <c r="AF109" s="24">
        <f t="shared" si="65"/>
        <v>0</v>
      </c>
      <c r="AG109" s="24">
        <f t="shared" si="65"/>
        <v>0</v>
      </c>
      <c r="AH109" s="24">
        <f t="shared" si="65"/>
        <v>0</v>
      </c>
      <c r="AI109" s="24">
        <f t="shared" si="65"/>
        <v>0</v>
      </c>
      <c r="AJ109" s="24">
        <f t="shared" si="65"/>
        <v>0</v>
      </c>
      <c r="AK109" s="24">
        <f t="shared" si="65"/>
        <v>0</v>
      </c>
      <c r="AL109" s="24">
        <f t="shared" si="65"/>
        <v>0</v>
      </c>
      <c r="AM109" s="24">
        <f t="shared" si="65"/>
        <v>0</v>
      </c>
      <c r="AN109" s="24">
        <f t="shared" si="65"/>
        <v>0</v>
      </c>
    </row>
    <row r="110" spans="1:40" s="26" customFormat="1" ht="32.450000000000003" customHeight="1">
      <c r="A110" s="22"/>
      <c r="B110" s="22"/>
      <c r="C110" s="63" t="s">
        <v>104</v>
      </c>
      <c r="D110" s="27">
        <f t="shared" ref="D110:E110" si="66">COUNTIF(D$3:D$70,"06中A*")</f>
        <v>0</v>
      </c>
      <c r="E110" s="27">
        <f t="shared" si="66"/>
        <v>0</v>
      </c>
      <c r="F110" s="27">
        <f>COUNTIF(F$3:F$73,"06中A*")</f>
        <v>0</v>
      </c>
      <c r="G110" s="27">
        <f t="shared" ref="G110:AN110" si="67">COUNTIF(G$3:G$73,"06中A*")</f>
        <v>0</v>
      </c>
      <c r="H110" s="27">
        <f t="shared" si="67"/>
        <v>0</v>
      </c>
      <c r="I110" s="27">
        <f t="shared" si="67"/>
        <v>0</v>
      </c>
      <c r="J110" s="27">
        <f t="shared" si="67"/>
        <v>0</v>
      </c>
      <c r="K110" s="27">
        <f t="shared" si="67"/>
        <v>0</v>
      </c>
      <c r="L110" s="27">
        <f t="shared" si="67"/>
        <v>0</v>
      </c>
      <c r="M110" s="27">
        <f t="shared" si="67"/>
        <v>0</v>
      </c>
      <c r="N110" s="27">
        <f t="shared" si="67"/>
        <v>0</v>
      </c>
      <c r="O110" s="27">
        <f t="shared" si="67"/>
        <v>0</v>
      </c>
      <c r="P110" s="27">
        <f t="shared" si="67"/>
        <v>0</v>
      </c>
      <c r="Q110" s="27">
        <f t="shared" si="67"/>
        <v>0</v>
      </c>
      <c r="R110" s="27">
        <f t="shared" si="67"/>
        <v>0</v>
      </c>
      <c r="S110" s="27">
        <f t="shared" si="67"/>
        <v>0</v>
      </c>
      <c r="T110" s="27">
        <f t="shared" si="67"/>
        <v>0</v>
      </c>
      <c r="U110" s="27">
        <f t="shared" si="67"/>
        <v>0</v>
      </c>
      <c r="V110" s="27">
        <f t="shared" si="67"/>
        <v>0</v>
      </c>
      <c r="W110" s="27">
        <f t="shared" si="67"/>
        <v>0</v>
      </c>
      <c r="X110" s="27">
        <f t="shared" si="67"/>
        <v>0</v>
      </c>
      <c r="Y110" s="27">
        <f t="shared" si="67"/>
        <v>0</v>
      </c>
      <c r="Z110" s="27">
        <f t="shared" si="67"/>
        <v>0</v>
      </c>
      <c r="AA110" s="27">
        <f t="shared" si="67"/>
        <v>0</v>
      </c>
      <c r="AB110" s="27">
        <f t="shared" si="67"/>
        <v>0</v>
      </c>
      <c r="AC110" s="27">
        <f t="shared" si="67"/>
        <v>0</v>
      </c>
      <c r="AD110" s="27">
        <f t="shared" si="67"/>
        <v>0</v>
      </c>
      <c r="AE110" s="27">
        <f t="shared" si="67"/>
        <v>0</v>
      </c>
      <c r="AF110" s="27">
        <f t="shared" si="67"/>
        <v>0</v>
      </c>
      <c r="AG110" s="27">
        <f t="shared" si="67"/>
        <v>0</v>
      </c>
      <c r="AH110" s="27">
        <f t="shared" si="67"/>
        <v>0</v>
      </c>
      <c r="AI110" s="27">
        <f t="shared" si="67"/>
        <v>0</v>
      </c>
      <c r="AJ110" s="27">
        <f t="shared" si="67"/>
        <v>0</v>
      </c>
      <c r="AK110" s="27">
        <f t="shared" si="67"/>
        <v>0</v>
      </c>
      <c r="AL110" s="27">
        <f t="shared" si="67"/>
        <v>0</v>
      </c>
      <c r="AM110" s="27">
        <f t="shared" si="67"/>
        <v>0</v>
      </c>
      <c r="AN110" s="27">
        <f t="shared" si="67"/>
        <v>0</v>
      </c>
    </row>
    <row r="111" spans="1:40" s="26" customFormat="1" ht="32.450000000000003" customHeight="1">
      <c r="A111" s="22"/>
      <c r="B111" s="22"/>
      <c r="C111" s="63" t="s">
        <v>105</v>
      </c>
      <c r="D111" s="27">
        <f t="shared" ref="D111:E111" si="68">COUNTIF(D$3:D$70,"06午*")</f>
        <v>1</v>
      </c>
      <c r="E111" s="27">
        <f t="shared" si="68"/>
        <v>1</v>
      </c>
      <c r="F111" s="27">
        <f>COUNTIF(F$3:F$73,"06午*")</f>
        <v>0</v>
      </c>
      <c r="G111" s="27">
        <f t="shared" ref="G111:AN111" si="69">COUNTIF(G$3:G$73,"06午*")</f>
        <v>0</v>
      </c>
      <c r="H111" s="27">
        <f t="shared" si="69"/>
        <v>0</v>
      </c>
      <c r="I111" s="27">
        <f t="shared" si="69"/>
        <v>0</v>
      </c>
      <c r="J111" s="27">
        <f t="shared" si="69"/>
        <v>0</v>
      </c>
      <c r="K111" s="27">
        <f t="shared" si="69"/>
        <v>0</v>
      </c>
      <c r="L111" s="27">
        <f t="shared" si="69"/>
        <v>0</v>
      </c>
      <c r="M111" s="27">
        <f t="shared" si="69"/>
        <v>0</v>
      </c>
      <c r="N111" s="27">
        <f t="shared" si="69"/>
        <v>0</v>
      </c>
      <c r="O111" s="27">
        <f t="shared" si="69"/>
        <v>0</v>
      </c>
      <c r="P111" s="27">
        <f t="shared" si="69"/>
        <v>0</v>
      </c>
      <c r="Q111" s="27">
        <f t="shared" si="69"/>
        <v>0</v>
      </c>
      <c r="R111" s="27">
        <f t="shared" si="69"/>
        <v>0</v>
      </c>
      <c r="S111" s="27">
        <f t="shared" si="69"/>
        <v>0</v>
      </c>
      <c r="T111" s="27">
        <f t="shared" si="69"/>
        <v>0</v>
      </c>
      <c r="U111" s="27">
        <f t="shared" si="69"/>
        <v>0</v>
      </c>
      <c r="V111" s="27">
        <f t="shared" si="69"/>
        <v>0</v>
      </c>
      <c r="W111" s="27">
        <f t="shared" si="69"/>
        <v>0</v>
      </c>
      <c r="X111" s="27">
        <f t="shared" si="69"/>
        <v>0</v>
      </c>
      <c r="Y111" s="27">
        <f t="shared" si="69"/>
        <v>0</v>
      </c>
      <c r="Z111" s="27">
        <f t="shared" si="69"/>
        <v>0</v>
      </c>
      <c r="AA111" s="27">
        <f t="shared" si="69"/>
        <v>0</v>
      </c>
      <c r="AB111" s="27">
        <f t="shared" si="69"/>
        <v>0</v>
      </c>
      <c r="AC111" s="27">
        <f t="shared" si="69"/>
        <v>0</v>
      </c>
      <c r="AD111" s="27">
        <f t="shared" si="69"/>
        <v>0</v>
      </c>
      <c r="AE111" s="27">
        <f t="shared" si="69"/>
        <v>0</v>
      </c>
      <c r="AF111" s="27">
        <f t="shared" si="69"/>
        <v>0</v>
      </c>
      <c r="AG111" s="27">
        <f t="shared" si="69"/>
        <v>0</v>
      </c>
      <c r="AH111" s="27">
        <f t="shared" si="69"/>
        <v>0</v>
      </c>
      <c r="AI111" s="27">
        <f t="shared" si="69"/>
        <v>0</v>
      </c>
      <c r="AJ111" s="27">
        <f t="shared" si="69"/>
        <v>0</v>
      </c>
      <c r="AK111" s="27">
        <f t="shared" si="69"/>
        <v>0</v>
      </c>
      <c r="AL111" s="27">
        <f t="shared" si="69"/>
        <v>0</v>
      </c>
      <c r="AM111" s="27">
        <f t="shared" si="69"/>
        <v>0</v>
      </c>
      <c r="AN111" s="27">
        <f t="shared" si="69"/>
        <v>0</v>
      </c>
    </row>
    <row r="112" spans="1:40" s="26" customFormat="1" ht="36" customHeight="1" thickBot="1">
      <c r="A112" s="22"/>
      <c r="B112" s="22"/>
      <c r="C112" s="29" t="s">
        <v>106</v>
      </c>
      <c r="D112" s="30">
        <f t="shared" ref="D112:E112" si="70">COUNTIF(D$3:D$70,"06夜*")</f>
        <v>1</v>
      </c>
      <c r="E112" s="30">
        <f t="shared" si="70"/>
        <v>1</v>
      </c>
      <c r="F112" s="30">
        <f>COUNTIF(F$3:F$73,"06夜*")</f>
        <v>0</v>
      </c>
      <c r="G112" s="30">
        <f t="shared" ref="G112:AN112" si="71">COUNTIF(G$3:G$73,"06夜*")</f>
        <v>0</v>
      </c>
      <c r="H112" s="30">
        <f t="shared" si="71"/>
        <v>0</v>
      </c>
      <c r="I112" s="30">
        <f t="shared" si="71"/>
        <v>0</v>
      </c>
      <c r="J112" s="30">
        <f t="shared" si="71"/>
        <v>0</v>
      </c>
      <c r="K112" s="30">
        <f t="shared" si="71"/>
        <v>0</v>
      </c>
      <c r="L112" s="30">
        <f t="shared" si="71"/>
        <v>0</v>
      </c>
      <c r="M112" s="30">
        <f t="shared" si="71"/>
        <v>0</v>
      </c>
      <c r="N112" s="30">
        <f t="shared" si="71"/>
        <v>0</v>
      </c>
      <c r="O112" s="30">
        <f t="shared" si="71"/>
        <v>0</v>
      </c>
      <c r="P112" s="30">
        <f t="shared" si="71"/>
        <v>0</v>
      </c>
      <c r="Q112" s="30">
        <f t="shared" si="71"/>
        <v>0</v>
      </c>
      <c r="R112" s="30">
        <f t="shared" si="71"/>
        <v>0</v>
      </c>
      <c r="S112" s="30">
        <f t="shared" si="71"/>
        <v>0</v>
      </c>
      <c r="T112" s="30">
        <f t="shared" si="71"/>
        <v>0</v>
      </c>
      <c r="U112" s="30">
        <f t="shared" si="71"/>
        <v>0</v>
      </c>
      <c r="V112" s="30">
        <f t="shared" si="71"/>
        <v>0</v>
      </c>
      <c r="W112" s="30">
        <f t="shared" si="71"/>
        <v>0</v>
      </c>
      <c r="X112" s="30">
        <f t="shared" si="71"/>
        <v>0</v>
      </c>
      <c r="Y112" s="30">
        <f t="shared" si="71"/>
        <v>0</v>
      </c>
      <c r="Z112" s="30">
        <f t="shared" si="71"/>
        <v>0</v>
      </c>
      <c r="AA112" s="30">
        <f t="shared" si="71"/>
        <v>0</v>
      </c>
      <c r="AB112" s="30">
        <f t="shared" si="71"/>
        <v>0</v>
      </c>
      <c r="AC112" s="30">
        <f t="shared" si="71"/>
        <v>0</v>
      </c>
      <c r="AD112" s="30">
        <f t="shared" si="71"/>
        <v>0</v>
      </c>
      <c r="AE112" s="30">
        <f t="shared" si="71"/>
        <v>0</v>
      </c>
      <c r="AF112" s="30">
        <f t="shared" si="71"/>
        <v>0</v>
      </c>
      <c r="AG112" s="30">
        <f t="shared" si="71"/>
        <v>0</v>
      </c>
      <c r="AH112" s="30">
        <f t="shared" si="71"/>
        <v>0</v>
      </c>
      <c r="AI112" s="30">
        <f t="shared" si="71"/>
        <v>0</v>
      </c>
      <c r="AJ112" s="30">
        <f t="shared" si="71"/>
        <v>0</v>
      </c>
      <c r="AK112" s="30">
        <f t="shared" si="71"/>
        <v>0</v>
      </c>
      <c r="AL112" s="30">
        <f t="shared" si="71"/>
        <v>0</v>
      </c>
      <c r="AM112" s="30">
        <f t="shared" si="71"/>
        <v>0</v>
      </c>
      <c r="AN112" s="30">
        <f t="shared" si="71"/>
        <v>0</v>
      </c>
    </row>
  </sheetData>
  <sheetProtection autoFilter="0"/>
  <autoFilter ref="A2:AC70"/>
  <mergeCells count="3">
    <mergeCell ref="B87:B90"/>
    <mergeCell ref="B1:B2"/>
    <mergeCell ref="C1:C2"/>
  </mergeCells>
  <phoneticPr fontId="1" type="noConversion"/>
  <conditionalFormatting sqref="D84:AN85 D96:AN96 D99:AN99">
    <cfRule type="cellIs" dxfId="8" priority="9" operator="notEqual">
      <formula>1</formula>
    </cfRule>
  </conditionalFormatting>
  <conditionalFormatting sqref="D86:AN86 D94:AN94 D100:AN100 D104:AN104 D108:AN108 D112:AN112">
    <cfRule type="cellIs" dxfId="7" priority="6" operator="notEqual">
      <formula>1</formula>
    </cfRule>
  </conditionalFormatting>
  <conditionalFormatting sqref="D87:AN87 D89:AN89">
    <cfRule type="cellIs" dxfId="6" priority="3" operator="equal">
      <formula>4</formula>
    </cfRule>
    <cfRule type="cellIs" dxfId="5" priority="4" operator="greaterThan">
      <formula>5</formula>
    </cfRule>
    <cfRule type="cellIs" dxfId="4" priority="5" operator="lessThan">
      <formula>4</formula>
    </cfRule>
  </conditionalFormatting>
  <conditionalFormatting sqref="D88:AN88 D92:AN92 D97:AN97 D102:AN102 D106:AN106 D110:AN110">
    <cfRule type="cellIs" dxfId="3" priority="7" operator="notEqual">
      <formula>0</formula>
    </cfRule>
  </conditionalFormatting>
  <conditionalFormatting sqref="D91:AN91 D93:AN93 D95:AN95 D98:AN98 D101:AN101 D103:AN103 D105:AN105 D107:AN107 D109:AN109 D111:AN111">
    <cfRule type="cellIs" dxfId="2" priority="8" operator="lessThan">
      <formula>1</formula>
    </cfRule>
  </conditionalFormatting>
  <conditionalFormatting sqref="D91:XFD91 D93:XFD93 D95:XFD95 D98:XFD98 D101:XFD101 D103:XFD103 D105:XFD105 D107:XFD107 D109:XFD109 D111:XFD111">
    <cfRule type="cellIs" dxfId="1" priority="2" operator="notEqual">
      <formula>2</formula>
    </cfRule>
  </conditionalFormatting>
  <pageMargins left="0.25" right="0.25" top="0.75" bottom="0.75" header="0.3" footer="0.3"/>
  <pageSetup paperSize="8" scale="19" orientation="landscape" r:id="rId1"/>
  <headerFooter>
    <oddHeader>&amp;C&amp;"微軟正黑體,標準"&amp;48桃園捷運公司 運務處站務中心
112年1月員工輪值表(北段)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73"/>
  <sheetViews>
    <sheetView view="pageBreakPreview" zoomScale="40" zoomScaleNormal="25" zoomScaleSheetLayoutView="40" zoomScalePageLayoutView="85" workbookViewId="0">
      <pane xSplit="3" ySplit="2" topLeftCell="D45" activePane="bottomRight" state="frozen"/>
      <selection pane="topRight" activeCell="D1" sqref="D1"/>
      <selection pane="bottomLeft" activeCell="A3" sqref="A3"/>
      <selection pane="bottomRight" activeCell="N61" sqref="N61"/>
    </sheetView>
  </sheetViews>
  <sheetFormatPr defaultColWidth="8.875" defaultRowHeight="16.5"/>
  <cols>
    <col min="1" max="1" width="11.875" style="5" customWidth="1"/>
    <col min="2" max="3" width="20.625" style="10" customWidth="1"/>
    <col min="4" max="22" width="13.5" style="10" customWidth="1"/>
    <col min="23" max="26" width="13.5" style="5" customWidth="1"/>
    <col min="27" max="28" width="13.5" style="10" customWidth="1"/>
    <col min="29" max="31" width="13.5" style="5" customWidth="1"/>
    <col min="32" max="32" width="14.25" style="5" customWidth="1"/>
    <col min="33" max="33" width="15.5" style="5" customWidth="1"/>
    <col min="34" max="34" width="15.5" style="21" customWidth="1"/>
    <col min="35" max="36" width="14.875" style="21" customWidth="1"/>
    <col min="37" max="40" width="14.875" style="5" customWidth="1"/>
    <col min="41" max="16384" width="8.875" style="5"/>
  </cols>
  <sheetData>
    <row r="1" spans="1:40" ht="63.75" customHeight="1">
      <c r="A1" s="310"/>
      <c r="B1" s="305" t="s">
        <v>0</v>
      </c>
      <c r="C1" s="305" t="s">
        <v>107</v>
      </c>
      <c r="D1" s="18">
        <f>'北段 (人資版)'!D1</f>
        <v>46143</v>
      </c>
      <c r="E1" s="18">
        <f>'北段 (人資版)'!E1</f>
        <v>46144</v>
      </c>
      <c r="F1" s="18">
        <f>'北段 (人資版)'!F1</f>
        <v>46145</v>
      </c>
      <c r="G1" s="18">
        <f>'北段 (人資版)'!G1</f>
        <v>46146</v>
      </c>
      <c r="H1" s="18">
        <f>'北段 (人資版)'!H1</f>
        <v>46147</v>
      </c>
      <c r="I1" s="18">
        <f>'北段 (人資版)'!I1</f>
        <v>46148</v>
      </c>
      <c r="J1" s="18">
        <f>'北段 (人資版)'!J1</f>
        <v>46149</v>
      </c>
      <c r="K1" s="18">
        <f>'北段 (人資版)'!K1</f>
        <v>46150</v>
      </c>
      <c r="L1" s="18">
        <f>'北段 (人資版)'!L1</f>
        <v>46151</v>
      </c>
      <c r="M1" s="18">
        <f>'北段 (人資版)'!M1</f>
        <v>46152</v>
      </c>
      <c r="N1" s="18">
        <f>'北段 (人資版)'!N1</f>
        <v>46153</v>
      </c>
      <c r="O1" s="18">
        <f>'北段 (人資版)'!O1</f>
        <v>46154</v>
      </c>
      <c r="P1" s="18">
        <f>'北段 (人資版)'!P1</f>
        <v>46155</v>
      </c>
      <c r="Q1" s="18">
        <f>'北段 (人資版)'!Q1</f>
        <v>46156</v>
      </c>
      <c r="R1" s="18">
        <f>'北段 (人資版)'!R1</f>
        <v>46157</v>
      </c>
      <c r="S1" s="18">
        <f>'北段 (人資版)'!S1</f>
        <v>46158</v>
      </c>
      <c r="T1" s="18">
        <f>'北段 (人資版)'!T1</f>
        <v>46159</v>
      </c>
      <c r="U1" s="18">
        <f>'北段 (人資版)'!U1</f>
        <v>46160</v>
      </c>
      <c r="V1" s="18">
        <f>'北段 (人資版)'!V1</f>
        <v>46161</v>
      </c>
      <c r="W1" s="18">
        <f>'北段 (人資版)'!W1</f>
        <v>46162</v>
      </c>
      <c r="X1" s="18">
        <f>'北段 (人資版)'!X1</f>
        <v>46163</v>
      </c>
      <c r="Y1" s="18">
        <f>'北段 (人資版)'!Y1</f>
        <v>46164</v>
      </c>
      <c r="Z1" s="18">
        <f>'北段 (人資版)'!Z1</f>
        <v>46165</v>
      </c>
      <c r="AA1" s="18">
        <f>'北段 (人資版)'!AA1</f>
        <v>46166</v>
      </c>
      <c r="AB1" s="18">
        <f>'北段 (人資版)'!AB1</f>
        <v>46167</v>
      </c>
      <c r="AC1" s="18">
        <f>'北段 (人資版)'!AC1</f>
        <v>46168</v>
      </c>
      <c r="AD1" s="18">
        <f>'北段 (人資版)'!AD1</f>
        <v>46169</v>
      </c>
      <c r="AE1" s="18">
        <f>'北段 (人資版)'!AE1</f>
        <v>46170</v>
      </c>
      <c r="AF1" s="18">
        <f>'北段 (人資版)'!AF1</f>
        <v>46171</v>
      </c>
      <c r="AG1" s="18">
        <f>'北段 (人資版)'!AG1</f>
        <v>46172</v>
      </c>
      <c r="AH1" s="18">
        <f>'北段 (人資版)'!AH1</f>
        <v>46173</v>
      </c>
      <c r="AI1" s="18">
        <f>'北段 (人資版)'!AI1</f>
        <v>46174</v>
      </c>
      <c r="AJ1" s="18">
        <f>'北段 (人資版)'!AJ1</f>
        <v>46175</v>
      </c>
      <c r="AK1" s="18">
        <f>'北段 (人資版)'!AK1</f>
        <v>46176</v>
      </c>
      <c r="AL1" s="18">
        <f>'北段 (人資版)'!AL1</f>
        <v>46177</v>
      </c>
      <c r="AM1" s="18">
        <f>'北段 (人資版)'!AM1</f>
        <v>46178</v>
      </c>
      <c r="AN1" s="18">
        <f>'北段 (人資版)'!AN1</f>
        <v>46179</v>
      </c>
    </row>
    <row r="2" spans="1:40" ht="43.5" customHeight="1" thickBot="1">
      <c r="A2" s="311"/>
      <c r="B2" s="306"/>
      <c r="C2" s="306"/>
      <c r="D2" s="33">
        <f t="shared" ref="D2:H2" si="0">IFERROR(IF(WEEKDAY(D1,2)=7,"日",WEEKDAY(D1,2)),"")</f>
        <v>5</v>
      </c>
      <c r="E2" s="33">
        <f t="shared" si="0"/>
        <v>6</v>
      </c>
      <c r="F2" s="33" t="str">
        <f t="shared" si="0"/>
        <v>日</v>
      </c>
      <c r="G2" s="33">
        <f t="shared" si="0"/>
        <v>1</v>
      </c>
      <c r="H2" s="33">
        <f t="shared" si="0"/>
        <v>2</v>
      </c>
      <c r="I2" s="33">
        <f t="shared" ref="I2:AC2" si="1">IFERROR(IF(WEEKDAY(I1,2)=7,"日",WEEKDAY(I1,2)),"")</f>
        <v>3</v>
      </c>
      <c r="J2" s="33">
        <f t="shared" si="1"/>
        <v>4</v>
      </c>
      <c r="K2" s="33">
        <f t="shared" si="1"/>
        <v>5</v>
      </c>
      <c r="L2" s="33">
        <f t="shared" si="1"/>
        <v>6</v>
      </c>
      <c r="M2" s="33" t="str">
        <f t="shared" si="1"/>
        <v>日</v>
      </c>
      <c r="N2" s="33">
        <f t="shared" si="1"/>
        <v>1</v>
      </c>
      <c r="O2" s="33">
        <f t="shared" si="1"/>
        <v>2</v>
      </c>
      <c r="P2" s="33">
        <f t="shared" si="1"/>
        <v>3</v>
      </c>
      <c r="Q2" s="33">
        <f t="shared" si="1"/>
        <v>4</v>
      </c>
      <c r="R2" s="33">
        <f t="shared" si="1"/>
        <v>5</v>
      </c>
      <c r="S2" s="33">
        <f t="shared" si="1"/>
        <v>6</v>
      </c>
      <c r="T2" s="33" t="str">
        <f t="shared" si="1"/>
        <v>日</v>
      </c>
      <c r="U2" s="33">
        <f t="shared" si="1"/>
        <v>1</v>
      </c>
      <c r="V2" s="33">
        <f t="shared" si="1"/>
        <v>2</v>
      </c>
      <c r="W2" s="33">
        <f t="shared" si="1"/>
        <v>3</v>
      </c>
      <c r="X2" s="33">
        <f t="shared" si="1"/>
        <v>4</v>
      </c>
      <c r="Y2" s="33">
        <f t="shared" si="1"/>
        <v>5</v>
      </c>
      <c r="Z2" s="33">
        <f t="shared" si="1"/>
        <v>6</v>
      </c>
      <c r="AA2" s="33" t="str">
        <f t="shared" si="1"/>
        <v>日</v>
      </c>
      <c r="AB2" s="33">
        <f t="shared" si="1"/>
        <v>1</v>
      </c>
      <c r="AC2" s="33">
        <f t="shared" si="1"/>
        <v>2</v>
      </c>
      <c r="AD2" s="37">
        <f t="shared" ref="AD2:AJ2" si="2">IFERROR(IF(WEEKDAY(AD1,2)=7,"日",WEEKDAY(AD1,2)),"")</f>
        <v>3</v>
      </c>
      <c r="AE2" s="37">
        <f t="shared" si="2"/>
        <v>4</v>
      </c>
      <c r="AF2" s="37">
        <f t="shared" si="2"/>
        <v>5</v>
      </c>
      <c r="AG2" s="37">
        <f t="shared" si="2"/>
        <v>6</v>
      </c>
      <c r="AH2" s="37" t="str">
        <f t="shared" si="2"/>
        <v>日</v>
      </c>
      <c r="AI2" s="37">
        <f t="shared" si="2"/>
        <v>1</v>
      </c>
      <c r="AJ2" s="37">
        <f t="shared" si="2"/>
        <v>2</v>
      </c>
      <c r="AK2" s="37">
        <f t="shared" ref="AK2:AN2" si="3">IFERROR(IF(WEEKDAY(AK1,2)=7,"日",WEEKDAY(AK1,2)),"")</f>
        <v>3</v>
      </c>
      <c r="AL2" s="37">
        <f t="shared" si="3"/>
        <v>4</v>
      </c>
      <c r="AM2" s="37">
        <f t="shared" si="3"/>
        <v>5</v>
      </c>
      <c r="AN2" s="37">
        <f t="shared" si="3"/>
        <v>6</v>
      </c>
    </row>
    <row r="3" spans="1:40" ht="39.75" customHeight="1">
      <c r="A3" s="297" t="s">
        <v>108</v>
      </c>
      <c r="B3" s="34" t="str">
        <f>北段!B3</f>
        <v>T00082</v>
      </c>
      <c r="C3" s="35" t="str">
        <f>VLOOKUP(B3,北段!B:C,2,FALSE)</f>
        <v>梁仲煒</v>
      </c>
      <c r="D3" s="62" t="str">
        <f>VLOOKUP('北段 (人資版)'!D3,工作表1!$A$3:$B$78,2,FALSE)</f>
        <v>05</v>
      </c>
      <c r="E3" s="62">
        <f>VLOOKUP('北段 (人資版)'!E3,工作表1!$A$3:$B$78,2,FALSE)</f>
        <v>92</v>
      </c>
      <c r="F3" s="62" t="e">
        <f>VLOOKUP('北段 (人資版)'!F3,工作表1!$A$3:$B$78,2,FALSE)</f>
        <v>#N/A</v>
      </c>
      <c r="G3" s="62" t="e">
        <f>VLOOKUP('北段 (人資版)'!G3,工作表1!$A$3:$B$78,2,FALSE)</f>
        <v>#N/A</v>
      </c>
      <c r="H3" s="62" t="e">
        <f>VLOOKUP('北段 (人資版)'!H3,工作表1!$A$3:$B$78,2,FALSE)</f>
        <v>#N/A</v>
      </c>
      <c r="I3" s="62" t="e">
        <f>VLOOKUP('北段 (人資版)'!I3,工作表1!$A$3:$B$78,2,FALSE)</f>
        <v>#N/A</v>
      </c>
      <c r="J3" s="62" t="e">
        <f>VLOOKUP('北段 (人資版)'!J3,工作表1!$A$3:$B$78,2,FALSE)</f>
        <v>#N/A</v>
      </c>
      <c r="K3" s="62" t="e">
        <f>VLOOKUP('北段 (人資版)'!K3,工作表1!$A$3:$B$78,2,FALSE)</f>
        <v>#N/A</v>
      </c>
      <c r="L3" s="62" t="e">
        <f>VLOOKUP('北段 (人資版)'!L3,工作表1!$A$3:$B$78,2,FALSE)</f>
        <v>#N/A</v>
      </c>
      <c r="M3" s="62" t="e">
        <f>VLOOKUP('北段 (人資版)'!M3,工作表1!$A$3:$B$78,2,FALSE)</f>
        <v>#N/A</v>
      </c>
      <c r="N3" s="62" t="e">
        <f>VLOOKUP('北段 (人資版)'!N3,工作表1!$A$3:$B$78,2,FALSE)</f>
        <v>#N/A</v>
      </c>
      <c r="O3" s="62" t="e">
        <f>VLOOKUP('北段 (人資版)'!O3,工作表1!$A$3:$B$78,2,FALSE)</f>
        <v>#N/A</v>
      </c>
      <c r="P3" s="62" t="e">
        <f>VLOOKUP('北段 (人資版)'!P3,工作表1!$A$3:$B$78,2,FALSE)</f>
        <v>#N/A</v>
      </c>
      <c r="Q3" s="62" t="e">
        <f>VLOOKUP('北段 (人資版)'!Q3,工作表1!$A$3:$B$78,2,FALSE)</f>
        <v>#N/A</v>
      </c>
      <c r="R3" s="62" t="e">
        <f>VLOOKUP('北段 (人資版)'!R3,工作表1!$A$3:$B$78,2,FALSE)</f>
        <v>#N/A</v>
      </c>
      <c r="S3" s="62" t="e">
        <f>VLOOKUP('北段 (人資版)'!S3,工作表1!$A$3:$B$78,2,FALSE)</f>
        <v>#N/A</v>
      </c>
      <c r="T3" s="62" t="e">
        <f>VLOOKUP('北段 (人資版)'!T3,工作表1!$A$3:$B$78,2,FALSE)</f>
        <v>#N/A</v>
      </c>
      <c r="U3" s="62" t="e">
        <f>VLOOKUP('北段 (人資版)'!U3,工作表1!$A$3:$B$78,2,FALSE)</f>
        <v>#N/A</v>
      </c>
      <c r="V3" s="62" t="e">
        <f>VLOOKUP('北段 (人資版)'!V3,工作表1!$A$3:$B$78,2,FALSE)</f>
        <v>#N/A</v>
      </c>
      <c r="W3" s="62" t="e">
        <f>VLOOKUP('北段 (人資版)'!W3,工作表1!$A$3:$B$78,2,FALSE)</f>
        <v>#N/A</v>
      </c>
      <c r="X3" s="62" t="e">
        <f>VLOOKUP('北段 (人資版)'!X3,工作表1!$A$3:$B$78,2,FALSE)</f>
        <v>#N/A</v>
      </c>
      <c r="Y3" s="62" t="e">
        <f>VLOOKUP('北段 (人資版)'!Y3,工作表1!$A$3:$B$78,2,FALSE)</f>
        <v>#N/A</v>
      </c>
      <c r="Z3" s="62" t="e">
        <f>VLOOKUP('北段 (人資版)'!Z3,工作表1!$A$3:$B$78,2,FALSE)</f>
        <v>#N/A</v>
      </c>
      <c r="AA3" s="62" t="e">
        <f>VLOOKUP('北段 (人資版)'!AA3,工作表1!$A$3:$B$78,2,FALSE)</f>
        <v>#N/A</v>
      </c>
      <c r="AB3" s="62" t="e">
        <f>VLOOKUP('北段 (人資版)'!AB3,工作表1!$A$3:$B$78,2,FALSE)</f>
        <v>#N/A</v>
      </c>
      <c r="AC3" s="62" t="e">
        <f>VLOOKUP('北段 (人資版)'!AC3,工作表1!$A$3:$B$78,2,FALSE)</f>
        <v>#N/A</v>
      </c>
      <c r="AD3" s="62" t="e">
        <f>VLOOKUP('北段 (人資版)'!AD3,工作表1!$A$3:$B$78,2,FALSE)</f>
        <v>#N/A</v>
      </c>
      <c r="AE3" s="62" t="e">
        <f>VLOOKUP('北段 (人資版)'!AE3,工作表1!$A$3:$B$78,2,FALSE)</f>
        <v>#N/A</v>
      </c>
      <c r="AF3" s="62" t="e">
        <f>VLOOKUP('北段 (人資版)'!AF3,工作表1!$A$3:$B$78,2,FALSE)</f>
        <v>#N/A</v>
      </c>
      <c r="AG3" s="62" t="e">
        <f>VLOOKUP('北段 (人資版)'!AG3,工作表1!$A$3:$B$78,2,FALSE)</f>
        <v>#N/A</v>
      </c>
      <c r="AH3" s="62" t="e">
        <f>VLOOKUP('北段 (人資版)'!AH3,工作表1!$A$3:$B$78,2,FALSE)</f>
        <v>#REF!</v>
      </c>
      <c r="AI3" s="62" t="e">
        <f>VLOOKUP('北段 (人資版)'!AI3,工作表1!$A$3:$B$78,2,FALSE)</f>
        <v>#REF!</v>
      </c>
      <c r="AJ3" s="62" t="e">
        <f>VLOOKUP('北段 (人資版)'!AJ3,工作表1!$A$3:$B$78,2,FALSE)</f>
        <v>#REF!</v>
      </c>
      <c r="AK3" s="62" t="e">
        <f>VLOOKUP('北段 (人資版)'!AK3,工作表1!$A$3:$B$78,2,FALSE)</f>
        <v>#REF!</v>
      </c>
      <c r="AL3" s="62" t="e">
        <f>VLOOKUP('北段 (人資版)'!AL3,工作表1!$A$3:$B$78,2,FALSE)</f>
        <v>#REF!</v>
      </c>
      <c r="AM3" s="62" t="e">
        <f>VLOOKUP('北段 (人資版)'!AM3,工作表1!$A$3:$B$78,2,FALSE)</f>
        <v>#REF!</v>
      </c>
      <c r="AN3" s="62" t="e">
        <f>VLOOKUP('北段 (人資版)'!AN3,工作表1!$A$3:$B$78,2,FALSE)</f>
        <v>#REF!</v>
      </c>
    </row>
    <row r="4" spans="1:40" ht="39.75" customHeight="1">
      <c r="A4" s="309"/>
      <c r="B4" s="101" t="str">
        <f>北段!B4</f>
        <v>T00178</v>
      </c>
      <c r="C4" s="38" t="str">
        <f>VLOOKUP(B4,北段!B:C,2,FALSE)</f>
        <v>何旺宗</v>
      </c>
      <c r="D4" s="62">
        <f>VLOOKUP('北段 (人資版)'!D4,工作表1!$A$3:$B$78,2,FALSE)</f>
        <v>38</v>
      </c>
      <c r="E4" s="62">
        <f>VLOOKUP('北段 (人資版)'!E4,工作表1!$A$3:$B$78,2,FALSE)</f>
        <v>38</v>
      </c>
      <c r="F4" s="62" t="e">
        <f>VLOOKUP('北段 (人資版)'!F4,工作表1!$A$3:$B$78,2,FALSE)</f>
        <v>#N/A</v>
      </c>
      <c r="G4" s="62" t="e">
        <f>VLOOKUP('北段 (人資版)'!G4,工作表1!$A$3:$B$78,2,FALSE)</f>
        <v>#N/A</v>
      </c>
      <c r="H4" s="62" t="e">
        <f>VLOOKUP('北段 (人資版)'!H4,工作表1!$A$3:$B$78,2,FALSE)</f>
        <v>#N/A</v>
      </c>
      <c r="I4" s="62" t="e">
        <f>VLOOKUP('北段 (人資版)'!I4,工作表1!$A$3:$B$78,2,FALSE)</f>
        <v>#N/A</v>
      </c>
      <c r="J4" s="62" t="e">
        <f>VLOOKUP('北段 (人資版)'!J4,工作表1!$A$3:$B$78,2,FALSE)</f>
        <v>#N/A</v>
      </c>
      <c r="K4" s="62" t="e">
        <f>VLOOKUP('北段 (人資版)'!K4,工作表1!$A$3:$B$78,2,FALSE)</f>
        <v>#N/A</v>
      </c>
      <c r="L4" s="62" t="e">
        <f>VLOOKUP('北段 (人資版)'!L4,工作表1!$A$3:$B$78,2,FALSE)</f>
        <v>#N/A</v>
      </c>
      <c r="M4" s="62" t="e">
        <f>VLOOKUP('北段 (人資版)'!M4,工作表1!$A$3:$B$78,2,FALSE)</f>
        <v>#N/A</v>
      </c>
      <c r="N4" s="62" t="e">
        <f>VLOOKUP('北段 (人資版)'!N4,工作表1!$A$3:$B$78,2,FALSE)</f>
        <v>#N/A</v>
      </c>
      <c r="O4" s="62" t="e">
        <f>VLOOKUP('北段 (人資版)'!O4,工作表1!$A$3:$B$78,2,FALSE)</f>
        <v>#N/A</v>
      </c>
      <c r="P4" s="62" t="e">
        <f>VLOOKUP('北段 (人資版)'!P4,工作表1!$A$3:$B$78,2,FALSE)</f>
        <v>#N/A</v>
      </c>
      <c r="Q4" s="62" t="e">
        <f>VLOOKUP('北段 (人資版)'!Q4,工作表1!$A$3:$B$78,2,FALSE)</f>
        <v>#N/A</v>
      </c>
      <c r="R4" s="62" t="e">
        <f>VLOOKUP('北段 (人資版)'!R4,工作表1!$A$3:$B$78,2,FALSE)</f>
        <v>#N/A</v>
      </c>
      <c r="S4" s="62" t="e">
        <f>VLOOKUP('北段 (人資版)'!S4,工作表1!$A$3:$B$78,2,FALSE)</f>
        <v>#N/A</v>
      </c>
      <c r="T4" s="62" t="e">
        <f>VLOOKUP('北段 (人資版)'!T4,工作表1!$A$3:$B$78,2,FALSE)</f>
        <v>#N/A</v>
      </c>
      <c r="U4" s="62" t="e">
        <f>VLOOKUP('北段 (人資版)'!U4,工作表1!$A$3:$B$78,2,FALSE)</f>
        <v>#N/A</v>
      </c>
      <c r="V4" s="62" t="e">
        <f>VLOOKUP('北段 (人資版)'!V4,工作表1!$A$3:$B$78,2,FALSE)</f>
        <v>#N/A</v>
      </c>
      <c r="W4" s="62" t="e">
        <f>VLOOKUP('北段 (人資版)'!W4,工作表1!$A$3:$B$78,2,FALSE)</f>
        <v>#N/A</v>
      </c>
      <c r="X4" s="62" t="e">
        <f>VLOOKUP('北段 (人資版)'!X4,工作表1!$A$3:$B$78,2,FALSE)</f>
        <v>#N/A</v>
      </c>
      <c r="Y4" s="62" t="e">
        <f>VLOOKUP('北段 (人資版)'!Y4,工作表1!$A$3:$B$78,2,FALSE)</f>
        <v>#N/A</v>
      </c>
      <c r="Z4" s="62" t="e">
        <f>VLOOKUP('北段 (人資版)'!Z4,工作表1!$A$3:$B$78,2,FALSE)</f>
        <v>#N/A</v>
      </c>
      <c r="AA4" s="62" t="e">
        <f>VLOOKUP('北段 (人資版)'!AA4,工作表1!$A$3:$B$78,2,FALSE)</f>
        <v>#N/A</v>
      </c>
      <c r="AB4" s="62" t="e">
        <f>VLOOKUP('北段 (人資版)'!AB4,工作表1!$A$3:$B$78,2,FALSE)</f>
        <v>#N/A</v>
      </c>
      <c r="AC4" s="62" t="e">
        <f>VLOOKUP('北段 (人資版)'!AC4,工作表1!$A$3:$B$78,2,FALSE)</f>
        <v>#N/A</v>
      </c>
      <c r="AD4" s="62" t="e">
        <f>VLOOKUP('北段 (人資版)'!AD4,工作表1!$A$3:$B$78,2,FALSE)</f>
        <v>#N/A</v>
      </c>
      <c r="AE4" s="62" t="e">
        <f>VLOOKUP('北段 (人資版)'!AE4,工作表1!$A$3:$B$78,2,FALSE)</f>
        <v>#N/A</v>
      </c>
      <c r="AF4" s="62" t="e">
        <f>VLOOKUP('北段 (人資版)'!AF4,工作表1!$A$3:$B$78,2,FALSE)</f>
        <v>#N/A</v>
      </c>
      <c r="AG4" s="62" t="e">
        <f>VLOOKUP('北段 (人資版)'!AG4,工作表1!$A$3:$B$78,2,FALSE)</f>
        <v>#N/A</v>
      </c>
      <c r="AH4" s="62" t="e">
        <f>VLOOKUP('北段 (人資版)'!AH4,工作表1!$A$3:$B$78,2,FALSE)</f>
        <v>#REF!</v>
      </c>
      <c r="AI4" s="62" t="e">
        <f>VLOOKUP('北段 (人資版)'!AI4,工作表1!$A$3:$B$78,2,FALSE)</f>
        <v>#REF!</v>
      </c>
      <c r="AJ4" s="62" t="e">
        <f>VLOOKUP('北段 (人資版)'!AJ4,工作表1!$A$3:$B$78,2,FALSE)</f>
        <v>#REF!</v>
      </c>
      <c r="AK4" s="62" t="e">
        <f>VLOOKUP('北段 (人資版)'!AK4,工作表1!$A$3:$B$78,2,FALSE)</f>
        <v>#REF!</v>
      </c>
      <c r="AL4" s="62" t="e">
        <f>VLOOKUP('北段 (人資版)'!AL4,工作表1!$A$3:$B$78,2,FALSE)</f>
        <v>#REF!</v>
      </c>
      <c r="AM4" s="62" t="e">
        <f>VLOOKUP('北段 (人資版)'!AM4,工作表1!$A$3:$B$78,2,FALSE)</f>
        <v>#REF!</v>
      </c>
      <c r="AN4" s="62" t="e">
        <f>VLOOKUP('北段 (人資版)'!AN4,工作表1!$A$3:$B$78,2,FALSE)</f>
        <v>#REF!</v>
      </c>
    </row>
    <row r="5" spans="1:40" ht="39.75" customHeight="1">
      <c r="A5" s="309"/>
      <c r="B5" s="101" t="str">
        <f>北段!B5</f>
        <v>T00252</v>
      </c>
      <c r="C5" s="38" t="str">
        <f>VLOOKUP(B5,北段!B:C,2,FALSE)</f>
        <v>馮炫強</v>
      </c>
      <c r="D5" s="62">
        <f>VLOOKUP('北段 (人資版)'!D5,工作表1!$A$3:$B$78,2,FALSE)</f>
        <v>70</v>
      </c>
      <c r="E5" s="62">
        <f>VLOOKUP('北段 (人資版)'!E5,工作表1!$A$3:$B$78,2,FALSE)</f>
        <v>70</v>
      </c>
      <c r="F5" s="62" t="e">
        <f>VLOOKUP('北段 (人資版)'!F5,工作表1!$A$3:$B$78,2,FALSE)</f>
        <v>#N/A</v>
      </c>
      <c r="G5" s="62" t="e">
        <f>VLOOKUP('北段 (人資版)'!G5,工作表1!$A$3:$B$78,2,FALSE)</f>
        <v>#N/A</v>
      </c>
      <c r="H5" s="62" t="e">
        <f>VLOOKUP('北段 (人資版)'!H5,工作表1!$A$3:$B$78,2,FALSE)</f>
        <v>#N/A</v>
      </c>
      <c r="I5" s="62" t="e">
        <f>VLOOKUP('北段 (人資版)'!I5,工作表1!$A$3:$B$78,2,FALSE)</f>
        <v>#N/A</v>
      </c>
      <c r="J5" s="62" t="e">
        <f>VLOOKUP('北段 (人資版)'!J5,工作表1!$A$3:$B$78,2,FALSE)</f>
        <v>#N/A</v>
      </c>
      <c r="K5" s="62" t="e">
        <f>VLOOKUP('北段 (人資版)'!K5,工作表1!$A$3:$B$78,2,FALSE)</f>
        <v>#N/A</v>
      </c>
      <c r="L5" s="62" t="e">
        <f>VLOOKUP('北段 (人資版)'!L5,工作表1!$A$3:$B$78,2,FALSE)</f>
        <v>#N/A</v>
      </c>
      <c r="M5" s="62" t="e">
        <f>VLOOKUP('北段 (人資版)'!M5,工作表1!$A$3:$B$78,2,FALSE)</f>
        <v>#N/A</v>
      </c>
      <c r="N5" s="62" t="e">
        <f>VLOOKUP('北段 (人資版)'!N5,工作表1!$A$3:$B$78,2,FALSE)</f>
        <v>#N/A</v>
      </c>
      <c r="O5" s="62" t="e">
        <f>VLOOKUP('北段 (人資版)'!O5,工作表1!$A$3:$B$78,2,FALSE)</f>
        <v>#N/A</v>
      </c>
      <c r="P5" s="62" t="e">
        <f>VLOOKUP('北段 (人資版)'!P5,工作表1!$A$3:$B$78,2,FALSE)</f>
        <v>#N/A</v>
      </c>
      <c r="Q5" s="62" t="e">
        <f>VLOOKUP('北段 (人資版)'!Q5,工作表1!$A$3:$B$78,2,FALSE)</f>
        <v>#N/A</v>
      </c>
      <c r="R5" s="62" t="e">
        <f>VLOOKUP('北段 (人資版)'!R5,工作表1!$A$3:$B$78,2,FALSE)</f>
        <v>#N/A</v>
      </c>
      <c r="S5" s="62" t="e">
        <f>VLOOKUP('北段 (人資版)'!S5,工作表1!$A$3:$B$78,2,FALSE)</f>
        <v>#N/A</v>
      </c>
      <c r="T5" s="62" t="e">
        <f>VLOOKUP('北段 (人資版)'!T5,工作表1!$A$3:$B$78,2,FALSE)</f>
        <v>#N/A</v>
      </c>
      <c r="U5" s="62" t="e">
        <f>VLOOKUP('北段 (人資版)'!U5,工作表1!$A$3:$B$78,2,FALSE)</f>
        <v>#N/A</v>
      </c>
      <c r="V5" s="62" t="e">
        <f>VLOOKUP('北段 (人資版)'!V5,工作表1!$A$3:$B$78,2,FALSE)</f>
        <v>#N/A</v>
      </c>
      <c r="W5" s="62" t="e">
        <f>VLOOKUP('北段 (人資版)'!W5,工作表1!$A$3:$B$78,2,FALSE)</f>
        <v>#N/A</v>
      </c>
      <c r="X5" s="62" t="e">
        <f>VLOOKUP('北段 (人資版)'!X5,工作表1!$A$3:$B$78,2,FALSE)</f>
        <v>#N/A</v>
      </c>
      <c r="Y5" s="62" t="e">
        <f>VLOOKUP('北段 (人資版)'!Y5,工作表1!$A$3:$B$78,2,FALSE)</f>
        <v>#N/A</v>
      </c>
      <c r="Z5" s="62" t="e">
        <f>VLOOKUP('北段 (人資版)'!Z5,工作表1!$A$3:$B$78,2,FALSE)</f>
        <v>#N/A</v>
      </c>
      <c r="AA5" s="62" t="e">
        <f>VLOOKUP('北段 (人資版)'!AA5,工作表1!$A$3:$B$78,2,FALSE)</f>
        <v>#N/A</v>
      </c>
      <c r="AB5" s="62" t="e">
        <f>VLOOKUP('北段 (人資版)'!AB5,工作表1!$A$3:$B$78,2,FALSE)</f>
        <v>#N/A</v>
      </c>
      <c r="AC5" s="62" t="e">
        <f>VLOOKUP('北段 (人資版)'!AC5,工作表1!$A$3:$B$78,2,FALSE)</f>
        <v>#N/A</v>
      </c>
      <c r="AD5" s="62" t="e">
        <f>VLOOKUP('北段 (人資版)'!AD5,工作表1!$A$3:$B$78,2,FALSE)</f>
        <v>#N/A</v>
      </c>
      <c r="AE5" s="62" t="e">
        <f>VLOOKUP('北段 (人資版)'!AE5,工作表1!$A$3:$B$78,2,FALSE)</f>
        <v>#N/A</v>
      </c>
      <c r="AF5" s="62" t="e">
        <f>VLOOKUP('北段 (人資版)'!AF5,工作表1!$A$3:$B$78,2,FALSE)</f>
        <v>#N/A</v>
      </c>
      <c r="AG5" s="62" t="e">
        <f>VLOOKUP('北段 (人資版)'!AG5,工作表1!$A$3:$B$78,2,FALSE)</f>
        <v>#N/A</v>
      </c>
      <c r="AH5" s="62" t="e">
        <f>VLOOKUP('北段 (人資版)'!AH5,工作表1!$A$3:$B$78,2,FALSE)</f>
        <v>#REF!</v>
      </c>
      <c r="AI5" s="62" t="e">
        <f>VLOOKUP('北段 (人資版)'!AI5,工作表1!$A$3:$B$78,2,FALSE)</f>
        <v>#REF!</v>
      </c>
      <c r="AJ5" s="62" t="e">
        <f>VLOOKUP('北段 (人資版)'!AJ5,工作表1!$A$3:$B$78,2,FALSE)</f>
        <v>#REF!</v>
      </c>
      <c r="AK5" s="62" t="e">
        <f>VLOOKUP('北段 (人資版)'!AK5,工作表1!$A$3:$B$78,2,FALSE)</f>
        <v>#REF!</v>
      </c>
      <c r="AL5" s="62" t="e">
        <f>VLOOKUP('北段 (人資版)'!AL5,工作表1!$A$3:$B$78,2,FALSE)</f>
        <v>#REF!</v>
      </c>
      <c r="AM5" s="62" t="e">
        <f>VLOOKUP('北段 (人資版)'!AM5,工作表1!$A$3:$B$78,2,FALSE)</f>
        <v>#REF!</v>
      </c>
      <c r="AN5" s="62" t="e">
        <f>VLOOKUP('北段 (人資版)'!AN5,工作表1!$A$3:$B$78,2,FALSE)</f>
        <v>#REF!</v>
      </c>
    </row>
    <row r="6" spans="1:40" ht="39.75" customHeight="1">
      <c r="A6" s="309"/>
      <c r="B6" s="101" t="str">
        <f>北段!B6</f>
        <v>T00343</v>
      </c>
      <c r="C6" s="38" t="str">
        <f>VLOOKUP(B6,北段!B:C,2,FALSE)</f>
        <v>劉哲宇</v>
      </c>
      <c r="D6" s="62" t="e">
        <f>VLOOKUP('北段 (人資版)'!D6,工作表1!$A$3:$B$78,2,FALSE)</f>
        <v>#N/A</v>
      </c>
      <c r="E6" s="62">
        <f>VLOOKUP('北段 (人資版)'!E6,工作表1!$A$3:$B$78,2,FALSE)</f>
        <v>38</v>
      </c>
      <c r="F6" s="62" t="e">
        <f>VLOOKUP('北段 (人資版)'!F6,工作表1!$A$3:$B$78,2,FALSE)</f>
        <v>#N/A</v>
      </c>
      <c r="G6" s="62" t="e">
        <f>VLOOKUP('北段 (人資版)'!G6,工作表1!$A$3:$B$78,2,FALSE)</f>
        <v>#N/A</v>
      </c>
      <c r="H6" s="62" t="e">
        <f>VLOOKUP('北段 (人資版)'!H6,工作表1!$A$3:$B$78,2,FALSE)</f>
        <v>#N/A</v>
      </c>
      <c r="I6" s="62" t="e">
        <f>VLOOKUP('北段 (人資版)'!I6,工作表1!$A$3:$B$78,2,FALSE)</f>
        <v>#N/A</v>
      </c>
      <c r="J6" s="62" t="e">
        <f>VLOOKUP('北段 (人資版)'!J6,工作表1!$A$3:$B$78,2,FALSE)</f>
        <v>#N/A</v>
      </c>
      <c r="K6" s="62" t="e">
        <f>VLOOKUP('北段 (人資版)'!K6,工作表1!$A$3:$B$78,2,FALSE)</f>
        <v>#N/A</v>
      </c>
      <c r="L6" s="62" t="e">
        <f>VLOOKUP('北段 (人資版)'!L6,工作表1!$A$3:$B$78,2,FALSE)</f>
        <v>#N/A</v>
      </c>
      <c r="M6" s="62" t="e">
        <f>VLOOKUP('北段 (人資版)'!M6,工作表1!$A$3:$B$78,2,FALSE)</f>
        <v>#N/A</v>
      </c>
      <c r="N6" s="62" t="e">
        <f>VLOOKUP('北段 (人資版)'!N6,工作表1!$A$3:$B$78,2,FALSE)</f>
        <v>#N/A</v>
      </c>
      <c r="O6" s="62" t="e">
        <f>VLOOKUP('北段 (人資版)'!O6,工作表1!$A$3:$B$78,2,FALSE)</f>
        <v>#N/A</v>
      </c>
      <c r="P6" s="62" t="e">
        <f>VLOOKUP('北段 (人資版)'!P6,工作表1!$A$3:$B$78,2,FALSE)</f>
        <v>#N/A</v>
      </c>
      <c r="Q6" s="62" t="e">
        <f>VLOOKUP('北段 (人資版)'!Q6,工作表1!$A$3:$B$78,2,FALSE)</f>
        <v>#N/A</v>
      </c>
      <c r="R6" s="62" t="e">
        <f>VLOOKUP('北段 (人資版)'!R6,工作表1!$A$3:$B$78,2,FALSE)</f>
        <v>#N/A</v>
      </c>
      <c r="S6" s="62" t="e">
        <f>VLOOKUP('北段 (人資版)'!S6,工作表1!$A$3:$B$78,2,FALSE)</f>
        <v>#N/A</v>
      </c>
      <c r="T6" s="62" t="e">
        <f>VLOOKUP('北段 (人資版)'!T6,工作表1!$A$3:$B$78,2,FALSE)</f>
        <v>#N/A</v>
      </c>
      <c r="U6" s="62" t="e">
        <f>VLOOKUP('北段 (人資版)'!U6,工作表1!$A$3:$B$78,2,FALSE)</f>
        <v>#N/A</v>
      </c>
      <c r="V6" s="62" t="e">
        <f>VLOOKUP('北段 (人資版)'!V6,工作表1!$A$3:$B$78,2,FALSE)</f>
        <v>#N/A</v>
      </c>
      <c r="W6" s="62" t="e">
        <f>VLOOKUP('北段 (人資版)'!W6,工作表1!$A$3:$B$78,2,FALSE)</f>
        <v>#N/A</v>
      </c>
      <c r="X6" s="62" t="e">
        <f>VLOOKUP('北段 (人資版)'!X6,工作表1!$A$3:$B$78,2,FALSE)</f>
        <v>#N/A</v>
      </c>
      <c r="Y6" s="62" t="e">
        <f>VLOOKUP('北段 (人資版)'!Y6,工作表1!$A$3:$B$78,2,FALSE)</f>
        <v>#N/A</v>
      </c>
      <c r="Z6" s="62" t="e">
        <f>VLOOKUP('北段 (人資版)'!Z6,工作表1!$A$3:$B$78,2,FALSE)</f>
        <v>#N/A</v>
      </c>
      <c r="AA6" s="62" t="e">
        <f>VLOOKUP('北段 (人資版)'!AA6,工作表1!$A$3:$B$78,2,FALSE)</f>
        <v>#N/A</v>
      </c>
      <c r="AB6" s="62" t="e">
        <f>VLOOKUP('北段 (人資版)'!AB6,工作表1!$A$3:$B$78,2,FALSE)</f>
        <v>#N/A</v>
      </c>
      <c r="AC6" s="62" t="e">
        <f>VLOOKUP('北段 (人資版)'!AC6,工作表1!$A$3:$B$78,2,FALSE)</f>
        <v>#N/A</v>
      </c>
      <c r="AD6" s="62" t="e">
        <f>VLOOKUP('北段 (人資版)'!AD6,工作表1!$A$3:$B$78,2,FALSE)</f>
        <v>#N/A</v>
      </c>
      <c r="AE6" s="62" t="e">
        <f>VLOOKUP('北段 (人資版)'!AE6,工作表1!$A$3:$B$78,2,FALSE)</f>
        <v>#N/A</v>
      </c>
      <c r="AF6" s="62" t="e">
        <f>VLOOKUP('北段 (人資版)'!AF6,工作表1!$A$3:$B$78,2,FALSE)</f>
        <v>#N/A</v>
      </c>
      <c r="AG6" s="62" t="e">
        <f>VLOOKUP('北段 (人資版)'!AG6,工作表1!$A$3:$B$78,2,FALSE)</f>
        <v>#N/A</v>
      </c>
      <c r="AH6" s="62" t="e">
        <f>VLOOKUP('北段 (人資版)'!AH6,工作表1!$A$3:$B$78,2,FALSE)</f>
        <v>#REF!</v>
      </c>
      <c r="AI6" s="62" t="e">
        <f>VLOOKUP('北段 (人資版)'!AI6,工作表1!$A$3:$B$78,2,FALSE)</f>
        <v>#REF!</v>
      </c>
      <c r="AJ6" s="62" t="e">
        <f>VLOOKUP('北段 (人資版)'!AJ6,工作表1!$A$3:$B$78,2,FALSE)</f>
        <v>#REF!</v>
      </c>
      <c r="AK6" s="62" t="e">
        <f>VLOOKUP('北段 (人資版)'!AK6,工作表1!$A$3:$B$78,2,FALSE)</f>
        <v>#REF!</v>
      </c>
      <c r="AL6" s="62" t="e">
        <f>VLOOKUP('北段 (人資版)'!AL6,工作表1!$A$3:$B$78,2,FALSE)</f>
        <v>#REF!</v>
      </c>
      <c r="AM6" s="62" t="e">
        <f>VLOOKUP('北段 (人資版)'!AM6,工作表1!$A$3:$B$78,2,FALSE)</f>
        <v>#REF!</v>
      </c>
      <c r="AN6" s="62" t="e">
        <f>VLOOKUP('北段 (人資版)'!AN6,工作表1!$A$3:$B$78,2,FALSE)</f>
        <v>#REF!</v>
      </c>
    </row>
    <row r="7" spans="1:40" ht="39.75" customHeight="1">
      <c r="A7" s="309"/>
      <c r="B7" s="101" t="str">
        <f>北段!B7</f>
        <v>T00356</v>
      </c>
      <c r="C7" s="38" t="str">
        <f>VLOOKUP(B7,北段!B:C,2,FALSE)</f>
        <v>吳國強</v>
      </c>
      <c r="D7" s="62">
        <f>VLOOKUP('北段 (人資版)'!D7,工作表1!$A$3:$B$78,2,FALSE)</f>
        <v>66</v>
      </c>
      <c r="E7" s="62">
        <f>VLOOKUP('北段 (人資版)'!E7,工作表1!$A$3:$B$78,2,FALSE)</f>
        <v>66</v>
      </c>
      <c r="F7" s="62" t="e">
        <f>VLOOKUP('北段 (人資版)'!F7,工作表1!$A$3:$B$78,2,FALSE)</f>
        <v>#N/A</v>
      </c>
      <c r="G7" s="62" t="e">
        <f>VLOOKUP('北段 (人資版)'!G7,工作表1!$A$3:$B$78,2,FALSE)</f>
        <v>#N/A</v>
      </c>
      <c r="H7" s="62" t="e">
        <f>VLOOKUP('北段 (人資版)'!H7,工作表1!$A$3:$B$78,2,FALSE)</f>
        <v>#N/A</v>
      </c>
      <c r="I7" s="62" t="e">
        <f>VLOOKUP('北段 (人資版)'!I7,工作表1!$A$3:$B$78,2,FALSE)</f>
        <v>#N/A</v>
      </c>
      <c r="J7" s="62" t="e">
        <f>VLOOKUP('北段 (人資版)'!J7,工作表1!$A$3:$B$78,2,FALSE)</f>
        <v>#N/A</v>
      </c>
      <c r="K7" s="62" t="e">
        <f>VLOOKUP('北段 (人資版)'!K7,工作表1!$A$3:$B$78,2,FALSE)</f>
        <v>#N/A</v>
      </c>
      <c r="L7" s="62" t="e">
        <f>VLOOKUP('北段 (人資版)'!L7,工作表1!$A$3:$B$78,2,FALSE)</f>
        <v>#N/A</v>
      </c>
      <c r="M7" s="62" t="e">
        <f>VLOOKUP('北段 (人資版)'!M7,工作表1!$A$3:$B$78,2,FALSE)</f>
        <v>#N/A</v>
      </c>
      <c r="N7" s="62" t="e">
        <f>VLOOKUP('北段 (人資版)'!N7,工作表1!$A$3:$B$78,2,FALSE)</f>
        <v>#N/A</v>
      </c>
      <c r="O7" s="62" t="e">
        <f>VLOOKUP('北段 (人資版)'!O7,工作表1!$A$3:$B$78,2,FALSE)</f>
        <v>#N/A</v>
      </c>
      <c r="P7" s="62" t="e">
        <f>VLOOKUP('北段 (人資版)'!P7,工作表1!$A$3:$B$78,2,FALSE)</f>
        <v>#N/A</v>
      </c>
      <c r="Q7" s="62" t="e">
        <f>VLOOKUP('北段 (人資版)'!Q7,工作表1!$A$3:$B$78,2,FALSE)</f>
        <v>#N/A</v>
      </c>
      <c r="R7" s="62" t="e">
        <f>VLOOKUP('北段 (人資版)'!R7,工作表1!$A$3:$B$78,2,FALSE)</f>
        <v>#N/A</v>
      </c>
      <c r="S7" s="62" t="e">
        <f>VLOOKUP('北段 (人資版)'!S7,工作表1!$A$3:$B$78,2,FALSE)</f>
        <v>#N/A</v>
      </c>
      <c r="T7" s="62" t="e">
        <f>VLOOKUP('北段 (人資版)'!T7,工作表1!$A$3:$B$78,2,FALSE)</f>
        <v>#N/A</v>
      </c>
      <c r="U7" s="62" t="e">
        <f>VLOOKUP('北段 (人資版)'!U7,工作表1!$A$3:$B$78,2,FALSE)</f>
        <v>#N/A</v>
      </c>
      <c r="V7" s="62" t="e">
        <f>VLOOKUP('北段 (人資版)'!V7,工作表1!$A$3:$B$78,2,FALSE)</f>
        <v>#N/A</v>
      </c>
      <c r="W7" s="62" t="e">
        <f>VLOOKUP('北段 (人資版)'!W7,工作表1!$A$3:$B$78,2,FALSE)</f>
        <v>#N/A</v>
      </c>
      <c r="X7" s="62" t="e">
        <f>VLOOKUP('北段 (人資版)'!X7,工作表1!$A$3:$B$78,2,FALSE)</f>
        <v>#N/A</v>
      </c>
      <c r="Y7" s="62" t="e">
        <f>VLOOKUP('北段 (人資版)'!Y7,工作表1!$A$3:$B$78,2,FALSE)</f>
        <v>#N/A</v>
      </c>
      <c r="Z7" s="62" t="e">
        <f>VLOOKUP('北段 (人資版)'!Z7,工作表1!$A$3:$B$78,2,FALSE)</f>
        <v>#N/A</v>
      </c>
      <c r="AA7" s="62" t="e">
        <f>VLOOKUP('北段 (人資版)'!AA7,工作表1!$A$3:$B$78,2,FALSE)</f>
        <v>#N/A</v>
      </c>
      <c r="AB7" s="62" t="e">
        <f>VLOOKUP('北段 (人資版)'!AB7,工作表1!$A$3:$B$78,2,FALSE)</f>
        <v>#N/A</v>
      </c>
      <c r="AC7" s="62" t="e">
        <f>VLOOKUP('北段 (人資版)'!AC7,工作表1!$A$3:$B$78,2,FALSE)</f>
        <v>#N/A</v>
      </c>
      <c r="AD7" s="62" t="e">
        <f>VLOOKUP('北段 (人資版)'!AD7,工作表1!$A$3:$B$78,2,FALSE)</f>
        <v>#N/A</v>
      </c>
      <c r="AE7" s="62" t="e">
        <f>VLOOKUP('北段 (人資版)'!AE7,工作表1!$A$3:$B$78,2,FALSE)</f>
        <v>#N/A</v>
      </c>
      <c r="AF7" s="62" t="e">
        <f>VLOOKUP('北段 (人資版)'!AF7,工作表1!$A$3:$B$78,2,FALSE)</f>
        <v>#N/A</v>
      </c>
      <c r="AG7" s="62" t="e">
        <f>VLOOKUP('北段 (人資版)'!AG7,工作表1!$A$3:$B$78,2,FALSE)</f>
        <v>#N/A</v>
      </c>
      <c r="AH7" s="62" t="e">
        <f>VLOOKUP('北段 (人資版)'!AH7,工作表1!$A$3:$B$78,2,FALSE)</f>
        <v>#REF!</v>
      </c>
      <c r="AI7" s="62" t="e">
        <f>VLOOKUP('北段 (人資版)'!AI7,工作表1!$A$3:$B$78,2,FALSE)</f>
        <v>#REF!</v>
      </c>
      <c r="AJ7" s="62" t="e">
        <f>VLOOKUP('北段 (人資版)'!AJ7,工作表1!$A$3:$B$78,2,FALSE)</f>
        <v>#REF!</v>
      </c>
      <c r="AK7" s="62" t="e">
        <f>VLOOKUP('北段 (人資版)'!AK7,工作表1!$A$3:$B$78,2,FALSE)</f>
        <v>#REF!</v>
      </c>
      <c r="AL7" s="62" t="e">
        <f>VLOOKUP('北段 (人資版)'!AL7,工作表1!$A$3:$B$78,2,FALSE)</f>
        <v>#REF!</v>
      </c>
      <c r="AM7" s="62" t="e">
        <f>VLOOKUP('北段 (人資版)'!AM7,工作表1!$A$3:$B$78,2,FALSE)</f>
        <v>#REF!</v>
      </c>
      <c r="AN7" s="62" t="e">
        <f>VLOOKUP('北段 (人資版)'!AN7,工作表1!$A$3:$B$78,2,FALSE)</f>
        <v>#REF!</v>
      </c>
    </row>
    <row r="8" spans="1:40" ht="39.75" customHeight="1">
      <c r="A8" s="309"/>
      <c r="B8" s="101" t="str">
        <f>北段!B8</f>
        <v>T00492</v>
      </c>
      <c r="C8" s="38" t="str">
        <f>VLOOKUP(B8,北段!B:C,2,FALSE)</f>
        <v>李尉羽</v>
      </c>
      <c r="D8" s="62">
        <f>VLOOKUP('北段 (人資版)'!D8,工作表1!$A$3:$B$78,2,FALSE)</f>
        <v>90</v>
      </c>
      <c r="E8" s="62">
        <f>VLOOKUP('北段 (人資版)'!E8,工作表1!$A$3:$B$78,2,FALSE)</f>
        <v>92</v>
      </c>
      <c r="F8" s="62" t="e">
        <f>VLOOKUP('北段 (人資版)'!F8,工作表1!$A$3:$B$78,2,FALSE)</f>
        <v>#N/A</v>
      </c>
      <c r="G8" s="62" t="e">
        <f>VLOOKUP('北段 (人資版)'!G8,工作表1!$A$3:$B$78,2,FALSE)</f>
        <v>#N/A</v>
      </c>
      <c r="H8" s="62" t="e">
        <f>VLOOKUP('北段 (人資版)'!H8,工作表1!$A$3:$B$78,2,FALSE)</f>
        <v>#N/A</v>
      </c>
      <c r="I8" s="62" t="e">
        <f>VLOOKUP('北段 (人資版)'!I8,工作表1!$A$3:$B$78,2,FALSE)</f>
        <v>#N/A</v>
      </c>
      <c r="J8" s="62" t="e">
        <f>VLOOKUP('北段 (人資版)'!J8,工作表1!$A$3:$B$78,2,FALSE)</f>
        <v>#N/A</v>
      </c>
      <c r="K8" s="62" t="e">
        <f>VLOOKUP('北段 (人資版)'!K8,工作表1!$A$3:$B$78,2,FALSE)</f>
        <v>#N/A</v>
      </c>
      <c r="L8" s="62" t="e">
        <f>VLOOKUP('北段 (人資版)'!L8,工作表1!$A$3:$B$78,2,FALSE)</f>
        <v>#N/A</v>
      </c>
      <c r="M8" s="62" t="e">
        <f>VLOOKUP('北段 (人資版)'!M8,工作表1!$A$3:$B$78,2,FALSE)</f>
        <v>#N/A</v>
      </c>
      <c r="N8" s="62" t="e">
        <f>VLOOKUP('北段 (人資版)'!N8,工作表1!$A$3:$B$78,2,FALSE)</f>
        <v>#N/A</v>
      </c>
      <c r="O8" s="62" t="e">
        <f>VLOOKUP('北段 (人資版)'!O8,工作表1!$A$3:$B$78,2,FALSE)</f>
        <v>#N/A</v>
      </c>
      <c r="P8" s="62" t="e">
        <f>VLOOKUP('北段 (人資版)'!P8,工作表1!$A$3:$B$78,2,FALSE)</f>
        <v>#N/A</v>
      </c>
      <c r="Q8" s="62" t="e">
        <f>VLOOKUP('北段 (人資版)'!Q8,工作表1!$A$3:$B$78,2,FALSE)</f>
        <v>#N/A</v>
      </c>
      <c r="R8" s="62" t="e">
        <f>VLOOKUP('北段 (人資版)'!R8,工作表1!$A$3:$B$78,2,FALSE)</f>
        <v>#N/A</v>
      </c>
      <c r="S8" s="62" t="e">
        <f>VLOOKUP('北段 (人資版)'!S8,工作表1!$A$3:$B$78,2,FALSE)</f>
        <v>#N/A</v>
      </c>
      <c r="T8" s="62" t="e">
        <f>VLOOKUP('北段 (人資版)'!T8,工作表1!$A$3:$B$78,2,FALSE)</f>
        <v>#N/A</v>
      </c>
      <c r="U8" s="62" t="e">
        <f>VLOOKUP('北段 (人資版)'!U8,工作表1!$A$3:$B$78,2,FALSE)</f>
        <v>#N/A</v>
      </c>
      <c r="V8" s="62" t="e">
        <f>VLOOKUP('北段 (人資版)'!V8,工作表1!$A$3:$B$78,2,FALSE)</f>
        <v>#N/A</v>
      </c>
      <c r="W8" s="62" t="e">
        <f>VLOOKUP('北段 (人資版)'!W8,工作表1!$A$3:$B$78,2,FALSE)</f>
        <v>#N/A</v>
      </c>
      <c r="X8" s="62" t="e">
        <f>VLOOKUP('北段 (人資版)'!X8,工作表1!$A$3:$B$78,2,FALSE)</f>
        <v>#N/A</v>
      </c>
      <c r="Y8" s="62" t="e">
        <f>VLOOKUP('北段 (人資版)'!Y8,工作表1!$A$3:$B$78,2,FALSE)</f>
        <v>#N/A</v>
      </c>
      <c r="Z8" s="62" t="e">
        <f>VLOOKUP('北段 (人資版)'!Z8,工作表1!$A$3:$B$78,2,FALSE)</f>
        <v>#N/A</v>
      </c>
      <c r="AA8" s="62" t="e">
        <f>VLOOKUP('北段 (人資版)'!AA8,工作表1!$A$3:$B$78,2,FALSE)</f>
        <v>#N/A</v>
      </c>
      <c r="AB8" s="62" t="e">
        <f>VLOOKUP('北段 (人資版)'!AB8,工作表1!$A$3:$B$78,2,FALSE)</f>
        <v>#N/A</v>
      </c>
      <c r="AC8" s="62" t="e">
        <f>VLOOKUP('北段 (人資版)'!AC8,工作表1!$A$3:$B$78,2,FALSE)</f>
        <v>#N/A</v>
      </c>
      <c r="AD8" s="62" t="e">
        <f>VLOOKUP('北段 (人資版)'!AD8,工作表1!$A$3:$B$78,2,FALSE)</f>
        <v>#N/A</v>
      </c>
      <c r="AE8" s="62" t="e">
        <f>VLOOKUP('北段 (人資版)'!AE8,工作表1!$A$3:$B$78,2,FALSE)</f>
        <v>#N/A</v>
      </c>
      <c r="AF8" s="62" t="e">
        <f>VLOOKUP('北段 (人資版)'!AF8,工作表1!$A$3:$B$78,2,FALSE)</f>
        <v>#N/A</v>
      </c>
      <c r="AG8" s="62" t="e">
        <f>VLOOKUP('北段 (人資版)'!AG8,工作表1!$A$3:$B$78,2,FALSE)</f>
        <v>#N/A</v>
      </c>
      <c r="AH8" s="62" t="e">
        <f>VLOOKUP('北段 (人資版)'!AH8,工作表1!$A$3:$B$78,2,FALSE)</f>
        <v>#REF!</v>
      </c>
      <c r="AI8" s="62" t="e">
        <f>VLOOKUP('北段 (人資版)'!AI8,工作表1!$A$3:$B$78,2,FALSE)</f>
        <v>#REF!</v>
      </c>
      <c r="AJ8" s="62" t="e">
        <f>VLOOKUP('北段 (人資版)'!AJ8,工作表1!$A$3:$B$78,2,FALSE)</f>
        <v>#REF!</v>
      </c>
      <c r="AK8" s="62" t="e">
        <f>VLOOKUP('北段 (人資版)'!AK8,工作表1!$A$3:$B$78,2,FALSE)</f>
        <v>#REF!</v>
      </c>
      <c r="AL8" s="62" t="e">
        <f>VLOOKUP('北段 (人資版)'!AL8,工作表1!$A$3:$B$78,2,FALSE)</f>
        <v>#REF!</v>
      </c>
      <c r="AM8" s="62" t="e">
        <f>VLOOKUP('北段 (人資版)'!AM8,工作表1!$A$3:$B$78,2,FALSE)</f>
        <v>#REF!</v>
      </c>
      <c r="AN8" s="62" t="e">
        <f>VLOOKUP('北段 (人資版)'!AN8,工作表1!$A$3:$B$78,2,FALSE)</f>
        <v>#REF!</v>
      </c>
    </row>
    <row r="9" spans="1:40" ht="39.6" customHeight="1">
      <c r="A9" s="309"/>
      <c r="B9" s="101" t="str">
        <f>北段!B9</f>
        <v>T00586</v>
      </c>
      <c r="C9" s="38" t="str">
        <f>VLOOKUP(B9,北段!B:C,2,FALSE)</f>
        <v>江冠滿</v>
      </c>
      <c r="D9" s="62" t="str">
        <f>VLOOKUP('北段 (人資版)'!D9,工作表1!$A$3:$B$78,2,FALSE)</f>
        <v>05</v>
      </c>
      <c r="E9" s="62">
        <f>VLOOKUP('北段 (人資版)'!E9,工作表1!$A$3:$B$78,2,FALSE)</f>
        <v>91</v>
      </c>
      <c r="F9" s="62" t="e">
        <f>VLOOKUP('北段 (人資版)'!F9,工作表1!$A$3:$B$78,2,FALSE)</f>
        <v>#N/A</v>
      </c>
      <c r="G9" s="62" t="e">
        <f>VLOOKUP('北段 (人資版)'!G9,工作表1!$A$3:$B$78,2,FALSE)</f>
        <v>#N/A</v>
      </c>
      <c r="H9" s="62" t="e">
        <f>VLOOKUP('北段 (人資版)'!H9,工作表1!$A$3:$B$78,2,FALSE)</f>
        <v>#N/A</v>
      </c>
      <c r="I9" s="62" t="e">
        <f>VLOOKUP('北段 (人資版)'!I9,工作表1!$A$3:$B$78,2,FALSE)</f>
        <v>#N/A</v>
      </c>
      <c r="J9" s="62" t="e">
        <f>VLOOKUP('北段 (人資版)'!J9,工作表1!$A$3:$B$78,2,FALSE)</f>
        <v>#N/A</v>
      </c>
      <c r="K9" s="62" t="e">
        <f>VLOOKUP('北段 (人資版)'!K9,工作表1!$A$3:$B$78,2,FALSE)</f>
        <v>#N/A</v>
      </c>
      <c r="L9" s="62" t="e">
        <f>VLOOKUP('北段 (人資版)'!L9,工作表1!$A$3:$B$78,2,FALSE)</f>
        <v>#N/A</v>
      </c>
      <c r="M9" s="62" t="e">
        <f>VLOOKUP('北段 (人資版)'!M9,工作表1!$A$3:$B$78,2,FALSE)</f>
        <v>#N/A</v>
      </c>
      <c r="N9" s="62" t="e">
        <f>VLOOKUP('北段 (人資版)'!N9,工作表1!$A$3:$B$78,2,FALSE)</f>
        <v>#N/A</v>
      </c>
      <c r="O9" s="62" t="e">
        <f>VLOOKUP('北段 (人資版)'!O9,工作表1!$A$3:$B$78,2,FALSE)</f>
        <v>#N/A</v>
      </c>
      <c r="P9" s="62" t="e">
        <f>VLOOKUP('北段 (人資版)'!P9,工作表1!$A$3:$B$78,2,FALSE)</f>
        <v>#N/A</v>
      </c>
      <c r="Q9" s="62" t="e">
        <f>VLOOKUP('北段 (人資版)'!Q9,工作表1!$A$3:$B$78,2,FALSE)</f>
        <v>#N/A</v>
      </c>
      <c r="R9" s="62" t="e">
        <f>VLOOKUP('北段 (人資版)'!R9,工作表1!$A$3:$B$78,2,FALSE)</f>
        <v>#N/A</v>
      </c>
      <c r="S9" s="62" t="e">
        <f>VLOOKUP('北段 (人資版)'!S9,工作表1!$A$3:$B$78,2,FALSE)</f>
        <v>#N/A</v>
      </c>
      <c r="T9" s="62" t="e">
        <f>VLOOKUP('北段 (人資版)'!T9,工作表1!$A$3:$B$78,2,FALSE)</f>
        <v>#N/A</v>
      </c>
      <c r="U9" s="62" t="e">
        <f>VLOOKUP('北段 (人資版)'!U9,工作表1!$A$3:$B$78,2,FALSE)</f>
        <v>#N/A</v>
      </c>
      <c r="V9" s="62" t="e">
        <f>VLOOKUP('北段 (人資版)'!V9,工作表1!$A$3:$B$78,2,FALSE)</f>
        <v>#N/A</v>
      </c>
      <c r="W9" s="62" t="e">
        <f>VLOOKUP('北段 (人資版)'!W9,工作表1!$A$3:$B$78,2,FALSE)</f>
        <v>#N/A</v>
      </c>
      <c r="X9" s="62" t="e">
        <f>VLOOKUP('北段 (人資版)'!X9,工作表1!$A$3:$B$78,2,FALSE)</f>
        <v>#N/A</v>
      </c>
      <c r="Y9" s="62" t="e">
        <f>VLOOKUP('北段 (人資版)'!Y9,工作表1!$A$3:$B$78,2,FALSE)</f>
        <v>#N/A</v>
      </c>
      <c r="Z9" s="62" t="e">
        <f>VLOOKUP('北段 (人資版)'!Z9,工作表1!$A$3:$B$78,2,FALSE)</f>
        <v>#N/A</v>
      </c>
      <c r="AA9" s="62" t="e">
        <f>VLOOKUP('北段 (人資版)'!AA9,工作表1!$A$3:$B$78,2,FALSE)</f>
        <v>#N/A</v>
      </c>
      <c r="AB9" s="62" t="e">
        <f>VLOOKUP('北段 (人資版)'!AB9,工作表1!$A$3:$B$78,2,FALSE)</f>
        <v>#N/A</v>
      </c>
      <c r="AC9" s="62" t="e">
        <f>VLOOKUP('北段 (人資版)'!AC9,工作表1!$A$3:$B$78,2,FALSE)</f>
        <v>#N/A</v>
      </c>
      <c r="AD9" s="62" t="e">
        <f>VLOOKUP('北段 (人資版)'!AD9,工作表1!$A$3:$B$78,2,FALSE)</f>
        <v>#N/A</v>
      </c>
      <c r="AE9" s="62" t="e">
        <f>VLOOKUP('北段 (人資版)'!AE9,工作表1!$A$3:$B$78,2,FALSE)</f>
        <v>#N/A</v>
      </c>
      <c r="AF9" s="62" t="e">
        <f>VLOOKUP('北段 (人資版)'!AF9,工作表1!$A$3:$B$78,2,FALSE)</f>
        <v>#N/A</v>
      </c>
      <c r="AG9" s="62" t="e">
        <f>VLOOKUP('北段 (人資版)'!AG9,工作表1!$A$3:$B$78,2,FALSE)</f>
        <v>#N/A</v>
      </c>
      <c r="AH9" s="62" t="e">
        <f>VLOOKUP('北段 (人資版)'!AH9,工作表1!$A$3:$B$78,2,FALSE)</f>
        <v>#REF!</v>
      </c>
      <c r="AI9" s="62" t="e">
        <f>VLOOKUP('北段 (人資版)'!AI9,工作表1!$A$3:$B$78,2,FALSE)</f>
        <v>#REF!</v>
      </c>
      <c r="AJ9" s="62" t="e">
        <f>VLOOKUP('北段 (人資版)'!AJ9,工作表1!$A$3:$B$78,2,FALSE)</f>
        <v>#REF!</v>
      </c>
      <c r="AK9" s="62" t="e">
        <f>VLOOKUP('北段 (人資版)'!AK9,工作表1!$A$3:$B$78,2,FALSE)</f>
        <v>#REF!</v>
      </c>
      <c r="AL9" s="62" t="e">
        <f>VLOOKUP('北段 (人資版)'!AL9,工作表1!$A$3:$B$78,2,FALSE)</f>
        <v>#REF!</v>
      </c>
      <c r="AM9" s="62" t="e">
        <f>VLOOKUP('北段 (人資版)'!AM9,工作表1!$A$3:$B$78,2,FALSE)</f>
        <v>#REF!</v>
      </c>
      <c r="AN9" s="62" t="e">
        <f>VLOOKUP('北段 (人資版)'!AN9,工作表1!$A$3:$B$78,2,FALSE)</f>
        <v>#REF!</v>
      </c>
    </row>
    <row r="10" spans="1:40" ht="39.6" customHeight="1">
      <c r="A10" s="309"/>
      <c r="B10" s="101" t="str">
        <f>北段!B10</f>
        <v>T00605</v>
      </c>
      <c r="C10" s="38" t="str">
        <f>VLOOKUP(B10,北段!B:C,2,FALSE)</f>
        <v>謝蕙芸</v>
      </c>
      <c r="D10" s="62" t="str">
        <f>VLOOKUP('北段 (人資版)'!D10,工作表1!$A$3:$B$78,2,FALSE)</f>
        <v>05</v>
      </c>
      <c r="E10" s="62">
        <f>VLOOKUP('北段 (人資版)'!E10,工作表1!$A$3:$B$78,2,FALSE)</f>
        <v>92</v>
      </c>
      <c r="F10" s="62" t="e">
        <f>VLOOKUP('北段 (人資版)'!F10,工作表1!$A$3:$B$78,2,FALSE)</f>
        <v>#N/A</v>
      </c>
      <c r="G10" s="62" t="e">
        <f>VLOOKUP('北段 (人資版)'!G10,工作表1!$A$3:$B$78,2,FALSE)</f>
        <v>#N/A</v>
      </c>
      <c r="H10" s="62" t="e">
        <f>VLOOKUP('北段 (人資版)'!H10,工作表1!$A$3:$B$78,2,FALSE)</f>
        <v>#N/A</v>
      </c>
      <c r="I10" s="62" t="e">
        <f>VLOOKUP('北段 (人資版)'!I10,工作表1!$A$3:$B$78,2,FALSE)</f>
        <v>#N/A</v>
      </c>
      <c r="J10" s="62" t="e">
        <f>VLOOKUP('北段 (人資版)'!J10,工作表1!$A$3:$B$78,2,FALSE)</f>
        <v>#N/A</v>
      </c>
      <c r="K10" s="62" t="e">
        <f>VLOOKUP('北段 (人資版)'!K10,工作表1!$A$3:$B$78,2,FALSE)</f>
        <v>#N/A</v>
      </c>
      <c r="L10" s="62" t="e">
        <f>VLOOKUP('北段 (人資版)'!L10,工作表1!$A$3:$B$78,2,FALSE)</f>
        <v>#N/A</v>
      </c>
      <c r="M10" s="62" t="e">
        <f>VLOOKUP('北段 (人資版)'!M10,工作表1!$A$3:$B$78,2,FALSE)</f>
        <v>#N/A</v>
      </c>
      <c r="N10" s="62" t="e">
        <f>VLOOKUP('北段 (人資版)'!N10,工作表1!$A$3:$B$78,2,FALSE)</f>
        <v>#N/A</v>
      </c>
      <c r="O10" s="62" t="e">
        <f>VLOOKUP('北段 (人資版)'!O10,工作表1!$A$3:$B$78,2,FALSE)</f>
        <v>#N/A</v>
      </c>
      <c r="P10" s="62" t="e">
        <f>VLOOKUP('北段 (人資版)'!P10,工作表1!$A$3:$B$78,2,FALSE)</f>
        <v>#N/A</v>
      </c>
      <c r="Q10" s="62" t="e">
        <f>VLOOKUP('北段 (人資版)'!Q10,工作表1!$A$3:$B$78,2,FALSE)</f>
        <v>#N/A</v>
      </c>
      <c r="R10" s="62" t="e">
        <f>VLOOKUP('北段 (人資版)'!R10,工作表1!$A$3:$B$78,2,FALSE)</f>
        <v>#N/A</v>
      </c>
      <c r="S10" s="62" t="e">
        <f>VLOOKUP('北段 (人資版)'!S10,工作表1!$A$3:$B$78,2,FALSE)</f>
        <v>#N/A</v>
      </c>
      <c r="T10" s="62" t="e">
        <f>VLOOKUP('北段 (人資版)'!T10,工作表1!$A$3:$B$78,2,FALSE)</f>
        <v>#N/A</v>
      </c>
      <c r="U10" s="62" t="e">
        <f>VLOOKUP('北段 (人資版)'!U10,工作表1!$A$3:$B$78,2,FALSE)</f>
        <v>#N/A</v>
      </c>
      <c r="V10" s="62" t="e">
        <f>VLOOKUP('北段 (人資版)'!V10,工作表1!$A$3:$B$78,2,FALSE)</f>
        <v>#N/A</v>
      </c>
      <c r="W10" s="62" t="e">
        <f>VLOOKUP('北段 (人資版)'!W10,工作表1!$A$3:$B$78,2,FALSE)</f>
        <v>#N/A</v>
      </c>
      <c r="X10" s="62" t="e">
        <f>VLOOKUP('北段 (人資版)'!X10,工作表1!$A$3:$B$78,2,FALSE)</f>
        <v>#N/A</v>
      </c>
      <c r="Y10" s="62" t="e">
        <f>VLOOKUP('北段 (人資版)'!Y10,工作表1!$A$3:$B$78,2,FALSE)</f>
        <v>#N/A</v>
      </c>
      <c r="Z10" s="62" t="e">
        <f>VLOOKUP('北段 (人資版)'!Z10,工作表1!$A$3:$B$78,2,FALSE)</f>
        <v>#N/A</v>
      </c>
      <c r="AA10" s="62" t="e">
        <f>VLOOKUP('北段 (人資版)'!AA10,工作表1!$A$3:$B$78,2,FALSE)</f>
        <v>#N/A</v>
      </c>
      <c r="AB10" s="62" t="e">
        <f>VLOOKUP('北段 (人資版)'!AB10,工作表1!$A$3:$B$78,2,FALSE)</f>
        <v>#N/A</v>
      </c>
      <c r="AC10" s="62" t="e">
        <f>VLOOKUP('北段 (人資版)'!AC10,工作表1!$A$3:$B$78,2,FALSE)</f>
        <v>#N/A</v>
      </c>
      <c r="AD10" s="62" t="e">
        <f>VLOOKUP('北段 (人資版)'!AD10,工作表1!$A$3:$B$78,2,FALSE)</f>
        <v>#N/A</v>
      </c>
      <c r="AE10" s="62" t="e">
        <f>VLOOKUP('北段 (人資版)'!AE10,工作表1!$A$3:$B$78,2,FALSE)</f>
        <v>#N/A</v>
      </c>
      <c r="AF10" s="62" t="e">
        <f>VLOOKUP('北段 (人資版)'!AF10,工作表1!$A$3:$B$78,2,FALSE)</f>
        <v>#N/A</v>
      </c>
      <c r="AG10" s="62" t="e">
        <f>VLOOKUP('北段 (人資版)'!AG10,工作表1!$A$3:$B$78,2,FALSE)</f>
        <v>#N/A</v>
      </c>
      <c r="AH10" s="62" t="e">
        <f>VLOOKUP('北段 (人資版)'!AH10,工作表1!$A$3:$B$78,2,FALSE)</f>
        <v>#REF!</v>
      </c>
      <c r="AI10" s="62" t="e">
        <f>VLOOKUP('北段 (人資版)'!AI10,工作表1!$A$3:$B$78,2,FALSE)</f>
        <v>#REF!</v>
      </c>
      <c r="AJ10" s="62" t="e">
        <f>VLOOKUP('北段 (人資版)'!AJ10,工作表1!$A$3:$B$78,2,FALSE)</f>
        <v>#REF!</v>
      </c>
      <c r="AK10" s="62" t="e">
        <f>VLOOKUP('北段 (人資版)'!AK10,工作表1!$A$3:$B$78,2,FALSE)</f>
        <v>#REF!</v>
      </c>
      <c r="AL10" s="62" t="e">
        <f>VLOOKUP('北段 (人資版)'!AL10,工作表1!$A$3:$B$78,2,FALSE)</f>
        <v>#REF!</v>
      </c>
      <c r="AM10" s="62" t="e">
        <f>VLOOKUP('北段 (人資版)'!AM10,工作表1!$A$3:$B$78,2,FALSE)</f>
        <v>#REF!</v>
      </c>
      <c r="AN10" s="62" t="e">
        <f>VLOOKUP('北段 (人資版)'!AN10,工作表1!$A$3:$B$78,2,FALSE)</f>
        <v>#REF!</v>
      </c>
    </row>
    <row r="11" spans="1:40" ht="39.6" customHeight="1">
      <c r="A11" s="309"/>
      <c r="B11" s="101" t="str">
        <f>北段!B11</f>
        <v>T00912</v>
      </c>
      <c r="C11" s="38" t="str">
        <f>VLOOKUP(B11,北段!B:C,2,FALSE)</f>
        <v>詹雅惠</v>
      </c>
      <c r="D11" s="62" t="str">
        <f>VLOOKUP('北段 (人資版)'!D11,工作表1!$A$3:$B$78,2,FALSE)</f>
        <v>07</v>
      </c>
      <c r="E11" s="62">
        <f>VLOOKUP('北段 (人資版)'!E11,工作表1!$A$3:$B$78,2,FALSE)</f>
        <v>92</v>
      </c>
      <c r="F11" s="62" t="e">
        <f>VLOOKUP('北段 (人資版)'!F11,工作表1!$A$3:$B$78,2,FALSE)</f>
        <v>#N/A</v>
      </c>
      <c r="G11" s="62" t="e">
        <f>VLOOKUP('北段 (人資版)'!G11,工作表1!$A$3:$B$78,2,FALSE)</f>
        <v>#N/A</v>
      </c>
      <c r="H11" s="62" t="e">
        <f>VLOOKUP('北段 (人資版)'!H11,工作表1!$A$3:$B$78,2,FALSE)</f>
        <v>#N/A</v>
      </c>
      <c r="I11" s="62" t="e">
        <f>VLOOKUP('北段 (人資版)'!I11,工作表1!$A$3:$B$78,2,FALSE)</f>
        <v>#N/A</v>
      </c>
      <c r="J11" s="62" t="e">
        <f>VLOOKUP('北段 (人資版)'!J11,工作表1!$A$3:$B$78,2,FALSE)</f>
        <v>#N/A</v>
      </c>
      <c r="K11" s="62" t="e">
        <f>VLOOKUP('北段 (人資版)'!K11,工作表1!$A$3:$B$78,2,FALSE)</f>
        <v>#N/A</v>
      </c>
      <c r="L11" s="62" t="e">
        <f>VLOOKUP('北段 (人資版)'!L11,工作表1!$A$3:$B$78,2,FALSE)</f>
        <v>#N/A</v>
      </c>
      <c r="M11" s="62" t="e">
        <f>VLOOKUP('北段 (人資版)'!M11,工作表1!$A$3:$B$78,2,FALSE)</f>
        <v>#N/A</v>
      </c>
      <c r="N11" s="62" t="e">
        <f>VLOOKUP('北段 (人資版)'!N11,工作表1!$A$3:$B$78,2,FALSE)</f>
        <v>#N/A</v>
      </c>
      <c r="O11" s="62" t="e">
        <f>VLOOKUP('北段 (人資版)'!O11,工作表1!$A$3:$B$78,2,FALSE)</f>
        <v>#N/A</v>
      </c>
      <c r="P11" s="62" t="e">
        <f>VLOOKUP('北段 (人資版)'!P11,工作表1!$A$3:$B$78,2,FALSE)</f>
        <v>#N/A</v>
      </c>
      <c r="Q11" s="62" t="e">
        <f>VLOOKUP('北段 (人資版)'!Q11,工作表1!$A$3:$B$78,2,FALSE)</f>
        <v>#N/A</v>
      </c>
      <c r="R11" s="62" t="e">
        <f>VLOOKUP('北段 (人資版)'!R11,工作表1!$A$3:$B$78,2,FALSE)</f>
        <v>#N/A</v>
      </c>
      <c r="S11" s="62" t="e">
        <f>VLOOKUP('北段 (人資版)'!S11,工作表1!$A$3:$B$78,2,FALSE)</f>
        <v>#N/A</v>
      </c>
      <c r="T11" s="62" t="e">
        <f>VLOOKUP('北段 (人資版)'!T11,工作表1!$A$3:$B$78,2,FALSE)</f>
        <v>#N/A</v>
      </c>
      <c r="U11" s="62" t="e">
        <f>VLOOKUP('北段 (人資版)'!U11,工作表1!$A$3:$B$78,2,FALSE)</f>
        <v>#N/A</v>
      </c>
      <c r="V11" s="62" t="e">
        <f>VLOOKUP('北段 (人資版)'!V11,工作表1!$A$3:$B$78,2,FALSE)</f>
        <v>#N/A</v>
      </c>
      <c r="W11" s="62" t="e">
        <f>VLOOKUP('北段 (人資版)'!W11,工作表1!$A$3:$B$78,2,FALSE)</f>
        <v>#N/A</v>
      </c>
      <c r="X11" s="62" t="e">
        <f>VLOOKUP('北段 (人資版)'!X11,工作表1!$A$3:$B$78,2,FALSE)</f>
        <v>#N/A</v>
      </c>
      <c r="Y11" s="62" t="e">
        <f>VLOOKUP('北段 (人資版)'!Y11,工作表1!$A$3:$B$78,2,FALSE)</f>
        <v>#N/A</v>
      </c>
      <c r="Z11" s="62" t="e">
        <f>VLOOKUP('北段 (人資版)'!Z11,工作表1!$A$3:$B$78,2,FALSE)</f>
        <v>#N/A</v>
      </c>
      <c r="AA11" s="62" t="e">
        <f>VLOOKUP('北段 (人資版)'!AA11,工作表1!$A$3:$B$78,2,FALSE)</f>
        <v>#N/A</v>
      </c>
      <c r="AB11" s="62" t="e">
        <f>VLOOKUP('北段 (人資版)'!AB11,工作表1!$A$3:$B$78,2,FALSE)</f>
        <v>#N/A</v>
      </c>
      <c r="AC11" s="62" t="e">
        <f>VLOOKUP('北段 (人資版)'!AC11,工作表1!$A$3:$B$78,2,FALSE)</f>
        <v>#N/A</v>
      </c>
      <c r="AD11" s="62" t="e">
        <f>VLOOKUP('北段 (人資版)'!AD11,工作表1!$A$3:$B$78,2,FALSE)</f>
        <v>#N/A</v>
      </c>
      <c r="AE11" s="62" t="e">
        <f>VLOOKUP('北段 (人資版)'!AE11,工作表1!$A$3:$B$78,2,FALSE)</f>
        <v>#N/A</v>
      </c>
      <c r="AF11" s="62" t="e">
        <f>VLOOKUP('北段 (人資版)'!AF11,工作表1!$A$3:$B$78,2,FALSE)</f>
        <v>#N/A</v>
      </c>
      <c r="AG11" s="62" t="e">
        <f>VLOOKUP('北段 (人資版)'!AG11,工作表1!$A$3:$B$78,2,FALSE)</f>
        <v>#N/A</v>
      </c>
      <c r="AH11" s="62" t="e">
        <f>VLOOKUP('北段 (人資版)'!AH11,工作表1!$A$3:$B$78,2,FALSE)</f>
        <v>#REF!</v>
      </c>
      <c r="AI11" s="62" t="e">
        <f>VLOOKUP('北段 (人資版)'!AI11,工作表1!$A$3:$B$78,2,FALSE)</f>
        <v>#REF!</v>
      </c>
      <c r="AJ11" s="62" t="e">
        <f>VLOOKUP('北段 (人資版)'!AJ11,工作表1!$A$3:$B$78,2,FALSE)</f>
        <v>#REF!</v>
      </c>
      <c r="AK11" s="62" t="e">
        <f>VLOOKUP('北段 (人資版)'!AK11,工作表1!$A$3:$B$78,2,FALSE)</f>
        <v>#REF!</v>
      </c>
      <c r="AL11" s="62" t="e">
        <f>VLOOKUP('北段 (人資版)'!AL11,工作表1!$A$3:$B$78,2,FALSE)</f>
        <v>#REF!</v>
      </c>
      <c r="AM11" s="62" t="e">
        <f>VLOOKUP('北段 (人資版)'!AM11,工作表1!$A$3:$B$78,2,FALSE)</f>
        <v>#REF!</v>
      </c>
      <c r="AN11" s="62" t="e">
        <f>VLOOKUP('北段 (人資版)'!AN11,工作表1!$A$3:$B$78,2,FALSE)</f>
        <v>#REF!</v>
      </c>
    </row>
    <row r="12" spans="1:40" ht="39.75" customHeight="1" thickBot="1">
      <c r="A12" s="298"/>
      <c r="B12" s="101" t="str">
        <f>北段!B12</f>
        <v>T00860</v>
      </c>
      <c r="C12" s="38" t="str">
        <f>VLOOKUP(B12,北段!B:C,2,FALSE)</f>
        <v>陳家瑋</v>
      </c>
      <c r="D12" s="62" t="str">
        <f>VLOOKUP('北段 (人資版)'!D12,工作表1!$A$3:$B$78,2,FALSE)</f>
        <v>05</v>
      </c>
      <c r="E12" s="62">
        <f>VLOOKUP('北段 (人資版)'!E12,工作表1!$A$3:$B$78,2,FALSE)</f>
        <v>92</v>
      </c>
      <c r="F12" s="62" t="e">
        <f>VLOOKUP('北段 (人資版)'!F12,工作表1!$A$3:$B$78,2,FALSE)</f>
        <v>#N/A</v>
      </c>
      <c r="G12" s="62" t="e">
        <f>VLOOKUP('北段 (人資版)'!G12,工作表1!$A$3:$B$78,2,FALSE)</f>
        <v>#N/A</v>
      </c>
      <c r="H12" s="62" t="e">
        <f>VLOOKUP('北段 (人資版)'!H12,工作表1!$A$3:$B$78,2,FALSE)</f>
        <v>#N/A</v>
      </c>
      <c r="I12" s="62" t="e">
        <f>VLOOKUP('北段 (人資版)'!I12,工作表1!$A$3:$B$78,2,FALSE)</f>
        <v>#N/A</v>
      </c>
      <c r="J12" s="62" t="e">
        <f>VLOOKUP('北段 (人資版)'!J12,工作表1!$A$3:$B$78,2,FALSE)</f>
        <v>#N/A</v>
      </c>
      <c r="K12" s="62" t="e">
        <f>VLOOKUP('北段 (人資版)'!K12,工作表1!$A$3:$B$78,2,FALSE)</f>
        <v>#N/A</v>
      </c>
      <c r="L12" s="62" t="e">
        <f>VLOOKUP('北段 (人資版)'!L12,工作表1!$A$3:$B$78,2,FALSE)</f>
        <v>#N/A</v>
      </c>
      <c r="M12" s="62" t="e">
        <f>VLOOKUP('北段 (人資版)'!M12,工作表1!$A$3:$B$78,2,FALSE)</f>
        <v>#N/A</v>
      </c>
      <c r="N12" s="62" t="e">
        <f>VLOOKUP('北段 (人資版)'!N12,工作表1!$A$3:$B$78,2,FALSE)</f>
        <v>#N/A</v>
      </c>
      <c r="O12" s="62" t="e">
        <f>VLOOKUP('北段 (人資版)'!O12,工作表1!$A$3:$B$78,2,FALSE)</f>
        <v>#N/A</v>
      </c>
      <c r="P12" s="62" t="e">
        <f>VLOOKUP('北段 (人資版)'!P12,工作表1!$A$3:$B$78,2,FALSE)</f>
        <v>#N/A</v>
      </c>
      <c r="Q12" s="62" t="e">
        <f>VLOOKUP('北段 (人資版)'!Q12,工作表1!$A$3:$B$78,2,FALSE)</f>
        <v>#N/A</v>
      </c>
      <c r="R12" s="62" t="e">
        <f>VLOOKUP('北段 (人資版)'!R12,工作表1!$A$3:$B$78,2,FALSE)</f>
        <v>#N/A</v>
      </c>
      <c r="S12" s="62" t="e">
        <f>VLOOKUP('北段 (人資版)'!S12,工作表1!$A$3:$B$78,2,FALSE)</f>
        <v>#N/A</v>
      </c>
      <c r="T12" s="62" t="e">
        <f>VLOOKUP('北段 (人資版)'!T12,工作表1!$A$3:$B$78,2,FALSE)</f>
        <v>#N/A</v>
      </c>
      <c r="U12" s="62" t="e">
        <f>VLOOKUP('北段 (人資版)'!U12,工作表1!$A$3:$B$78,2,FALSE)</f>
        <v>#N/A</v>
      </c>
      <c r="V12" s="62" t="e">
        <f>VLOOKUP('北段 (人資版)'!V12,工作表1!$A$3:$B$78,2,FALSE)</f>
        <v>#N/A</v>
      </c>
      <c r="W12" s="62" t="e">
        <f>VLOOKUP('北段 (人資版)'!W12,工作表1!$A$3:$B$78,2,FALSE)</f>
        <v>#N/A</v>
      </c>
      <c r="X12" s="62" t="e">
        <f>VLOOKUP('北段 (人資版)'!X12,工作表1!$A$3:$B$78,2,FALSE)</f>
        <v>#N/A</v>
      </c>
      <c r="Y12" s="62" t="e">
        <f>VLOOKUP('北段 (人資版)'!Y12,工作表1!$A$3:$B$78,2,FALSE)</f>
        <v>#N/A</v>
      </c>
      <c r="Z12" s="62" t="e">
        <f>VLOOKUP('北段 (人資版)'!Z12,工作表1!$A$3:$B$78,2,FALSE)</f>
        <v>#N/A</v>
      </c>
      <c r="AA12" s="62" t="e">
        <f>VLOOKUP('北段 (人資版)'!AA12,工作表1!$A$3:$B$78,2,FALSE)</f>
        <v>#N/A</v>
      </c>
      <c r="AB12" s="62" t="e">
        <f>VLOOKUP('北段 (人資版)'!AB12,工作表1!$A$3:$B$78,2,FALSE)</f>
        <v>#N/A</v>
      </c>
      <c r="AC12" s="62" t="e">
        <f>VLOOKUP('北段 (人資版)'!AC12,工作表1!$A$3:$B$78,2,FALSE)</f>
        <v>#N/A</v>
      </c>
      <c r="AD12" s="62" t="e">
        <f>VLOOKUP('北段 (人資版)'!AD12,工作表1!$A$3:$B$78,2,FALSE)</f>
        <v>#N/A</v>
      </c>
      <c r="AE12" s="62" t="e">
        <f>VLOOKUP('北段 (人資版)'!AE12,工作表1!$A$3:$B$78,2,FALSE)</f>
        <v>#N/A</v>
      </c>
      <c r="AF12" s="62" t="e">
        <f>VLOOKUP('北段 (人資版)'!AF12,工作表1!$A$3:$B$78,2,FALSE)</f>
        <v>#N/A</v>
      </c>
      <c r="AG12" s="62" t="e">
        <f>VLOOKUP('北段 (人資版)'!AG12,工作表1!$A$3:$B$78,2,FALSE)</f>
        <v>#N/A</v>
      </c>
      <c r="AH12" s="62" t="e">
        <f>VLOOKUP('北段 (人資版)'!AH12,工作表1!$A$3:$B$78,2,FALSE)</f>
        <v>#REF!</v>
      </c>
      <c r="AI12" s="62" t="e">
        <f>VLOOKUP('北段 (人資版)'!AI12,工作表1!$A$3:$B$78,2,FALSE)</f>
        <v>#REF!</v>
      </c>
      <c r="AJ12" s="62" t="e">
        <f>VLOOKUP('北段 (人資版)'!AJ12,工作表1!$A$3:$B$78,2,FALSE)</f>
        <v>#REF!</v>
      </c>
      <c r="AK12" s="62" t="e">
        <f>VLOOKUP('北段 (人資版)'!AK12,工作表1!$A$3:$B$78,2,FALSE)</f>
        <v>#REF!</v>
      </c>
      <c r="AL12" s="62" t="e">
        <f>VLOOKUP('北段 (人資版)'!AL12,工作表1!$A$3:$B$78,2,FALSE)</f>
        <v>#REF!</v>
      </c>
      <c r="AM12" s="62" t="e">
        <f>VLOOKUP('北段 (人資版)'!AM12,工作表1!$A$3:$B$78,2,FALSE)</f>
        <v>#REF!</v>
      </c>
      <c r="AN12" s="62" t="e">
        <f>VLOOKUP('北段 (人資版)'!AN12,工作表1!$A$3:$B$78,2,FALSE)</f>
        <v>#REF!</v>
      </c>
    </row>
    <row r="13" spans="1:40" ht="39.75" customHeight="1">
      <c r="A13" s="55" t="s">
        <v>24</v>
      </c>
      <c r="B13" s="101" t="e">
        <f>北段!#REF!</f>
        <v>#REF!</v>
      </c>
      <c r="C13" s="38" t="e">
        <f>VLOOKUP(B13,北段!B:C,2,FALSE)</f>
        <v>#REF!</v>
      </c>
      <c r="D13" s="62" t="e">
        <f>VLOOKUP('北段 (人資版)'!D13,工作表1!$A$3:$B$78,2,FALSE)</f>
        <v>#REF!</v>
      </c>
      <c r="E13" s="62" t="e">
        <f>VLOOKUP('北段 (人資版)'!E13,工作表1!$A$3:$B$78,2,FALSE)</f>
        <v>#REF!</v>
      </c>
      <c r="F13" s="62" t="e">
        <f>VLOOKUP('北段 (人資版)'!F13,工作表1!$A$3:$B$78,2,FALSE)</f>
        <v>#REF!</v>
      </c>
      <c r="G13" s="62" t="e">
        <f>VLOOKUP('北段 (人資版)'!G13,工作表1!$A$3:$B$78,2,FALSE)</f>
        <v>#REF!</v>
      </c>
      <c r="H13" s="62" t="e">
        <f>VLOOKUP('北段 (人資版)'!H13,工作表1!$A$3:$B$78,2,FALSE)</f>
        <v>#REF!</v>
      </c>
      <c r="I13" s="62" t="e">
        <f>VLOOKUP('北段 (人資版)'!I13,工作表1!$A$3:$B$78,2,FALSE)</f>
        <v>#REF!</v>
      </c>
      <c r="J13" s="62" t="e">
        <f>VLOOKUP('北段 (人資版)'!J13,工作表1!$A$3:$B$78,2,FALSE)</f>
        <v>#REF!</v>
      </c>
      <c r="K13" s="62" t="e">
        <f>VLOOKUP('北段 (人資版)'!K13,工作表1!$A$3:$B$78,2,FALSE)</f>
        <v>#REF!</v>
      </c>
      <c r="L13" s="62" t="e">
        <f>VLOOKUP('北段 (人資版)'!L13,工作表1!$A$3:$B$78,2,FALSE)</f>
        <v>#REF!</v>
      </c>
      <c r="M13" s="62" t="e">
        <f>VLOOKUP('北段 (人資版)'!M13,工作表1!$A$3:$B$78,2,FALSE)</f>
        <v>#REF!</v>
      </c>
      <c r="N13" s="62" t="e">
        <f>VLOOKUP('北段 (人資版)'!N13,工作表1!$A$3:$B$78,2,FALSE)</f>
        <v>#REF!</v>
      </c>
      <c r="O13" s="62" t="e">
        <f>VLOOKUP('北段 (人資版)'!O13,工作表1!$A$3:$B$78,2,FALSE)</f>
        <v>#REF!</v>
      </c>
      <c r="P13" s="62" t="e">
        <f>VLOOKUP('北段 (人資版)'!P13,工作表1!$A$3:$B$78,2,FALSE)</f>
        <v>#REF!</v>
      </c>
      <c r="Q13" s="62" t="e">
        <f>VLOOKUP('北段 (人資版)'!Q13,工作表1!$A$3:$B$78,2,FALSE)</f>
        <v>#REF!</v>
      </c>
      <c r="R13" s="62" t="e">
        <f>VLOOKUP('北段 (人資版)'!R13,工作表1!$A$3:$B$78,2,FALSE)</f>
        <v>#REF!</v>
      </c>
      <c r="S13" s="62" t="e">
        <f>VLOOKUP('北段 (人資版)'!S13,工作表1!$A$3:$B$78,2,FALSE)</f>
        <v>#REF!</v>
      </c>
      <c r="T13" s="62" t="e">
        <f>VLOOKUP('北段 (人資版)'!T13,工作表1!$A$3:$B$78,2,FALSE)</f>
        <v>#REF!</v>
      </c>
      <c r="U13" s="62" t="e">
        <f>VLOOKUP('北段 (人資版)'!U13,工作表1!$A$3:$B$78,2,FALSE)</f>
        <v>#REF!</v>
      </c>
      <c r="V13" s="62" t="e">
        <f>VLOOKUP('北段 (人資版)'!V13,工作表1!$A$3:$B$78,2,FALSE)</f>
        <v>#REF!</v>
      </c>
      <c r="W13" s="62" t="e">
        <f>VLOOKUP('北段 (人資版)'!W13,工作表1!$A$3:$B$78,2,FALSE)</f>
        <v>#REF!</v>
      </c>
      <c r="X13" s="62" t="e">
        <f>VLOOKUP('北段 (人資版)'!X13,工作表1!$A$3:$B$78,2,FALSE)</f>
        <v>#REF!</v>
      </c>
      <c r="Y13" s="62" t="e">
        <f>VLOOKUP('北段 (人資版)'!Y13,工作表1!$A$3:$B$78,2,FALSE)</f>
        <v>#REF!</v>
      </c>
      <c r="Z13" s="62" t="e">
        <f>VLOOKUP('北段 (人資版)'!Z13,工作表1!$A$3:$B$78,2,FALSE)</f>
        <v>#REF!</v>
      </c>
      <c r="AA13" s="62" t="e">
        <f>VLOOKUP('北段 (人資版)'!AA13,工作表1!$A$3:$B$78,2,FALSE)</f>
        <v>#REF!</v>
      </c>
      <c r="AB13" s="62" t="e">
        <f>VLOOKUP('北段 (人資版)'!AB13,工作表1!$A$3:$B$78,2,FALSE)</f>
        <v>#REF!</v>
      </c>
      <c r="AC13" s="62" t="e">
        <f>VLOOKUP('北段 (人資版)'!AC13,工作表1!$A$3:$B$78,2,FALSE)</f>
        <v>#REF!</v>
      </c>
      <c r="AD13" s="62" t="e">
        <f>VLOOKUP('北段 (人資版)'!AD13,工作表1!$A$3:$B$78,2,FALSE)</f>
        <v>#REF!</v>
      </c>
      <c r="AE13" s="62" t="e">
        <f>VLOOKUP('北段 (人資版)'!AE13,工作表1!$A$3:$B$78,2,FALSE)</f>
        <v>#REF!</v>
      </c>
      <c r="AF13" s="62" t="e">
        <f>VLOOKUP('北段 (人資版)'!AF13,工作表1!$A$3:$B$78,2,FALSE)</f>
        <v>#REF!</v>
      </c>
      <c r="AG13" s="62" t="e">
        <f>VLOOKUP('北段 (人資版)'!AG13,工作表1!$A$3:$B$78,2,FALSE)</f>
        <v>#REF!</v>
      </c>
      <c r="AH13" s="62" t="e">
        <f>VLOOKUP('北段 (人資版)'!AH13,工作表1!$A$3:$B$78,2,FALSE)</f>
        <v>#REF!</v>
      </c>
      <c r="AI13" s="62" t="e">
        <f>VLOOKUP('北段 (人資版)'!AI13,工作表1!$A$3:$B$78,2,FALSE)</f>
        <v>#REF!</v>
      </c>
      <c r="AJ13" s="62" t="e">
        <f>VLOOKUP('北段 (人資版)'!AJ13,工作表1!$A$3:$B$78,2,FALSE)</f>
        <v>#REF!</v>
      </c>
      <c r="AK13" s="62" t="e">
        <f>VLOOKUP('北段 (人資版)'!AK13,工作表1!$A$3:$B$78,2,FALSE)</f>
        <v>#REF!</v>
      </c>
      <c r="AL13" s="62" t="e">
        <f>VLOOKUP('北段 (人資版)'!AL13,工作表1!$A$3:$B$78,2,FALSE)</f>
        <v>#REF!</v>
      </c>
      <c r="AM13" s="62" t="e">
        <f>VLOOKUP('北段 (人資版)'!AM13,工作表1!$A$3:$B$78,2,FALSE)</f>
        <v>#REF!</v>
      </c>
      <c r="AN13" s="62" t="e">
        <f>VLOOKUP('北段 (人資版)'!AN13,工作表1!$A$3:$B$78,2,FALSE)</f>
        <v>#REF!</v>
      </c>
    </row>
    <row r="14" spans="1:40" ht="39.75" customHeight="1">
      <c r="A14" s="56"/>
      <c r="B14" s="101" t="str">
        <f>北段!B13</f>
        <v>T00509</v>
      </c>
      <c r="C14" s="38" t="str">
        <f>VLOOKUP(B14,北段!B:C,2,FALSE)</f>
        <v>郭秋儀</v>
      </c>
      <c r="D14" s="62">
        <f>VLOOKUP('北段 (人資版)'!D14,工作表1!$A$3:$B$78,2,FALSE)</f>
        <v>70</v>
      </c>
      <c r="E14" s="62">
        <f>VLOOKUP('北段 (人資版)'!E14,工作表1!$A$3:$B$78,2,FALSE)</f>
        <v>70</v>
      </c>
      <c r="F14" s="62" t="e">
        <f>VLOOKUP('北段 (人資版)'!F14,工作表1!$A$3:$B$78,2,FALSE)</f>
        <v>#N/A</v>
      </c>
      <c r="G14" s="62" t="e">
        <f>VLOOKUP('北段 (人資版)'!G14,工作表1!$A$3:$B$78,2,FALSE)</f>
        <v>#N/A</v>
      </c>
      <c r="H14" s="62" t="e">
        <f>VLOOKUP('北段 (人資版)'!H14,工作表1!$A$3:$B$78,2,FALSE)</f>
        <v>#N/A</v>
      </c>
      <c r="I14" s="62" t="e">
        <f>VLOOKUP('北段 (人資版)'!I14,工作表1!$A$3:$B$78,2,FALSE)</f>
        <v>#N/A</v>
      </c>
      <c r="J14" s="62" t="e">
        <f>VLOOKUP('北段 (人資版)'!J14,工作表1!$A$3:$B$78,2,FALSE)</f>
        <v>#N/A</v>
      </c>
      <c r="K14" s="62" t="e">
        <f>VLOOKUP('北段 (人資版)'!K14,工作表1!$A$3:$B$78,2,FALSE)</f>
        <v>#N/A</v>
      </c>
      <c r="L14" s="62" t="e">
        <f>VLOOKUP('北段 (人資版)'!L14,工作表1!$A$3:$B$78,2,FALSE)</f>
        <v>#N/A</v>
      </c>
      <c r="M14" s="62" t="e">
        <f>VLOOKUP('北段 (人資版)'!M14,工作表1!$A$3:$B$78,2,FALSE)</f>
        <v>#N/A</v>
      </c>
      <c r="N14" s="62" t="e">
        <f>VLOOKUP('北段 (人資版)'!N14,工作表1!$A$3:$B$78,2,FALSE)</f>
        <v>#N/A</v>
      </c>
      <c r="O14" s="62" t="e">
        <f>VLOOKUP('北段 (人資版)'!O14,工作表1!$A$3:$B$78,2,FALSE)</f>
        <v>#N/A</v>
      </c>
      <c r="P14" s="62" t="str">
        <f>VLOOKUP('北段 (人資版)'!P14,工作表1!$A$3:$B$78,2,FALSE)</f>
        <v>07</v>
      </c>
      <c r="Q14" s="62" t="str">
        <f>VLOOKUP('北段 (人資版)'!Q14,工作表1!$A$3:$B$78,2,FALSE)</f>
        <v>07</v>
      </c>
      <c r="R14" s="62" t="e">
        <f>VLOOKUP('北段 (人資版)'!R14,工作表1!$A$3:$B$78,2,FALSE)</f>
        <v>#N/A</v>
      </c>
      <c r="S14" s="62" t="e">
        <f>VLOOKUP('北段 (人資版)'!S14,工作表1!$A$3:$B$78,2,FALSE)</f>
        <v>#N/A</v>
      </c>
      <c r="T14" s="62" t="e">
        <f>VLOOKUP('北段 (人資版)'!T14,工作表1!$A$3:$B$78,2,FALSE)</f>
        <v>#N/A</v>
      </c>
      <c r="U14" s="62" t="e">
        <f>VLOOKUP('北段 (人資版)'!U14,工作表1!$A$3:$B$78,2,FALSE)</f>
        <v>#N/A</v>
      </c>
      <c r="V14" s="62" t="e">
        <f>VLOOKUP('北段 (人資版)'!V14,工作表1!$A$3:$B$78,2,FALSE)</f>
        <v>#N/A</v>
      </c>
      <c r="W14" s="62" t="e">
        <f>VLOOKUP('北段 (人資版)'!W14,工作表1!$A$3:$B$78,2,FALSE)</f>
        <v>#N/A</v>
      </c>
      <c r="X14" s="62" t="e">
        <f>VLOOKUP('北段 (人資版)'!X14,工作表1!$A$3:$B$78,2,FALSE)</f>
        <v>#N/A</v>
      </c>
      <c r="Y14" s="62" t="e">
        <f>VLOOKUP('北段 (人資版)'!Y14,工作表1!$A$3:$B$78,2,FALSE)</f>
        <v>#N/A</v>
      </c>
      <c r="Z14" s="62">
        <f>VLOOKUP('北段 (人資版)'!Z14,工作表1!$A$3:$B$78,2,FALSE)</f>
        <v>91</v>
      </c>
      <c r="AA14" s="62">
        <f>VLOOKUP('北段 (人資版)'!AA14,工作表1!$A$3:$B$78,2,FALSE)</f>
        <v>91</v>
      </c>
      <c r="AB14" s="62" t="e">
        <f>VLOOKUP('北段 (人資版)'!AB14,工作表1!$A$3:$B$78,2,FALSE)</f>
        <v>#N/A</v>
      </c>
      <c r="AC14" s="62" t="e">
        <f>VLOOKUP('北段 (人資版)'!AC14,工作表1!$A$3:$B$78,2,FALSE)</f>
        <v>#N/A</v>
      </c>
      <c r="AD14" s="62" t="e">
        <f>VLOOKUP('北段 (人資版)'!AD14,工作表1!$A$3:$B$78,2,FALSE)</f>
        <v>#N/A</v>
      </c>
      <c r="AE14" s="62" t="e">
        <f>VLOOKUP('北段 (人資版)'!AE14,工作表1!$A$3:$B$78,2,FALSE)</f>
        <v>#N/A</v>
      </c>
      <c r="AF14" s="62" t="e">
        <f>VLOOKUP('北段 (人資版)'!AF14,工作表1!$A$3:$B$78,2,FALSE)</f>
        <v>#N/A</v>
      </c>
      <c r="AG14" s="62" t="e">
        <f>VLOOKUP('北段 (人資版)'!AG14,工作表1!$A$3:$B$78,2,FALSE)</f>
        <v>#N/A</v>
      </c>
      <c r="AH14" s="62" t="e">
        <f>VLOOKUP('北段 (人資版)'!AH14,工作表1!$A$3:$B$78,2,FALSE)</f>
        <v>#REF!</v>
      </c>
      <c r="AI14" s="62" t="e">
        <f>VLOOKUP('北段 (人資版)'!AI14,工作表1!$A$3:$B$78,2,FALSE)</f>
        <v>#REF!</v>
      </c>
      <c r="AJ14" s="62" t="e">
        <f>VLOOKUP('北段 (人資版)'!AJ14,工作表1!$A$3:$B$78,2,FALSE)</f>
        <v>#REF!</v>
      </c>
      <c r="AK14" s="62" t="e">
        <f>VLOOKUP('北段 (人資版)'!AK14,工作表1!$A$3:$B$78,2,FALSE)</f>
        <v>#REF!</v>
      </c>
      <c r="AL14" s="62" t="e">
        <f>VLOOKUP('北段 (人資版)'!AL14,工作表1!$A$3:$B$78,2,FALSE)</f>
        <v>#REF!</v>
      </c>
      <c r="AM14" s="62" t="e">
        <f>VLOOKUP('北段 (人資版)'!AM14,工作表1!$A$3:$B$78,2,FALSE)</f>
        <v>#REF!</v>
      </c>
      <c r="AN14" s="62" t="e">
        <f>VLOOKUP('北段 (人資版)'!AN14,工作表1!$A$3:$B$78,2,FALSE)</f>
        <v>#REF!</v>
      </c>
    </row>
    <row r="15" spans="1:40" ht="39.6" customHeight="1">
      <c r="A15" s="56"/>
      <c r="B15" s="101" t="str">
        <f>北段!B14</f>
        <v>T01028</v>
      </c>
      <c r="C15" s="38" t="str">
        <f>VLOOKUP(B15,北段!B:C,2,FALSE)</f>
        <v>林金緗</v>
      </c>
      <c r="D15" s="62">
        <f>VLOOKUP('北段 (人資版)'!D15,工作表1!$A$3:$B$78,2,FALSE)</f>
        <v>66</v>
      </c>
      <c r="E15" s="62">
        <f>VLOOKUP('北段 (人資版)'!E15,工作表1!$A$3:$B$78,2,FALSE)</f>
        <v>66</v>
      </c>
      <c r="F15" s="62" t="e">
        <f>VLOOKUP('北段 (人資版)'!F15,工作表1!$A$3:$B$78,2,FALSE)</f>
        <v>#N/A</v>
      </c>
      <c r="G15" s="62" t="e">
        <f>VLOOKUP('北段 (人資版)'!G15,工作表1!$A$3:$B$78,2,FALSE)</f>
        <v>#N/A</v>
      </c>
      <c r="H15" s="62" t="e">
        <f>VLOOKUP('北段 (人資版)'!H15,工作表1!$A$3:$B$78,2,FALSE)</f>
        <v>#N/A</v>
      </c>
      <c r="I15" s="62" t="e">
        <f>VLOOKUP('北段 (人資版)'!I15,工作表1!$A$3:$B$78,2,FALSE)</f>
        <v>#N/A</v>
      </c>
      <c r="J15" s="62" t="e">
        <f>VLOOKUP('北段 (人資版)'!J15,工作表1!$A$3:$B$78,2,FALSE)</f>
        <v>#N/A</v>
      </c>
      <c r="K15" s="62" t="e">
        <f>VLOOKUP('北段 (人資版)'!K15,工作表1!$A$3:$B$78,2,FALSE)</f>
        <v>#N/A</v>
      </c>
      <c r="L15" s="62" t="e">
        <f>VLOOKUP('北段 (人資版)'!L15,工作表1!$A$3:$B$78,2,FALSE)</f>
        <v>#N/A</v>
      </c>
      <c r="M15" s="62" t="e">
        <f>VLOOKUP('北段 (人資版)'!M15,工作表1!$A$3:$B$78,2,FALSE)</f>
        <v>#N/A</v>
      </c>
      <c r="N15" s="62" t="e">
        <f>VLOOKUP('北段 (人資版)'!N15,工作表1!$A$3:$B$78,2,FALSE)</f>
        <v>#N/A</v>
      </c>
      <c r="O15" s="62" t="e">
        <f>VLOOKUP('北段 (人資版)'!O15,工作表1!$A$3:$B$78,2,FALSE)</f>
        <v>#N/A</v>
      </c>
      <c r="P15" s="62" t="e">
        <f>VLOOKUP('北段 (人資版)'!P15,工作表1!$A$3:$B$78,2,FALSE)</f>
        <v>#N/A</v>
      </c>
      <c r="Q15" s="62" t="e">
        <f>VLOOKUP('北段 (人資版)'!Q15,工作表1!$A$3:$B$78,2,FALSE)</f>
        <v>#N/A</v>
      </c>
      <c r="R15" s="62" t="e">
        <f>VLOOKUP('北段 (人資版)'!R15,工作表1!$A$3:$B$78,2,FALSE)</f>
        <v>#N/A</v>
      </c>
      <c r="S15" s="62" t="e">
        <f>VLOOKUP('北段 (人資版)'!S15,工作表1!$A$3:$B$78,2,FALSE)</f>
        <v>#N/A</v>
      </c>
      <c r="T15" s="62" t="e">
        <f>VLOOKUP('北段 (人資版)'!T15,工作表1!$A$3:$B$78,2,FALSE)</f>
        <v>#N/A</v>
      </c>
      <c r="U15" s="62" t="e">
        <f>VLOOKUP('北段 (人資版)'!U15,工作表1!$A$3:$B$78,2,FALSE)</f>
        <v>#N/A</v>
      </c>
      <c r="V15" s="62" t="e">
        <f>VLOOKUP('北段 (人資版)'!V15,工作表1!$A$3:$B$78,2,FALSE)</f>
        <v>#N/A</v>
      </c>
      <c r="W15" s="62" t="e">
        <f>VLOOKUP('北段 (人資版)'!W15,工作表1!$A$3:$B$78,2,FALSE)</f>
        <v>#N/A</v>
      </c>
      <c r="X15" s="62" t="e">
        <f>VLOOKUP('北段 (人資版)'!X15,工作表1!$A$3:$B$78,2,FALSE)</f>
        <v>#N/A</v>
      </c>
      <c r="Y15" s="62" t="e">
        <f>VLOOKUP('北段 (人資版)'!Y15,工作表1!$A$3:$B$78,2,FALSE)</f>
        <v>#N/A</v>
      </c>
      <c r="Z15" s="62" t="e">
        <f>VLOOKUP('北段 (人資版)'!Z15,工作表1!$A$3:$B$78,2,FALSE)</f>
        <v>#N/A</v>
      </c>
      <c r="AA15" s="62" t="e">
        <f>VLOOKUP('北段 (人資版)'!AA15,工作表1!$A$3:$B$78,2,FALSE)</f>
        <v>#N/A</v>
      </c>
      <c r="AB15" s="62">
        <f>VLOOKUP('北段 (人資版)'!AB15,工作表1!$A$3:$B$78,2,FALSE)</f>
        <v>91</v>
      </c>
      <c r="AC15" s="62" t="str">
        <f>VLOOKUP('北段 (人資版)'!AC15,工作表1!$A$3:$B$78,2,FALSE)</f>
        <v>07</v>
      </c>
      <c r="AD15" s="62" t="str">
        <f>VLOOKUP('北段 (人資版)'!AD15,工作表1!$A$3:$B$78,2,FALSE)</f>
        <v>07</v>
      </c>
      <c r="AE15" s="62">
        <f>VLOOKUP('北段 (人資版)'!AE15,工作表1!$A$3:$B$78,2,FALSE)</f>
        <v>92</v>
      </c>
      <c r="AF15" s="62" t="e">
        <f>VLOOKUP('北段 (人資版)'!AF15,工作表1!$A$3:$B$78,2,FALSE)</f>
        <v>#N/A</v>
      </c>
      <c r="AG15" s="62" t="e">
        <f>VLOOKUP('北段 (人資版)'!AG15,工作表1!$A$3:$B$78,2,FALSE)</f>
        <v>#N/A</v>
      </c>
      <c r="AH15" s="62" t="e">
        <f>VLOOKUP('北段 (人資版)'!AH15,工作表1!$A$3:$B$78,2,FALSE)</f>
        <v>#REF!</v>
      </c>
      <c r="AI15" s="62" t="e">
        <f>VLOOKUP('北段 (人資版)'!AI15,工作表1!$A$3:$B$78,2,FALSE)</f>
        <v>#REF!</v>
      </c>
      <c r="AJ15" s="62" t="e">
        <f>VLOOKUP('北段 (人資版)'!AJ15,工作表1!$A$3:$B$78,2,FALSE)</f>
        <v>#REF!</v>
      </c>
      <c r="AK15" s="62" t="e">
        <f>VLOOKUP('北段 (人資版)'!AK15,工作表1!$A$3:$B$78,2,FALSE)</f>
        <v>#REF!</v>
      </c>
      <c r="AL15" s="62" t="e">
        <f>VLOOKUP('北段 (人資版)'!AL15,工作表1!$A$3:$B$78,2,FALSE)</f>
        <v>#REF!</v>
      </c>
      <c r="AM15" s="62" t="e">
        <f>VLOOKUP('北段 (人資版)'!AM15,工作表1!$A$3:$B$78,2,FALSE)</f>
        <v>#REF!</v>
      </c>
      <c r="AN15" s="62" t="e">
        <f>VLOOKUP('北段 (人資版)'!AN15,工作表1!$A$3:$B$78,2,FALSE)</f>
        <v>#REF!</v>
      </c>
    </row>
    <row r="16" spans="1:40" ht="39.75" customHeight="1">
      <c r="A16" s="56"/>
      <c r="B16" s="101" t="str">
        <f>北段!B15</f>
        <v>T01029</v>
      </c>
      <c r="C16" s="38" t="str">
        <f>VLOOKUP(B16,北段!B:C,2,FALSE)</f>
        <v>林雯琳</v>
      </c>
      <c r="D16" s="62">
        <f>VLOOKUP('北段 (人資版)'!D16,工作表1!$A$3:$B$78,2,FALSE)</f>
        <v>66</v>
      </c>
      <c r="E16" s="62">
        <f>VLOOKUP('北段 (人資版)'!E16,工作表1!$A$3:$B$78,2,FALSE)</f>
        <v>66</v>
      </c>
      <c r="F16" s="62" t="e">
        <f>VLOOKUP('北段 (人資版)'!F16,工作表1!$A$3:$B$78,2,FALSE)</f>
        <v>#N/A</v>
      </c>
      <c r="G16" s="62" t="e">
        <f>VLOOKUP('北段 (人資版)'!G16,工作表1!$A$3:$B$78,2,FALSE)</f>
        <v>#N/A</v>
      </c>
      <c r="H16" s="62" t="e">
        <f>VLOOKUP('北段 (人資版)'!H16,工作表1!$A$3:$B$78,2,FALSE)</f>
        <v>#N/A</v>
      </c>
      <c r="I16" s="62" t="e">
        <f>VLOOKUP('北段 (人資版)'!I16,工作表1!$A$3:$B$78,2,FALSE)</f>
        <v>#N/A</v>
      </c>
      <c r="J16" s="62" t="e">
        <f>VLOOKUP('北段 (人資版)'!J16,工作表1!$A$3:$B$78,2,FALSE)</f>
        <v>#N/A</v>
      </c>
      <c r="K16" s="62" t="e">
        <f>VLOOKUP('北段 (人資版)'!K16,工作表1!$A$3:$B$78,2,FALSE)</f>
        <v>#N/A</v>
      </c>
      <c r="L16" s="62" t="e">
        <f>VLOOKUP('北段 (人資版)'!L16,工作表1!$A$3:$B$78,2,FALSE)</f>
        <v>#N/A</v>
      </c>
      <c r="M16" s="62" t="e">
        <f>VLOOKUP('北段 (人資版)'!M16,工作表1!$A$3:$B$78,2,FALSE)</f>
        <v>#N/A</v>
      </c>
      <c r="N16" s="62" t="e">
        <f>VLOOKUP('北段 (人資版)'!N16,工作表1!$A$3:$B$78,2,FALSE)</f>
        <v>#N/A</v>
      </c>
      <c r="O16" s="62" t="e">
        <f>VLOOKUP('北段 (人資版)'!O16,工作表1!$A$3:$B$78,2,FALSE)</f>
        <v>#N/A</v>
      </c>
      <c r="P16" s="62" t="str">
        <f>VLOOKUP('北段 (人資版)'!P16,工作表1!$A$3:$B$78,2,FALSE)</f>
        <v>07</v>
      </c>
      <c r="Q16" s="62" t="str">
        <f>VLOOKUP('北段 (人資版)'!Q16,工作表1!$A$3:$B$78,2,FALSE)</f>
        <v>07</v>
      </c>
      <c r="R16" s="62" t="e">
        <f>VLOOKUP('北段 (人資版)'!R16,工作表1!$A$3:$B$78,2,FALSE)</f>
        <v>#N/A</v>
      </c>
      <c r="S16" s="62" t="e">
        <f>VLOOKUP('北段 (人資版)'!S16,工作表1!$A$3:$B$78,2,FALSE)</f>
        <v>#N/A</v>
      </c>
      <c r="T16" s="62" t="e">
        <f>VLOOKUP('北段 (人資版)'!T16,工作表1!$A$3:$B$78,2,FALSE)</f>
        <v>#N/A</v>
      </c>
      <c r="U16" s="62" t="e">
        <f>VLOOKUP('北段 (人資版)'!U16,工作表1!$A$3:$B$78,2,FALSE)</f>
        <v>#N/A</v>
      </c>
      <c r="V16" s="62" t="e">
        <f>VLOOKUP('北段 (人資版)'!V16,工作表1!$A$3:$B$78,2,FALSE)</f>
        <v>#N/A</v>
      </c>
      <c r="W16" s="62" t="e">
        <f>VLOOKUP('北段 (人資版)'!W16,工作表1!$A$3:$B$78,2,FALSE)</f>
        <v>#N/A</v>
      </c>
      <c r="X16" s="62" t="e">
        <f>VLOOKUP('北段 (人資版)'!X16,工作表1!$A$3:$B$78,2,FALSE)</f>
        <v>#N/A</v>
      </c>
      <c r="Y16" s="62" t="e">
        <f>VLOOKUP('北段 (人資版)'!Y16,工作表1!$A$3:$B$78,2,FALSE)</f>
        <v>#N/A</v>
      </c>
      <c r="Z16" s="62" t="str">
        <f>VLOOKUP('北段 (人資版)'!Z16,工作表1!$A$3:$B$78,2,FALSE)</f>
        <v>07</v>
      </c>
      <c r="AA16" s="62" t="str">
        <f>VLOOKUP('北段 (人資版)'!AA16,工作表1!$A$3:$B$78,2,FALSE)</f>
        <v>07</v>
      </c>
      <c r="AB16" s="62" t="e">
        <f>VLOOKUP('北段 (人資版)'!AB16,工作表1!$A$3:$B$78,2,FALSE)</f>
        <v>#N/A</v>
      </c>
      <c r="AC16" s="62" t="e">
        <f>VLOOKUP('北段 (人資版)'!AC16,工作表1!$A$3:$B$78,2,FALSE)</f>
        <v>#N/A</v>
      </c>
      <c r="AD16" s="62" t="e">
        <f>VLOOKUP('北段 (人資版)'!AD16,工作表1!$A$3:$B$78,2,FALSE)</f>
        <v>#N/A</v>
      </c>
      <c r="AE16" s="62" t="e">
        <f>VLOOKUP('北段 (人資版)'!AE16,工作表1!$A$3:$B$78,2,FALSE)</f>
        <v>#N/A</v>
      </c>
      <c r="AF16" s="62" t="e">
        <f>VLOOKUP('北段 (人資版)'!AF16,工作表1!$A$3:$B$78,2,FALSE)</f>
        <v>#N/A</v>
      </c>
      <c r="AG16" s="62" t="e">
        <f>VLOOKUP('北段 (人資版)'!AG16,工作表1!$A$3:$B$78,2,FALSE)</f>
        <v>#N/A</v>
      </c>
      <c r="AH16" s="62" t="e">
        <f>VLOOKUP('北段 (人資版)'!AH16,工作表1!$A$3:$B$78,2,FALSE)</f>
        <v>#REF!</v>
      </c>
      <c r="AI16" s="62" t="e">
        <f>VLOOKUP('北段 (人資版)'!AI16,工作表1!$A$3:$B$78,2,FALSE)</f>
        <v>#REF!</v>
      </c>
      <c r="AJ16" s="62" t="e">
        <f>VLOOKUP('北段 (人資版)'!AJ16,工作表1!$A$3:$B$78,2,FALSE)</f>
        <v>#REF!</v>
      </c>
      <c r="AK16" s="62" t="e">
        <f>VLOOKUP('北段 (人資版)'!AK16,工作表1!$A$3:$B$78,2,FALSE)</f>
        <v>#REF!</v>
      </c>
      <c r="AL16" s="62" t="e">
        <f>VLOOKUP('北段 (人資版)'!AL16,工作表1!$A$3:$B$78,2,FALSE)</f>
        <v>#REF!</v>
      </c>
      <c r="AM16" s="62" t="e">
        <f>VLOOKUP('北段 (人資版)'!AM16,工作表1!$A$3:$B$78,2,FALSE)</f>
        <v>#REF!</v>
      </c>
      <c r="AN16" s="62" t="e">
        <f>VLOOKUP('北段 (人資版)'!AN16,工作表1!$A$3:$B$78,2,FALSE)</f>
        <v>#REF!</v>
      </c>
    </row>
    <row r="17" spans="1:40" ht="39.6" customHeight="1">
      <c r="A17" s="56"/>
      <c r="B17" s="101" t="str">
        <f>北段!B16</f>
        <v>T01734</v>
      </c>
      <c r="C17" s="38" t="str">
        <f>VLOOKUP(B17,北段!B:C,2,FALSE)</f>
        <v>黃冠銘</v>
      </c>
      <c r="D17" s="62">
        <f>VLOOKUP('北段 (人資版)'!D17,工作表1!$A$3:$B$78,2,FALSE)</f>
        <v>38</v>
      </c>
      <c r="E17" s="62">
        <f>VLOOKUP('北段 (人資版)'!E17,工作表1!$A$3:$B$78,2,FALSE)</f>
        <v>38</v>
      </c>
      <c r="F17" s="62" t="e">
        <f>VLOOKUP('北段 (人資版)'!F17,工作表1!$A$3:$B$78,2,FALSE)</f>
        <v>#N/A</v>
      </c>
      <c r="G17" s="62" t="e">
        <f>VLOOKUP('北段 (人資版)'!G17,工作表1!$A$3:$B$78,2,FALSE)</f>
        <v>#N/A</v>
      </c>
      <c r="H17" s="62" t="e">
        <f>VLOOKUP('北段 (人資版)'!H17,工作表1!$A$3:$B$78,2,FALSE)</f>
        <v>#N/A</v>
      </c>
      <c r="I17" s="62" t="e">
        <f>VLOOKUP('北段 (人資版)'!I17,工作表1!$A$3:$B$78,2,FALSE)</f>
        <v>#N/A</v>
      </c>
      <c r="J17" s="62" t="e">
        <f>VLOOKUP('北段 (人資版)'!J17,工作表1!$A$3:$B$78,2,FALSE)</f>
        <v>#N/A</v>
      </c>
      <c r="K17" s="62" t="e">
        <f>VLOOKUP('北段 (人資版)'!K17,工作表1!$A$3:$B$78,2,FALSE)</f>
        <v>#N/A</v>
      </c>
      <c r="L17" s="62" t="e">
        <f>VLOOKUP('北段 (人資版)'!L17,工作表1!$A$3:$B$78,2,FALSE)</f>
        <v>#N/A</v>
      </c>
      <c r="M17" s="62" t="e">
        <f>VLOOKUP('北段 (人資版)'!M17,工作表1!$A$3:$B$78,2,FALSE)</f>
        <v>#N/A</v>
      </c>
      <c r="N17" s="62" t="e">
        <f>VLOOKUP('北段 (人資版)'!N17,工作表1!$A$3:$B$78,2,FALSE)</f>
        <v>#N/A</v>
      </c>
      <c r="O17" s="62" t="e">
        <f>VLOOKUP('北段 (人資版)'!O17,工作表1!$A$3:$B$78,2,FALSE)</f>
        <v>#N/A</v>
      </c>
      <c r="P17" s="62" t="e">
        <f>VLOOKUP('北段 (人資版)'!P17,工作表1!$A$3:$B$78,2,FALSE)</f>
        <v>#N/A</v>
      </c>
      <c r="Q17" s="62" t="e">
        <f>VLOOKUP('北段 (人資版)'!Q17,工作表1!$A$3:$B$78,2,FALSE)</f>
        <v>#N/A</v>
      </c>
      <c r="R17" s="62" t="e">
        <f>VLOOKUP('北段 (人資版)'!R17,工作表1!$A$3:$B$78,2,FALSE)</f>
        <v>#N/A</v>
      </c>
      <c r="S17" s="62" t="e">
        <f>VLOOKUP('北段 (人資版)'!S17,工作表1!$A$3:$B$78,2,FALSE)</f>
        <v>#N/A</v>
      </c>
      <c r="T17" s="62" t="e">
        <f>VLOOKUP('北段 (人資版)'!T17,工作表1!$A$3:$B$78,2,FALSE)</f>
        <v>#N/A</v>
      </c>
      <c r="U17" s="62" t="e">
        <f>VLOOKUP('北段 (人資版)'!U17,工作表1!$A$3:$B$78,2,FALSE)</f>
        <v>#N/A</v>
      </c>
      <c r="V17" s="62" t="e">
        <f>VLOOKUP('北段 (人資版)'!V17,工作表1!$A$3:$B$78,2,FALSE)</f>
        <v>#N/A</v>
      </c>
      <c r="W17" s="62" t="e">
        <f>VLOOKUP('北段 (人資版)'!W17,工作表1!$A$3:$B$78,2,FALSE)</f>
        <v>#N/A</v>
      </c>
      <c r="X17" s="62" t="e">
        <f>VLOOKUP('北段 (人資版)'!X17,工作表1!$A$3:$B$78,2,FALSE)</f>
        <v>#N/A</v>
      </c>
      <c r="Y17" s="62" t="e">
        <f>VLOOKUP('北段 (人資版)'!Y17,工作表1!$A$3:$B$78,2,FALSE)</f>
        <v>#N/A</v>
      </c>
      <c r="Z17" s="62" t="e">
        <f>VLOOKUP('北段 (人資版)'!Z17,工作表1!$A$3:$B$78,2,FALSE)</f>
        <v>#N/A</v>
      </c>
      <c r="AA17" s="62" t="e">
        <f>VLOOKUP('北段 (人資版)'!AA17,工作表1!$A$3:$B$78,2,FALSE)</f>
        <v>#N/A</v>
      </c>
      <c r="AB17" s="62" t="e">
        <f>VLOOKUP('北段 (人資版)'!AB17,工作表1!$A$3:$B$78,2,FALSE)</f>
        <v>#N/A</v>
      </c>
      <c r="AC17" s="62" t="e">
        <f>VLOOKUP('北段 (人資版)'!AC17,工作表1!$A$3:$B$78,2,FALSE)</f>
        <v>#N/A</v>
      </c>
      <c r="AD17" s="62" t="e">
        <f>VLOOKUP('北段 (人資版)'!AD17,工作表1!$A$3:$B$78,2,FALSE)</f>
        <v>#N/A</v>
      </c>
      <c r="AE17" s="62" t="e">
        <f>VLOOKUP('北段 (人資版)'!AE17,工作表1!$A$3:$B$78,2,FALSE)</f>
        <v>#N/A</v>
      </c>
      <c r="AF17" s="62" t="e">
        <f>VLOOKUP('北段 (人資版)'!AF17,工作表1!$A$3:$B$78,2,FALSE)</f>
        <v>#N/A</v>
      </c>
      <c r="AG17" s="62" t="e">
        <f>VLOOKUP('北段 (人資版)'!AG17,工作表1!$A$3:$B$78,2,FALSE)</f>
        <v>#N/A</v>
      </c>
      <c r="AH17" s="62" t="e">
        <f>VLOOKUP('北段 (人資版)'!AH17,工作表1!$A$3:$B$78,2,FALSE)</f>
        <v>#REF!</v>
      </c>
      <c r="AI17" s="62" t="e">
        <f>VLOOKUP('北段 (人資版)'!AI17,工作表1!$A$3:$B$78,2,FALSE)</f>
        <v>#REF!</v>
      </c>
      <c r="AJ17" s="62" t="e">
        <f>VLOOKUP('北段 (人資版)'!AJ17,工作表1!$A$3:$B$78,2,FALSE)</f>
        <v>#REF!</v>
      </c>
      <c r="AK17" s="62" t="e">
        <f>VLOOKUP('北段 (人資版)'!AK17,工作表1!$A$3:$B$78,2,FALSE)</f>
        <v>#REF!</v>
      </c>
      <c r="AL17" s="62" t="e">
        <f>VLOOKUP('北段 (人資版)'!AL17,工作表1!$A$3:$B$78,2,FALSE)</f>
        <v>#REF!</v>
      </c>
      <c r="AM17" s="62" t="e">
        <f>VLOOKUP('北段 (人資版)'!AM17,工作表1!$A$3:$B$78,2,FALSE)</f>
        <v>#REF!</v>
      </c>
      <c r="AN17" s="62" t="e">
        <f>VLOOKUP('北段 (人資版)'!AN17,工作表1!$A$3:$B$78,2,FALSE)</f>
        <v>#REF!</v>
      </c>
    </row>
    <row r="18" spans="1:40" ht="39.6" customHeight="1">
      <c r="A18" s="56"/>
      <c r="B18" s="101" t="str">
        <f>北段!B17</f>
        <v>T02287</v>
      </c>
      <c r="C18" s="38" t="str">
        <f>VLOOKUP(B18,北段!B:C,2,FALSE)</f>
        <v>林江玉</v>
      </c>
      <c r="D18" s="62">
        <f>VLOOKUP('北段 (人資版)'!D18,工作表1!$A$3:$B$78,2,FALSE)</f>
        <v>38</v>
      </c>
      <c r="E18" s="62">
        <f>VLOOKUP('北段 (人資版)'!E18,工作表1!$A$3:$B$78,2,FALSE)</f>
        <v>92</v>
      </c>
      <c r="F18" s="62" t="e">
        <f>VLOOKUP('北段 (人資版)'!F18,工作表1!$A$3:$B$78,2,FALSE)</f>
        <v>#N/A</v>
      </c>
      <c r="G18" s="62" t="e">
        <f>VLOOKUP('北段 (人資版)'!G18,工作表1!$A$3:$B$78,2,FALSE)</f>
        <v>#N/A</v>
      </c>
      <c r="H18" s="62" t="e">
        <f>VLOOKUP('北段 (人資版)'!H18,工作表1!$A$3:$B$78,2,FALSE)</f>
        <v>#N/A</v>
      </c>
      <c r="I18" s="62" t="e">
        <f>VLOOKUP('北段 (人資版)'!I18,工作表1!$A$3:$B$78,2,FALSE)</f>
        <v>#N/A</v>
      </c>
      <c r="J18" s="62" t="e">
        <f>VLOOKUP('北段 (人資版)'!J18,工作表1!$A$3:$B$78,2,FALSE)</f>
        <v>#N/A</v>
      </c>
      <c r="K18" s="62" t="e">
        <f>VLOOKUP('北段 (人資版)'!K18,工作表1!$A$3:$B$78,2,FALSE)</f>
        <v>#N/A</v>
      </c>
      <c r="L18" s="62" t="e">
        <f>VLOOKUP('北段 (人資版)'!L18,工作表1!$A$3:$B$78,2,FALSE)</f>
        <v>#N/A</v>
      </c>
      <c r="M18" s="62" t="e">
        <f>VLOOKUP('北段 (人資版)'!M18,工作表1!$A$3:$B$78,2,FALSE)</f>
        <v>#N/A</v>
      </c>
      <c r="N18" s="62" t="e">
        <f>VLOOKUP('北段 (人資版)'!N18,工作表1!$A$3:$B$78,2,FALSE)</f>
        <v>#N/A</v>
      </c>
      <c r="O18" s="62" t="e">
        <f>VLOOKUP('北段 (人資版)'!O18,工作表1!$A$3:$B$78,2,FALSE)</f>
        <v>#N/A</v>
      </c>
      <c r="P18" s="62" t="e">
        <f>VLOOKUP('北段 (人資版)'!P18,工作表1!$A$3:$B$78,2,FALSE)</f>
        <v>#N/A</v>
      </c>
      <c r="Q18" s="62" t="e">
        <f>VLOOKUP('北段 (人資版)'!Q18,工作表1!$A$3:$B$78,2,FALSE)</f>
        <v>#N/A</v>
      </c>
      <c r="R18" s="62" t="e">
        <f>VLOOKUP('北段 (人資版)'!R18,工作表1!$A$3:$B$78,2,FALSE)</f>
        <v>#N/A</v>
      </c>
      <c r="S18" s="62" t="e">
        <f>VLOOKUP('北段 (人資版)'!S18,工作表1!$A$3:$B$78,2,FALSE)</f>
        <v>#N/A</v>
      </c>
      <c r="T18" s="62" t="e">
        <f>VLOOKUP('北段 (人資版)'!T18,工作表1!$A$3:$B$78,2,FALSE)</f>
        <v>#N/A</v>
      </c>
      <c r="U18" s="62" t="e">
        <f>VLOOKUP('北段 (人資版)'!U18,工作表1!$A$3:$B$78,2,FALSE)</f>
        <v>#N/A</v>
      </c>
      <c r="V18" s="62" t="e">
        <f>VLOOKUP('北段 (人資版)'!V18,工作表1!$A$3:$B$78,2,FALSE)</f>
        <v>#N/A</v>
      </c>
      <c r="W18" s="62" t="e">
        <f>VLOOKUP('北段 (人資版)'!W18,工作表1!$A$3:$B$78,2,FALSE)</f>
        <v>#N/A</v>
      </c>
      <c r="X18" s="62" t="e">
        <f>VLOOKUP('北段 (人資版)'!X18,工作表1!$A$3:$B$78,2,FALSE)</f>
        <v>#N/A</v>
      </c>
      <c r="Y18" s="62" t="e">
        <f>VLOOKUP('北段 (人資版)'!Y18,工作表1!$A$3:$B$78,2,FALSE)</f>
        <v>#N/A</v>
      </c>
      <c r="Z18" s="62" t="e">
        <f>VLOOKUP('北段 (人資版)'!Z18,工作表1!$A$3:$B$78,2,FALSE)</f>
        <v>#N/A</v>
      </c>
      <c r="AA18" s="62" t="e">
        <f>VLOOKUP('北段 (人資版)'!AA18,工作表1!$A$3:$B$78,2,FALSE)</f>
        <v>#N/A</v>
      </c>
      <c r="AB18" s="62" t="e">
        <f>VLOOKUP('北段 (人資版)'!AB18,工作表1!$A$3:$B$78,2,FALSE)</f>
        <v>#N/A</v>
      </c>
      <c r="AC18" s="62" t="e">
        <f>VLOOKUP('北段 (人資版)'!AC18,工作表1!$A$3:$B$78,2,FALSE)</f>
        <v>#N/A</v>
      </c>
      <c r="AD18" s="62" t="e">
        <f>VLOOKUP('北段 (人資版)'!AD18,工作表1!$A$3:$B$78,2,FALSE)</f>
        <v>#N/A</v>
      </c>
      <c r="AE18" s="62" t="e">
        <f>VLOOKUP('北段 (人資版)'!AE18,工作表1!$A$3:$B$78,2,FALSE)</f>
        <v>#N/A</v>
      </c>
      <c r="AF18" s="62" t="e">
        <f>VLOOKUP('北段 (人資版)'!AF18,工作表1!$A$3:$B$78,2,FALSE)</f>
        <v>#N/A</v>
      </c>
      <c r="AG18" s="62" t="e">
        <f>VLOOKUP('北段 (人資版)'!AG18,工作表1!$A$3:$B$78,2,FALSE)</f>
        <v>#N/A</v>
      </c>
      <c r="AH18" s="62" t="e">
        <f>VLOOKUP('北段 (人資版)'!AH18,工作表1!$A$3:$B$78,2,FALSE)</f>
        <v>#REF!</v>
      </c>
      <c r="AI18" s="62" t="e">
        <f>VLOOKUP('北段 (人資版)'!AI18,工作表1!$A$3:$B$78,2,FALSE)</f>
        <v>#REF!</v>
      </c>
      <c r="AJ18" s="62" t="e">
        <f>VLOOKUP('北段 (人資版)'!AJ18,工作表1!$A$3:$B$78,2,FALSE)</f>
        <v>#REF!</v>
      </c>
      <c r="AK18" s="62" t="e">
        <f>VLOOKUP('北段 (人資版)'!AK18,工作表1!$A$3:$B$78,2,FALSE)</f>
        <v>#REF!</v>
      </c>
      <c r="AL18" s="62" t="e">
        <f>VLOOKUP('北段 (人資版)'!AL18,工作表1!$A$3:$B$78,2,FALSE)</f>
        <v>#REF!</v>
      </c>
      <c r="AM18" s="62" t="e">
        <f>VLOOKUP('北段 (人資版)'!AM18,工作表1!$A$3:$B$78,2,FALSE)</f>
        <v>#REF!</v>
      </c>
      <c r="AN18" s="62" t="e">
        <f>VLOOKUP('北段 (人資版)'!AN18,工作表1!$A$3:$B$78,2,FALSE)</f>
        <v>#REF!</v>
      </c>
    </row>
    <row r="19" spans="1:40" ht="39.6" customHeight="1">
      <c r="A19" s="56"/>
      <c r="B19" s="101" t="str">
        <f>北段!B18</f>
        <v>T02359</v>
      </c>
      <c r="C19" s="38" t="str">
        <f>VLOOKUP(B19,北段!B:C,2,FALSE)</f>
        <v>陳佳婷</v>
      </c>
      <c r="D19" s="62">
        <f>VLOOKUP('北段 (人資版)'!D19,工作表1!$A$3:$B$78,2,FALSE)</f>
        <v>92</v>
      </c>
      <c r="E19" s="62">
        <f>VLOOKUP('北段 (人資版)'!E19,工作表1!$A$3:$B$78,2,FALSE)</f>
        <v>38</v>
      </c>
      <c r="F19" s="62" t="e">
        <f>VLOOKUP('北段 (人資版)'!F19,工作表1!$A$3:$B$78,2,FALSE)</f>
        <v>#N/A</v>
      </c>
      <c r="G19" s="62" t="e">
        <f>VLOOKUP('北段 (人資版)'!G19,工作表1!$A$3:$B$78,2,FALSE)</f>
        <v>#N/A</v>
      </c>
      <c r="H19" s="62" t="e">
        <f>VLOOKUP('北段 (人資版)'!H19,工作表1!$A$3:$B$78,2,FALSE)</f>
        <v>#N/A</v>
      </c>
      <c r="I19" s="62" t="e">
        <f>VLOOKUP('北段 (人資版)'!I19,工作表1!$A$3:$B$78,2,FALSE)</f>
        <v>#N/A</v>
      </c>
      <c r="J19" s="62" t="e">
        <f>VLOOKUP('北段 (人資版)'!J19,工作表1!$A$3:$B$78,2,FALSE)</f>
        <v>#N/A</v>
      </c>
      <c r="K19" s="62" t="e">
        <f>VLOOKUP('北段 (人資版)'!K19,工作表1!$A$3:$B$78,2,FALSE)</f>
        <v>#N/A</v>
      </c>
      <c r="L19" s="62" t="e">
        <f>VLOOKUP('北段 (人資版)'!L19,工作表1!$A$3:$B$78,2,FALSE)</f>
        <v>#N/A</v>
      </c>
      <c r="M19" s="62" t="e">
        <f>VLOOKUP('北段 (人資版)'!M19,工作表1!$A$3:$B$78,2,FALSE)</f>
        <v>#N/A</v>
      </c>
      <c r="N19" s="62" t="e">
        <f>VLOOKUP('北段 (人資版)'!N19,工作表1!$A$3:$B$78,2,FALSE)</f>
        <v>#N/A</v>
      </c>
      <c r="O19" s="62" t="e">
        <f>VLOOKUP('北段 (人資版)'!O19,工作表1!$A$3:$B$78,2,FALSE)</f>
        <v>#N/A</v>
      </c>
      <c r="P19" s="62" t="e">
        <f>VLOOKUP('北段 (人資版)'!P19,工作表1!$A$3:$B$78,2,FALSE)</f>
        <v>#N/A</v>
      </c>
      <c r="Q19" s="62" t="e">
        <f>VLOOKUP('北段 (人資版)'!Q19,工作表1!$A$3:$B$78,2,FALSE)</f>
        <v>#N/A</v>
      </c>
      <c r="R19" s="62" t="e">
        <f>VLOOKUP('北段 (人資版)'!R19,工作表1!$A$3:$B$78,2,FALSE)</f>
        <v>#N/A</v>
      </c>
      <c r="S19" s="62" t="e">
        <f>VLOOKUP('北段 (人資版)'!S19,工作表1!$A$3:$B$78,2,FALSE)</f>
        <v>#N/A</v>
      </c>
      <c r="T19" s="62">
        <f>VLOOKUP('北段 (人資版)'!T19,工作表1!$A$3:$B$78,2,FALSE)</f>
        <v>91</v>
      </c>
      <c r="U19" s="62">
        <f>VLOOKUP('北段 (人資版)'!U19,工作表1!$A$3:$B$78,2,FALSE)</f>
        <v>92</v>
      </c>
      <c r="V19" s="62" t="e">
        <f>VLOOKUP('北段 (人資版)'!V19,工作表1!$A$3:$B$78,2,FALSE)</f>
        <v>#N/A</v>
      </c>
      <c r="W19" s="62" t="e">
        <f>VLOOKUP('北段 (人資版)'!W19,工作表1!$A$3:$B$78,2,FALSE)</f>
        <v>#N/A</v>
      </c>
      <c r="X19" s="62" t="e">
        <f>VLOOKUP('北段 (人資版)'!X19,工作表1!$A$3:$B$78,2,FALSE)</f>
        <v>#N/A</v>
      </c>
      <c r="Y19" s="62" t="e">
        <f>VLOOKUP('北段 (人資版)'!Y19,工作表1!$A$3:$B$78,2,FALSE)</f>
        <v>#N/A</v>
      </c>
      <c r="Z19" s="62" t="e">
        <f>VLOOKUP('北段 (人資版)'!Z19,工作表1!$A$3:$B$78,2,FALSE)</f>
        <v>#N/A</v>
      </c>
      <c r="AA19" s="62" t="e">
        <f>VLOOKUP('北段 (人資版)'!AA19,工作表1!$A$3:$B$78,2,FALSE)</f>
        <v>#N/A</v>
      </c>
      <c r="AB19" s="62" t="e">
        <f>VLOOKUP('北段 (人資版)'!AB19,工作表1!$A$3:$B$78,2,FALSE)</f>
        <v>#N/A</v>
      </c>
      <c r="AC19" s="62" t="e">
        <f>VLOOKUP('北段 (人資版)'!AC19,工作表1!$A$3:$B$78,2,FALSE)</f>
        <v>#N/A</v>
      </c>
      <c r="AD19" s="62" t="e">
        <f>VLOOKUP('北段 (人資版)'!AD19,工作表1!$A$3:$B$78,2,FALSE)</f>
        <v>#N/A</v>
      </c>
      <c r="AE19" s="62" t="e">
        <f>VLOOKUP('北段 (人資版)'!AE19,工作表1!$A$3:$B$78,2,FALSE)</f>
        <v>#N/A</v>
      </c>
      <c r="AF19" s="62" t="e">
        <f>VLOOKUP('北段 (人資版)'!AF19,工作表1!$A$3:$B$78,2,FALSE)</f>
        <v>#N/A</v>
      </c>
      <c r="AG19" s="62" t="e">
        <f>VLOOKUP('北段 (人資版)'!AG19,工作表1!$A$3:$B$78,2,FALSE)</f>
        <v>#N/A</v>
      </c>
      <c r="AH19" s="62" t="e">
        <f>VLOOKUP('北段 (人資版)'!AH19,工作表1!$A$3:$B$78,2,FALSE)</f>
        <v>#REF!</v>
      </c>
      <c r="AI19" s="62" t="e">
        <f>VLOOKUP('北段 (人資版)'!AI19,工作表1!$A$3:$B$78,2,FALSE)</f>
        <v>#REF!</v>
      </c>
      <c r="AJ19" s="62" t="e">
        <f>VLOOKUP('北段 (人資版)'!AJ19,工作表1!$A$3:$B$78,2,FALSE)</f>
        <v>#REF!</v>
      </c>
      <c r="AK19" s="62" t="e">
        <f>VLOOKUP('北段 (人資版)'!AK19,工作表1!$A$3:$B$78,2,FALSE)</f>
        <v>#REF!</v>
      </c>
      <c r="AL19" s="62" t="e">
        <f>VLOOKUP('北段 (人資版)'!AL19,工作表1!$A$3:$B$78,2,FALSE)</f>
        <v>#REF!</v>
      </c>
      <c r="AM19" s="62" t="e">
        <f>VLOOKUP('北段 (人資版)'!AM19,工作表1!$A$3:$B$78,2,FALSE)</f>
        <v>#REF!</v>
      </c>
      <c r="AN19" s="62" t="e">
        <f>VLOOKUP('北段 (人資版)'!AN19,工作表1!$A$3:$B$78,2,FALSE)</f>
        <v>#REF!</v>
      </c>
    </row>
    <row r="20" spans="1:40" ht="39.6" customHeight="1">
      <c r="A20" s="56"/>
      <c r="B20" s="101" t="str">
        <f>北段!B19</f>
        <v>T02363</v>
      </c>
      <c r="C20" s="38" t="str">
        <f>VLOOKUP(B20,北段!B:C,2,FALSE)</f>
        <v>林孟錡</v>
      </c>
      <c r="D20" s="62">
        <f>VLOOKUP('北段 (人資版)'!D20,工作表1!$A$3:$B$78,2,FALSE)</f>
        <v>70</v>
      </c>
      <c r="E20" s="62">
        <f>VLOOKUP('北段 (人資版)'!E20,工作表1!$A$3:$B$78,2,FALSE)</f>
        <v>70</v>
      </c>
      <c r="F20" s="62" t="e">
        <f>VLOOKUP('北段 (人資版)'!F20,工作表1!$A$3:$B$78,2,FALSE)</f>
        <v>#N/A</v>
      </c>
      <c r="G20" s="62" t="e">
        <f>VLOOKUP('北段 (人資版)'!G20,工作表1!$A$3:$B$78,2,FALSE)</f>
        <v>#N/A</v>
      </c>
      <c r="H20" s="62" t="e">
        <f>VLOOKUP('北段 (人資版)'!H20,工作表1!$A$3:$B$78,2,FALSE)</f>
        <v>#N/A</v>
      </c>
      <c r="I20" s="62" t="e">
        <f>VLOOKUP('北段 (人資版)'!I20,工作表1!$A$3:$B$78,2,FALSE)</f>
        <v>#N/A</v>
      </c>
      <c r="J20" s="62" t="e">
        <f>VLOOKUP('北段 (人資版)'!J20,工作表1!$A$3:$B$78,2,FALSE)</f>
        <v>#N/A</v>
      </c>
      <c r="K20" s="62" t="e">
        <f>VLOOKUP('北段 (人資版)'!K20,工作表1!$A$3:$B$78,2,FALSE)</f>
        <v>#N/A</v>
      </c>
      <c r="L20" s="62" t="e">
        <f>VLOOKUP('北段 (人資版)'!L20,工作表1!$A$3:$B$78,2,FALSE)</f>
        <v>#N/A</v>
      </c>
      <c r="M20" s="62" t="e">
        <f>VLOOKUP('北段 (人資版)'!M20,工作表1!$A$3:$B$78,2,FALSE)</f>
        <v>#N/A</v>
      </c>
      <c r="N20" s="62" t="e">
        <f>VLOOKUP('北段 (人資版)'!N20,工作表1!$A$3:$B$78,2,FALSE)</f>
        <v>#N/A</v>
      </c>
      <c r="O20" s="62" t="e">
        <f>VLOOKUP('北段 (人資版)'!O20,工作表1!$A$3:$B$78,2,FALSE)</f>
        <v>#N/A</v>
      </c>
      <c r="P20" s="62" t="e">
        <f>VLOOKUP('北段 (人資版)'!P20,工作表1!$A$3:$B$78,2,FALSE)</f>
        <v>#N/A</v>
      </c>
      <c r="Q20" s="62" t="e">
        <f>VLOOKUP('北段 (人資版)'!Q20,工作表1!$A$3:$B$78,2,FALSE)</f>
        <v>#N/A</v>
      </c>
      <c r="R20" s="62" t="e">
        <f>VLOOKUP('北段 (人資版)'!R20,工作表1!$A$3:$B$78,2,FALSE)</f>
        <v>#N/A</v>
      </c>
      <c r="S20" s="62" t="e">
        <f>VLOOKUP('北段 (人資版)'!S20,工作表1!$A$3:$B$78,2,FALSE)</f>
        <v>#N/A</v>
      </c>
      <c r="T20" s="62" t="e">
        <f>VLOOKUP('北段 (人資版)'!T20,工作表1!$A$3:$B$78,2,FALSE)</f>
        <v>#N/A</v>
      </c>
      <c r="U20" s="62" t="e">
        <f>VLOOKUP('北段 (人資版)'!U20,工作表1!$A$3:$B$78,2,FALSE)</f>
        <v>#N/A</v>
      </c>
      <c r="V20" s="62" t="e">
        <f>VLOOKUP('北段 (人資版)'!V20,工作表1!$A$3:$B$78,2,FALSE)</f>
        <v>#N/A</v>
      </c>
      <c r="W20" s="62" t="e">
        <f>VLOOKUP('北段 (人資版)'!W20,工作表1!$A$3:$B$78,2,FALSE)</f>
        <v>#N/A</v>
      </c>
      <c r="X20" s="62" t="e">
        <f>VLOOKUP('北段 (人資版)'!X20,工作表1!$A$3:$B$78,2,FALSE)</f>
        <v>#N/A</v>
      </c>
      <c r="Y20" s="62" t="e">
        <f>VLOOKUP('北段 (人資版)'!Y20,工作表1!$A$3:$B$78,2,FALSE)</f>
        <v>#N/A</v>
      </c>
      <c r="Z20" s="62" t="e">
        <f>VLOOKUP('北段 (人資版)'!Z20,工作表1!$A$3:$B$78,2,FALSE)</f>
        <v>#N/A</v>
      </c>
      <c r="AA20" s="62" t="e">
        <f>VLOOKUP('北段 (人資版)'!AA20,工作表1!$A$3:$B$78,2,FALSE)</f>
        <v>#N/A</v>
      </c>
      <c r="AB20" s="62" t="e">
        <f>VLOOKUP('北段 (人資版)'!AB20,工作表1!$A$3:$B$78,2,FALSE)</f>
        <v>#N/A</v>
      </c>
      <c r="AC20" s="62" t="e">
        <f>VLOOKUP('北段 (人資版)'!AC20,工作表1!$A$3:$B$78,2,FALSE)</f>
        <v>#N/A</v>
      </c>
      <c r="AD20" s="62" t="e">
        <f>VLOOKUP('北段 (人資版)'!AD20,工作表1!$A$3:$B$78,2,FALSE)</f>
        <v>#N/A</v>
      </c>
      <c r="AE20" s="62" t="e">
        <f>VLOOKUP('北段 (人資版)'!AE20,工作表1!$A$3:$B$78,2,FALSE)</f>
        <v>#N/A</v>
      </c>
      <c r="AF20" s="62" t="e">
        <f>VLOOKUP('北段 (人資版)'!AF20,工作表1!$A$3:$B$78,2,FALSE)</f>
        <v>#N/A</v>
      </c>
      <c r="AG20" s="62" t="e">
        <f>VLOOKUP('北段 (人資版)'!AG20,工作表1!$A$3:$B$78,2,FALSE)</f>
        <v>#N/A</v>
      </c>
      <c r="AH20" s="62" t="e">
        <f>VLOOKUP('北段 (人資版)'!AH20,工作表1!$A$3:$B$78,2,FALSE)</f>
        <v>#REF!</v>
      </c>
      <c r="AI20" s="62" t="e">
        <f>VLOOKUP('北段 (人資版)'!AI20,工作表1!$A$3:$B$78,2,FALSE)</f>
        <v>#REF!</v>
      </c>
      <c r="AJ20" s="62" t="e">
        <f>VLOOKUP('北段 (人資版)'!AJ20,工作表1!$A$3:$B$78,2,FALSE)</f>
        <v>#REF!</v>
      </c>
      <c r="AK20" s="62" t="e">
        <f>VLOOKUP('北段 (人資版)'!AK20,工作表1!$A$3:$B$78,2,FALSE)</f>
        <v>#REF!</v>
      </c>
      <c r="AL20" s="62" t="e">
        <f>VLOOKUP('北段 (人資版)'!AL20,工作表1!$A$3:$B$78,2,FALSE)</f>
        <v>#REF!</v>
      </c>
      <c r="AM20" s="62" t="e">
        <f>VLOOKUP('北段 (人資版)'!AM20,工作表1!$A$3:$B$78,2,FALSE)</f>
        <v>#REF!</v>
      </c>
      <c r="AN20" s="62" t="e">
        <f>VLOOKUP('北段 (人資版)'!AN20,工作表1!$A$3:$B$78,2,FALSE)</f>
        <v>#REF!</v>
      </c>
    </row>
    <row r="21" spans="1:40" ht="39.6" customHeight="1">
      <c r="A21" s="56"/>
      <c r="B21" s="101" t="str">
        <f>北段!B20</f>
        <v>T02504</v>
      </c>
      <c r="C21" s="38" t="str">
        <f>VLOOKUP(B21,北段!B:C,2,FALSE)</f>
        <v>潘元浩</v>
      </c>
      <c r="D21" s="62">
        <f>VLOOKUP('北段 (人資版)'!D21,工作表1!$A$3:$B$78,2,FALSE)</f>
        <v>66</v>
      </c>
      <c r="E21" s="62">
        <f>VLOOKUP('北段 (人資版)'!E21,工作表1!$A$3:$B$78,2,FALSE)</f>
        <v>66</v>
      </c>
      <c r="F21" s="62" t="e">
        <f>VLOOKUP('北段 (人資版)'!F21,工作表1!$A$3:$B$78,2,FALSE)</f>
        <v>#N/A</v>
      </c>
      <c r="G21" s="62" t="e">
        <f>VLOOKUP('北段 (人資版)'!G21,工作表1!$A$3:$B$78,2,FALSE)</f>
        <v>#N/A</v>
      </c>
      <c r="H21" s="62" t="e">
        <f>VLOOKUP('北段 (人資版)'!H21,工作表1!$A$3:$B$78,2,FALSE)</f>
        <v>#N/A</v>
      </c>
      <c r="I21" s="62" t="e">
        <f>VLOOKUP('北段 (人資版)'!I21,工作表1!$A$3:$B$78,2,FALSE)</f>
        <v>#N/A</v>
      </c>
      <c r="J21" s="62" t="e">
        <f>VLOOKUP('北段 (人資版)'!J21,工作表1!$A$3:$B$78,2,FALSE)</f>
        <v>#N/A</v>
      </c>
      <c r="K21" s="62" t="e">
        <f>VLOOKUP('北段 (人資版)'!K21,工作表1!$A$3:$B$78,2,FALSE)</f>
        <v>#N/A</v>
      </c>
      <c r="L21" s="62" t="e">
        <f>VLOOKUP('北段 (人資版)'!L21,工作表1!$A$3:$B$78,2,FALSE)</f>
        <v>#N/A</v>
      </c>
      <c r="M21" s="62" t="e">
        <f>VLOOKUP('北段 (人資版)'!M21,工作表1!$A$3:$B$78,2,FALSE)</f>
        <v>#N/A</v>
      </c>
      <c r="N21" s="62" t="e">
        <f>VLOOKUP('北段 (人資版)'!N21,工作表1!$A$3:$B$78,2,FALSE)</f>
        <v>#N/A</v>
      </c>
      <c r="O21" s="62" t="e">
        <f>VLOOKUP('北段 (人資版)'!O21,工作表1!$A$3:$B$78,2,FALSE)</f>
        <v>#N/A</v>
      </c>
      <c r="P21" s="62" t="e">
        <f>VLOOKUP('北段 (人資版)'!P21,工作表1!$A$3:$B$78,2,FALSE)</f>
        <v>#N/A</v>
      </c>
      <c r="Q21" s="62" t="e">
        <f>VLOOKUP('北段 (人資版)'!Q21,工作表1!$A$3:$B$78,2,FALSE)</f>
        <v>#N/A</v>
      </c>
      <c r="R21" s="62" t="e">
        <f>VLOOKUP('北段 (人資版)'!R21,工作表1!$A$3:$B$78,2,FALSE)</f>
        <v>#N/A</v>
      </c>
      <c r="S21" s="62" t="e">
        <f>VLOOKUP('北段 (人資版)'!S21,工作表1!$A$3:$B$78,2,FALSE)</f>
        <v>#N/A</v>
      </c>
      <c r="T21" s="62" t="e">
        <f>VLOOKUP('北段 (人資版)'!T21,工作表1!$A$3:$B$78,2,FALSE)</f>
        <v>#N/A</v>
      </c>
      <c r="U21" s="62" t="e">
        <f>VLOOKUP('北段 (人資版)'!U21,工作表1!$A$3:$B$78,2,FALSE)</f>
        <v>#N/A</v>
      </c>
      <c r="V21" s="62" t="e">
        <f>VLOOKUP('北段 (人資版)'!V21,工作表1!$A$3:$B$78,2,FALSE)</f>
        <v>#N/A</v>
      </c>
      <c r="W21" s="62" t="e">
        <f>VLOOKUP('北段 (人資版)'!W21,工作表1!$A$3:$B$78,2,FALSE)</f>
        <v>#N/A</v>
      </c>
      <c r="X21" s="62">
        <f>VLOOKUP('北段 (人資版)'!X21,工作表1!$A$3:$B$78,2,FALSE)</f>
        <v>91</v>
      </c>
      <c r="Y21" s="62">
        <f>VLOOKUP('北段 (人資版)'!Y21,工作表1!$A$3:$B$78,2,FALSE)</f>
        <v>92</v>
      </c>
      <c r="Z21" s="62" t="str">
        <f>VLOOKUP('北段 (人資版)'!Z21,工作表1!$A$3:$B$78,2,FALSE)</f>
        <v>07</v>
      </c>
      <c r="AA21" s="62" t="str">
        <f>VLOOKUP('北段 (人資版)'!AA21,工作表1!$A$3:$B$78,2,FALSE)</f>
        <v>07</v>
      </c>
      <c r="AB21" s="62" t="e">
        <f>VLOOKUP('北段 (人資版)'!AB21,工作表1!$A$3:$B$78,2,FALSE)</f>
        <v>#N/A</v>
      </c>
      <c r="AC21" s="62" t="e">
        <f>VLOOKUP('北段 (人資版)'!AC21,工作表1!$A$3:$B$78,2,FALSE)</f>
        <v>#N/A</v>
      </c>
      <c r="AD21" s="62" t="e">
        <f>VLOOKUP('北段 (人資版)'!AD21,工作表1!$A$3:$B$78,2,FALSE)</f>
        <v>#N/A</v>
      </c>
      <c r="AE21" s="62" t="e">
        <f>VLOOKUP('北段 (人資版)'!AE21,工作表1!$A$3:$B$78,2,FALSE)</f>
        <v>#N/A</v>
      </c>
      <c r="AF21" s="62" t="e">
        <f>VLOOKUP('北段 (人資版)'!AF21,工作表1!$A$3:$B$78,2,FALSE)</f>
        <v>#N/A</v>
      </c>
      <c r="AG21" s="62" t="e">
        <f>VLOOKUP('北段 (人資版)'!AG21,工作表1!$A$3:$B$78,2,FALSE)</f>
        <v>#N/A</v>
      </c>
      <c r="AH21" s="62" t="e">
        <f>VLOOKUP('北段 (人資版)'!AH21,工作表1!$A$3:$B$78,2,FALSE)</f>
        <v>#REF!</v>
      </c>
      <c r="AI21" s="62" t="e">
        <f>VLOOKUP('北段 (人資版)'!AI21,工作表1!$A$3:$B$78,2,FALSE)</f>
        <v>#REF!</v>
      </c>
      <c r="AJ21" s="62" t="e">
        <f>VLOOKUP('北段 (人資版)'!AJ21,工作表1!$A$3:$B$78,2,FALSE)</f>
        <v>#REF!</v>
      </c>
      <c r="AK21" s="62" t="e">
        <f>VLOOKUP('北段 (人資版)'!AK21,工作表1!$A$3:$B$78,2,FALSE)</f>
        <v>#REF!</v>
      </c>
      <c r="AL21" s="62" t="e">
        <f>VLOOKUP('北段 (人資版)'!AL21,工作表1!$A$3:$B$78,2,FALSE)</f>
        <v>#REF!</v>
      </c>
      <c r="AM21" s="62" t="e">
        <f>VLOOKUP('北段 (人資版)'!AM21,工作表1!$A$3:$B$78,2,FALSE)</f>
        <v>#REF!</v>
      </c>
      <c r="AN21" s="62" t="e">
        <f>VLOOKUP('北段 (人資版)'!AN21,工作表1!$A$3:$B$78,2,FALSE)</f>
        <v>#REF!</v>
      </c>
    </row>
    <row r="22" spans="1:40" ht="39.75" customHeight="1">
      <c r="A22" s="56"/>
      <c r="B22" s="101" t="str">
        <f>北段!B21</f>
        <v>T02505</v>
      </c>
      <c r="C22" s="38" t="str">
        <f>VLOOKUP(B22,北段!B:C,2,FALSE)</f>
        <v>李慧盺</v>
      </c>
      <c r="D22" s="62">
        <f>VLOOKUP('北段 (人資版)'!D22,工作表1!$A$3:$B$78,2,FALSE)</f>
        <v>90</v>
      </c>
      <c r="E22" s="62">
        <f>VLOOKUP('北段 (人資版)'!E22,工作表1!$A$3:$B$78,2,FALSE)</f>
        <v>92</v>
      </c>
      <c r="F22" s="62" t="e">
        <f>VLOOKUP('北段 (人資版)'!F22,工作表1!$A$3:$B$78,2,FALSE)</f>
        <v>#N/A</v>
      </c>
      <c r="G22" s="62" t="e">
        <f>VLOOKUP('北段 (人資版)'!G22,工作表1!$A$3:$B$78,2,FALSE)</f>
        <v>#N/A</v>
      </c>
      <c r="H22" s="62" t="e">
        <f>VLOOKUP('北段 (人資版)'!H22,工作表1!$A$3:$B$78,2,FALSE)</f>
        <v>#N/A</v>
      </c>
      <c r="I22" s="62" t="e">
        <f>VLOOKUP('北段 (人資版)'!I22,工作表1!$A$3:$B$78,2,FALSE)</f>
        <v>#N/A</v>
      </c>
      <c r="J22" s="62" t="e">
        <f>VLOOKUP('北段 (人資版)'!J22,工作表1!$A$3:$B$78,2,FALSE)</f>
        <v>#N/A</v>
      </c>
      <c r="K22" s="62" t="e">
        <f>VLOOKUP('北段 (人資版)'!K22,工作表1!$A$3:$B$78,2,FALSE)</f>
        <v>#N/A</v>
      </c>
      <c r="L22" s="62" t="e">
        <f>VLOOKUP('北段 (人資版)'!L22,工作表1!$A$3:$B$78,2,FALSE)</f>
        <v>#N/A</v>
      </c>
      <c r="M22" s="62" t="e">
        <f>VLOOKUP('北段 (人資版)'!M22,工作表1!$A$3:$B$78,2,FALSE)</f>
        <v>#N/A</v>
      </c>
      <c r="N22" s="62" t="e">
        <f>VLOOKUP('北段 (人資版)'!N22,工作表1!$A$3:$B$78,2,FALSE)</f>
        <v>#N/A</v>
      </c>
      <c r="O22" s="62" t="e">
        <f>VLOOKUP('北段 (人資版)'!O22,工作表1!$A$3:$B$78,2,FALSE)</f>
        <v>#N/A</v>
      </c>
      <c r="P22" s="62" t="e">
        <f>VLOOKUP('北段 (人資版)'!P22,工作表1!$A$3:$B$78,2,FALSE)</f>
        <v>#N/A</v>
      </c>
      <c r="Q22" s="62" t="e">
        <f>VLOOKUP('北段 (人資版)'!Q22,工作表1!$A$3:$B$78,2,FALSE)</f>
        <v>#N/A</v>
      </c>
      <c r="R22" s="62" t="e">
        <f>VLOOKUP('北段 (人資版)'!R22,工作表1!$A$3:$B$78,2,FALSE)</f>
        <v>#N/A</v>
      </c>
      <c r="S22" s="62" t="e">
        <f>VLOOKUP('北段 (人資版)'!S22,工作表1!$A$3:$B$78,2,FALSE)</f>
        <v>#N/A</v>
      </c>
      <c r="T22" s="62" t="e">
        <f>VLOOKUP('北段 (人資版)'!T22,工作表1!$A$3:$B$78,2,FALSE)</f>
        <v>#N/A</v>
      </c>
      <c r="U22" s="62" t="e">
        <f>VLOOKUP('北段 (人資版)'!U22,工作表1!$A$3:$B$78,2,FALSE)</f>
        <v>#N/A</v>
      </c>
      <c r="V22" s="62" t="e">
        <f>VLOOKUP('北段 (人資版)'!V22,工作表1!$A$3:$B$78,2,FALSE)</f>
        <v>#N/A</v>
      </c>
      <c r="W22" s="62" t="e">
        <f>VLOOKUP('北段 (人資版)'!W22,工作表1!$A$3:$B$78,2,FALSE)</f>
        <v>#N/A</v>
      </c>
      <c r="X22" s="62">
        <f>VLOOKUP('北段 (人資版)'!X22,工作表1!$A$3:$B$78,2,FALSE)</f>
        <v>91</v>
      </c>
      <c r="Y22" s="62">
        <f>VLOOKUP('北段 (人資版)'!Y22,工作表1!$A$3:$B$78,2,FALSE)</f>
        <v>92</v>
      </c>
      <c r="Z22" s="62" t="str">
        <f>VLOOKUP('北段 (人資版)'!Z22,工作表1!$A$3:$B$78,2,FALSE)</f>
        <v>07</v>
      </c>
      <c r="AA22" s="62" t="str">
        <f>VLOOKUP('北段 (人資版)'!AA22,工作表1!$A$3:$B$78,2,FALSE)</f>
        <v>07</v>
      </c>
      <c r="AB22" s="62" t="e">
        <f>VLOOKUP('北段 (人資版)'!AB22,工作表1!$A$3:$B$78,2,FALSE)</f>
        <v>#N/A</v>
      </c>
      <c r="AC22" s="62" t="e">
        <f>VLOOKUP('北段 (人資版)'!AC22,工作表1!$A$3:$B$78,2,FALSE)</f>
        <v>#N/A</v>
      </c>
      <c r="AD22" s="62" t="e">
        <f>VLOOKUP('北段 (人資版)'!AD22,工作表1!$A$3:$B$78,2,FALSE)</f>
        <v>#N/A</v>
      </c>
      <c r="AE22" s="62" t="e">
        <f>VLOOKUP('北段 (人資版)'!AE22,工作表1!$A$3:$B$78,2,FALSE)</f>
        <v>#N/A</v>
      </c>
      <c r="AF22" s="62" t="e">
        <f>VLOOKUP('北段 (人資版)'!AF22,工作表1!$A$3:$B$78,2,FALSE)</f>
        <v>#N/A</v>
      </c>
      <c r="AG22" s="62" t="e">
        <f>VLOOKUP('北段 (人資版)'!AG22,工作表1!$A$3:$B$78,2,FALSE)</f>
        <v>#N/A</v>
      </c>
      <c r="AH22" s="62" t="e">
        <f>VLOOKUP('北段 (人資版)'!AH22,工作表1!$A$3:$B$78,2,FALSE)</f>
        <v>#REF!</v>
      </c>
      <c r="AI22" s="62" t="e">
        <f>VLOOKUP('北段 (人資版)'!AI22,工作表1!$A$3:$B$78,2,FALSE)</f>
        <v>#REF!</v>
      </c>
      <c r="AJ22" s="62" t="e">
        <f>VLOOKUP('北段 (人資版)'!AJ22,工作表1!$A$3:$B$78,2,FALSE)</f>
        <v>#REF!</v>
      </c>
      <c r="AK22" s="62" t="e">
        <f>VLOOKUP('北段 (人資版)'!AK22,工作表1!$A$3:$B$78,2,FALSE)</f>
        <v>#REF!</v>
      </c>
      <c r="AL22" s="62" t="e">
        <f>VLOOKUP('北段 (人資版)'!AL22,工作表1!$A$3:$B$78,2,FALSE)</f>
        <v>#REF!</v>
      </c>
      <c r="AM22" s="62" t="e">
        <f>VLOOKUP('北段 (人資版)'!AM22,工作表1!$A$3:$B$78,2,FALSE)</f>
        <v>#REF!</v>
      </c>
      <c r="AN22" s="62" t="e">
        <f>VLOOKUP('北段 (人資版)'!AN22,工作表1!$A$3:$B$78,2,FALSE)</f>
        <v>#REF!</v>
      </c>
    </row>
    <row r="23" spans="1:40" ht="39.6" customHeight="1">
      <c r="A23" s="56"/>
      <c r="B23" s="101" t="str">
        <f>北段!B22</f>
        <v>T00557</v>
      </c>
      <c r="C23" s="38" t="str">
        <f>VLOOKUP(B23,北段!B:C,2,FALSE)</f>
        <v>陳志明</v>
      </c>
      <c r="D23" s="62">
        <f>VLOOKUP('北段 (人資版)'!D23,工作表1!$A$3:$B$78,2,FALSE)</f>
        <v>38</v>
      </c>
      <c r="E23" s="62">
        <f>VLOOKUP('北段 (人資版)'!E23,工作表1!$A$3:$B$78,2,FALSE)</f>
        <v>92</v>
      </c>
      <c r="F23" s="62" t="e">
        <f>VLOOKUP('北段 (人資版)'!F23,工作表1!$A$3:$B$78,2,FALSE)</f>
        <v>#N/A</v>
      </c>
      <c r="G23" s="62" t="e">
        <f>VLOOKUP('北段 (人資版)'!G23,工作表1!$A$3:$B$78,2,FALSE)</f>
        <v>#N/A</v>
      </c>
      <c r="H23" s="62" t="e">
        <f>VLOOKUP('北段 (人資版)'!H23,工作表1!$A$3:$B$78,2,FALSE)</f>
        <v>#N/A</v>
      </c>
      <c r="I23" s="62" t="e">
        <f>VLOOKUP('北段 (人資版)'!I23,工作表1!$A$3:$B$78,2,FALSE)</f>
        <v>#N/A</v>
      </c>
      <c r="J23" s="62" t="e">
        <f>VLOOKUP('北段 (人資版)'!J23,工作表1!$A$3:$B$78,2,FALSE)</f>
        <v>#N/A</v>
      </c>
      <c r="K23" s="62" t="str">
        <f>VLOOKUP('北段 (人資版)'!K23,工作表1!$A$3:$B$78,2,FALSE)</f>
        <v>07</v>
      </c>
      <c r="L23" s="62">
        <f>VLOOKUP('北段 (人資版)'!L23,工作表1!$A$3:$B$78,2,FALSE)</f>
        <v>91</v>
      </c>
      <c r="M23" s="62">
        <f>VLOOKUP('北段 (人資版)'!M23,工作表1!$A$3:$B$78,2,FALSE)</f>
        <v>91</v>
      </c>
      <c r="N23" s="62" t="e">
        <f>VLOOKUP('北段 (人資版)'!N23,工作表1!$A$3:$B$78,2,FALSE)</f>
        <v>#N/A</v>
      </c>
      <c r="O23" s="62" t="e">
        <f>VLOOKUP('北段 (人資版)'!O23,工作表1!$A$3:$B$78,2,FALSE)</f>
        <v>#N/A</v>
      </c>
      <c r="P23" s="62" t="e">
        <f>VLOOKUP('北段 (人資版)'!P23,工作表1!$A$3:$B$78,2,FALSE)</f>
        <v>#N/A</v>
      </c>
      <c r="Q23" s="62" t="e">
        <f>VLOOKUP('北段 (人資版)'!Q23,工作表1!$A$3:$B$78,2,FALSE)</f>
        <v>#N/A</v>
      </c>
      <c r="R23" s="62" t="e">
        <f>VLOOKUP('北段 (人資版)'!R23,工作表1!$A$3:$B$78,2,FALSE)</f>
        <v>#N/A</v>
      </c>
      <c r="S23" s="62" t="e">
        <f>VLOOKUP('北段 (人資版)'!S23,工作表1!$A$3:$B$78,2,FALSE)</f>
        <v>#N/A</v>
      </c>
      <c r="T23" s="62" t="e">
        <f>VLOOKUP('北段 (人資版)'!T23,工作表1!$A$3:$B$78,2,FALSE)</f>
        <v>#N/A</v>
      </c>
      <c r="U23" s="62">
        <f>VLOOKUP('北段 (人資版)'!U23,工作表1!$A$3:$B$78,2,FALSE)</f>
        <v>91</v>
      </c>
      <c r="V23" s="62" t="e">
        <f>VLOOKUP('北段 (人資版)'!V23,工作表1!$A$3:$B$78,2,FALSE)</f>
        <v>#N/A</v>
      </c>
      <c r="W23" s="62" t="e">
        <f>VLOOKUP('北段 (人資版)'!W23,工作表1!$A$3:$B$78,2,FALSE)</f>
        <v>#N/A</v>
      </c>
      <c r="X23" s="62" t="e">
        <f>VLOOKUP('北段 (人資版)'!X23,工作表1!$A$3:$B$78,2,FALSE)</f>
        <v>#N/A</v>
      </c>
      <c r="Y23" s="62" t="e">
        <f>VLOOKUP('北段 (人資版)'!Y23,工作表1!$A$3:$B$78,2,FALSE)</f>
        <v>#N/A</v>
      </c>
      <c r="Z23" s="62" t="e">
        <f>VLOOKUP('北段 (人資版)'!Z23,工作表1!$A$3:$B$78,2,FALSE)</f>
        <v>#N/A</v>
      </c>
      <c r="AA23" s="62" t="e">
        <f>VLOOKUP('北段 (人資版)'!AA23,工作表1!$A$3:$B$78,2,FALSE)</f>
        <v>#N/A</v>
      </c>
      <c r="AB23" s="62" t="e">
        <f>VLOOKUP('北段 (人資版)'!AB23,工作表1!$A$3:$B$78,2,FALSE)</f>
        <v>#N/A</v>
      </c>
      <c r="AC23" s="62" t="e">
        <f>VLOOKUP('北段 (人資版)'!AC23,工作表1!$A$3:$B$78,2,FALSE)</f>
        <v>#N/A</v>
      </c>
      <c r="AD23" s="62" t="e">
        <f>VLOOKUP('北段 (人資版)'!AD23,工作表1!$A$3:$B$78,2,FALSE)</f>
        <v>#N/A</v>
      </c>
      <c r="AE23" s="62" t="e">
        <f>VLOOKUP('北段 (人資版)'!AE23,工作表1!$A$3:$B$78,2,FALSE)</f>
        <v>#N/A</v>
      </c>
      <c r="AF23" s="62" t="e">
        <f>VLOOKUP('北段 (人資版)'!AF23,工作表1!$A$3:$B$78,2,FALSE)</f>
        <v>#N/A</v>
      </c>
      <c r="AG23" s="62" t="e">
        <f>VLOOKUP('北段 (人資版)'!AG23,工作表1!$A$3:$B$78,2,FALSE)</f>
        <v>#N/A</v>
      </c>
      <c r="AH23" s="62" t="e">
        <f>VLOOKUP('北段 (人資版)'!AH23,工作表1!$A$3:$B$78,2,FALSE)</f>
        <v>#REF!</v>
      </c>
      <c r="AI23" s="62" t="e">
        <f>VLOOKUP('北段 (人資版)'!AI23,工作表1!$A$3:$B$78,2,FALSE)</f>
        <v>#REF!</v>
      </c>
      <c r="AJ23" s="62" t="e">
        <f>VLOOKUP('北段 (人資版)'!AJ23,工作表1!$A$3:$B$78,2,FALSE)</f>
        <v>#REF!</v>
      </c>
      <c r="AK23" s="62" t="e">
        <f>VLOOKUP('北段 (人資版)'!AK23,工作表1!$A$3:$B$78,2,FALSE)</f>
        <v>#REF!</v>
      </c>
      <c r="AL23" s="62" t="e">
        <f>VLOOKUP('北段 (人資版)'!AL23,工作表1!$A$3:$B$78,2,FALSE)</f>
        <v>#REF!</v>
      </c>
      <c r="AM23" s="62" t="e">
        <f>VLOOKUP('北段 (人資版)'!AM23,工作表1!$A$3:$B$78,2,FALSE)</f>
        <v>#REF!</v>
      </c>
      <c r="AN23" s="62" t="e">
        <f>VLOOKUP('北段 (人資版)'!AN23,工作表1!$A$3:$B$78,2,FALSE)</f>
        <v>#REF!</v>
      </c>
    </row>
    <row r="24" spans="1:40" ht="39.6" customHeight="1">
      <c r="A24" s="56"/>
      <c r="B24" s="101" t="str">
        <f>北段!B23</f>
        <v>T00929</v>
      </c>
      <c r="C24" s="38" t="str">
        <f>VLOOKUP(B24,北段!B:C,2,FALSE)</f>
        <v>簡婉蓁</v>
      </c>
      <c r="D24" s="62" t="e">
        <f>VLOOKUP('北段 (人資版)'!D24,工作表1!$A$3:$B$78,2,FALSE)</f>
        <v>#N/A</v>
      </c>
      <c r="E24" s="62">
        <f>VLOOKUP('北段 (人資版)'!E24,工作表1!$A$3:$B$78,2,FALSE)</f>
        <v>92</v>
      </c>
      <c r="F24" s="62" t="e">
        <f>VLOOKUP('北段 (人資版)'!F24,工作表1!$A$3:$B$78,2,FALSE)</f>
        <v>#N/A</v>
      </c>
      <c r="G24" s="62" t="e">
        <f>VLOOKUP('北段 (人資版)'!G24,工作表1!$A$3:$B$78,2,FALSE)</f>
        <v>#N/A</v>
      </c>
      <c r="H24" s="62" t="e">
        <f>VLOOKUP('北段 (人資版)'!H24,工作表1!$A$3:$B$78,2,FALSE)</f>
        <v>#N/A</v>
      </c>
      <c r="I24" s="62" t="e">
        <f>VLOOKUP('北段 (人資版)'!I24,工作表1!$A$3:$B$78,2,FALSE)</f>
        <v>#N/A</v>
      </c>
      <c r="J24" s="62" t="e">
        <f>VLOOKUP('北段 (人資版)'!J24,工作表1!$A$3:$B$78,2,FALSE)</f>
        <v>#N/A</v>
      </c>
      <c r="K24" s="62" t="e">
        <f>VLOOKUP('北段 (人資版)'!K24,工作表1!$A$3:$B$78,2,FALSE)</f>
        <v>#N/A</v>
      </c>
      <c r="L24" s="62" t="e">
        <f>VLOOKUP('北段 (人資版)'!L24,工作表1!$A$3:$B$78,2,FALSE)</f>
        <v>#N/A</v>
      </c>
      <c r="M24" s="62" t="e">
        <f>VLOOKUP('北段 (人資版)'!M24,工作表1!$A$3:$B$78,2,FALSE)</f>
        <v>#N/A</v>
      </c>
      <c r="N24" s="62" t="e">
        <f>VLOOKUP('北段 (人資版)'!N24,工作表1!$A$3:$B$78,2,FALSE)</f>
        <v>#N/A</v>
      </c>
      <c r="O24" s="62" t="e">
        <f>VLOOKUP('北段 (人資版)'!O24,工作表1!$A$3:$B$78,2,FALSE)</f>
        <v>#N/A</v>
      </c>
      <c r="P24" s="62" t="e">
        <f>VLOOKUP('北段 (人資版)'!P24,工作表1!$A$3:$B$78,2,FALSE)</f>
        <v>#N/A</v>
      </c>
      <c r="Q24" s="62" t="e">
        <f>VLOOKUP('北段 (人資版)'!Q24,工作表1!$A$3:$B$78,2,FALSE)</f>
        <v>#N/A</v>
      </c>
      <c r="R24" s="62" t="e">
        <f>VLOOKUP('北段 (人資版)'!R24,工作表1!$A$3:$B$78,2,FALSE)</f>
        <v>#N/A</v>
      </c>
      <c r="S24" s="62" t="e">
        <f>VLOOKUP('北段 (人資版)'!S24,工作表1!$A$3:$B$78,2,FALSE)</f>
        <v>#N/A</v>
      </c>
      <c r="T24" s="62" t="e">
        <f>VLOOKUP('北段 (人資版)'!T24,工作表1!$A$3:$B$78,2,FALSE)</f>
        <v>#N/A</v>
      </c>
      <c r="U24" s="62" t="e">
        <f>VLOOKUP('北段 (人資版)'!U24,工作表1!$A$3:$B$78,2,FALSE)</f>
        <v>#N/A</v>
      </c>
      <c r="V24" s="62" t="e">
        <f>VLOOKUP('北段 (人資版)'!V24,工作表1!$A$3:$B$78,2,FALSE)</f>
        <v>#N/A</v>
      </c>
      <c r="W24" s="62" t="e">
        <f>VLOOKUP('北段 (人資版)'!W24,工作表1!$A$3:$B$78,2,FALSE)</f>
        <v>#N/A</v>
      </c>
      <c r="X24" s="62" t="e">
        <f>VLOOKUP('北段 (人資版)'!X24,工作表1!$A$3:$B$78,2,FALSE)</f>
        <v>#N/A</v>
      </c>
      <c r="Y24" s="62" t="e">
        <f>VLOOKUP('北段 (人資版)'!Y24,工作表1!$A$3:$B$78,2,FALSE)</f>
        <v>#N/A</v>
      </c>
      <c r="Z24" s="62" t="e">
        <f>VLOOKUP('北段 (人資版)'!Z24,工作表1!$A$3:$B$78,2,FALSE)</f>
        <v>#N/A</v>
      </c>
      <c r="AA24" s="62" t="e">
        <f>VLOOKUP('北段 (人資版)'!AA24,工作表1!$A$3:$B$78,2,FALSE)</f>
        <v>#N/A</v>
      </c>
      <c r="AB24" s="62" t="e">
        <f>VLOOKUP('北段 (人資版)'!AB24,工作表1!$A$3:$B$78,2,FALSE)</f>
        <v>#N/A</v>
      </c>
      <c r="AC24" s="62" t="e">
        <f>VLOOKUP('北段 (人資版)'!AC24,工作表1!$A$3:$B$78,2,FALSE)</f>
        <v>#N/A</v>
      </c>
      <c r="AD24" s="62" t="e">
        <f>VLOOKUP('北段 (人資版)'!AD24,工作表1!$A$3:$B$78,2,FALSE)</f>
        <v>#N/A</v>
      </c>
      <c r="AE24" s="62" t="e">
        <f>VLOOKUP('北段 (人資版)'!AE24,工作表1!$A$3:$B$78,2,FALSE)</f>
        <v>#N/A</v>
      </c>
      <c r="AF24" s="62" t="e">
        <f>VLOOKUP('北段 (人資版)'!AF24,工作表1!$A$3:$B$78,2,FALSE)</f>
        <v>#N/A</v>
      </c>
      <c r="AG24" s="62" t="e">
        <f>VLOOKUP('北段 (人資版)'!AG24,工作表1!$A$3:$B$78,2,FALSE)</f>
        <v>#N/A</v>
      </c>
      <c r="AH24" s="62" t="e">
        <f>VLOOKUP('北段 (人資版)'!AH24,工作表1!$A$3:$B$78,2,FALSE)</f>
        <v>#REF!</v>
      </c>
      <c r="AI24" s="62" t="e">
        <f>VLOOKUP('北段 (人資版)'!AI24,工作表1!$A$3:$B$78,2,FALSE)</f>
        <v>#REF!</v>
      </c>
      <c r="AJ24" s="62" t="e">
        <f>VLOOKUP('北段 (人資版)'!AJ24,工作表1!$A$3:$B$78,2,FALSE)</f>
        <v>#REF!</v>
      </c>
      <c r="AK24" s="62" t="e">
        <f>VLOOKUP('北段 (人資版)'!AK24,工作表1!$A$3:$B$78,2,FALSE)</f>
        <v>#REF!</v>
      </c>
      <c r="AL24" s="62" t="e">
        <f>VLOOKUP('北段 (人資版)'!AL24,工作表1!$A$3:$B$78,2,FALSE)</f>
        <v>#REF!</v>
      </c>
      <c r="AM24" s="62" t="e">
        <f>VLOOKUP('北段 (人資版)'!AM24,工作表1!$A$3:$B$78,2,FALSE)</f>
        <v>#REF!</v>
      </c>
      <c r="AN24" s="62" t="e">
        <f>VLOOKUP('北段 (人資版)'!AN24,工作表1!$A$3:$B$78,2,FALSE)</f>
        <v>#REF!</v>
      </c>
    </row>
    <row r="25" spans="1:40" ht="39.75" customHeight="1">
      <c r="A25" s="56"/>
      <c r="B25" s="101" t="str">
        <f>北段!B24</f>
        <v>T01459</v>
      </c>
      <c r="C25" s="38" t="str">
        <f>VLOOKUP(B25,北段!B:C,2,FALSE)</f>
        <v>林禹丞</v>
      </c>
      <c r="D25" s="62">
        <f>VLOOKUP('北段 (人資版)'!D25,工作表1!$A$3:$B$78,2,FALSE)</f>
        <v>66</v>
      </c>
      <c r="E25" s="62">
        <f>VLOOKUP('北段 (人資版)'!E25,工作表1!$A$3:$B$78,2,FALSE)</f>
        <v>66</v>
      </c>
      <c r="F25" s="62" t="e">
        <f>VLOOKUP('北段 (人資版)'!F25,工作表1!$A$3:$B$78,2,FALSE)</f>
        <v>#N/A</v>
      </c>
      <c r="G25" s="62" t="e">
        <f>VLOOKUP('北段 (人資版)'!G25,工作表1!$A$3:$B$78,2,FALSE)</f>
        <v>#N/A</v>
      </c>
      <c r="H25" s="62" t="e">
        <f>VLOOKUP('北段 (人資版)'!H25,工作表1!$A$3:$B$78,2,FALSE)</f>
        <v>#N/A</v>
      </c>
      <c r="I25" s="62" t="e">
        <f>VLOOKUP('北段 (人資版)'!I25,工作表1!$A$3:$B$78,2,FALSE)</f>
        <v>#N/A</v>
      </c>
      <c r="J25" s="62" t="e">
        <f>VLOOKUP('北段 (人資版)'!J25,工作表1!$A$3:$B$78,2,FALSE)</f>
        <v>#N/A</v>
      </c>
      <c r="K25" s="62" t="e">
        <f>VLOOKUP('北段 (人資版)'!K25,工作表1!$A$3:$B$78,2,FALSE)</f>
        <v>#N/A</v>
      </c>
      <c r="L25" s="62" t="e">
        <f>VLOOKUP('北段 (人資版)'!L25,工作表1!$A$3:$B$78,2,FALSE)</f>
        <v>#N/A</v>
      </c>
      <c r="M25" s="62">
        <f>VLOOKUP('北段 (人資版)'!M25,工作表1!$A$3:$B$78,2,FALSE)</f>
        <v>91</v>
      </c>
      <c r="N25" s="62" t="str">
        <f>VLOOKUP('北段 (人資版)'!N25,工作表1!$A$3:$B$78,2,FALSE)</f>
        <v>07</v>
      </c>
      <c r="O25" s="62" t="e">
        <f>VLOOKUP('北段 (人資版)'!O25,工作表1!$A$3:$B$78,2,FALSE)</f>
        <v>#N/A</v>
      </c>
      <c r="P25" s="62" t="e">
        <f>VLOOKUP('北段 (人資版)'!P25,工作表1!$A$3:$B$78,2,FALSE)</f>
        <v>#N/A</v>
      </c>
      <c r="Q25" s="62" t="e">
        <f>VLOOKUP('北段 (人資版)'!Q25,工作表1!$A$3:$B$78,2,FALSE)</f>
        <v>#N/A</v>
      </c>
      <c r="R25" s="62" t="e">
        <f>VLOOKUP('北段 (人資版)'!R25,工作表1!$A$3:$B$78,2,FALSE)</f>
        <v>#N/A</v>
      </c>
      <c r="S25" s="62" t="e">
        <f>VLOOKUP('北段 (人資版)'!S25,工作表1!$A$3:$B$78,2,FALSE)</f>
        <v>#N/A</v>
      </c>
      <c r="T25" s="62" t="e">
        <f>VLOOKUP('北段 (人資版)'!T25,工作表1!$A$3:$B$78,2,FALSE)</f>
        <v>#N/A</v>
      </c>
      <c r="U25" s="62" t="e">
        <f>VLOOKUP('北段 (人資版)'!U25,工作表1!$A$3:$B$78,2,FALSE)</f>
        <v>#N/A</v>
      </c>
      <c r="V25" s="62" t="e">
        <f>VLOOKUP('北段 (人資版)'!V25,工作表1!$A$3:$B$78,2,FALSE)</f>
        <v>#N/A</v>
      </c>
      <c r="W25" s="62" t="e">
        <f>VLOOKUP('北段 (人資版)'!W25,工作表1!$A$3:$B$78,2,FALSE)</f>
        <v>#N/A</v>
      </c>
      <c r="X25" s="62" t="e">
        <f>VLOOKUP('北段 (人資版)'!X25,工作表1!$A$3:$B$78,2,FALSE)</f>
        <v>#N/A</v>
      </c>
      <c r="Y25" s="62" t="e">
        <f>VLOOKUP('北段 (人資版)'!Y25,工作表1!$A$3:$B$78,2,FALSE)</f>
        <v>#N/A</v>
      </c>
      <c r="Z25" s="62" t="e">
        <f>VLOOKUP('北段 (人資版)'!Z25,工作表1!$A$3:$B$78,2,FALSE)</f>
        <v>#N/A</v>
      </c>
      <c r="AA25" s="62">
        <f>VLOOKUP('北段 (人資版)'!AA25,工作表1!$A$3:$B$78,2,FALSE)</f>
        <v>91</v>
      </c>
      <c r="AB25" s="62" t="str">
        <f>VLOOKUP('北段 (人資版)'!AB25,工作表1!$A$3:$B$78,2,FALSE)</f>
        <v>07</v>
      </c>
      <c r="AC25" s="62" t="e">
        <f>VLOOKUP('北段 (人資版)'!AC25,工作表1!$A$3:$B$78,2,FALSE)</f>
        <v>#N/A</v>
      </c>
      <c r="AD25" s="62" t="e">
        <f>VLOOKUP('北段 (人資版)'!AD25,工作表1!$A$3:$B$78,2,FALSE)</f>
        <v>#N/A</v>
      </c>
      <c r="AE25" s="62" t="e">
        <f>VLOOKUP('北段 (人資版)'!AE25,工作表1!$A$3:$B$78,2,FALSE)</f>
        <v>#N/A</v>
      </c>
      <c r="AF25" s="62" t="e">
        <f>VLOOKUP('北段 (人資版)'!AF25,工作表1!$A$3:$B$78,2,FALSE)</f>
        <v>#N/A</v>
      </c>
      <c r="AG25" s="62" t="e">
        <f>VLOOKUP('北段 (人資版)'!AG25,工作表1!$A$3:$B$78,2,FALSE)</f>
        <v>#N/A</v>
      </c>
      <c r="AH25" s="62" t="e">
        <f>VLOOKUP('北段 (人資版)'!AH25,工作表1!$A$3:$B$78,2,FALSE)</f>
        <v>#REF!</v>
      </c>
      <c r="AI25" s="62" t="e">
        <f>VLOOKUP('北段 (人資版)'!AI25,工作表1!$A$3:$B$78,2,FALSE)</f>
        <v>#REF!</v>
      </c>
      <c r="AJ25" s="62" t="e">
        <f>VLOOKUP('北段 (人資版)'!AJ25,工作表1!$A$3:$B$78,2,FALSE)</f>
        <v>#REF!</v>
      </c>
      <c r="AK25" s="62" t="e">
        <f>VLOOKUP('北段 (人資版)'!AK25,工作表1!$A$3:$B$78,2,FALSE)</f>
        <v>#REF!</v>
      </c>
      <c r="AL25" s="62" t="e">
        <f>VLOOKUP('北段 (人資版)'!AL25,工作表1!$A$3:$B$78,2,FALSE)</f>
        <v>#REF!</v>
      </c>
      <c r="AM25" s="62" t="e">
        <f>VLOOKUP('北段 (人資版)'!AM25,工作表1!$A$3:$B$78,2,FALSE)</f>
        <v>#REF!</v>
      </c>
      <c r="AN25" s="62" t="e">
        <f>VLOOKUP('北段 (人資版)'!AN25,工作表1!$A$3:$B$78,2,FALSE)</f>
        <v>#REF!</v>
      </c>
    </row>
    <row r="26" spans="1:40" ht="39.75" customHeight="1">
      <c r="A26" s="56"/>
      <c r="B26" s="101" t="str">
        <f>北段!B25</f>
        <v>T01600</v>
      </c>
      <c r="C26" s="38" t="str">
        <f>VLOOKUP(B26,北段!B:C,2,FALSE)</f>
        <v>陳奎羽</v>
      </c>
      <c r="D26" s="62">
        <f>VLOOKUP('北段 (人資版)'!D26,工作表1!$A$3:$B$78,2,FALSE)</f>
        <v>38</v>
      </c>
      <c r="E26" s="62">
        <f>VLOOKUP('北段 (人資版)'!E26,工作表1!$A$3:$B$78,2,FALSE)</f>
        <v>92</v>
      </c>
      <c r="F26" s="62" t="e">
        <f>VLOOKUP('北段 (人資版)'!F26,工作表1!$A$3:$B$78,2,FALSE)</f>
        <v>#N/A</v>
      </c>
      <c r="G26" s="62" t="e">
        <f>VLOOKUP('北段 (人資版)'!G26,工作表1!$A$3:$B$78,2,FALSE)</f>
        <v>#N/A</v>
      </c>
      <c r="H26" s="62" t="e">
        <f>VLOOKUP('北段 (人資版)'!H26,工作表1!$A$3:$B$78,2,FALSE)</f>
        <v>#N/A</v>
      </c>
      <c r="I26" s="62" t="e">
        <f>VLOOKUP('北段 (人資版)'!I26,工作表1!$A$3:$B$78,2,FALSE)</f>
        <v>#N/A</v>
      </c>
      <c r="J26" s="62" t="e">
        <f>VLOOKUP('北段 (人資版)'!J26,工作表1!$A$3:$B$78,2,FALSE)</f>
        <v>#N/A</v>
      </c>
      <c r="K26" s="62" t="e">
        <f>VLOOKUP('北段 (人資版)'!K26,工作表1!$A$3:$B$78,2,FALSE)</f>
        <v>#N/A</v>
      </c>
      <c r="L26" s="62" t="e">
        <f>VLOOKUP('北段 (人資版)'!L26,工作表1!$A$3:$B$78,2,FALSE)</f>
        <v>#N/A</v>
      </c>
      <c r="M26" s="62" t="e">
        <f>VLOOKUP('北段 (人資版)'!M26,工作表1!$A$3:$B$78,2,FALSE)</f>
        <v>#N/A</v>
      </c>
      <c r="N26" s="62" t="e">
        <f>VLOOKUP('北段 (人資版)'!N26,工作表1!$A$3:$B$78,2,FALSE)</f>
        <v>#N/A</v>
      </c>
      <c r="O26" s="62" t="e">
        <f>VLOOKUP('北段 (人資版)'!O26,工作表1!$A$3:$B$78,2,FALSE)</f>
        <v>#N/A</v>
      </c>
      <c r="P26" s="62" t="e">
        <f>VLOOKUP('北段 (人資版)'!P26,工作表1!$A$3:$B$78,2,FALSE)</f>
        <v>#N/A</v>
      </c>
      <c r="Q26" s="62" t="e">
        <f>VLOOKUP('北段 (人資版)'!Q26,工作表1!$A$3:$B$78,2,FALSE)</f>
        <v>#N/A</v>
      </c>
      <c r="R26" s="62" t="e">
        <f>VLOOKUP('北段 (人資版)'!R26,工作表1!$A$3:$B$78,2,FALSE)</f>
        <v>#N/A</v>
      </c>
      <c r="S26" s="62" t="e">
        <f>VLOOKUP('北段 (人資版)'!S26,工作表1!$A$3:$B$78,2,FALSE)</f>
        <v>#N/A</v>
      </c>
      <c r="T26" s="62" t="e">
        <f>VLOOKUP('北段 (人資版)'!T26,工作表1!$A$3:$B$78,2,FALSE)</f>
        <v>#N/A</v>
      </c>
      <c r="U26" s="62" t="e">
        <f>VLOOKUP('北段 (人資版)'!U26,工作表1!$A$3:$B$78,2,FALSE)</f>
        <v>#N/A</v>
      </c>
      <c r="V26" s="62" t="e">
        <f>VLOOKUP('北段 (人資版)'!V26,工作表1!$A$3:$B$78,2,FALSE)</f>
        <v>#N/A</v>
      </c>
      <c r="W26" s="62" t="e">
        <f>VLOOKUP('北段 (人資版)'!W26,工作表1!$A$3:$B$78,2,FALSE)</f>
        <v>#N/A</v>
      </c>
      <c r="X26" s="62" t="e">
        <f>VLOOKUP('北段 (人資版)'!X26,工作表1!$A$3:$B$78,2,FALSE)</f>
        <v>#N/A</v>
      </c>
      <c r="Y26" s="62" t="e">
        <f>VLOOKUP('北段 (人資版)'!Y26,工作表1!$A$3:$B$78,2,FALSE)</f>
        <v>#N/A</v>
      </c>
      <c r="Z26" s="62">
        <f>VLOOKUP('北段 (人資版)'!Z26,工作表1!$A$3:$B$78,2,FALSE)</f>
        <v>91</v>
      </c>
      <c r="AA26" s="62" t="str">
        <f>VLOOKUP('北段 (人資版)'!AA26,工作表1!$A$3:$B$78,2,FALSE)</f>
        <v>07</v>
      </c>
      <c r="AB26" s="62">
        <f>VLOOKUP('北段 (人資版)'!AB26,工作表1!$A$3:$B$78,2,FALSE)</f>
        <v>91</v>
      </c>
      <c r="AC26" s="62" t="e">
        <f>VLOOKUP('北段 (人資版)'!AC26,工作表1!$A$3:$B$78,2,FALSE)</f>
        <v>#N/A</v>
      </c>
      <c r="AD26" s="62" t="e">
        <f>VLOOKUP('北段 (人資版)'!AD26,工作表1!$A$3:$B$78,2,FALSE)</f>
        <v>#N/A</v>
      </c>
      <c r="AE26" s="62" t="e">
        <f>VLOOKUP('北段 (人資版)'!AE26,工作表1!$A$3:$B$78,2,FALSE)</f>
        <v>#N/A</v>
      </c>
      <c r="AF26" s="62" t="e">
        <f>VLOOKUP('北段 (人資版)'!AF26,工作表1!$A$3:$B$78,2,FALSE)</f>
        <v>#N/A</v>
      </c>
      <c r="AG26" s="62" t="e">
        <f>VLOOKUP('北段 (人資版)'!AG26,工作表1!$A$3:$B$78,2,FALSE)</f>
        <v>#N/A</v>
      </c>
      <c r="AH26" s="62" t="e">
        <f>VLOOKUP('北段 (人資版)'!AH26,工作表1!$A$3:$B$78,2,FALSE)</f>
        <v>#REF!</v>
      </c>
      <c r="AI26" s="62" t="e">
        <f>VLOOKUP('北段 (人資版)'!AI26,工作表1!$A$3:$B$78,2,FALSE)</f>
        <v>#REF!</v>
      </c>
      <c r="AJ26" s="62" t="e">
        <f>VLOOKUP('北段 (人資版)'!AJ26,工作表1!$A$3:$B$78,2,FALSE)</f>
        <v>#REF!</v>
      </c>
      <c r="AK26" s="62" t="e">
        <f>VLOOKUP('北段 (人資版)'!AK26,工作表1!$A$3:$B$78,2,FALSE)</f>
        <v>#REF!</v>
      </c>
      <c r="AL26" s="62" t="e">
        <f>VLOOKUP('北段 (人資版)'!AL26,工作表1!$A$3:$B$78,2,FALSE)</f>
        <v>#REF!</v>
      </c>
      <c r="AM26" s="62" t="e">
        <f>VLOOKUP('北段 (人資版)'!AM26,工作表1!$A$3:$B$78,2,FALSE)</f>
        <v>#REF!</v>
      </c>
      <c r="AN26" s="62" t="e">
        <f>VLOOKUP('北段 (人資版)'!AN26,工作表1!$A$3:$B$78,2,FALSE)</f>
        <v>#REF!</v>
      </c>
    </row>
    <row r="27" spans="1:40" s="36" customFormat="1" ht="39.75" customHeight="1">
      <c r="A27" s="56"/>
      <c r="B27" s="101" t="str">
        <f>北段!B26</f>
        <v>T01795</v>
      </c>
      <c r="C27" s="38" t="str">
        <f>VLOOKUP(B27,北段!B:C,2,FALSE)</f>
        <v>黃羿綾</v>
      </c>
      <c r="D27" s="62">
        <f>VLOOKUP('北段 (人資版)'!D27,工作表1!$A$3:$B$78,2,FALSE)</f>
        <v>91</v>
      </c>
      <c r="E27" s="62">
        <f>VLOOKUP('北段 (人資版)'!E27,工作表1!$A$3:$B$78,2,FALSE)</f>
        <v>92</v>
      </c>
      <c r="F27" s="62">
        <f>VLOOKUP('北段 (人資版)'!F27,工作表1!$A$3:$B$78,2,FALSE)</f>
        <v>92</v>
      </c>
      <c r="G27" s="62">
        <f>VLOOKUP('北段 (人資版)'!G27,工作表1!$A$3:$B$78,2,FALSE)</f>
        <v>91</v>
      </c>
      <c r="H27" s="62" t="e">
        <f>VLOOKUP('北段 (人資版)'!H27,工作表1!$A$3:$B$78,2,FALSE)</f>
        <v>#N/A</v>
      </c>
      <c r="I27" s="62" t="e">
        <f>VLOOKUP('北段 (人資版)'!I27,工作表1!$A$3:$B$78,2,FALSE)</f>
        <v>#N/A</v>
      </c>
      <c r="J27" s="62" t="e">
        <f>VLOOKUP('北段 (人資版)'!J27,工作表1!$A$3:$B$78,2,FALSE)</f>
        <v>#N/A</v>
      </c>
      <c r="K27" s="62">
        <f>VLOOKUP('北段 (人資版)'!K27,工作表1!$A$3:$B$78,2,FALSE)</f>
        <v>91</v>
      </c>
      <c r="L27" s="62" t="e">
        <f>VLOOKUP('北段 (人資版)'!L27,工作表1!$A$3:$B$78,2,FALSE)</f>
        <v>#N/A</v>
      </c>
      <c r="M27" s="62">
        <f>VLOOKUP('北段 (人資版)'!M27,工作表1!$A$3:$B$78,2,FALSE)</f>
        <v>92</v>
      </c>
      <c r="N27" s="62" t="e">
        <f>VLOOKUP('北段 (人資版)'!N27,工作表1!$A$3:$B$78,2,FALSE)</f>
        <v>#N/A</v>
      </c>
      <c r="O27" s="62" t="e">
        <f>VLOOKUP('北段 (人資版)'!O27,工作表1!$A$3:$B$78,2,FALSE)</f>
        <v>#N/A</v>
      </c>
      <c r="P27" s="62" t="e">
        <f>VLOOKUP('北段 (人資版)'!P27,工作表1!$A$3:$B$78,2,FALSE)</f>
        <v>#N/A</v>
      </c>
      <c r="Q27" s="62" t="e">
        <f>VLOOKUP('北段 (人資版)'!Q27,工作表1!$A$3:$B$78,2,FALSE)</f>
        <v>#N/A</v>
      </c>
      <c r="R27" s="62" t="e">
        <f>VLOOKUP('北段 (人資版)'!R27,工作表1!$A$3:$B$78,2,FALSE)</f>
        <v>#N/A</v>
      </c>
      <c r="S27" s="62" t="e">
        <f>VLOOKUP('北段 (人資版)'!S27,工作表1!$A$3:$B$78,2,FALSE)</f>
        <v>#N/A</v>
      </c>
      <c r="T27" s="62" t="e">
        <f>VLOOKUP('北段 (人資版)'!T27,工作表1!$A$3:$B$78,2,FALSE)</f>
        <v>#N/A</v>
      </c>
      <c r="U27" s="62" t="e">
        <f>VLOOKUP('北段 (人資版)'!U27,工作表1!$A$3:$B$78,2,FALSE)</f>
        <v>#N/A</v>
      </c>
      <c r="V27" s="62" t="e">
        <f>VLOOKUP('北段 (人資版)'!V27,工作表1!$A$3:$B$78,2,FALSE)</f>
        <v>#N/A</v>
      </c>
      <c r="W27" s="62" t="e">
        <f>VLOOKUP('北段 (人資版)'!W27,工作表1!$A$3:$B$78,2,FALSE)</f>
        <v>#N/A</v>
      </c>
      <c r="X27" s="62" t="e">
        <f>VLOOKUP('北段 (人資版)'!X27,工作表1!$A$3:$B$78,2,FALSE)</f>
        <v>#N/A</v>
      </c>
      <c r="Y27" s="62" t="e">
        <f>VLOOKUP('北段 (人資版)'!Y27,工作表1!$A$3:$B$78,2,FALSE)</f>
        <v>#N/A</v>
      </c>
      <c r="Z27" s="62" t="e">
        <f>VLOOKUP('北段 (人資版)'!Z27,工作表1!$A$3:$B$78,2,FALSE)</f>
        <v>#N/A</v>
      </c>
      <c r="AA27" s="62" t="e">
        <f>VLOOKUP('北段 (人資版)'!AA27,工作表1!$A$3:$B$78,2,FALSE)</f>
        <v>#N/A</v>
      </c>
      <c r="AB27" s="62" t="e">
        <f>VLOOKUP('北段 (人資版)'!AB27,工作表1!$A$3:$B$78,2,FALSE)</f>
        <v>#N/A</v>
      </c>
      <c r="AC27" s="62" t="e">
        <f>VLOOKUP('北段 (人資版)'!AC27,工作表1!$A$3:$B$78,2,FALSE)</f>
        <v>#N/A</v>
      </c>
      <c r="AD27" s="62" t="e">
        <f>VLOOKUP('北段 (人資版)'!AD27,工作表1!$A$3:$B$78,2,FALSE)</f>
        <v>#N/A</v>
      </c>
      <c r="AE27" s="62" t="e">
        <f>VLOOKUP('北段 (人資版)'!AE27,工作表1!$A$3:$B$78,2,FALSE)</f>
        <v>#N/A</v>
      </c>
      <c r="AF27" s="62" t="e">
        <f>VLOOKUP('北段 (人資版)'!AF27,工作表1!$A$3:$B$78,2,FALSE)</f>
        <v>#N/A</v>
      </c>
      <c r="AG27" s="62" t="e">
        <f>VLOOKUP('北段 (人資版)'!AG27,工作表1!$A$3:$B$78,2,FALSE)</f>
        <v>#N/A</v>
      </c>
      <c r="AH27" s="62" t="e">
        <f>VLOOKUP('北段 (人資版)'!AH27,工作表1!$A$3:$B$78,2,FALSE)</f>
        <v>#REF!</v>
      </c>
      <c r="AI27" s="62" t="e">
        <f>VLOOKUP('北段 (人資版)'!AI27,工作表1!$A$3:$B$78,2,FALSE)</f>
        <v>#REF!</v>
      </c>
      <c r="AJ27" s="62" t="e">
        <f>VLOOKUP('北段 (人資版)'!AJ27,工作表1!$A$3:$B$78,2,FALSE)</f>
        <v>#REF!</v>
      </c>
      <c r="AK27" s="62" t="e">
        <f>VLOOKUP('北段 (人資版)'!AK27,工作表1!$A$3:$B$78,2,FALSE)</f>
        <v>#REF!</v>
      </c>
      <c r="AL27" s="62" t="e">
        <f>VLOOKUP('北段 (人資版)'!AL27,工作表1!$A$3:$B$78,2,FALSE)</f>
        <v>#REF!</v>
      </c>
      <c r="AM27" s="62" t="e">
        <f>VLOOKUP('北段 (人資版)'!AM27,工作表1!$A$3:$B$78,2,FALSE)</f>
        <v>#REF!</v>
      </c>
      <c r="AN27" s="62" t="e">
        <f>VLOOKUP('北段 (人資版)'!AN27,工作表1!$A$3:$B$78,2,FALSE)</f>
        <v>#REF!</v>
      </c>
    </row>
    <row r="28" spans="1:40" s="36" customFormat="1" ht="39.75" customHeight="1">
      <c r="A28" s="56"/>
      <c r="B28" s="101" t="str">
        <f>北段!B27</f>
        <v>T02222</v>
      </c>
      <c r="C28" s="38" t="str">
        <f>VLOOKUP(B28,北段!B:C,2,FALSE)</f>
        <v>𡍼文妤</v>
      </c>
      <c r="D28" s="62">
        <f>VLOOKUP('北段 (人資版)'!D28,工作表1!$A$3:$B$78,2,FALSE)</f>
        <v>91</v>
      </c>
      <c r="E28" s="62">
        <f>VLOOKUP('北段 (人資版)'!E28,工作表1!$A$3:$B$78,2,FALSE)</f>
        <v>38</v>
      </c>
      <c r="F28" s="62" t="e">
        <f>VLOOKUP('北段 (人資版)'!F28,工作表1!$A$3:$B$78,2,FALSE)</f>
        <v>#N/A</v>
      </c>
      <c r="G28" s="62" t="e">
        <f>VLOOKUP('北段 (人資版)'!G28,工作表1!$A$3:$B$78,2,FALSE)</f>
        <v>#N/A</v>
      </c>
      <c r="H28" s="62" t="e">
        <f>VLOOKUP('北段 (人資版)'!H28,工作表1!$A$3:$B$78,2,FALSE)</f>
        <v>#N/A</v>
      </c>
      <c r="I28" s="62" t="e">
        <f>VLOOKUP('北段 (人資版)'!I28,工作表1!$A$3:$B$78,2,FALSE)</f>
        <v>#N/A</v>
      </c>
      <c r="J28" s="62" t="e">
        <f>VLOOKUP('北段 (人資版)'!J28,工作表1!$A$3:$B$78,2,FALSE)</f>
        <v>#N/A</v>
      </c>
      <c r="K28" s="62" t="e">
        <f>VLOOKUP('北段 (人資版)'!K28,工作表1!$A$3:$B$78,2,FALSE)</f>
        <v>#N/A</v>
      </c>
      <c r="L28" s="62" t="e">
        <f>VLOOKUP('北段 (人資版)'!L28,工作表1!$A$3:$B$78,2,FALSE)</f>
        <v>#N/A</v>
      </c>
      <c r="M28" s="62" t="e">
        <f>VLOOKUP('北段 (人資版)'!M28,工作表1!$A$3:$B$78,2,FALSE)</f>
        <v>#N/A</v>
      </c>
      <c r="N28" s="62" t="e">
        <f>VLOOKUP('北段 (人資版)'!N28,工作表1!$A$3:$B$78,2,FALSE)</f>
        <v>#N/A</v>
      </c>
      <c r="O28" s="62" t="e">
        <f>VLOOKUP('北段 (人資版)'!O28,工作表1!$A$3:$B$78,2,FALSE)</f>
        <v>#N/A</v>
      </c>
      <c r="P28" s="62" t="e">
        <f>VLOOKUP('北段 (人資版)'!P28,工作表1!$A$3:$B$78,2,FALSE)</f>
        <v>#N/A</v>
      </c>
      <c r="Q28" s="62" t="e">
        <f>VLOOKUP('北段 (人資版)'!Q28,工作表1!$A$3:$B$78,2,FALSE)</f>
        <v>#N/A</v>
      </c>
      <c r="R28" s="62" t="e">
        <f>VLOOKUP('北段 (人資版)'!R28,工作表1!$A$3:$B$78,2,FALSE)</f>
        <v>#N/A</v>
      </c>
      <c r="S28" s="62" t="e">
        <f>VLOOKUP('北段 (人資版)'!S28,工作表1!$A$3:$B$78,2,FALSE)</f>
        <v>#N/A</v>
      </c>
      <c r="T28" s="62" t="e">
        <f>VLOOKUP('北段 (人資版)'!T28,工作表1!$A$3:$B$78,2,FALSE)</f>
        <v>#N/A</v>
      </c>
      <c r="U28" s="62" t="e">
        <f>VLOOKUP('北段 (人資版)'!U28,工作表1!$A$3:$B$78,2,FALSE)</f>
        <v>#N/A</v>
      </c>
      <c r="V28" s="62" t="e">
        <f>VLOOKUP('北段 (人資版)'!V28,工作表1!$A$3:$B$78,2,FALSE)</f>
        <v>#N/A</v>
      </c>
      <c r="W28" s="62" t="e">
        <f>VLOOKUP('北段 (人資版)'!W28,工作表1!$A$3:$B$78,2,FALSE)</f>
        <v>#N/A</v>
      </c>
      <c r="X28" s="62" t="e">
        <f>VLOOKUP('北段 (人資版)'!X28,工作表1!$A$3:$B$78,2,FALSE)</f>
        <v>#N/A</v>
      </c>
      <c r="Y28" s="62" t="e">
        <f>VLOOKUP('北段 (人資版)'!Y28,工作表1!$A$3:$B$78,2,FALSE)</f>
        <v>#N/A</v>
      </c>
      <c r="Z28" s="62" t="e">
        <f>VLOOKUP('北段 (人資版)'!Z28,工作表1!$A$3:$B$78,2,FALSE)</f>
        <v>#N/A</v>
      </c>
      <c r="AA28" s="62">
        <f>VLOOKUP('北段 (人資版)'!AA28,工作表1!$A$3:$B$78,2,FALSE)</f>
        <v>91</v>
      </c>
      <c r="AB28" s="62">
        <f>VLOOKUP('北段 (人資版)'!AB28,工作表1!$A$3:$B$78,2,FALSE)</f>
        <v>92</v>
      </c>
      <c r="AC28" s="62" t="e">
        <f>VLOOKUP('北段 (人資版)'!AC28,工作表1!$A$3:$B$78,2,FALSE)</f>
        <v>#N/A</v>
      </c>
      <c r="AD28" s="62" t="e">
        <f>VLOOKUP('北段 (人資版)'!AD28,工作表1!$A$3:$B$78,2,FALSE)</f>
        <v>#N/A</v>
      </c>
      <c r="AE28" s="62" t="e">
        <f>VLOOKUP('北段 (人資版)'!AE28,工作表1!$A$3:$B$78,2,FALSE)</f>
        <v>#N/A</v>
      </c>
      <c r="AF28" s="62" t="e">
        <f>VLOOKUP('北段 (人資版)'!AF28,工作表1!$A$3:$B$78,2,FALSE)</f>
        <v>#N/A</v>
      </c>
      <c r="AG28" s="62" t="e">
        <f>VLOOKUP('北段 (人資版)'!AG28,工作表1!$A$3:$B$78,2,FALSE)</f>
        <v>#N/A</v>
      </c>
      <c r="AH28" s="62" t="e">
        <f>VLOOKUP('北段 (人資版)'!AH28,工作表1!$A$3:$B$78,2,FALSE)</f>
        <v>#REF!</v>
      </c>
      <c r="AI28" s="62" t="e">
        <f>VLOOKUP('北段 (人資版)'!AI28,工作表1!$A$3:$B$78,2,FALSE)</f>
        <v>#REF!</v>
      </c>
      <c r="AJ28" s="62" t="e">
        <f>VLOOKUP('北段 (人資版)'!AJ28,工作表1!$A$3:$B$78,2,FALSE)</f>
        <v>#REF!</v>
      </c>
      <c r="AK28" s="62" t="e">
        <f>VLOOKUP('北段 (人資版)'!AK28,工作表1!$A$3:$B$78,2,FALSE)</f>
        <v>#REF!</v>
      </c>
      <c r="AL28" s="62" t="e">
        <f>VLOOKUP('北段 (人資版)'!AL28,工作表1!$A$3:$B$78,2,FALSE)</f>
        <v>#REF!</v>
      </c>
      <c r="AM28" s="62" t="e">
        <f>VLOOKUP('北段 (人資版)'!AM28,工作表1!$A$3:$B$78,2,FALSE)</f>
        <v>#REF!</v>
      </c>
      <c r="AN28" s="62" t="e">
        <f>VLOOKUP('北段 (人資版)'!AN28,工作表1!$A$3:$B$78,2,FALSE)</f>
        <v>#REF!</v>
      </c>
    </row>
    <row r="29" spans="1:40" s="36" customFormat="1" ht="39.75" customHeight="1">
      <c r="A29" s="56"/>
      <c r="B29" s="101" t="str">
        <f>北段!B28</f>
        <v>T02233</v>
      </c>
      <c r="C29" s="38" t="str">
        <f>VLOOKUP(B29,北段!B:C,2,FALSE)</f>
        <v>簡悅如</v>
      </c>
      <c r="D29" s="62">
        <f>VLOOKUP('北段 (人資版)'!D29,工作表1!$A$3:$B$78,2,FALSE)</f>
        <v>38</v>
      </c>
      <c r="E29" s="62">
        <f>VLOOKUP('北段 (人資版)'!E29,工作表1!$A$3:$B$78,2,FALSE)</f>
        <v>38</v>
      </c>
      <c r="F29" s="62" t="e">
        <f>VLOOKUP('北段 (人資版)'!F29,工作表1!$A$3:$B$78,2,FALSE)</f>
        <v>#N/A</v>
      </c>
      <c r="G29" s="62" t="e">
        <f>VLOOKUP('北段 (人資版)'!G29,工作表1!$A$3:$B$78,2,FALSE)</f>
        <v>#N/A</v>
      </c>
      <c r="H29" s="62" t="str">
        <f>VLOOKUP('北段 (人資版)'!H29,工作表1!$A$3:$B$78,2,FALSE)</f>
        <v>07</v>
      </c>
      <c r="I29" s="62" t="e">
        <f>VLOOKUP('北段 (人資版)'!I29,工作表1!$A$3:$B$78,2,FALSE)</f>
        <v>#N/A</v>
      </c>
      <c r="J29" s="62" t="e">
        <f>VLOOKUP('北段 (人資版)'!J29,工作表1!$A$3:$B$78,2,FALSE)</f>
        <v>#N/A</v>
      </c>
      <c r="K29" s="62" t="e">
        <f>VLOOKUP('北段 (人資版)'!K29,工作表1!$A$3:$B$78,2,FALSE)</f>
        <v>#N/A</v>
      </c>
      <c r="L29" s="62" t="e">
        <f>VLOOKUP('北段 (人資版)'!L29,工作表1!$A$3:$B$78,2,FALSE)</f>
        <v>#N/A</v>
      </c>
      <c r="M29" s="62" t="e">
        <f>VLOOKUP('北段 (人資版)'!M29,工作表1!$A$3:$B$78,2,FALSE)</f>
        <v>#N/A</v>
      </c>
      <c r="N29" s="62" t="e">
        <f>VLOOKUP('北段 (人資版)'!N29,工作表1!$A$3:$B$78,2,FALSE)</f>
        <v>#N/A</v>
      </c>
      <c r="O29" s="62" t="e">
        <f>VLOOKUP('北段 (人資版)'!O29,工作表1!$A$3:$B$78,2,FALSE)</f>
        <v>#N/A</v>
      </c>
      <c r="P29" s="62" t="e">
        <f>VLOOKUP('北段 (人資版)'!P29,工作表1!$A$3:$B$78,2,FALSE)</f>
        <v>#N/A</v>
      </c>
      <c r="Q29" s="62" t="e">
        <f>VLOOKUP('北段 (人資版)'!Q29,工作表1!$A$3:$B$78,2,FALSE)</f>
        <v>#N/A</v>
      </c>
      <c r="R29" s="62" t="str">
        <f>VLOOKUP('北段 (人資版)'!R29,工作表1!$A$3:$B$78,2,FALSE)</f>
        <v>07</v>
      </c>
      <c r="S29" s="62" t="str">
        <f>VLOOKUP('北段 (人資版)'!S29,工作表1!$A$3:$B$78,2,FALSE)</f>
        <v>07</v>
      </c>
      <c r="T29" s="62" t="str">
        <f>VLOOKUP('北段 (人資版)'!T29,工作表1!$A$3:$B$78,2,FALSE)</f>
        <v>07</v>
      </c>
      <c r="U29" s="62" t="e">
        <f>VLOOKUP('北段 (人資版)'!U29,工作表1!$A$3:$B$78,2,FALSE)</f>
        <v>#N/A</v>
      </c>
      <c r="V29" s="62" t="e">
        <f>VLOOKUP('北段 (人資版)'!V29,工作表1!$A$3:$B$78,2,FALSE)</f>
        <v>#N/A</v>
      </c>
      <c r="W29" s="62" t="e">
        <f>VLOOKUP('北段 (人資版)'!W29,工作表1!$A$3:$B$78,2,FALSE)</f>
        <v>#N/A</v>
      </c>
      <c r="X29" s="62" t="e">
        <f>VLOOKUP('北段 (人資版)'!X29,工作表1!$A$3:$B$78,2,FALSE)</f>
        <v>#N/A</v>
      </c>
      <c r="Y29" s="62" t="e">
        <f>VLOOKUP('北段 (人資版)'!Y29,工作表1!$A$3:$B$78,2,FALSE)</f>
        <v>#N/A</v>
      </c>
      <c r="Z29" s="62" t="e">
        <f>VLOOKUP('北段 (人資版)'!Z29,工作表1!$A$3:$B$78,2,FALSE)</f>
        <v>#N/A</v>
      </c>
      <c r="AA29" s="62" t="e">
        <f>VLOOKUP('北段 (人資版)'!AA29,工作表1!$A$3:$B$78,2,FALSE)</f>
        <v>#N/A</v>
      </c>
      <c r="AB29" s="62" t="e">
        <f>VLOOKUP('北段 (人資版)'!AB29,工作表1!$A$3:$B$78,2,FALSE)</f>
        <v>#N/A</v>
      </c>
      <c r="AC29" s="62" t="e">
        <f>VLOOKUP('北段 (人資版)'!AC29,工作表1!$A$3:$B$78,2,FALSE)</f>
        <v>#N/A</v>
      </c>
      <c r="AD29" s="62" t="e">
        <f>VLOOKUP('北段 (人資版)'!AD29,工作表1!$A$3:$B$78,2,FALSE)</f>
        <v>#N/A</v>
      </c>
      <c r="AE29" s="62" t="e">
        <f>VLOOKUP('北段 (人資版)'!AE29,工作表1!$A$3:$B$78,2,FALSE)</f>
        <v>#N/A</v>
      </c>
      <c r="AF29" s="62" t="e">
        <f>VLOOKUP('北段 (人資版)'!AF29,工作表1!$A$3:$B$78,2,FALSE)</f>
        <v>#N/A</v>
      </c>
      <c r="AG29" s="62" t="e">
        <f>VLOOKUP('北段 (人資版)'!AG29,工作表1!$A$3:$B$78,2,FALSE)</f>
        <v>#N/A</v>
      </c>
      <c r="AH29" s="62" t="e">
        <f>VLOOKUP('北段 (人資版)'!AH29,工作表1!$A$3:$B$78,2,FALSE)</f>
        <v>#REF!</v>
      </c>
      <c r="AI29" s="62" t="e">
        <f>VLOOKUP('北段 (人資版)'!AI29,工作表1!$A$3:$B$78,2,FALSE)</f>
        <v>#REF!</v>
      </c>
      <c r="AJ29" s="62" t="e">
        <f>VLOOKUP('北段 (人資版)'!AJ29,工作表1!$A$3:$B$78,2,FALSE)</f>
        <v>#REF!</v>
      </c>
      <c r="AK29" s="62" t="e">
        <f>VLOOKUP('北段 (人資版)'!AK29,工作表1!$A$3:$B$78,2,FALSE)</f>
        <v>#REF!</v>
      </c>
      <c r="AL29" s="62" t="e">
        <f>VLOOKUP('北段 (人資版)'!AL29,工作表1!$A$3:$B$78,2,FALSE)</f>
        <v>#REF!</v>
      </c>
      <c r="AM29" s="62" t="e">
        <f>VLOOKUP('北段 (人資版)'!AM29,工作表1!$A$3:$B$78,2,FALSE)</f>
        <v>#REF!</v>
      </c>
      <c r="AN29" s="62" t="e">
        <f>VLOOKUP('北段 (人資版)'!AN29,工作表1!$A$3:$B$78,2,FALSE)</f>
        <v>#REF!</v>
      </c>
    </row>
    <row r="30" spans="1:40" s="36" customFormat="1" ht="39.75" customHeight="1" thickBot="1">
      <c r="A30" s="57"/>
      <c r="B30" s="101" t="str">
        <f>北段!B29</f>
        <v>T02498</v>
      </c>
      <c r="C30" s="38" t="str">
        <f>VLOOKUP(B30,北段!B:C,2,FALSE)</f>
        <v>張芯瑜</v>
      </c>
      <c r="D30" s="62">
        <f>VLOOKUP('北段 (人資版)'!D30,工作表1!$A$3:$B$78,2,FALSE)</f>
        <v>66</v>
      </c>
      <c r="E30" s="62">
        <f>VLOOKUP('北段 (人資版)'!E30,工作表1!$A$3:$B$78,2,FALSE)</f>
        <v>91</v>
      </c>
      <c r="F30" s="62" t="e">
        <f>VLOOKUP('北段 (人資版)'!F30,工作表1!$A$3:$B$78,2,FALSE)</f>
        <v>#N/A</v>
      </c>
      <c r="G30" s="62" t="e">
        <f>VLOOKUP('北段 (人資版)'!G30,工作表1!$A$3:$B$78,2,FALSE)</f>
        <v>#N/A</v>
      </c>
      <c r="H30" s="62" t="e">
        <f>VLOOKUP('北段 (人資版)'!H30,工作表1!$A$3:$B$78,2,FALSE)</f>
        <v>#N/A</v>
      </c>
      <c r="I30" s="62" t="e">
        <f>VLOOKUP('北段 (人資版)'!I30,工作表1!$A$3:$B$78,2,FALSE)</f>
        <v>#N/A</v>
      </c>
      <c r="J30" s="62" t="e">
        <f>VLOOKUP('北段 (人資版)'!J30,工作表1!$A$3:$B$78,2,FALSE)</f>
        <v>#N/A</v>
      </c>
      <c r="K30" s="62" t="e">
        <f>VLOOKUP('北段 (人資版)'!K30,工作表1!$A$3:$B$78,2,FALSE)</f>
        <v>#N/A</v>
      </c>
      <c r="L30" s="62" t="e">
        <f>VLOOKUP('北段 (人資版)'!L30,工作表1!$A$3:$B$78,2,FALSE)</f>
        <v>#N/A</v>
      </c>
      <c r="M30" s="62" t="e">
        <f>VLOOKUP('北段 (人資版)'!M30,工作表1!$A$3:$B$78,2,FALSE)</f>
        <v>#N/A</v>
      </c>
      <c r="N30" s="62" t="e">
        <f>VLOOKUP('北段 (人資版)'!N30,工作表1!$A$3:$B$78,2,FALSE)</f>
        <v>#N/A</v>
      </c>
      <c r="O30" s="62" t="e">
        <f>VLOOKUP('北段 (人資版)'!O30,工作表1!$A$3:$B$78,2,FALSE)</f>
        <v>#N/A</v>
      </c>
      <c r="P30" s="62" t="e">
        <f>VLOOKUP('北段 (人資版)'!P30,工作表1!$A$3:$B$78,2,FALSE)</f>
        <v>#N/A</v>
      </c>
      <c r="Q30" s="62" t="e">
        <f>VLOOKUP('北段 (人資版)'!Q30,工作表1!$A$3:$B$78,2,FALSE)</f>
        <v>#N/A</v>
      </c>
      <c r="R30" s="62" t="e">
        <f>VLOOKUP('北段 (人資版)'!R30,工作表1!$A$3:$B$78,2,FALSE)</f>
        <v>#N/A</v>
      </c>
      <c r="S30" s="62" t="e">
        <f>VLOOKUP('北段 (人資版)'!S30,工作表1!$A$3:$B$78,2,FALSE)</f>
        <v>#N/A</v>
      </c>
      <c r="T30" s="62" t="e">
        <f>VLOOKUP('北段 (人資版)'!T30,工作表1!$A$3:$B$78,2,FALSE)</f>
        <v>#N/A</v>
      </c>
      <c r="U30" s="62" t="e">
        <f>VLOOKUP('北段 (人資版)'!U30,工作表1!$A$3:$B$78,2,FALSE)</f>
        <v>#N/A</v>
      </c>
      <c r="V30" s="62" t="e">
        <f>VLOOKUP('北段 (人資版)'!V30,工作表1!$A$3:$B$78,2,FALSE)</f>
        <v>#N/A</v>
      </c>
      <c r="W30" s="62" t="e">
        <f>VLOOKUP('北段 (人資版)'!W30,工作表1!$A$3:$B$78,2,FALSE)</f>
        <v>#N/A</v>
      </c>
      <c r="X30" s="62" t="e">
        <f>VLOOKUP('北段 (人資版)'!X30,工作表1!$A$3:$B$78,2,FALSE)</f>
        <v>#N/A</v>
      </c>
      <c r="Y30" s="62" t="e">
        <f>VLOOKUP('北段 (人資版)'!Y30,工作表1!$A$3:$B$78,2,FALSE)</f>
        <v>#N/A</v>
      </c>
      <c r="Z30" s="62" t="e">
        <f>VLOOKUP('北段 (人資版)'!Z30,工作表1!$A$3:$B$78,2,FALSE)</f>
        <v>#N/A</v>
      </c>
      <c r="AA30" s="62" t="e">
        <f>VLOOKUP('北段 (人資版)'!AA30,工作表1!$A$3:$B$78,2,FALSE)</f>
        <v>#N/A</v>
      </c>
      <c r="AB30" s="62" t="e">
        <f>VLOOKUP('北段 (人資版)'!AB30,工作表1!$A$3:$B$78,2,FALSE)</f>
        <v>#N/A</v>
      </c>
      <c r="AC30" s="62" t="e">
        <f>VLOOKUP('北段 (人資版)'!AC30,工作表1!$A$3:$B$78,2,FALSE)</f>
        <v>#N/A</v>
      </c>
      <c r="AD30" s="62" t="e">
        <f>VLOOKUP('北段 (人資版)'!AD30,工作表1!$A$3:$B$78,2,FALSE)</f>
        <v>#N/A</v>
      </c>
      <c r="AE30" s="62" t="e">
        <f>VLOOKUP('北段 (人資版)'!AE30,工作表1!$A$3:$B$78,2,FALSE)</f>
        <v>#N/A</v>
      </c>
      <c r="AF30" s="62" t="e">
        <f>VLOOKUP('北段 (人資版)'!AF30,工作表1!$A$3:$B$78,2,FALSE)</f>
        <v>#N/A</v>
      </c>
      <c r="AG30" s="62" t="e">
        <f>VLOOKUP('北段 (人資版)'!AG30,工作表1!$A$3:$B$78,2,FALSE)</f>
        <v>#N/A</v>
      </c>
      <c r="AH30" s="62" t="e">
        <f>VLOOKUP('北段 (人資版)'!AH30,工作表1!$A$3:$B$78,2,FALSE)</f>
        <v>#REF!</v>
      </c>
      <c r="AI30" s="62" t="e">
        <f>VLOOKUP('北段 (人資版)'!AI30,工作表1!$A$3:$B$78,2,FALSE)</f>
        <v>#REF!</v>
      </c>
      <c r="AJ30" s="62" t="e">
        <f>VLOOKUP('北段 (人資版)'!AJ30,工作表1!$A$3:$B$78,2,FALSE)</f>
        <v>#REF!</v>
      </c>
      <c r="AK30" s="62" t="e">
        <f>VLOOKUP('北段 (人資版)'!AK30,工作表1!$A$3:$B$78,2,FALSE)</f>
        <v>#REF!</v>
      </c>
      <c r="AL30" s="62" t="e">
        <f>VLOOKUP('北段 (人資版)'!AL30,工作表1!$A$3:$B$78,2,FALSE)</f>
        <v>#REF!</v>
      </c>
      <c r="AM30" s="62" t="e">
        <f>VLOOKUP('北段 (人資版)'!AM30,工作表1!$A$3:$B$78,2,FALSE)</f>
        <v>#REF!</v>
      </c>
      <c r="AN30" s="62" t="e">
        <f>VLOOKUP('北段 (人資版)'!AN30,工作表1!$A$3:$B$78,2,FALSE)</f>
        <v>#REF!</v>
      </c>
    </row>
    <row r="31" spans="1:40" ht="39.75" customHeight="1">
      <c r="A31" s="55" t="s">
        <v>39</v>
      </c>
      <c r="B31" s="101" t="str">
        <f>北段!B30</f>
        <v>T02612</v>
      </c>
      <c r="C31" s="38" t="str">
        <f>VLOOKUP(B31,北段!B:C,2,FALSE)</f>
        <v>蕭曉琦</v>
      </c>
      <c r="D31" s="62">
        <f>VLOOKUP('北段 (人資版)'!D31,工作表1!$A$3:$B$78,2,FALSE)</f>
        <v>92</v>
      </c>
      <c r="E31" s="62">
        <f>VLOOKUP('北段 (人資版)'!E31,工作表1!$A$3:$B$78,2,FALSE)</f>
        <v>38</v>
      </c>
      <c r="F31" s="62" t="e">
        <f>VLOOKUP('北段 (人資版)'!F31,工作表1!$A$3:$B$78,2,FALSE)</f>
        <v>#N/A</v>
      </c>
      <c r="G31" s="62" t="e">
        <f>VLOOKUP('北段 (人資版)'!G31,工作表1!$A$3:$B$78,2,FALSE)</f>
        <v>#N/A</v>
      </c>
      <c r="H31" s="62" t="e">
        <f>VLOOKUP('北段 (人資版)'!H31,工作表1!$A$3:$B$78,2,FALSE)</f>
        <v>#N/A</v>
      </c>
      <c r="I31" s="62" t="e">
        <f>VLOOKUP('北段 (人資版)'!I31,工作表1!$A$3:$B$78,2,FALSE)</f>
        <v>#N/A</v>
      </c>
      <c r="J31" s="62" t="e">
        <f>VLOOKUP('北段 (人資版)'!J31,工作表1!$A$3:$B$78,2,FALSE)</f>
        <v>#N/A</v>
      </c>
      <c r="K31" s="62" t="e">
        <f>VLOOKUP('北段 (人資版)'!K31,工作表1!$A$3:$B$78,2,FALSE)</f>
        <v>#N/A</v>
      </c>
      <c r="L31" s="62" t="e">
        <f>VLOOKUP('北段 (人資版)'!L31,工作表1!$A$3:$B$78,2,FALSE)</f>
        <v>#N/A</v>
      </c>
      <c r="M31" s="62">
        <f>VLOOKUP('北段 (人資版)'!M31,工作表1!$A$3:$B$78,2,FALSE)</f>
        <v>91</v>
      </c>
      <c r="N31" s="62" t="e">
        <f>VLOOKUP('北段 (人資版)'!N31,工作表1!$A$3:$B$78,2,FALSE)</f>
        <v>#N/A</v>
      </c>
      <c r="O31" s="62" t="e">
        <f>VLOOKUP('北段 (人資版)'!O31,工作表1!$A$3:$B$78,2,FALSE)</f>
        <v>#N/A</v>
      </c>
      <c r="P31" s="62" t="e">
        <f>VLOOKUP('北段 (人資版)'!P31,工作表1!$A$3:$B$78,2,FALSE)</f>
        <v>#N/A</v>
      </c>
      <c r="Q31" s="62" t="e">
        <f>VLOOKUP('北段 (人資版)'!Q31,工作表1!$A$3:$B$78,2,FALSE)</f>
        <v>#N/A</v>
      </c>
      <c r="R31" s="62" t="e">
        <f>VLOOKUP('北段 (人資版)'!R31,工作表1!$A$3:$B$78,2,FALSE)</f>
        <v>#N/A</v>
      </c>
      <c r="S31" s="62" t="e">
        <f>VLOOKUP('北段 (人資版)'!S31,工作表1!$A$3:$B$78,2,FALSE)</f>
        <v>#N/A</v>
      </c>
      <c r="T31" s="62" t="e">
        <f>VLOOKUP('北段 (人資版)'!T31,工作表1!$A$3:$B$78,2,FALSE)</f>
        <v>#N/A</v>
      </c>
      <c r="U31" s="62" t="e">
        <f>VLOOKUP('北段 (人資版)'!U31,工作表1!$A$3:$B$78,2,FALSE)</f>
        <v>#N/A</v>
      </c>
      <c r="V31" s="62" t="e">
        <f>VLOOKUP('北段 (人資版)'!V31,工作表1!$A$3:$B$78,2,FALSE)</f>
        <v>#N/A</v>
      </c>
      <c r="W31" s="62" t="e">
        <f>VLOOKUP('北段 (人資版)'!W31,工作表1!$A$3:$B$78,2,FALSE)</f>
        <v>#N/A</v>
      </c>
      <c r="X31" s="62" t="e">
        <f>VLOOKUP('北段 (人資版)'!X31,工作表1!$A$3:$B$78,2,FALSE)</f>
        <v>#N/A</v>
      </c>
      <c r="Y31" s="62" t="e">
        <f>VLOOKUP('北段 (人資版)'!Y31,工作表1!$A$3:$B$78,2,FALSE)</f>
        <v>#N/A</v>
      </c>
      <c r="Z31" s="62" t="e">
        <f>VLOOKUP('北段 (人資版)'!Z31,工作表1!$A$3:$B$78,2,FALSE)</f>
        <v>#N/A</v>
      </c>
      <c r="AA31" s="62">
        <f>VLOOKUP('北段 (人資版)'!AA31,工作表1!$A$3:$B$78,2,FALSE)</f>
        <v>91</v>
      </c>
      <c r="AB31" s="62" t="e">
        <f>VLOOKUP('北段 (人資版)'!AB31,工作表1!$A$3:$B$78,2,FALSE)</f>
        <v>#N/A</v>
      </c>
      <c r="AC31" s="62" t="e">
        <f>VLOOKUP('北段 (人資版)'!AC31,工作表1!$A$3:$B$78,2,FALSE)</f>
        <v>#N/A</v>
      </c>
      <c r="AD31" s="62" t="e">
        <f>VLOOKUP('北段 (人資版)'!AD31,工作表1!$A$3:$B$78,2,FALSE)</f>
        <v>#N/A</v>
      </c>
      <c r="AE31" s="62" t="e">
        <f>VLOOKUP('北段 (人資版)'!AE31,工作表1!$A$3:$B$78,2,FALSE)</f>
        <v>#N/A</v>
      </c>
      <c r="AF31" s="62" t="e">
        <f>VLOOKUP('北段 (人資版)'!AF31,工作表1!$A$3:$B$78,2,FALSE)</f>
        <v>#N/A</v>
      </c>
      <c r="AG31" s="62" t="e">
        <f>VLOOKUP('北段 (人資版)'!AG31,工作表1!$A$3:$B$78,2,FALSE)</f>
        <v>#N/A</v>
      </c>
      <c r="AH31" s="62" t="e">
        <f>VLOOKUP('北段 (人資版)'!AH31,工作表1!$A$3:$B$78,2,FALSE)</f>
        <v>#REF!</v>
      </c>
      <c r="AI31" s="62" t="e">
        <f>VLOOKUP('北段 (人資版)'!AI31,工作表1!$A$3:$B$78,2,FALSE)</f>
        <v>#REF!</v>
      </c>
      <c r="AJ31" s="62" t="e">
        <f>VLOOKUP('北段 (人資版)'!AJ31,工作表1!$A$3:$B$78,2,FALSE)</f>
        <v>#REF!</v>
      </c>
      <c r="AK31" s="62" t="e">
        <f>VLOOKUP('北段 (人資版)'!AK31,工作表1!$A$3:$B$78,2,FALSE)</f>
        <v>#REF!</v>
      </c>
      <c r="AL31" s="62" t="e">
        <f>VLOOKUP('北段 (人資版)'!AL31,工作表1!$A$3:$B$78,2,FALSE)</f>
        <v>#REF!</v>
      </c>
      <c r="AM31" s="62" t="e">
        <f>VLOOKUP('北段 (人資版)'!AM31,工作表1!$A$3:$B$78,2,FALSE)</f>
        <v>#REF!</v>
      </c>
      <c r="AN31" s="62" t="e">
        <f>VLOOKUP('北段 (人資版)'!AN31,工作表1!$A$3:$B$78,2,FALSE)</f>
        <v>#REF!</v>
      </c>
    </row>
    <row r="32" spans="1:40" ht="39.75" customHeight="1">
      <c r="A32" s="56"/>
      <c r="B32" s="101" t="str">
        <f>北段!B31</f>
        <v>T02613</v>
      </c>
      <c r="C32" s="38" t="str">
        <f>VLOOKUP(B32,北段!B:C,2,FALSE)</f>
        <v>張雅荃</v>
      </c>
      <c r="D32" s="62">
        <f>VLOOKUP('北段 (人資版)'!D32,工作表1!$A$3:$B$78,2,FALSE)</f>
        <v>92</v>
      </c>
      <c r="E32" s="62">
        <f>VLOOKUP('北段 (人資版)'!E32,工作表1!$A$3:$B$78,2,FALSE)</f>
        <v>66</v>
      </c>
      <c r="F32" s="62" t="e">
        <f>VLOOKUP('北段 (人資版)'!F32,工作表1!$A$3:$B$78,2,FALSE)</f>
        <v>#N/A</v>
      </c>
      <c r="G32" s="62" t="e">
        <f>VLOOKUP('北段 (人資版)'!G32,工作表1!$A$3:$B$78,2,FALSE)</f>
        <v>#N/A</v>
      </c>
      <c r="H32" s="62" t="e">
        <f>VLOOKUP('北段 (人資版)'!H32,工作表1!$A$3:$B$78,2,FALSE)</f>
        <v>#N/A</v>
      </c>
      <c r="I32" s="62" t="e">
        <f>VLOOKUP('北段 (人資版)'!I32,工作表1!$A$3:$B$78,2,FALSE)</f>
        <v>#N/A</v>
      </c>
      <c r="J32" s="62" t="e">
        <f>VLOOKUP('北段 (人資版)'!J32,工作表1!$A$3:$B$78,2,FALSE)</f>
        <v>#N/A</v>
      </c>
      <c r="K32" s="62" t="e">
        <f>VLOOKUP('北段 (人資版)'!K32,工作表1!$A$3:$B$78,2,FALSE)</f>
        <v>#N/A</v>
      </c>
      <c r="L32" s="62" t="e">
        <f>VLOOKUP('北段 (人資版)'!L32,工作表1!$A$3:$B$78,2,FALSE)</f>
        <v>#N/A</v>
      </c>
      <c r="M32" s="62" t="e">
        <f>VLOOKUP('北段 (人資版)'!M32,工作表1!$A$3:$B$78,2,FALSE)</f>
        <v>#N/A</v>
      </c>
      <c r="N32" s="62" t="e">
        <f>VLOOKUP('北段 (人資版)'!N32,工作表1!$A$3:$B$78,2,FALSE)</f>
        <v>#N/A</v>
      </c>
      <c r="O32" s="62" t="e">
        <f>VLOOKUP('北段 (人資版)'!O32,工作表1!$A$3:$B$78,2,FALSE)</f>
        <v>#N/A</v>
      </c>
      <c r="P32" s="62">
        <f>VLOOKUP('北段 (人資版)'!P32,工作表1!$A$3:$B$78,2,FALSE)</f>
        <v>91</v>
      </c>
      <c r="Q32" s="62" t="e">
        <f>VLOOKUP('北段 (人資版)'!Q32,工作表1!$A$3:$B$78,2,FALSE)</f>
        <v>#N/A</v>
      </c>
      <c r="R32" s="62" t="e">
        <f>VLOOKUP('北段 (人資版)'!R32,工作表1!$A$3:$B$78,2,FALSE)</f>
        <v>#N/A</v>
      </c>
      <c r="S32" s="62" t="e">
        <f>VLOOKUP('北段 (人資版)'!S32,工作表1!$A$3:$B$78,2,FALSE)</f>
        <v>#N/A</v>
      </c>
      <c r="T32" s="62" t="e">
        <f>VLOOKUP('北段 (人資版)'!T32,工作表1!$A$3:$B$78,2,FALSE)</f>
        <v>#N/A</v>
      </c>
      <c r="U32" s="62" t="e">
        <f>VLOOKUP('北段 (人資版)'!U32,工作表1!$A$3:$B$78,2,FALSE)</f>
        <v>#N/A</v>
      </c>
      <c r="V32" s="62" t="e">
        <f>VLOOKUP('北段 (人資版)'!V32,工作表1!$A$3:$B$78,2,FALSE)</f>
        <v>#N/A</v>
      </c>
      <c r="W32" s="62" t="e">
        <f>VLOOKUP('北段 (人資版)'!W32,工作表1!$A$3:$B$78,2,FALSE)</f>
        <v>#N/A</v>
      </c>
      <c r="X32" s="62" t="e">
        <f>VLOOKUP('北段 (人資版)'!X32,工作表1!$A$3:$B$78,2,FALSE)</f>
        <v>#N/A</v>
      </c>
      <c r="Y32" s="62" t="e">
        <f>VLOOKUP('北段 (人資版)'!Y32,工作表1!$A$3:$B$78,2,FALSE)</f>
        <v>#N/A</v>
      </c>
      <c r="Z32" s="62">
        <f>VLOOKUP('北段 (人資版)'!Z32,工作表1!$A$3:$B$78,2,FALSE)</f>
        <v>91</v>
      </c>
      <c r="AA32" s="62">
        <f>VLOOKUP('北段 (人資版)'!AA32,工作表1!$A$3:$B$78,2,FALSE)</f>
        <v>92</v>
      </c>
      <c r="AB32" s="62" t="e">
        <f>VLOOKUP('北段 (人資版)'!AB32,工作表1!$A$3:$B$78,2,FALSE)</f>
        <v>#N/A</v>
      </c>
      <c r="AC32" s="62" t="e">
        <f>VLOOKUP('北段 (人資版)'!AC32,工作表1!$A$3:$B$78,2,FALSE)</f>
        <v>#N/A</v>
      </c>
      <c r="AD32" s="62" t="e">
        <f>VLOOKUP('北段 (人資版)'!AD32,工作表1!$A$3:$B$78,2,FALSE)</f>
        <v>#N/A</v>
      </c>
      <c r="AE32" s="62" t="e">
        <f>VLOOKUP('北段 (人資版)'!AE32,工作表1!$A$3:$B$78,2,FALSE)</f>
        <v>#N/A</v>
      </c>
      <c r="AF32" s="62">
        <f>VLOOKUP('北段 (人資版)'!AF32,工作表1!$A$3:$B$78,2,FALSE)</f>
        <v>92</v>
      </c>
      <c r="AG32" s="62" t="e">
        <f>VLOOKUP('北段 (人資版)'!AG32,工作表1!$A$3:$B$78,2,FALSE)</f>
        <v>#N/A</v>
      </c>
      <c r="AH32" s="62" t="e">
        <f>VLOOKUP('北段 (人資版)'!AH32,工作表1!$A$3:$B$78,2,FALSE)</f>
        <v>#REF!</v>
      </c>
      <c r="AI32" s="62" t="e">
        <f>VLOOKUP('北段 (人資版)'!AI32,工作表1!$A$3:$B$78,2,FALSE)</f>
        <v>#REF!</v>
      </c>
      <c r="AJ32" s="62" t="e">
        <f>VLOOKUP('北段 (人資版)'!AJ32,工作表1!$A$3:$B$78,2,FALSE)</f>
        <v>#REF!</v>
      </c>
      <c r="AK32" s="62" t="e">
        <f>VLOOKUP('北段 (人資版)'!AK32,工作表1!$A$3:$B$78,2,FALSE)</f>
        <v>#REF!</v>
      </c>
      <c r="AL32" s="62" t="e">
        <f>VLOOKUP('北段 (人資版)'!AL32,工作表1!$A$3:$B$78,2,FALSE)</f>
        <v>#REF!</v>
      </c>
      <c r="AM32" s="62" t="e">
        <f>VLOOKUP('北段 (人資版)'!AM32,工作表1!$A$3:$B$78,2,FALSE)</f>
        <v>#REF!</v>
      </c>
      <c r="AN32" s="62" t="e">
        <f>VLOOKUP('北段 (人資版)'!AN32,工作表1!$A$3:$B$78,2,FALSE)</f>
        <v>#REF!</v>
      </c>
    </row>
    <row r="33" spans="1:40" ht="39.75" customHeight="1">
      <c r="A33" s="56"/>
      <c r="B33" s="101" t="str">
        <f>北段!B32</f>
        <v>T00489</v>
      </c>
      <c r="C33" s="38" t="str">
        <f>VLOOKUP(B33,北段!B:C,2,FALSE)</f>
        <v>吳珮伃</v>
      </c>
      <c r="D33" s="62">
        <f>VLOOKUP('北段 (人資版)'!D33,工作表1!$A$3:$B$78,2,FALSE)</f>
        <v>92</v>
      </c>
      <c r="E33" s="62">
        <f>VLOOKUP('北段 (人資版)'!E33,工作表1!$A$3:$B$78,2,FALSE)</f>
        <v>66</v>
      </c>
      <c r="F33" s="62" t="e">
        <f>VLOOKUP('北段 (人資版)'!F33,工作表1!$A$3:$B$78,2,FALSE)</f>
        <v>#N/A</v>
      </c>
      <c r="G33" s="62" t="e">
        <f>VLOOKUP('北段 (人資版)'!G33,工作表1!$A$3:$B$78,2,FALSE)</f>
        <v>#N/A</v>
      </c>
      <c r="H33" s="62" t="e">
        <f>VLOOKUP('北段 (人資版)'!H33,工作表1!$A$3:$B$78,2,FALSE)</f>
        <v>#N/A</v>
      </c>
      <c r="I33" s="62" t="e">
        <f>VLOOKUP('北段 (人資版)'!I33,工作表1!$A$3:$B$78,2,FALSE)</f>
        <v>#N/A</v>
      </c>
      <c r="J33" s="62" t="e">
        <f>VLOOKUP('北段 (人資版)'!J33,工作表1!$A$3:$B$78,2,FALSE)</f>
        <v>#N/A</v>
      </c>
      <c r="K33" s="62" t="e">
        <f>VLOOKUP('北段 (人資版)'!K33,工作表1!$A$3:$B$78,2,FALSE)</f>
        <v>#N/A</v>
      </c>
      <c r="L33" s="62" t="e">
        <f>VLOOKUP('北段 (人資版)'!L33,工作表1!$A$3:$B$78,2,FALSE)</f>
        <v>#N/A</v>
      </c>
      <c r="M33" s="62" t="e">
        <f>VLOOKUP('北段 (人資版)'!M33,工作表1!$A$3:$B$78,2,FALSE)</f>
        <v>#N/A</v>
      </c>
      <c r="N33" s="62" t="e">
        <f>VLOOKUP('北段 (人資版)'!N33,工作表1!$A$3:$B$78,2,FALSE)</f>
        <v>#N/A</v>
      </c>
      <c r="O33" s="62" t="e">
        <f>VLOOKUP('北段 (人資版)'!O33,工作表1!$A$3:$B$78,2,FALSE)</f>
        <v>#N/A</v>
      </c>
      <c r="P33" s="62" t="e">
        <f>VLOOKUP('北段 (人資版)'!P33,工作表1!$A$3:$B$78,2,FALSE)</f>
        <v>#N/A</v>
      </c>
      <c r="Q33" s="62" t="e">
        <f>VLOOKUP('北段 (人資版)'!Q33,工作表1!$A$3:$B$78,2,FALSE)</f>
        <v>#N/A</v>
      </c>
      <c r="R33" s="62" t="e">
        <f>VLOOKUP('北段 (人資版)'!R33,工作表1!$A$3:$B$78,2,FALSE)</f>
        <v>#N/A</v>
      </c>
      <c r="S33" s="62" t="e">
        <f>VLOOKUP('北段 (人資版)'!S33,工作表1!$A$3:$B$78,2,FALSE)</f>
        <v>#N/A</v>
      </c>
      <c r="T33" s="62" t="e">
        <f>VLOOKUP('北段 (人資版)'!T33,工作表1!$A$3:$B$78,2,FALSE)</f>
        <v>#N/A</v>
      </c>
      <c r="U33" s="62" t="e">
        <f>VLOOKUP('北段 (人資版)'!U33,工作表1!$A$3:$B$78,2,FALSE)</f>
        <v>#N/A</v>
      </c>
      <c r="V33" s="62" t="e">
        <f>VLOOKUP('北段 (人資版)'!V33,工作表1!$A$3:$B$78,2,FALSE)</f>
        <v>#N/A</v>
      </c>
      <c r="W33" s="62" t="e">
        <f>VLOOKUP('北段 (人資版)'!W33,工作表1!$A$3:$B$78,2,FALSE)</f>
        <v>#N/A</v>
      </c>
      <c r="X33" s="62" t="e">
        <f>VLOOKUP('北段 (人資版)'!X33,工作表1!$A$3:$B$78,2,FALSE)</f>
        <v>#N/A</v>
      </c>
      <c r="Y33" s="62" t="e">
        <f>VLOOKUP('北段 (人資版)'!Y33,工作表1!$A$3:$B$78,2,FALSE)</f>
        <v>#N/A</v>
      </c>
      <c r="Z33" s="62" t="e">
        <f>VLOOKUP('北段 (人資版)'!Z33,工作表1!$A$3:$B$78,2,FALSE)</f>
        <v>#N/A</v>
      </c>
      <c r="AA33" s="62" t="e">
        <f>VLOOKUP('北段 (人資版)'!AA33,工作表1!$A$3:$B$78,2,FALSE)</f>
        <v>#N/A</v>
      </c>
      <c r="AB33" s="62" t="e">
        <f>VLOOKUP('北段 (人資版)'!AB33,工作表1!$A$3:$B$78,2,FALSE)</f>
        <v>#N/A</v>
      </c>
      <c r="AC33" s="62" t="e">
        <f>VLOOKUP('北段 (人資版)'!AC33,工作表1!$A$3:$B$78,2,FALSE)</f>
        <v>#N/A</v>
      </c>
      <c r="AD33" s="62" t="e">
        <f>VLOOKUP('北段 (人資版)'!AD33,工作表1!$A$3:$B$78,2,FALSE)</f>
        <v>#N/A</v>
      </c>
      <c r="AE33" s="62" t="e">
        <f>VLOOKUP('北段 (人資版)'!AE33,工作表1!$A$3:$B$78,2,FALSE)</f>
        <v>#N/A</v>
      </c>
      <c r="AF33" s="62" t="e">
        <f>VLOOKUP('北段 (人資版)'!AF33,工作表1!$A$3:$B$78,2,FALSE)</f>
        <v>#N/A</v>
      </c>
      <c r="AG33" s="62" t="e">
        <f>VLOOKUP('北段 (人資版)'!AG33,工作表1!$A$3:$B$78,2,FALSE)</f>
        <v>#N/A</v>
      </c>
      <c r="AH33" s="62" t="e">
        <f>VLOOKUP('北段 (人資版)'!AH33,工作表1!$A$3:$B$78,2,FALSE)</f>
        <v>#REF!</v>
      </c>
      <c r="AI33" s="62" t="e">
        <f>VLOOKUP('北段 (人資版)'!AI33,工作表1!$A$3:$B$78,2,FALSE)</f>
        <v>#REF!</v>
      </c>
      <c r="AJ33" s="62" t="e">
        <f>VLOOKUP('北段 (人資版)'!AJ33,工作表1!$A$3:$B$78,2,FALSE)</f>
        <v>#REF!</v>
      </c>
      <c r="AK33" s="62" t="e">
        <f>VLOOKUP('北段 (人資版)'!AK33,工作表1!$A$3:$B$78,2,FALSE)</f>
        <v>#REF!</v>
      </c>
      <c r="AL33" s="62" t="e">
        <f>VLOOKUP('北段 (人資版)'!AL33,工作表1!$A$3:$B$78,2,FALSE)</f>
        <v>#REF!</v>
      </c>
      <c r="AM33" s="62" t="e">
        <f>VLOOKUP('北段 (人資版)'!AM33,工作表1!$A$3:$B$78,2,FALSE)</f>
        <v>#REF!</v>
      </c>
      <c r="AN33" s="62" t="e">
        <f>VLOOKUP('北段 (人資版)'!AN33,工作表1!$A$3:$B$78,2,FALSE)</f>
        <v>#REF!</v>
      </c>
    </row>
    <row r="34" spans="1:40" ht="39.75" customHeight="1">
      <c r="A34" s="56"/>
      <c r="B34" s="101" t="str">
        <f>北段!B33</f>
        <v>T00523</v>
      </c>
      <c r="C34" s="38" t="str">
        <f>VLOOKUP(B34,北段!B:C,2,FALSE)</f>
        <v>鄭翰鴻</v>
      </c>
      <c r="D34" s="62">
        <f>VLOOKUP('北段 (人資版)'!D34,工作表1!$A$3:$B$78,2,FALSE)</f>
        <v>38</v>
      </c>
      <c r="E34" s="62">
        <f>VLOOKUP('北段 (人資版)'!E34,工作表1!$A$3:$B$78,2,FALSE)</f>
        <v>38</v>
      </c>
      <c r="F34" s="62" t="e">
        <f>VLOOKUP('北段 (人資版)'!F34,工作表1!$A$3:$B$78,2,FALSE)</f>
        <v>#N/A</v>
      </c>
      <c r="G34" s="62" t="e">
        <f>VLOOKUP('北段 (人資版)'!G34,工作表1!$A$3:$B$78,2,FALSE)</f>
        <v>#N/A</v>
      </c>
      <c r="H34" s="62" t="e">
        <f>VLOOKUP('北段 (人資版)'!H34,工作表1!$A$3:$B$78,2,FALSE)</f>
        <v>#N/A</v>
      </c>
      <c r="I34" s="62" t="e">
        <f>VLOOKUP('北段 (人資版)'!I34,工作表1!$A$3:$B$78,2,FALSE)</f>
        <v>#N/A</v>
      </c>
      <c r="J34" s="62" t="e">
        <f>VLOOKUP('北段 (人資版)'!J34,工作表1!$A$3:$B$78,2,FALSE)</f>
        <v>#N/A</v>
      </c>
      <c r="K34" s="62" t="e">
        <f>VLOOKUP('北段 (人資版)'!K34,工作表1!$A$3:$B$78,2,FALSE)</f>
        <v>#N/A</v>
      </c>
      <c r="L34" s="62" t="e">
        <f>VLOOKUP('北段 (人資版)'!L34,工作表1!$A$3:$B$78,2,FALSE)</f>
        <v>#N/A</v>
      </c>
      <c r="M34" s="62" t="e">
        <f>VLOOKUP('北段 (人資版)'!M34,工作表1!$A$3:$B$78,2,FALSE)</f>
        <v>#N/A</v>
      </c>
      <c r="N34" s="62" t="e">
        <f>VLOOKUP('北段 (人資版)'!N34,工作表1!$A$3:$B$78,2,FALSE)</f>
        <v>#N/A</v>
      </c>
      <c r="O34" s="62" t="e">
        <f>VLOOKUP('北段 (人資版)'!O34,工作表1!$A$3:$B$78,2,FALSE)</f>
        <v>#N/A</v>
      </c>
      <c r="P34" s="62" t="e">
        <f>VLOOKUP('北段 (人資版)'!P34,工作表1!$A$3:$B$78,2,FALSE)</f>
        <v>#N/A</v>
      </c>
      <c r="Q34" s="62" t="e">
        <f>VLOOKUP('北段 (人資版)'!Q34,工作表1!$A$3:$B$78,2,FALSE)</f>
        <v>#N/A</v>
      </c>
      <c r="R34" s="62" t="e">
        <f>VLOOKUP('北段 (人資版)'!R34,工作表1!$A$3:$B$78,2,FALSE)</f>
        <v>#N/A</v>
      </c>
      <c r="S34" s="62" t="e">
        <f>VLOOKUP('北段 (人資版)'!S34,工作表1!$A$3:$B$78,2,FALSE)</f>
        <v>#N/A</v>
      </c>
      <c r="T34" s="62" t="e">
        <f>VLOOKUP('北段 (人資版)'!T34,工作表1!$A$3:$B$78,2,FALSE)</f>
        <v>#N/A</v>
      </c>
      <c r="U34" s="62" t="e">
        <f>VLOOKUP('北段 (人資版)'!U34,工作表1!$A$3:$B$78,2,FALSE)</f>
        <v>#N/A</v>
      </c>
      <c r="V34" s="62" t="e">
        <f>VLOOKUP('北段 (人資版)'!V34,工作表1!$A$3:$B$78,2,FALSE)</f>
        <v>#N/A</v>
      </c>
      <c r="W34" s="62" t="e">
        <f>VLOOKUP('北段 (人資版)'!W34,工作表1!$A$3:$B$78,2,FALSE)</f>
        <v>#N/A</v>
      </c>
      <c r="X34" s="62" t="e">
        <f>VLOOKUP('北段 (人資版)'!X34,工作表1!$A$3:$B$78,2,FALSE)</f>
        <v>#N/A</v>
      </c>
      <c r="Y34" s="62" t="e">
        <f>VLOOKUP('北段 (人資版)'!Y34,工作表1!$A$3:$B$78,2,FALSE)</f>
        <v>#N/A</v>
      </c>
      <c r="Z34" s="62" t="e">
        <f>VLOOKUP('北段 (人資版)'!Z34,工作表1!$A$3:$B$78,2,FALSE)</f>
        <v>#N/A</v>
      </c>
      <c r="AA34" s="62" t="e">
        <f>VLOOKUP('北段 (人資版)'!AA34,工作表1!$A$3:$B$78,2,FALSE)</f>
        <v>#N/A</v>
      </c>
      <c r="AB34" s="62" t="e">
        <f>VLOOKUP('北段 (人資版)'!AB34,工作表1!$A$3:$B$78,2,FALSE)</f>
        <v>#N/A</v>
      </c>
      <c r="AC34" s="62" t="e">
        <f>VLOOKUP('北段 (人資版)'!AC34,工作表1!$A$3:$B$78,2,FALSE)</f>
        <v>#N/A</v>
      </c>
      <c r="AD34" s="62" t="e">
        <f>VLOOKUP('北段 (人資版)'!AD34,工作表1!$A$3:$B$78,2,FALSE)</f>
        <v>#N/A</v>
      </c>
      <c r="AE34" s="62" t="e">
        <f>VLOOKUP('北段 (人資版)'!AE34,工作表1!$A$3:$B$78,2,FALSE)</f>
        <v>#N/A</v>
      </c>
      <c r="AF34" s="62" t="e">
        <f>VLOOKUP('北段 (人資版)'!AF34,工作表1!$A$3:$B$78,2,FALSE)</f>
        <v>#N/A</v>
      </c>
      <c r="AG34" s="62" t="e">
        <f>VLOOKUP('北段 (人資版)'!AG34,工作表1!$A$3:$B$78,2,FALSE)</f>
        <v>#N/A</v>
      </c>
      <c r="AH34" s="62" t="e">
        <f>VLOOKUP('北段 (人資版)'!AH34,工作表1!$A$3:$B$78,2,FALSE)</f>
        <v>#REF!</v>
      </c>
      <c r="AI34" s="62" t="e">
        <f>VLOOKUP('北段 (人資版)'!AI34,工作表1!$A$3:$B$78,2,FALSE)</f>
        <v>#REF!</v>
      </c>
      <c r="AJ34" s="62" t="e">
        <f>VLOOKUP('北段 (人資版)'!AJ34,工作表1!$A$3:$B$78,2,FALSE)</f>
        <v>#REF!</v>
      </c>
      <c r="AK34" s="62" t="e">
        <f>VLOOKUP('北段 (人資版)'!AK34,工作表1!$A$3:$B$78,2,FALSE)</f>
        <v>#REF!</v>
      </c>
      <c r="AL34" s="62" t="e">
        <f>VLOOKUP('北段 (人資版)'!AL34,工作表1!$A$3:$B$78,2,FALSE)</f>
        <v>#REF!</v>
      </c>
      <c r="AM34" s="62" t="e">
        <f>VLOOKUP('北段 (人資版)'!AM34,工作表1!$A$3:$B$78,2,FALSE)</f>
        <v>#REF!</v>
      </c>
      <c r="AN34" s="62" t="e">
        <f>VLOOKUP('北段 (人資版)'!AN34,工作表1!$A$3:$B$78,2,FALSE)</f>
        <v>#REF!</v>
      </c>
    </row>
    <row r="35" spans="1:40" ht="39.75" customHeight="1">
      <c r="A35" s="56"/>
      <c r="B35" s="101" t="str">
        <f>北段!B34</f>
        <v>T00899</v>
      </c>
      <c r="C35" s="38" t="str">
        <f>VLOOKUP(B35,北段!B:C,2,FALSE)</f>
        <v>陳炘玉</v>
      </c>
      <c r="D35" s="62">
        <f>VLOOKUP('北段 (人資版)'!D35,工作表1!$A$3:$B$78,2,FALSE)</f>
        <v>70</v>
      </c>
      <c r="E35" s="62">
        <f>VLOOKUP('北段 (人資版)'!E35,工作表1!$A$3:$B$78,2,FALSE)</f>
        <v>70</v>
      </c>
      <c r="F35" s="62" t="e">
        <f>VLOOKUP('北段 (人資版)'!F35,工作表1!$A$3:$B$78,2,FALSE)</f>
        <v>#N/A</v>
      </c>
      <c r="G35" s="62" t="e">
        <f>VLOOKUP('北段 (人資版)'!G35,工作表1!$A$3:$B$78,2,FALSE)</f>
        <v>#N/A</v>
      </c>
      <c r="H35" s="62" t="e">
        <f>VLOOKUP('北段 (人資版)'!H35,工作表1!$A$3:$B$78,2,FALSE)</f>
        <v>#N/A</v>
      </c>
      <c r="I35" s="62" t="e">
        <f>VLOOKUP('北段 (人資版)'!I35,工作表1!$A$3:$B$78,2,FALSE)</f>
        <v>#N/A</v>
      </c>
      <c r="J35" s="62" t="e">
        <f>VLOOKUP('北段 (人資版)'!J35,工作表1!$A$3:$B$78,2,FALSE)</f>
        <v>#N/A</v>
      </c>
      <c r="K35" s="62" t="e">
        <f>VLOOKUP('北段 (人資版)'!K35,工作表1!$A$3:$B$78,2,FALSE)</f>
        <v>#N/A</v>
      </c>
      <c r="L35" s="62" t="e">
        <f>VLOOKUP('北段 (人資版)'!L35,工作表1!$A$3:$B$78,2,FALSE)</f>
        <v>#N/A</v>
      </c>
      <c r="M35" s="62" t="e">
        <f>VLOOKUP('北段 (人資版)'!M35,工作表1!$A$3:$B$78,2,FALSE)</f>
        <v>#N/A</v>
      </c>
      <c r="N35" s="62" t="e">
        <f>VLOOKUP('北段 (人資版)'!N35,工作表1!$A$3:$B$78,2,FALSE)</f>
        <v>#N/A</v>
      </c>
      <c r="O35" s="62" t="e">
        <f>VLOOKUP('北段 (人資版)'!O35,工作表1!$A$3:$B$78,2,FALSE)</f>
        <v>#N/A</v>
      </c>
      <c r="P35" s="62" t="e">
        <f>VLOOKUP('北段 (人資版)'!P35,工作表1!$A$3:$B$78,2,FALSE)</f>
        <v>#N/A</v>
      </c>
      <c r="Q35" s="62" t="e">
        <f>VLOOKUP('北段 (人資版)'!Q35,工作表1!$A$3:$B$78,2,FALSE)</f>
        <v>#N/A</v>
      </c>
      <c r="R35" s="62" t="e">
        <f>VLOOKUP('北段 (人資版)'!R35,工作表1!$A$3:$B$78,2,FALSE)</f>
        <v>#N/A</v>
      </c>
      <c r="S35" s="62" t="e">
        <f>VLOOKUP('北段 (人資版)'!S35,工作表1!$A$3:$B$78,2,FALSE)</f>
        <v>#N/A</v>
      </c>
      <c r="T35" s="62" t="e">
        <f>VLOOKUP('北段 (人資版)'!T35,工作表1!$A$3:$B$78,2,FALSE)</f>
        <v>#N/A</v>
      </c>
      <c r="U35" s="62" t="e">
        <f>VLOOKUP('北段 (人資版)'!U35,工作表1!$A$3:$B$78,2,FALSE)</f>
        <v>#N/A</v>
      </c>
      <c r="V35" s="62" t="e">
        <f>VLOOKUP('北段 (人資版)'!V35,工作表1!$A$3:$B$78,2,FALSE)</f>
        <v>#N/A</v>
      </c>
      <c r="W35" s="62" t="e">
        <f>VLOOKUP('北段 (人資版)'!W35,工作表1!$A$3:$B$78,2,FALSE)</f>
        <v>#N/A</v>
      </c>
      <c r="X35" s="62" t="e">
        <f>VLOOKUP('北段 (人資版)'!X35,工作表1!$A$3:$B$78,2,FALSE)</f>
        <v>#N/A</v>
      </c>
      <c r="Y35" s="62" t="e">
        <f>VLOOKUP('北段 (人資版)'!Y35,工作表1!$A$3:$B$78,2,FALSE)</f>
        <v>#N/A</v>
      </c>
      <c r="Z35" s="62" t="e">
        <f>VLOOKUP('北段 (人資版)'!Z35,工作表1!$A$3:$B$78,2,FALSE)</f>
        <v>#N/A</v>
      </c>
      <c r="AA35" s="62" t="e">
        <f>VLOOKUP('北段 (人資版)'!AA35,工作表1!$A$3:$B$78,2,FALSE)</f>
        <v>#N/A</v>
      </c>
      <c r="AB35" s="62" t="e">
        <f>VLOOKUP('北段 (人資版)'!AB35,工作表1!$A$3:$B$78,2,FALSE)</f>
        <v>#N/A</v>
      </c>
      <c r="AC35" s="62" t="e">
        <f>VLOOKUP('北段 (人資版)'!AC35,工作表1!$A$3:$B$78,2,FALSE)</f>
        <v>#N/A</v>
      </c>
      <c r="AD35" s="62" t="e">
        <f>VLOOKUP('北段 (人資版)'!AD35,工作表1!$A$3:$B$78,2,FALSE)</f>
        <v>#N/A</v>
      </c>
      <c r="AE35" s="62" t="e">
        <f>VLOOKUP('北段 (人資版)'!AE35,工作表1!$A$3:$B$78,2,FALSE)</f>
        <v>#N/A</v>
      </c>
      <c r="AF35" s="62" t="e">
        <f>VLOOKUP('北段 (人資版)'!AF35,工作表1!$A$3:$B$78,2,FALSE)</f>
        <v>#N/A</v>
      </c>
      <c r="AG35" s="62" t="e">
        <f>VLOOKUP('北段 (人資版)'!AG35,工作表1!$A$3:$B$78,2,FALSE)</f>
        <v>#N/A</v>
      </c>
      <c r="AH35" s="62" t="e">
        <f>VLOOKUP('北段 (人資版)'!AH35,工作表1!$A$3:$B$78,2,FALSE)</f>
        <v>#REF!</v>
      </c>
      <c r="AI35" s="62" t="e">
        <f>VLOOKUP('北段 (人資版)'!AI35,工作表1!$A$3:$B$78,2,FALSE)</f>
        <v>#REF!</v>
      </c>
      <c r="AJ35" s="62" t="e">
        <f>VLOOKUP('北段 (人資版)'!AJ35,工作表1!$A$3:$B$78,2,FALSE)</f>
        <v>#REF!</v>
      </c>
      <c r="AK35" s="62" t="e">
        <f>VLOOKUP('北段 (人資版)'!AK35,工作表1!$A$3:$B$78,2,FALSE)</f>
        <v>#REF!</v>
      </c>
      <c r="AL35" s="62" t="e">
        <f>VLOOKUP('北段 (人資版)'!AL35,工作表1!$A$3:$B$78,2,FALSE)</f>
        <v>#REF!</v>
      </c>
      <c r="AM35" s="62" t="e">
        <f>VLOOKUP('北段 (人資版)'!AM35,工作表1!$A$3:$B$78,2,FALSE)</f>
        <v>#REF!</v>
      </c>
      <c r="AN35" s="62" t="e">
        <f>VLOOKUP('北段 (人資版)'!AN35,工作表1!$A$3:$B$78,2,FALSE)</f>
        <v>#REF!</v>
      </c>
    </row>
    <row r="36" spans="1:40" ht="39.75" customHeight="1">
      <c r="A36" s="56"/>
      <c r="B36" s="101" t="str">
        <f>北段!B35</f>
        <v>T01025</v>
      </c>
      <c r="C36" s="38" t="str">
        <f>VLOOKUP(B36,北段!B:C,2,FALSE)</f>
        <v>卓子揚</v>
      </c>
      <c r="D36" s="62">
        <f>VLOOKUP('北段 (人資版)'!D36,工作表1!$A$3:$B$78,2,FALSE)</f>
        <v>92</v>
      </c>
      <c r="E36" s="62">
        <f>VLOOKUP('北段 (人資版)'!E36,工作表1!$A$3:$B$78,2,FALSE)</f>
        <v>91</v>
      </c>
      <c r="F36" s="62" t="e">
        <f>VLOOKUP('北段 (人資版)'!F36,工作表1!$A$3:$B$78,2,FALSE)</f>
        <v>#N/A</v>
      </c>
      <c r="G36" s="62" t="e">
        <f>VLOOKUP('北段 (人資版)'!G36,工作表1!$A$3:$B$78,2,FALSE)</f>
        <v>#N/A</v>
      </c>
      <c r="H36" s="62" t="e">
        <f>VLOOKUP('北段 (人資版)'!H36,工作表1!$A$3:$B$78,2,FALSE)</f>
        <v>#N/A</v>
      </c>
      <c r="I36" s="62" t="e">
        <f>VLOOKUP('北段 (人資版)'!I36,工作表1!$A$3:$B$78,2,FALSE)</f>
        <v>#N/A</v>
      </c>
      <c r="J36" s="62" t="e">
        <f>VLOOKUP('北段 (人資版)'!J36,工作表1!$A$3:$B$78,2,FALSE)</f>
        <v>#N/A</v>
      </c>
      <c r="K36" s="62" t="e">
        <f>VLOOKUP('北段 (人資版)'!K36,工作表1!$A$3:$B$78,2,FALSE)</f>
        <v>#N/A</v>
      </c>
      <c r="L36" s="62" t="e">
        <f>VLOOKUP('北段 (人資版)'!L36,工作表1!$A$3:$B$78,2,FALSE)</f>
        <v>#N/A</v>
      </c>
      <c r="M36" s="62" t="e">
        <f>VLOOKUP('北段 (人資版)'!M36,工作表1!$A$3:$B$78,2,FALSE)</f>
        <v>#N/A</v>
      </c>
      <c r="N36" s="62" t="e">
        <f>VLOOKUP('北段 (人資版)'!N36,工作表1!$A$3:$B$78,2,FALSE)</f>
        <v>#N/A</v>
      </c>
      <c r="O36" s="62" t="e">
        <f>VLOOKUP('北段 (人資版)'!O36,工作表1!$A$3:$B$78,2,FALSE)</f>
        <v>#N/A</v>
      </c>
      <c r="P36" s="62" t="e">
        <f>VLOOKUP('北段 (人資版)'!P36,工作表1!$A$3:$B$78,2,FALSE)</f>
        <v>#N/A</v>
      </c>
      <c r="Q36" s="62" t="e">
        <f>VLOOKUP('北段 (人資版)'!Q36,工作表1!$A$3:$B$78,2,FALSE)</f>
        <v>#N/A</v>
      </c>
      <c r="R36" s="62" t="e">
        <f>VLOOKUP('北段 (人資版)'!R36,工作表1!$A$3:$B$78,2,FALSE)</f>
        <v>#N/A</v>
      </c>
      <c r="S36" s="62" t="e">
        <f>VLOOKUP('北段 (人資版)'!S36,工作表1!$A$3:$B$78,2,FALSE)</f>
        <v>#N/A</v>
      </c>
      <c r="T36" s="62" t="e">
        <f>VLOOKUP('北段 (人資版)'!T36,工作表1!$A$3:$B$78,2,FALSE)</f>
        <v>#N/A</v>
      </c>
      <c r="U36" s="62" t="e">
        <f>VLOOKUP('北段 (人資版)'!U36,工作表1!$A$3:$B$78,2,FALSE)</f>
        <v>#N/A</v>
      </c>
      <c r="V36" s="62" t="e">
        <f>VLOOKUP('北段 (人資版)'!V36,工作表1!$A$3:$B$78,2,FALSE)</f>
        <v>#N/A</v>
      </c>
      <c r="W36" s="62" t="e">
        <f>VLOOKUP('北段 (人資版)'!W36,工作表1!$A$3:$B$78,2,FALSE)</f>
        <v>#N/A</v>
      </c>
      <c r="X36" s="62" t="e">
        <f>VLOOKUP('北段 (人資版)'!X36,工作表1!$A$3:$B$78,2,FALSE)</f>
        <v>#N/A</v>
      </c>
      <c r="Y36" s="62" t="e">
        <f>VLOOKUP('北段 (人資版)'!Y36,工作表1!$A$3:$B$78,2,FALSE)</f>
        <v>#N/A</v>
      </c>
      <c r="Z36" s="62" t="e">
        <f>VLOOKUP('北段 (人資版)'!Z36,工作表1!$A$3:$B$78,2,FALSE)</f>
        <v>#N/A</v>
      </c>
      <c r="AA36" s="62" t="e">
        <f>VLOOKUP('北段 (人資版)'!AA36,工作表1!$A$3:$B$78,2,FALSE)</f>
        <v>#N/A</v>
      </c>
      <c r="AB36" s="62" t="e">
        <f>VLOOKUP('北段 (人資版)'!AB36,工作表1!$A$3:$B$78,2,FALSE)</f>
        <v>#N/A</v>
      </c>
      <c r="AC36" s="62" t="e">
        <f>VLOOKUP('北段 (人資版)'!AC36,工作表1!$A$3:$B$78,2,FALSE)</f>
        <v>#N/A</v>
      </c>
      <c r="AD36" s="62" t="e">
        <f>VLOOKUP('北段 (人資版)'!AD36,工作表1!$A$3:$B$78,2,FALSE)</f>
        <v>#N/A</v>
      </c>
      <c r="AE36" s="62" t="e">
        <f>VLOOKUP('北段 (人資版)'!AE36,工作表1!$A$3:$B$78,2,FALSE)</f>
        <v>#N/A</v>
      </c>
      <c r="AF36" s="62" t="e">
        <f>VLOOKUP('北段 (人資版)'!AF36,工作表1!$A$3:$B$78,2,FALSE)</f>
        <v>#N/A</v>
      </c>
      <c r="AG36" s="62" t="e">
        <f>VLOOKUP('北段 (人資版)'!AG36,工作表1!$A$3:$B$78,2,FALSE)</f>
        <v>#N/A</v>
      </c>
      <c r="AH36" s="62" t="e">
        <f>VLOOKUP('北段 (人資版)'!AH36,工作表1!$A$3:$B$78,2,FALSE)</f>
        <v>#REF!</v>
      </c>
      <c r="AI36" s="62" t="e">
        <f>VLOOKUP('北段 (人資版)'!AI36,工作表1!$A$3:$B$78,2,FALSE)</f>
        <v>#REF!</v>
      </c>
      <c r="AJ36" s="62" t="e">
        <f>VLOOKUP('北段 (人資版)'!AJ36,工作表1!$A$3:$B$78,2,FALSE)</f>
        <v>#REF!</v>
      </c>
      <c r="AK36" s="62" t="e">
        <f>VLOOKUP('北段 (人資版)'!AK36,工作表1!$A$3:$B$78,2,FALSE)</f>
        <v>#REF!</v>
      </c>
      <c r="AL36" s="62" t="e">
        <f>VLOOKUP('北段 (人資版)'!AL36,工作表1!$A$3:$B$78,2,FALSE)</f>
        <v>#REF!</v>
      </c>
      <c r="AM36" s="62" t="e">
        <f>VLOOKUP('北段 (人資版)'!AM36,工作表1!$A$3:$B$78,2,FALSE)</f>
        <v>#REF!</v>
      </c>
      <c r="AN36" s="62" t="e">
        <f>VLOOKUP('北段 (人資版)'!AN36,工作表1!$A$3:$B$78,2,FALSE)</f>
        <v>#REF!</v>
      </c>
    </row>
    <row r="37" spans="1:40" ht="39.75" customHeight="1">
      <c r="A37" s="56"/>
      <c r="B37" s="101" t="str">
        <f>北段!B36</f>
        <v>T02510</v>
      </c>
      <c r="C37" s="38" t="str">
        <f>VLOOKUP(B37,北段!B:C,2,FALSE)</f>
        <v>張詠迎</v>
      </c>
      <c r="D37" s="62">
        <f>VLOOKUP('北段 (人資版)'!D37,工作表1!$A$3:$B$78,2,FALSE)</f>
        <v>66</v>
      </c>
      <c r="E37" s="62">
        <f>VLOOKUP('北段 (人資版)'!E37,工作表1!$A$3:$B$78,2,FALSE)</f>
        <v>92</v>
      </c>
      <c r="F37" s="62" t="e">
        <f>VLOOKUP('北段 (人資版)'!F37,工作表1!$A$3:$B$78,2,FALSE)</f>
        <v>#N/A</v>
      </c>
      <c r="G37" s="62" t="e">
        <f>VLOOKUP('北段 (人資版)'!G37,工作表1!$A$3:$B$78,2,FALSE)</f>
        <v>#N/A</v>
      </c>
      <c r="H37" s="62" t="e">
        <f>VLOOKUP('北段 (人資版)'!H37,工作表1!$A$3:$B$78,2,FALSE)</f>
        <v>#N/A</v>
      </c>
      <c r="I37" s="62" t="e">
        <f>VLOOKUP('北段 (人資版)'!I37,工作表1!$A$3:$B$78,2,FALSE)</f>
        <v>#N/A</v>
      </c>
      <c r="J37" s="62" t="e">
        <f>VLOOKUP('北段 (人資版)'!J37,工作表1!$A$3:$B$78,2,FALSE)</f>
        <v>#N/A</v>
      </c>
      <c r="K37" s="62" t="e">
        <f>VLOOKUP('北段 (人資版)'!K37,工作表1!$A$3:$B$78,2,FALSE)</f>
        <v>#N/A</v>
      </c>
      <c r="L37" s="62" t="e">
        <f>VLOOKUP('北段 (人資版)'!L37,工作表1!$A$3:$B$78,2,FALSE)</f>
        <v>#N/A</v>
      </c>
      <c r="M37" s="62" t="e">
        <f>VLOOKUP('北段 (人資版)'!M37,工作表1!$A$3:$B$78,2,FALSE)</f>
        <v>#N/A</v>
      </c>
      <c r="N37" s="62" t="e">
        <f>VLOOKUP('北段 (人資版)'!N37,工作表1!$A$3:$B$78,2,FALSE)</f>
        <v>#N/A</v>
      </c>
      <c r="O37" s="62" t="e">
        <f>VLOOKUP('北段 (人資版)'!O37,工作表1!$A$3:$B$78,2,FALSE)</f>
        <v>#N/A</v>
      </c>
      <c r="P37" s="62" t="e">
        <f>VLOOKUP('北段 (人資版)'!P37,工作表1!$A$3:$B$78,2,FALSE)</f>
        <v>#N/A</v>
      </c>
      <c r="Q37" s="62" t="e">
        <f>VLOOKUP('北段 (人資版)'!Q37,工作表1!$A$3:$B$78,2,FALSE)</f>
        <v>#N/A</v>
      </c>
      <c r="R37" s="62" t="e">
        <f>VLOOKUP('北段 (人資版)'!R37,工作表1!$A$3:$B$78,2,FALSE)</f>
        <v>#N/A</v>
      </c>
      <c r="S37" s="62" t="e">
        <f>VLOOKUP('北段 (人資版)'!S37,工作表1!$A$3:$B$78,2,FALSE)</f>
        <v>#N/A</v>
      </c>
      <c r="T37" s="62" t="e">
        <f>VLOOKUP('北段 (人資版)'!T37,工作表1!$A$3:$B$78,2,FALSE)</f>
        <v>#N/A</v>
      </c>
      <c r="U37" s="62" t="e">
        <f>VLOOKUP('北段 (人資版)'!U37,工作表1!$A$3:$B$78,2,FALSE)</f>
        <v>#N/A</v>
      </c>
      <c r="V37" s="62" t="e">
        <f>VLOOKUP('北段 (人資版)'!V37,工作表1!$A$3:$B$78,2,FALSE)</f>
        <v>#N/A</v>
      </c>
      <c r="W37" s="62" t="e">
        <f>VLOOKUP('北段 (人資版)'!W37,工作表1!$A$3:$B$78,2,FALSE)</f>
        <v>#N/A</v>
      </c>
      <c r="X37" s="62" t="e">
        <f>VLOOKUP('北段 (人資版)'!X37,工作表1!$A$3:$B$78,2,FALSE)</f>
        <v>#N/A</v>
      </c>
      <c r="Y37" s="62" t="e">
        <f>VLOOKUP('北段 (人資版)'!Y37,工作表1!$A$3:$B$78,2,FALSE)</f>
        <v>#N/A</v>
      </c>
      <c r="Z37" s="62" t="e">
        <f>VLOOKUP('北段 (人資版)'!Z37,工作表1!$A$3:$B$78,2,FALSE)</f>
        <v>#N/A</v>
      </c>
      <c r="AA37" s="62" t="e">
        <f>VLOOKUP('北段 (人資版)'!AA37,工作表1!$A$3:$B$78,2,FALSE)</f>
        <v>#N/A</v>
      </c>
      <c r="AB37" s="62" t="e">
        <f>VLOOKUP('北段 (人資版)'!AB37,工作表1!$A$3:$B$78,2,FALSE)</f>
        <v>#N/A</v>
      </c>
      <c r="AC37" s="62" t="e">
        <f>VLOOKUP('北段 (人資版)'!AC37,工作表1!$A$3:$B$78,2,FALSE)</f>
        <v>#N/A</v>
      </c>
      <c r="AD37" s="62" t="e">
        <f>VLOOKUP('北段 (人資版)'!AD37,工作表1!$A$3:$B$78,2,FALSE)</f>
        <v>#N/A</v>
      </c>
      <c r="AE37" s="62" t="e">
        <f>VLOOKUP('北段 (人資版)'!AE37,工作表1!$A$3:$B$78,2,FALSE)</f>
        <v>#N/A</v>
      </c>
      <c r="AF37" s="62" t="e">
        <f>VLOOKUP('北段 (人資版)'!AF37,工作表1!$A$3:$B$78,2,FALSE)</f>
        <v>#N/A</v>
      </c>
      <c r="AG37" s="62" t="e">
        <f>VLOOKUP('北段 (人資版)'!AG37,工作表1!$A$3:$B$78,2,FALSE)</f>
        <v>#N/A</v>
      </c>
      <c r="AH37" s="62" t="e">
        <f>VLOOKUP('北段 (人資版)'!AH37,工作表1!$A$3:$B$78,2,FALSE)</f>
        <v>#REF!</v>
      </c>
      <c r="AI37" s="62" t="e">
        <f>VLOOKUP('北段 (人資版)'!AI37,工作表1!$A$3:$B$78,2,FALSE)</f>
        <v>#REF!</v>
      </c>
      <c r="AJ37" s="62" t="e">
        <f>VLOOKUP('北段 (人資版)'!AJ37,工作表1!$A$3:$B$78,2,FALSE)</f>
        <v>#REF!</v>
      </c>
      <c r="AK37" s="62" t="e">
        <f>VLOOKUP('北段 (人資版)'!AK37,工作表1!$A$3:$B$78,2,FALSE)</f>
        <v>#REF!</v>
      </c>
      <c r="AL37" s="62" t="e">
        <f>VLOOKUP('北段 (人資版)'!AL37,工作表1!$A$3:$B$78,2,FALSE)</f>
        <v>#REF!</v>
      </c>
      <c r="AM37" s="62" t="e">
        <f>VLOOKUP('北段 (人資版)'!AM37,工作表1!$A$3:$B$78,2,FALSE)</f>
        <v>#REF!</v>
      </c>
      <c r="AN37" s="62" t="e">
        <f>VLOOKUP('北段 (人資版)'!AN37,工作表1!$A$3:$B$78,2,FALSE)</f>
        <v>#REF!</v>
      </c>
    </row>
    <row r="38" spans="1:40" ht="39.75" customHeight="1">
      <c r="A38" s="56"/>
      <c r="B38" s="101" t="str">
        <f>北段!B37</f>
        <v>T00510</v>
      </c>
      <c r="C38" s="38" t="str">
        <f>VLOOKUP(B38,北段!B:C,2,FALSE)</f>
        <v>郭凌毓</v>
      </c>
      <c r="D38" s="62" t="str">
        <f>VLOOKUP('北段 (人資版)'!D38,工作表1!$A$3:$B$78,2,FALSE)</f>
        <v>07</v>
      </c>
      <c r="E38" s="62">
        <f>VLOOKUP('北段 (人資版)'!E38,工作表1!$A$3:$B$78,2,FALSE)</f>
        <v>92</v>
      </c>
      <c r="F38" s="62" t="e">
        <f>VLOOKUP('北段 (人資版)'!F38,工作表1!$A$3:$B$78,2,FALSE)</f>
        <v>#N/A</v>
      </c>
      <c r="G38" s="62" t="e">
        <f>VLOOKUP('北段 (人資版)'!G38,工作表1!$A$3:$B$78,2,FALSE)</f>
        <v>#N/A</v>
      </c>
      <c r="H38" s="62" t="e">
        <f>VLOOKUP('北段 (人資版)'!H38,工作表1!$A$3:$B$78,2,FALSE)</f>
        <v>#N/A</v>
      </c>
      <c r="I38" s="62" t="e">
        <f>VLOOKUP('北段 (人資版)'!I38,工作表1!$A$3:$B$78,2,FALSE)</f>
        <v>#N/A</v>
      </c>
      <c r="J38" s="62" t="e">
        <f>VLOOKUP('北段 (人資版)'!J38,工作表1!$A$3:$B$78,2,FALSE)</f>
        <v>#N/A</v>
      </c>
      <c r="K38" s="62" t="e">
        <f>VLOOKUP('北段 (人資版)'!K38,工作表1!$A$3:$B$78,2,FALSE)</f>
        <v>#N/A</v>
      </c>
      <c r="L38" s="62" t="e">
        <f>VLOOKUP('北段 (人資版)'!L38,工作表1!$A$3:$B$78,2,FALSE)</f>
        <v>#N/A</v>
      </c>
      <c r="M38" s="62" t="e">
        <f>VLOOKUP('北段 (人資版)'!M38,工作表1!$A$3:$B$78,2,FALSE)</f>
        <v>#N/A</v>
      </c>
      <c r="N38" s="62" t="e">
        <f>VLOOKUP('北段 (人資版)'!N38,工作表1!$A$3:$B$78,2,FALSE)</f>
        <v>#N/A</v>
      </c>
      <c r="O38" s="62" t="e">
        <f>VLOOKUP('北段 (人資版)'!O38,工作表1!$A$3:$B$78,2,FALSE)</f>
        <v>#N/A</v>
      </c>
      <c r="P38" s="62" t="e">
        <f>VLOOKUP('北段 (人資版)'!P38,工作表1!$A$3:$B$78,2,FALSE)</f>
        <v>#N/A</v>
      </c>
      <c r="Q38" s="62" t="e">
        <f>VLOOKUP('北段 (人資版)'!Q38,工作表1!$A$3:$B$78,2,FALSE)</f>
        <v>#N/A</v>
      </c>
      <c r="R38" s="62" t="e">
        <f>VLOOKUP('北段 (人資版)'!R38,工作表1!$A$3:$B$78,2,FALSE)</f>
        <v>#N/A</v>
      </c>
      <c r="S38" s="62" t="e">
        <f>VLOOKUP('北段 (人資版)'!S38,工作表1!$A$3:$B$78,2,FALSE)</f>
        <v>#N/A</v>
      </c>
      <c r="T38" s="62" t="e">
        <f>VLOOKUP('北段 (人資版)'!T38,工作表1!$A$3:$B$78,2,FALSE)</f>
        <v>#N/A</v>
      </c>
      <c r="U38" s="62" t="e">
        <f>VLOOKUP('北段 (人資版)'!U38,工作表1!$A$3:$B$78,2,FALSE)</f>
        <v>#N/A</v>
      </c>
      <c r="V38" s="62" t="e">
        <f>VLOOKUP('北段 (人資版)'!V38,工作表1!$A$3:$B$78,2,FALSE)</f>
        <v>#N/A</v>
      </c>
      <c r="W38" s="62" t="e">
        <f>VLOOKUP('北段 (人資版)'!W38,工作表1!$A$3:$B$78,2,FALSE)</f>
        <v>#N/A</v>
      </c>
      <c r="X38" s="62" t="e">
        <f>VLOOKUP('北段 (人資版)'!X38,工作表1!$A$3:$B$78,2,FALSE)</f>
        <v>#N/A</v>
      </c>
      <c r="Y38" s="62" t="e">
        <f>VLOOKUP('北段 (人資版)'!Y38,工作表1!$A$3:$B$78,2,FALSE)</f>
        <v>#N/A</v>
      </c>
      <c r="Z38" s="62" t="e">
        <f>VLOOKUP('北段 (人資版)'!Z38,工作表1!$A$3:$B$78,2,FALSE)</f>
        <v>#N/A</v>
      </c>
      <c r="AA38" s="62" t="e">
        <f>VLOOKUP('北段 (人資版)'!AA38,工作表1!$A$3:$B$78,2,FALSE)</f>
        <v>#N/A</v>
      </c>
      <c r="AB38" s="62" t="e">
        <f>VLOOKUP('北段 (人資版)'!AB38,工作表1!$A$3:$B$78,2,FALSE)</f>
        <v>#N/A</v>
      </c>
      <c r="AC38" s="62" t="e">
        <f>VLOOKUP('北段 (人資版)'!AC38,工作表1!$A$3:$B$78,2,FALSE)</f>
        <v>#N/A</v>
      </c>
      <c r="AD38" s="62" t="e">
        <f>VLOOKUP('北段 (人資版)'!AD38,工作表1!$A$3:$B$78,2,FALSE)</f>
        <v>#N/A</v>
      </c>
      <c r="AE38" s="62" t="e">
        <f>VLOOKUP('北段 (人資版)'!AE38,工作表1!$A$3:$B$78,2,FALSE)</f>
        <v>#N/A</v>
      </c>
      <c r="AF38" s="62" t="e">
        <f>VLOOKUP('北段 (人資版)'!AF38,工作表1!$A$3:$B$78,2,FALSE)</f>
        <v>#N/A</v>
      </c>
      <c r="AG38" s="62" t="e">
        <f>VLOOKUP('北段 (人資版)'!AG38,工作表1!$A$3:$B$78,2,FALSE)</f>
        <v>#N/A</v>
      </c>
      <c r="AH38" s="62" t="e">
        <f>VLOOKUP('北段 (人資版)'!AH38,工作表1!$A$3:$B$78,2,FALSE)</f>
        <v>#REF!</v>
      </c>
      <c r="AI38" s="62" t="e">
        <f>VLOOKUP('北段 (人資版)'!AI38,工作表1!$A$3:$B$78,2,FALSE)</f>
        <v>#REF!</v>
      </c>
      <c r="AJ38" s="62" t="e">
        <f>VLOOKUP('北段 (人資版)'!AJ38,工作表1!$A$3:$B$78,2,FALSE)</f>
        <v>#REF!</v>
      </c>
      <c r="AK38" s="62" t="e">
        <f>VLOOKUP('北段 (人資版)'!AK38,工作表1!$A$3:$B$78,2,FALSE)</f>
        <v>#REF!</v>
      </c>
      <c r="AL38" s="62" t="e">
        <f>VLOOKUP('北段 (人資版)'!AL38,工作表1!$A$3:$B$78,2,FALSE)</f>
        <v>#REF!</v>
      </c>
      <c r="AM38" s="62" t="e">
        <f>VLOOKUP('北段 (人資版)'!AM38,工作表1!$A$3:$B$78,2,FALSE)</f>
        <v>#REF!</v>
      </c>
      <c r="AN38" s="62" t="e">
        <f>VLOOKUP('北段 (人資版)'!AN38,工作表1!$A$3:$B$78,2,FALSE)</f>
        <v>#REF!</v>
      </c>
    </row>
    <row r="39" spans="1:40" ht="39.6" customHeight="1" thickBot="1">
      <c r="A39" s="57"/>
      <c r="B39" s="101" t="str">
        <f>北段!B38</f>
        <v>T01264</v>
      </c>
      <c r="C39" s="38" t="str">
        <f>VLOOKUP(B39,北段!B:C,2,FALSE)</f>
        <v>高子翔</v>
      </c>
      <c r="D39" s="62">
        <f>VLOOKUP('北段 (人資版)'!D39,工作表1!$A$3:$B$78,2,FALSE)</f>
        <v>90</v>
      </c>
      <c r="E39" s="62">
        <f>VLOOKUP('北段 (人資版)'!E39,工作表1!$A$3:$B$78,2,FALSE)</f>
        <v>38</v>
      </c>
      <c r="F39" s="62" t="e">
        <f>VLOOKUP('北段 (人資版)'!F39,工作表1!$A$3:$B$78,2,FALSE)</f>
        <v>#N/A</v>
      </c>
      <c r="G39" s="62" t="e">
        <f>VLOOKUP('北段 (人資版)'!G39,工作表1!$A$3:$B$78,2,FALSE)</f>
        <v>#N/A</v>
      </c>
      <c r="H39" s="62" t="e">
        <f>VLOOKUP('北段 (人資版)'!H39,工作表1!$A$3:$B$78,2,FALSE)</f>
        <v>#N/A</v>
      </c>
      <c r="I39" s="62" t="e">
        <f>VLOOKUP('北段 (人資版)'!I39,工作表1!$A$3:$B$78,2,FALSE)</f>
        <v>#N/A</v>
      </c>
      <c r="J39" s="62" t="e">
        <f>VLOOKUP('北段 (人資版)'!J39,工作表1!$A$3:$B$78,2,FALSE)</f>
        <v>#N/A</v>
      </c>
      <c r="K39" s="62" t="e">
        <f>VLOOKUP('北段 (人資版)'!K39,工作表1!$A$3:$B$78,2,FALSE)</f>
        <v>#N/A</v>
      </c>
      <c r="L39" s="62" t="e">
        <f>VLOOKUP('北段 (人資版)'!L39,工作表1!$A$3:$B$78,2,FALSE)</f>
        <v>#N/A</v>
      </c>
      <c r="M39" s="62" t="e">
        <f>VLOOKUP('北段 (人資版)'!M39,工作表1!$A$3:$B$78,2,FALSE)</f>
        <v>#N/A</v>
      </c>
      <c r="N39" s="62" t="e">
        <f>VLOOKUP('北段 (人資版)'!N39,工作表1!$A$3:$B$78,2,FALSE)</f>
        <v>#N/A</v>
      </c>
      <c r="O39" s="62" t="e">
        <f>VLOOKUP('北段 (人資版)'!O39,工作表1!$A$3:$B$78,2,FALSE)</f>
        <v>#N/A</v>
      </c>
      <c r="P39" s="62" t="e">
        <f>VLOOKUP('北段 (人資版)'!P39,工作表1!$A$3:$B$78,2,FALSE)</f>
        <v>#N/A</v>
      </c>
      <c r="Q39" s="62" t="e">
        <f>VLOOKUP('北段 (人資版)'!Q39,工作表1!$A$3:$B$78,2,FALSE)</f>
        <v>#N/A</v>
      </c>
      <c r="R39" s="62" t="e">
        <f>VLOOKUP('北段 (人資版)'!R39,工作表1!$A$3:$B$78,2,FALSE)</f>
        <v>#N/A</v>
      </c>
      <c r="S39" s="62" t="e">
        <f>VLOOKUP('北段 (人資版)'!S39,工作表1!$A$3:$B$78,2,FALSE)</f>
        <v>#N/A</v>
      </c>
      <c r="T39" s="62" t="e">
        <f>VLOOKUP('北段 (人資版)'!T39,工作表1!$A$3:$B$78,2,FALSE)</f>
        <v>#N/A</v>
      </c>
      <c r="U39" s="62" t="e">
        <f>VLOOKUP('北段 (人資版)'!U39,工作表1!$A$3:$B$78,2,FALSE)</f>
        <v>#N/A</v>
      </c>
      <c r="V39" s="62" t="e">
        <f>VLOOKUP('北段 (人資版)'!V39,工作表1!$A$3:$B$78,2,FALSE)</f>
        <v>#N/A</v>
      </c>
      <c r="W39" s="62" t="e">
        <f>VLOOKUP('北段 (人資版)'!W39,工作表1!$A$3:$B$78,2,FALSE)</f>
        <v>#N/A</v>
      </c>
      <c r="X39" s="62" t="e">
        <f>VLOOKUP('北段 (人資版)'!X39,工作表1!$A$3:$B$78,2,FALSE)</f>
        <v>#N/A</v>
      </c>
      <c r="Y39" s="62" t="e">
        <f>VLOOKUP('北段 (人資版)'!Y39,工作表1!$A$3:$B$78,2,FALSE)</f>
        <v>#N/A</v>
      </c>
      <c r="Z39" s="62" t="e">
        <f>VLOOKUP('北段 (人資版)'!Z39,工作表1!$A$3:$B$78,2,FALSE)</f>
        <v>#N/A</v>
      </c>
      <c r="AA39" s="62" t="e">
        <f>VLOOKUP('北段 (人資版)'!AA39,工作表1!$A$3:$B$78,2,FALSE)</f>
        <v>#N/A</v>
      </c>
      <c r="AB39" s="62" t="e">
        <f>VLOOKUP('北段 (人資版)'!AB39,工作表1!$A$3:$B$78,2,FALSE)</f>
        <v>#N/A</v>
      </c>
      <c r="AC39" s="62" t="e">
        <f>VLOOKUP('北段 (人資版)'!AC39,工作表1!$A$3:$B$78,2,FALSE)</f>
        <v>#N/A</v>
      </c>
      <c r="AD39" s="62" t="e">
        <f>VLOOKUP('北段 (人資版)'!AD39,工作表1!$A$3:$B$78,2,FALSE)</f>
        <v>#N/A</v>
      </c>
      <c r="AE39" s="62" t="e">
        <f>VLOOKUP('北段 (人資版)'!AE39,工作表1!$A$3:$B$78,2,FALSE)</f>
        <v>#N/A</v>
      </c>
      <c r="AF39" s="62" t="e">
        <f>VLOOKUP('北段 (人資版)'!AF39,工作表1!$A$3:$B$78,2,FALSE)</f>
        <v>#N/A</v>
      </c>
      <c r="AG39" s="62" t="e">
        <f>VLOOKUP('北段 (人資版)'!AG39,工作表1!$A$3:$B$78,2,FALSE)</f>
        <v>#N/A</v>
      </c>
      <c r="AH39" s="62" t="e">
        <f>VLOOKUP('北段 (人資版)'!AH39,工作表1!$A$3:$B$78,2,FALSE)</f>
        <v>#REF!</v>
      </c>
      <c r="AI39" s="62" t="e">
        <f>VLOOKUP('北段 (人資版)'!AI39,工作表1!$A$3:$B$78,2,FALSE)</f>
        <v>#REF!</v>
      </c>
      <c r="AJ39" s="62" t="e">
        <f>VLOOKUP('北段 (人資版)'!AJ39,工作表1!$A$3:$B$78,2,FALSE)</f>
        <v>#REF!</v>
      </c>
      <c r="AK39" s="62" t="e">
        <f>VLOOKUP('北段 (人資版)'!AK39,工作表1!$A$3:$B$78,2,FALSE)</f>
        <v>#REF!</v>
      </c>
      <c r="AL39" s="62" t="e">
        <f>VLOOKUP('北段 (人資版)'!AL39,工作表1!$A$3:$B$78,2,FALSE)</f>
        <v>#REF!</v>
      </c>
      <c r="AM39" s="62" t="e">
        <f>VLOOKUP('北段 (人資版)'!AM39,工作表1!$A$3:$B$78,2,FALSE)</f>
        <v>#REF!</v>
      </c>
      <c r="AN39" s="62" t="e">
        <f>VLOOKUP('北段 (人資版)'!AN39,工作表1!$A$3:$B$78,2,FALSE)</f>
        <v>#REF!</v>
      </c>
    </row>
    <row r="40" spans="1:40" ht="39.75" customHeight="1">
      <c r="A40" s="55" t="s">
        <v>51</v>
      </c>
      <c r="B40" s="101" t="str">
        <f>北段!B39</f>
        <v>T01746</v>
      </c>
      <c r="C40" s="38" t="str">
        <f>VLOOKUP(B40,北段!B:C,2,FALSE)</f>
        <v>古佩宜</v>
      </c>
      <c r="D40" s="62">
        <f>VLOOKUP('北段 (人資版)'!D40,工作表1!$A$3:$B$78,2,FALSE)</f>
        <v>91</v>
      </c>
      <c r="E40" s="62">
        <f>VLOOKUP('北段 (人資版)'!E40,工作表1!$A$3:$B$78,2,FALSE)</f>
        <v>92</v>
      </c>
      <c r="F40" s="62" t="e">
        <f>VLOOKUP('北段 (人資版)'!F40,工作表1!$A$3:$B$78,2,FALSE)</f>
        <v>#N/A</v>
      </c>
      <c r="G40" s="62" t="e">
        <f>VLOOKUP('北段 (人資版)'!G40,工作表1!$A$3:$B$78,2,FALSE)</f>
        <v>#N/A</v>
      </c>
      <c r="H40" s="62" t="e">
        <f>VLOOKUP('北段 (人資版)'!H40,工作表1!$A$3:$B$78,2,FALSE)</f>
        <v>#N/A</v>
      </c>
      <c r="I40" s="62" t="e">
        <f>VLOOKUP('北段 (人資版)'!I40,工作表1!$A$3:$B$78,2,FALSE)</f>
        <v>#N/A</v>
      </c>
      <c r="J40" s="62" t="e">
        <f>VLOOKUP('北段 (人資版)'!J40,工作表1!$A$3:$B$78,2,FALSE)</f>
        <v>#N/A</v>
      </c>
      <c r="K40" s="62" t="e">
        <f>VLOOKUP('北段 (人資版)'!K40,工作表1!$A$3:$B$78,2,FALSE)</f>
        <v>#N/A</v>
      </c>
      <c r="L40" s="62" t="e">
        <f>VLOOKUP('北段 (人資版)'!L40,工作表1!$A$3:$B$78,2,FALSE)</f>
        <v>#N/A</v>
      </c>
      <c r="M40" s="62" t="e">
        <f>VLOOKUP('北段 (人資版)'!M40,工作表1!$A$3:$B$78,2,FALSE)</f>
        <v>#N/A</v>
      </c>
      <c r="N40" s="62" t="e">
        <f>VLOOKUP('北段 (人資版)'!N40,工作表1!$A$3:$B$78,2,FALSE)</f>
        <v>#N/A</v>
      </c>
      <c r="O40" s="62" t="e">
        <f>VLOOKUP('北段 (人資版)'!O40,工作表1!$A$3:$B$78,2,FALSE)</f>
        <v>#N/A</v>
      </c>
      <c r="P40" s="62" t="e">
        <f>VLOOKUP('北段 (人資版)'!P40,工作表1!$A$3:$B$78,2,FALSE)</f>
        <v>#N/A</v>
      </c>
      <c r="Q40" s="62" t="e">
        <f>VLOOKUP('北段 (人資版)'!Q40,工作表1!$A$3:$B$78,2,FALSE)</f>
        <v>#N/A</v>
      </c>
      <c r="R40" s="62" t="e">
        <f>VLOOKUP('北段 (人資版)'!R40,工作表1!$A$3:$B$78,2,FALSE)</f>
        <v>#N/A</v>
      </c>
      <c r="S40" s="62" t="e">
        <f>VLOOKUP('北段 (人資版)'!S40,工作表1!$A$3:$B$78,2,FALSE)</f>
        <v>#N/A</v>
      </c>
      <c r="T40" s="62" t="e">
        <f>VLOOKUP('北段 (人資版)'!T40,工作表1!$A$3:$B$78,2,FALSE)</f>
        <v>#N/A</v>
      </c>
      <c r="U40" s="62" t="e">
        <f>VLOOKUP('北段 (人資版)'!U40,工作表1!$A$3:$B$78,2,FALSE)</f>
        <v>#N/A</v>
      </c>
      <c r="V40" s="62" t="e">
        <f>VLOOKUP('北段 (人資版)'!V40,工作表1!$A$3:$B$78,2,FALSE)</f>
        <v>#N/A</v>
      </c>
      <c r="W40" s="62" t="e">
        <f>VLOOKUP('北段 (人資版)'!W40,工作表1!$A$3:$B$78,2,FALSE)</f>
        <v>#N/A</v>
      </c>
      <c r="X40" s="62" t="e">
        <f>VLOOKUP('北段 (人資版)'!X40,工作表1!$A$3:$B$78,2,FALSE)</f>
        <v>#N/A</v>
      </c>
      <c r="Y40" s="62" t="e">
        <f>VLOOKUP('北段 (人資版)'!Y40,工作表1!$A$3:$B$78,2,FALSE)</f>
        <v>#N/A</v>
      </c>
      <c r="Z40" s="62" t="e">
        <f>VLOOKUP('北段 (人資版)'!Z40,工作表1!$A$3:$B$78,2,FALSE)</f>
        <v>#N/A</v>
      </c>
      <c r="AA40" s="62" t="e">
        <f>VLOOKUP('北段 (人資版)'!AA40,工作表1!$A$3:$B$78,2,FALSE)</f>
        <v>#N/A</v>
      </c>
      <c r="AB40" s="62" t="e">
        <f>VLOOKUP('北段 (人資版)'!AB40,工作表1!$A$3:$B$78,2,FALSE)</f>
        <v>#N/A</v>
      </c>
      <c r="AC40" s="62" t="e">
        <f>VLOOKUP('北段 (人資版)'!AC40,工作表1!$A$3:$B$78,2,FALSE)</f>
        <v>#N/A</v>
      </c>
      <c r="AD40" s="62" t="e">
        <f>VLOOKUP('北段 (人資版)'!AD40,工作表1!$A$3:$B$78,2,FALSE)</f>
        <v>#N/A</v>
      </c>
      <c r="AE40" s="62" t="e">
        <f>VLOOKUP('北段 (人資版)'!AE40,工作表1!$A$3:$B$78,2,FALSE)</f>
        <v>#N/A</v>
      </c>
      <c r="AF40" s="62" t="e">
        <f>VLOOKUP('北段 (人資版)'!AF40,工作表1!$A$3:$B$78,2,FALSE)</f>
        <v>#N/A</v>
      </c>
      <c r="AG40" s="62" t="e">
        <f>VLOOKUP('北段 (人資版)'!AG40,工作表1!$A$3:$B$78,2,FALSE)</f>
        <v>#N/A</v>
      </c>
      <c r="AH40" s="62" t="e">
        <f>VLOOKUP('北段 (人資版)'!AH40,工作表1!$A$3:$B$78,2,FALSE)</f>
        <v>#REF!</v>
      </c>
      <c r="AI40" s="62" t="e">
        <f>VLOOKUP('北段 (人資版)'!AI40,工作表1!$A$3:$B$78,2,FALSE)</f>
        <v>#REF!</v>
      </c>
      <c r="AJ40" s="62" t="e">
        <f>VLOOKUP('北段 (人資版)'!AJ40,工作表1!$A$3:$B$78,2,FALSE)</f>
        <v>#REF!</v>
      </c>
      <c r="AK40" s="62" t="e">
        <f>VLOOKUP('北段 (人資版)'!AK40,工作表1!$A$3:$B$78,2,FALSE)</f>
        <v>#REF!</v>
      </c>
      <c r="AL40" s="62" t="e">
        <f>VLOOKUP('北段 (人資版)'!AL40,工作表1!$A$3:$B$78,2,FALSE)</f>
        <v>#REF!</v>
      </c>
      <c r="AM40" s="62" t="e">
        <f>VLOOKUP('北段 (人資版)'!AM40,工作表1!$A$3:$B$78,2,FALSE)</f>
        <v>#REF!</v>
      </c>
      <c r="AN40" s="62" t="e">
        <f>VLOOKUP('北段 (人資版)'!AN40,工作表1!$A$3:$B$78,2,FALSE)</f>
        <v>#REF!</v>
      </c>
    </row>
    <row r="41" spans="1:40" ht="39.75" customHeight="1">
      <c r="A41" s="56"/>
      <c r="B41" s="101" t="str">
        <f>北段!B40</f>
        <v>T01865</v>
      </c>
      <c r="C41" s="38" t="str">
        <f>VLOOKUP(B41,北段!B:C,2,FALSE)</f>
        <v>顏志宇</v>
      </c>
      <c r="D41" s="62">
        <f>VLOOKUP('北段 (人資版)'!D41,工作表1!$A$3:$B$78,2,FALSE)</f>
        <v>66</v>
      </c>
      <c r="E41" s="62">
        <f>VLOOKUP('北段 (人資版)'!E41,工作表1!$A$3:$B$78,2,FALSE)</f>
        <v>66</v>
      </c>
      <c r="F41" s="62" t="e">
        <f>VLOOKUP('北段 (人資版)'!F41,工作表1!$A$3:$B$78,2,FALSE)</f>
        <v>#N/A</v>
      </c>
      <c r="G41" s="62" t="e">
        <f>VLOOKUP('北段 (人資版)'!G41,工作表1!$A$3:$B$78,2,FALSE)</f>
        <v>#N/A</v>
      </c>
      <c r="H41" s="62" t="e">
        <f>VLOOKUP('北段 (人資版)'!H41,工作表1!$A$3:$B$78,2,FALSE)</f>
        <v>#N/A</v>
      </c>
      <c r="I41" s="62" t="e">
        <f>VLOOKUP('北段 (人資版)'!I41,工作表1!$A$3:$B$78,2,FALSE)</f>
        <v>#N/A</v>
      </c>
      <c r="J41" s="62" t="e">
        <f>VLOOKUP('北段 (人資版)'!J41,工作表1!$A$3:$B$78,2,FALSE)</f>
        <v>#N/A</v>
      </c>
      <c r="K41" s="62" t="e">
        <f>VLOOKUP('北段 (人資版)'!K41,工作表1!$A$3:$B$78,2,FALSE)</f>
        <v>#N/A</v>
      </c>
      <c r="L41" s="62" t="e">
        <f>VLOOKUP('北段 (人資版)'!L41,工作表1!$A$3:$B$78,2,FALSE)</f>
        <v>#N/A</v>
      </c>
      <c r="M41" s="62" t="e">
        <f>VLOOKUP('北段 (人資版)'!M41,工作表1!$A$3:$B$78,2,FALSE)</f>
        <v>#N/A</v>
      </c>
      <c r="N41" s="62" t="e">
        <f>VLOOKUP('北段 (人資版)'!N41,工作表1!$A$3:$B$78,2,FALSE)</f>
        <v>#N/A</v>
      </c>
      <c r="O41" s="62" t="e">
        <f>VLOOKUP('北段 (人資版)'!O41,工作表1!$A$3:$B$78,2,FALSE)</f>
        <v>#N/A</v>
      </c>
      <c r="P41" s="62" t="e">
        <f>VLOOKUP('北段 (人資版)'!P41,工作表1!$A$3:$B$78,2,FALSE)</f>
        <v>#N/A</v>
      </c>
      <c r="Q41" s="62" t="e">
        <f>VLOOKUP('北段 (人資版)'!Q41,工作表1!$A$3:$B$78,2,FALSE)</f>
        <v>#N/A</v>
      </c>
      <c r="R41" s="62" t="e">
        <f>VLOOKUP('北段 (人資版)'!R41,工作表1!$A$3:$B$78,2,FALSE)</f>
        <v>#N/A</v>
      </c>
      <c r="S41" s="62" t="e">
        <f>VLOOKUP('北段 (人資版)'!S41,工作表1!$A$3:$B$78,2,FALSE)</f>
        <v>#N/A</v>
      </c>
      <c r="T41" s="62" t="e">
        <f>VLOOKUP('北段 (人資版)'!T41,工作表1!$A$3:$B$78,2,FALSE)</f>
        <v>#N/A</v>
      </c>
      <c r="U41" s="62" t="e">
        <f>VLOOKUP('北段 (人資版)'!U41,工作表1!$A$3:$B$78,2,FALSE)</f>
        <v>#N/A</v>
      </c>
      <c r="V41" s="62" t="e">
        <f>VLOOKUP('北段 (人資版)'!V41,工作表1!$A$3:$B$78,2,FALSE)</f>
        <v>#N/A</v>
      </c>
      <c r="W41" s="62" t="e">
        <f>VLOOKUP('北段 (人資版)'!W41,工作表1!$A$3:$B$78,2,FALSE)</f>
        <v>#N/A</v>
      </c>
      <c r="X41" s="62" t="e">
        <f>VLOOKUP('北段 (人資版)'!X41,工作表1!$A$3:$B$78,2,FALSE)</f>
        <v>#N/A</v>
      </c>
      <c r="Y41" s="62" t="e">
        <f>VLOOKUP('北段 (人資版)'!Y41,工作表1!$A$3:$B$78,2,FALSE)</f>
        <v>#N/A</v>
      </c>
      <c r="Z41" s="62" t="e">
        <f>VLOOKUP('北段 (人資版)'!Z41,工作表1!$A$3:$B$78,2,FALSE)</f>
        <v>#N/A</v>
      </c>
      <c r="AA41" s="62" t="e">
        <f>VLOOKUP('北段 (人資版)'!AA41,工作表1!$A$3:$B$78,2,FALSE)</f>
        <v>#N/A</v>
      </c>
      <c r="AB41" s="62" t="e">
        <f>VLOOKUP('北段 (人資版)'!AB41,工作表1!$A$3:$B$78,2,FALSE)</f>
        <v>#N/A</v>
      </c>
      <c r="AC41" s="62" t="e">
        <f>VLOOKUP('北段 (人資版)'!AC41,工作表1!$A$3:$B$78,2,FALSE)</f>
        <v>#N/A</v>
      </c>
      <c r="AD41" s="62" t="e">
        <f>VLOOKUP('北段 (人資版)'!AD41,工作表1!$A$3:$B$78,2,FALSE)</f>
        <v>#N/A</v>
      </c>
      <c r="AE41" s="62" t="e">
        <f>VLOOKUP('北段 (人資版)'!AE41,工作表1!$A$3:$B$78,2,FALSE)</f>
        <v>#N/A</v>
      </c>
      <c r="AF41" s="62" t="e">
        <f>VLOOKUP('北段 (人資版)'!AF41,工作表1!$A$3:$B$78,2,FALSE)</f>
        <v>#N/A</v>
      </c>
      <c r="AG41" s="62" t="e">
        <f>VLOOKUP('北段 (人資版)'!AG41,工作表1!$A$3:$B$78,2,FALSE)</f>
        <v>#N/A</v>
      </c>
      <c r="AH41" s="62" t="e">
        <f>VLOOKUP('北段 (人資版)'!AH41,工作表1!$A$3:$B$78,2,FALSE)</f>
        <v>#REF!</v>
      </c>
      <c r="AI41" s="62" t="e">
        <f>VLOOKUP('北段 (人資版)'!AI41,工作表1!$A$3:$B$78,2,FALSE)</f>
        <v>#REF!</v>
      </c>
      <c r="AJ41" s="62" t="e">
        <f>VLOOKUP('北段 (人資版)'!AJ41,工作表1!$A$3:$B$78,2,FALSE)</f>
        <v>#REF!</v>
      </c>
      <c r="AK41" s="62" t="e">
        <f>VLOOKUP('北段 (人資版)'!AK41,工作表1!$A$3:$B$78,2,FALSE)</f>
        <v>#REF!</v>
      </c>
      <c r="AL41" s="62" t="e">
        <f>VLOOKUP('北段 (人資版)'!AL41,工作表1!$A$3:$B$78,2,FALSE)</f>
        <v>#REF!</v>
      </c>
      <c r="AM41" s="62" t="e">
        <f>VLOOKUP('北段 (人資版)'!AM41,工作表1!$A$3:$B$78,2,FALSE)</f>
        <v>#REF!</v>
      </c>
      <c r="AN41" s="62" t="e">
        <f>VLOOKUP('北段 (人資版)'!AN41,工作表1!$A$3:$B$78,2,FALSE)</f>
        <v>#REF!</v>
      </c>
    </row>
    <row r="42" spans="1:40" ht="39.75" customHeight="1">
      <c r="A42" s="56"/>
      <c r="B42" s="101" t="str">
        <f>北段!B41</f>
        <v>T00806</v>
      </c>
      <c r="C42" s="38" t="str">
        <f>VLOOKUP(B42,北段!B:C,2,FALSE)</f>
        <v>郭育瑋</v>
      </c>
      <c r="D42" s="62" t="str">
        <f>VLOOKUP('北段 (人資版)'!D42,工作表1!$A$3:$B$78,2,FALSE)</f>
        <v>07</v>
      </c>
      <c r="E42" s="62">
        <f>VLOOKUP('北段 (人資版)'!E42,工作表1!$A$3:$B$78,2,FALSE)</f>
        <v>91</v>
      </c>
      <c r="F42" s="62" t="e">
        <f>VLOOKUP('北段 (人資版)'!F42,工作表1!$A$3:$B$78,2,FALSE)</f>
        <v>#N/A</v>
      </c>
      <c r="G42" s="62" t="e">
        <f>VLOOKUP('北段 (人資版)'!G42,工作表1!$A$3:$B$78,2,FALSE)</f>
        <v>#N/A</v>
      </c>
      <c r="H42" s="62" t="e">
        <f>VLOOKUP('北段 (人資版)'!H42,工作表1!$A$3:$B$78,2,FALSE)</f>
        <v>#N/A</v>
      </c>
      <c r="I42" s="62" t="e">
        <f>VLOOKUP('北段 (人資版)'!I42,工作表1!$A$3:$B$78,2,FALSE)</f>
        <v>#N/A</v>
      </c>
      <c r="J42" s="62" t="e">
        <f>VLOOKUP('北段 (人資版)'!J42,工作表1!$A$3:$B$78,2,FALSE)</f>
        <v>#N/A</v>
      </c>
      <c r="K42" s="62" t="e">
        <f>VLOOKUP('北段 (人資版)'!K42,工作表1!$A$3:$B$78,2,FALSE)</f>
        <v>#N/A</v>
      </c>
      <c r="L42" s="62" t="e">
        <f>VLOOKUP('北段 (人資版)'!L42,工作表1!$A$3:$B$78,2,FALSE)</f>
        <v>#N/A</v>
      </c>
      <c r="M42" s="62" t="e">
        <f>VLOOKUP('北段 (人資版)'!M42,工作表1!$A$3:$B$78,2,FALSE)</f>
        <v>#N/A</v>
      </c>
      <c r="N42" s="62" t="e">
        <f>VLOOKUP('北段 (人資版)'!N42,工作表1!$A$3:$B$78,2,FALSE)</f>
        <v>#N/A</v>
      </c>
      <c r="O42" s="62" t="e">
        <f>VLOOKUP('北段 (人資版)'!O42,工作表1!$A$3:$B$78,2,FALSE)</f>
        <v>#N/A</v>
      </c>
      <c r="P42" s="62" t="e">
        <f>VLOOKUP('北段 (人資版)'!P42,工作表1!$A$3:$B$78,2,FALSE)</f>
        <v>#N/A</v>
      </c>
      <c r="Q42" s="62" t="e">
        <f>VLOOKUP('北段 (人資版)'!Q42,工作表1!$A$3:$B$78,2,FALSE)</f>
        <v>#N/A</v>
      </c>
      <c r="R42" s="62" t="e">
        <f>VLOOKUP('北段 (人資版)'!R42,工作表1!$A$3:$B$78,2,FALSE)</f>
        <v>#N/A</v>
      </c>
      <c r="S42" s="62" t="e">
        <f>VLOOKUP('北段 (人資版)'!S42,工作表1!$A$3:$B$78,2,FALSE)</f>
        <v>#N/A</v>
      </c>
      <c r="T42" s="62" t="e">
        <f>VLOOKUP('北段 (人資版)'!T42,工作表1!$A$3:$B$78,2,FALSE)</f>
        <v>#N/A</v>
      </c>
      <c r="U42" s="62" t="e">
        <f>VLOOKUP('北段 (人資版)'!U42,工作表1!$A$3:$B$78,2,FALSE)</f>
        <v>#N/A</v>
      </c>
      <c r="V42" s="62" t="e">
        <f>VLOOKUP('北段 (人資版)'!V42,工作表1!$A$3:$B$78,2,FALSE)</f>
        <v>#N/A</v>
      </c>
      <c r="W42" s="62" t="e">
        <f>VLOOKUP('北段 (人資版)'!W42,工作表1!$A$3:$B$78,2,FALSE)</f>
        <v>#N/A</v>
      </c>
      <c r="X42" s="62" t="e">
        <f>VLOOKUP('北段 (人資版)'!X42,工作表1!$A$3:$B$78,2,FALSE)</f>
        <v>#N/A</v>
      </c>
      <c r="Y42" s="62" t="e">
        <f>VLOOKUP('北段 (人資版)'!Y42,工作表1!$A$3:$B$78,2,FALSE)</f>
        <v>#N/A</v>
      </c>
      <c r="Z42" s="62" t="e">
        <f>VLOOKUP('北段 (人資版)'!Z42,工作表1!$A$3:$B$78,2,FALSE)</f>
        <v>#N/A</v>
      </c>
      <c r="AA42" s="62" t="e">
        <f>VLOOKUP('北段 (人資版)'!AA42,工作表1!$A$3:$B$78,2,FALSE)</f>
        <v>#N/A</v>
      </c>
      <c r="AB42" s="62" t="e">
        <f>VLOOKUP('北段 (人資版)'!AB42,工作表1!$A$3:$B$78,2,FALSE)</f>
        <v>#N/A</v>
      </c>
      <c r="AC42" s="62" t="e">
        <f>VLOOKUP('北段 (人資版)'!AC42,工作表1!$A$3:$B$78,2,FALSE)</f>
        <v>#N/A</v>
      </c>
      <c r="AD42" s="62" t="e">
        <f>VLOOKUP('北段 (人資版)'!AD42,工作表1!$A$3:$B$78,2,FALSE)</f>
        <v>#N/A</v>
      </c>
      <c r="AE42" s="62" t="e">
        <f>VLOOKUP('北段 (人資版)'!AE42,工作表1!$A$3:$B$78,2,FALSE)</f>
        <v>#N/A</v>
      </c>
      <c r="AF42" s="62" t="e">
        <f>VLOOKUP('北段 (人資版)'!AF42,工作表1!$A$3:$B$78,2,FALSE)</f>
        <v>#N/A</v>
      </c>
      <c r="AG42" s="62" t="e">
        <f>VLOOKUP('北段 (人資版)'!AG42,工作表1!$A$3:$B$78,2,FALSE)</f>
        <v>#N/A</v>
      </c>
      <c r="AH42" s="62" t="e">
        <f>VLOOKUP('北段 (人資版)'!AH42,工作表1!$A$3:$B$78,2,FALSE)</f>
        <v>#REF!</v>
      </c>
      <c r="AI42" s="62" t="e">
        <f>VLOOKUP('北段 (人資版)'!AI42,工作表1!$A$3:$B$78,2,FALSE)</f>
        <v>#REF!</v>
      </c>
      <c r="AJ42" s="62" t="e">
        <f>VLOOKUP('北段 (人資版)'!AJ42,工作表1!$A$3:$B$78,2,FALSE)</f>
        <v>#REF!</v>
      </c>
      <c r="AK42" s="62" t="e">
        <f>VLOOKUP('北段 (人資版)'!AK42,工作表1!$A$3:$B$78,2,FALSE)</f>
        <v>#REF!</v>
      </c>
      <c r="AL42" s="62" t="e">
        <f>VLOOKUP('北段 (人資版)'!AL42,工作表1!$A$3:$B$78,2,FALSE)</f>
        <v>#REF!</v>
      </c>
      <c r="AM42" s="62" t="e">
        <f>VLOOKUP('北段 (人資版)'!AM42,工作表1!$A$3:$B$78,2,FALSE)</f>
        <v>#REF!</v>
      </c>
      <c r="AN42" s="62" t="e">
        <f>VLOOKUP('北段 (人資版)'!AN42,工作表1!$A$3:$B$78,2,FALSE)</f>
        <v>#REF!</v>
      </c>
    </row>
    <row r="43" spans="1:40" ht="39.6" customHeight="1">
      <c r="A43" s="56"/>
      <c r="B43" s="101" t="str">
        <f>北段!B42</f>
        <v>T01864</v>
      </c>
      <c r="C43" s="38" t="str">
        <f>VLOOKUP(B43,北段!B:C,2,FALSE)</f>
        <v>謝宗昇</v>
      </c>
      <c r="D43" s="62">
        <f>VLOOKUP('北段 (人資版)'!D43,工作表1!$A$3:$B$78,2,FALSE)</f>
        <v>66</v>
      </c>
      <c r="E43" s="62">
        <f>VLOOKUP('北段 (人資版)'!E43,工作表1!$A$3:$B$78,2,FALSE)</f>
        <v>66</v>
      </c>
      <c r="F43" s="62" t="e">
        <f>VLOOKUP('北段 (人資版)'!F43,工作表1!$A$3:$B$78,2,FALSE)</f>
        <v>#N/A</v>
      </c>
      <c r="G43" s="62" t="e">
        <f>VLOOKUP('北段 (人資版)'!G43,工作表1!$A$3:$B$78,2,FALSE)</f>
        <v>#N/A</v>
      </c>
      <c r="H43" s="62" t="e">
        <f>VLOOKUP('北段 (人資版)'!H43,工作表1!$A$3:$B$78,2,FALSE)</f>
        <v>#N/A</v>
      </c>
      <c r="I43" s="62" t="e">
        <f>VLOOKUP('北段 (人資版)'!I43,工作表1!$A$3:$B$78,2,FALSE)</f>
        <v>#N/A</v>
      </c>
      <c r="J43" s="62" t="e">
        <f>VLOOKUP('北段 (人資版)'!J43,工作表1!$A$3:$B$78,2,FALSE)</f>
        <v>#N/A</v>
      </c>
      <c r="K43" s="62" t="e">
        <f>VLOOKUP('北段 (人資版)'!K43,工作表1!$A$3:$B$78,2,FALSE)</f>
        <v>#N/A</v>
      </c>
      <c r="L43" s="62" t="e">
        <f>VLOOKUP('北段 (人資版)'!L43,工作表1!$A$3:$B$78,2,FALSE)</f>
        <v>#N/A</v>
      </c>
      <c r="M43" s="62" t="e">
        <f>VLOOKUP('北段 (人資版)'!M43,工作表1!$A$3:$B$78,2,FALSE)</f>
        <v>#N/A</v>
      </c>
      <c r="N43" s="62" t="e">
        <f>VLOOKUP('北段 (人資版)'!N43,工作表1!$A$3:$B$78,2,FALSE)</f>
        <v>#N/A</v>
      </c>
      <c r="O43" s="62" t="e">
        <f>VLOOKUP('北段 (人資版)'!O43,工作表1!$A$3:$B$78,2,FALSE)</f>
        <v>#N/A</v>
      </c>
      <c r="P43" s="62" t="e">
        <f>VLOOKUP('北段 (人資版)'!P43,工作表1!$A$3:$B$78,2,FALSE)</f>
        <v>#N/A</v>
      </c>
      <c r="Q43" s="62" t="e">
        <f>VLOOKUP('北段 (人資版)'!Q43,工作表1!$A$3:$B$78,2,FALSE)</f>
        <v>#N/A</v>
      </c>
      <c r="R43" s="62" t="e">
        <f>VLOOKUP('北段 (人資版)'!R43,工作表1!$A$3:$B$78,2,FALSE)</f>
        <v>#N/A</v>
      </c>
      <c r="S43" s="62" t="e">
        <f>VLOOKUP('北段 (人資版)'!S43,工作表1!$A$3:$B$78,2,FALSE)</f>
        <v>#N/A</v>
      </c>
      <c r="T43" s="62" t="e">
        <f>VLOOKUP('北段 (人資版)'!T43,工作表1!$A$3:$B$78,2,FALSE)</f>
        <v>#N/A</v>
      </c>
      <c r="U43" s="62" t="e">
        <f>VLOOKUP('北段 (人資版)'!U43,工作表1!$A$3:$B$78,2,FALSE)</f>
        <v>#N/A</v>
      </c>
      <c r="V43" s="62" t="e">
        <f>VLOOKUP('北段 (人資版)'!V43,工作表1!$A$3:$B$78,2,FALSE)</f>
        <v>#N/A</v>
      </c>
      <c r="W43" s="62" t="e">
        <f>VLOOKUP('北段 (人資版)'!W43,工作表1!$A$3:$B$78,2,FALSE)</f>
        <v>#N/A</v>
      </c>
      <c r="X43" s="62" t="e">
        <f>VLOOKUP('北段 (人資版)'!X43,工作表1!$A$3:$B$78,2,FALSE)</f>
        <v>#N/A</v>
      </c>
      <c r="Y43" s="62" t="e">
        <f>VLOOKUP('北段 (人資版)'!Y43,工作表1!$A$3:$B$78,2,FALSE)</f>
        <v>#N/A</v>
      </c>
      <c r="Z43" s="62" t="e">
        <f>VLOOKUP('北段 (人資版)'!Z43,工作表1!$A$3:$B$78,2,FALSE)</f>
        <v>#N/A</v>
      </c>
      <c r="AA43" s="62" t="e">
        <f>VLOOKUP('北段 (人資版)'!AA43,工作表1!$A$3:$B$78,2,FALSE)</f>
        <v>#N/A</v>
      </c>
      <c r="AB43" s="62" t="e">
        <f>VLOOKUP('北段 (人資版)'!AB43,工作表1!$A$3:$B$78,2,FALSE)</f>
        <v>#N/A</v>
      </c>
      <c r="AC43" s="62" t="e">
        <f>VLOOKUP('北段 (人資版)'!AC43,工作表1!$A$3:$B$78,2,FALSE)</f>
        <v>#N/A</v>
      </c>
      <c r="AD43" s="62" t="e">
        <f>VLOOKUP('北段 (人資版)'!AD43,工作表1!$A$3:$B$78,2,FALSE)</f>
        <v>#N/A</v>
      </c>
      <c r="AE43" s="62" t="e">
        <f>VLOOKUP('北段 (人資版)'!AE43,工作表1!$A$3:$B$78,2,FALSE)</f>
        <v>#N/A</v>
      </c>
      <c r="AF43" s="62" t="e">
        <f>VLOOKUP('北段 (人資版)'!AF43,工作表1!$A$3:$B$78,2,FALSE)</f>
        <v>#N/A</v>
      </c>
      <c r="AG43" s="62" t="e">
        <f>VLOOKUP('北段 (人資版)'!AG43,工作表1!$A$3:$B$78,2,FALSE)</f>
        <v>#N/A</v>
      </c>
      <c r="AH43" s="62" t="e">
        <f>VLOOKUP('北段 (人資版)'!AH43,工作表1!$A$3:$B$78,2,FALSE)</f>
        <v>#REF!</v>
      </c>
      <c r="AI43" s="62" t="e">
        <f>VLOOKUP('北段 (人資版)'!AI43,工作表1!$A$3:$B$78,2,FALSE)</f>
        <v>#REF!</v>
      </c>
      <c r="AJ43" s="62" t="e">
        <f>VLOOKUP('北段 (人資版)'!AJ43,工作表1!$A$3:$B$78,2,FALSE)</f>
        <v>#REF!</v>
      </c>
      <c r="AK43" s="62" t="e">
        <f>VLOOKUP('北段 (人資版)'!AK43,工作表1!$A$3:$B$78,2,FALSE)</f>
        <v>#REF!</v>
      </c>
      <c r="AL43" s="62" t="e">
        <f>VLOOKUP('北段 (人資版)'!AL43,工作表1!$A$3:$B$78,2,FALSE)</f>
        <v>#REF!</v>
      </c>
      <c r="AM43" s="62" t="e">
        <f>VLOOKUP('北段 (人資版)'!AM43,工作表1!$A$3:$B$78,2,FALSE)</f>
        <v>#REF!</v>
      </c>
      <c r="AN43" s="62" t="e">
        <f>VLOOKUP('北段 (人資版)'!AN43,工作表1!$A$3:$B$78,2,FALSE)</f>
        <v>#REF!</v>
      </c>
    </row>
    <row r="44" spans="1:40" ht="39.6" customHeight="1">
      <c r="A44" s="56"/>
      <c r="B44" s="101" t="str">
        <f>北段!B43</f>
        <v>T02503</v>
      </c>
      <c r="C44" s="38" t="str">
        <f>VLOOKUP(B44,北段!B:C,2,FALSE)</f>
        <v>蘇宸毅</v>
      </c>
      <c r="D44" s="62">
        <f>VLOOKUP('北段 (人資版)'!D44,工作表1!$A$3:$B$78,2,FALSE)</f>
        <v>70</v>
      </c>
      <c r="E44" s="62">
        <f>VLOOKUP('北段 (人資版)'!E44,工作表1!$A$3:$B$78,2,FALSE)</f>
        <v>70</v>
      </c>
      <c r="F44" s="62" t="e">
        <f>VLOOKUP('北段 (人資版)'!F44,工作表1!$A$3:$B$78,2,FALSE)</f>
        <v>#N/A</v>
      </c>
      <c r="G44" s="62" t="e">
        <f>VLOOKUP('北段 (人資版)'!G44,工作表1!$A$3:$B$78,2,FALSE)</f>
        <v>#N/A</v>
      </c>
      <c r="H44" s="62" t="e">
        <f>VLOOKUP('北段 (人資版)'!H44,工作表1!$A$3:$B$78,2,FALSE)</f>
        <v>#N/A</v>
      </c>
      <c r="I44" s="62" t="e">
        <f>VLOOKUP('北段 (人資版)'!I44,工作表1!$A$3:$B$78,2,FALSE)</f>
        <v>#N/A</v>
      </c>
      <c r="J44" s="62" t="e">
        <f>VLOOKUP('北段 (人資版)'!J44,工作表1!$A$3:$B$78,2,FALSE)</f>
        <v>#N/A</v>
      </c>
      <c r="K44" s="62" t="e">
        <f>VLOOKUP('北段 (人資版)'!K44,工作表1!$A$3:$B$78,2,FALSE)</f>
        <v>#N/A</v>
      </c>
      <c r="L44" s="62" t="e">
        <f>VLOOKUP('北段 (人資版)'!L44,工作表1!$A$3:$B$78,2,FALSE)</f>
        <v>#N/A</v>
      </c>
      <c r="M44" s="62" t="e">
        <f>VLOOKUP('北段 (人資版)'!M44,工作表1!$A$3:$B$78,2,FALSE)</f>
        <v>#N/A</v>
      </c>
      <c r="N44" s="62" t="e">
        <f>VLOOKUP('北段 (人資版)'!N44,工作表1!$A$3:$B$78,2,FALSE)</f>
        <v>#N/A</v>
      </c>
      <c r="O44" s="62" t="e">
        <f>VLOOKUP('北段 (人資版)'!O44,工作表1!$A$3:$B$78,2,FALSE)</f>
        <v>#N/A</v>
      </c>
      <c r="P44" s="62" t="e">
        <f>VLOOKUP('北段 (人資版)'!P44,工作表1!$A$3:$B$78,2,FALSE)</f>
        <v>#N/A</v>
      </c>
      <c r="Q44" s="62" t="e">
        <f>VLOOKUP('北段 (人資版)'!Q44,工作表1!$A$3:$B$78,2,FALSE)</f>
        <v>#N/A</v>
      </c>
      <c r="R44" s="62" t="e">
        <f>VLOOKUP('北段 (人資版)'!R44,工作表1!$A$3:$B$78,2,FALSE)</f>
        <v>#N/A</v>
      </c>
      <c r="S44" s="62" t="e">
        <f>VLOOKUP('北段 (人資版)'!S44,工作表1!$A$3:$B$78,2,FALSE)</f>
        <v>#N/A</v>
      </c>
      <c r="T44" s="62" t="e">
        <f>VLOOKUP('北段 (人資版)'!T44,工作表1!$A$3:$B$78,2,FALSE)</f>
        <v>#N/A</v>
      </c>
      <c r="U44" s="62" t="e">
        <f>VLOOKUP('北段 (人資版)'!U44,工作表1!$A$3:$B$78,2,FALSE)</f>
        <v>#N/A</v>
      </c>
      <c r="V44" s="62" t="e">
        <f>VLOOKUP('北段 (人資版)'!V44,工作表1!$A$3:$B$78,2,FALSE)</f>
        <v>#N/A</v>
      </c>
      <c r="W44" s="62" t="e">
        <f>VLOOKUP('北段 (人資版)'!W44,工作表1!$A$3:$B$78,2,FALSE)</f>
        <v>#N/A</v>
      </c>
      <c r="X44" s="62" t="e">
        <f>VLOOKUP('北段 (人資版)'!X44,工作表1!$A$3:$B$78,2,FALSE)</f>
        <v>#N/A</v>
      </c>
      <c r="Y44" s="62" t="e">
        <f>VLOOKUP('北段 (人資版)'!Y44,工作表1!$A$3:$B$78,2,FALSE)</f>
        <v>#N/A</v>
      </c>
      <c r="Z44" s="62" t="e">
        <f>VLOOKUP('北段 (人資版)'!Z44,工作表1!$A$3:$B$78,2,FALSE)</f>
        <v>#N/A</v>
      </c>
      <c r="AA44" s="62" t="e">
        <f>VLOOKUP('北段 (人資版)'!AA44,工作表1!$A$3:$B$78,2,FALSE)</f>
        <v>#N/A</v>
      </c>
      <c r="AB44" s="62" t="e">
        <f>VLOOKUP('北段 (人資版)'!AB44,工作表1!$A$3:$B$78,2,FALSE)</f>
        <v>#N/A</v>
      </c>
      <c r="AC44" s="62" t="e">
        <f>VLOOKUP('北段 (人資版)'!AC44,工作表1!$A$3:$B$78,2,FALSE)</f>
        <v>#N/A</v>
      </c>
      <c r="AD44" s="62" t="e">
        <f>VLOOKUP('北段 (人資版)'!AD44,工作表1!$A$3:$B$78,2,FALSE)</f>
        <v>#N/A</v>
      </c>
      <c r="AE44" s="62" t="e">
        <f>VLOOKUP('北段 (人資版)'!AE44,工作表1!$A$3:$B$78,2,FALSE)</f>
        <v>#N/A</v>
      </c>
      <c r="AF44" s="62" t="e">
        <f>VLOOKUP('北段 (人資版)'!AF44,工作表1!$A$3:$B$78,2,FALSE)</f>
        <v>#N/A</v>
      </c>
      <c r="AG44" s="62" t="e">
        <f>VLOOKUP('北段 (人資版)'!AG44,工作表1!$A$3:$B$78,2,FALSE)</f>
        <v>#N/A</v>
      </c>
      <c r="AH44" s="62" t="e">
        <f>VLOOKUP('北段 (人資版)'!AH44,工作表1!$A$3:$B$78,2,FALSE)</f>
        <v>#REF!</v>
      </c>
      <c r="AI44" s="62" t="e">
        <f>VLOOKUP('北段 (人資版)'!AI44,工作表1!$A$3:$B$78,2,FALSE)</f>
        <v>#REF!</v>
      </c>
      <c r="AJ44" s="62" t="e">
        <f>VLOOKUP('北段 (人資版)'!AJ44,工作表1!$A$3:$B$78,2,FALSE)</f>
        <v>#REF!</v>
      </c>
      <c r="AK44" s="62" t="e">
        <f>VLOOKUP('北段 (人資版)'!AK44,工作表1!$A$3:$B$78,2,FALSE)</f>
        <v>#REF!</v>
      </c>
      <c r="AL44" s="62" t="e">
        <f>VLOOKUP('北段 (人資版)'!AL44,工作表1!$A$3:$B$78,2,FALSE)</f>
        <v>#REF!</v>
      </c>
      <c r="AM44" s="62" t="e">
        <f>VLOOKUP('北段 (人資版)'!AM44,工作表1!$A$3:$B$78,2,FALSE)</f>
        <v>#REF!</v>
      </c>
      <c r="AN44" s="62" t="e">
        <f>VLOOKUP('北段 (人資版)'!AN44,工作表1!$A$3:$B$78,2,FALSE)</f>
        <v>#REF!</v>
      </c>
    </row>
    <row r="45" spans="1:40" ht="39.6" customHeight="1">
      <c r="A45" s="56"/>
      <c r="B45" s="101" t="str">
        <f>北段!B44</f>
        <v>T02509</v>
      </c>
      <c r="C45" s="38" t="str">
        <f>VLOOKUP(B45,北段!B:C,2,FALSE)</f>
        <v>薛朋竹</v>
      </c>
      <c r="D45" s="62">
        <f>VLOOKUP('北段 (人資版)'!D45,工作表1!$A$3:$B$78,2,FALSE)</f>
        <v>38</v>
      </c>
      <c r="E45" s="62">
        <f>VLOOKUP('北段 (人資版)'!E45,工作表1!$A$3:$B$78,2,FALSE)</f>
        <v>38</v>
      </c>
      <c r="F45" s="62" t="e">
        <f>VLOOKUP('北段 (人資版)'!F45,工作表1!$A$3:$B$78,2,FALSE)</f>
        <v>#N/A</v>
      </c>
      <c r="G45" s="62" t="e">
        <f>VLOOKUP('北段 (人資版)'!G45,工作表1!$A$3:$B$78,2,FALSE)</f>
        <v>#N/A</v>
      </c>
      <c r="H45" s="62" t="e">
        <f>VLOOKUP('北段 (人資版)'!H45,工作表1!$A$3:$B$78,2,FALSE)</f>
        <v>#N/A</v>
      </c>
      <c r="I45" s="62" t="e">
        <f>VLOOKUP('北段 (人資版)'!I45,工作表1!$A$3:$B$78,2,FALSE)</f>
        <v>#N/A</v>
      </c>
      <c r="J45" s="62" t="e">
        <f>VLOOKUP('北段 (人資版)'!J45,工作表1!$A$3:$B$78,2,FALSE)</f>
        <v>#N/A</v>
      </c>
      <c r="K45" s="62" t="e">
        <f>VLOOKUP('北段 (人資版)'!K45,工作表1!$A$3:$B$78,2,FALSE)</f>
        <v>#N/A</v>
      </c>
      <c r="L45" s="62" t="e">
        <f>VLOOKUP('北段 (人資版)'!L45,工作表1!$A$3:$B$78,2,FALSE)</f>
        <v>#N/A</v>
      </c>
      <c r="M45" s="62" t="e">
        <f>VLOOKUP('北段 (人資版)'!M45,工作表1!$A$3:$B$78,2,FALSE)</f>
        <v>#N/A</v>
      </c>
      <c r="N45" s="62" t="e">
        <f>VLOOKUP('北段 (人資版)'!N45,工作表1!$A$3:$B$78,2,FALSE)</f>
        <v>#N/A</v>
      </c>
      <c r="O45" s="62" t="e">
        <f>VLOOKUP('北段 (人資版)'!O45,工作表1!$A$3:$B$78,2,FALSE)</f>
        <v>#N/A</v>
      </c>
      <c r="P45" s="62" t="e">
        <f>VLOOKUP('北段 (人資版)'!P45,工作表1!$A$3:$B$78,2,FALSE)</f>
        <v>#N/A</v>
      </c>
      <c r="Q45" s="62" t="e">
        <f>VLOOKUP('北段 (人資版)'!Q45,工作表1!$A$3:$B$78,2,FALSE)</f>
        <v>#N/A</v>
      </c>
      <c r="R45" s="62" t="e">
        <f>VLOOKUP('北段 (人資版)'!R45,工作表1!$A$3:$B$78,2,FALSE)</f>
        <v>#N/A</v>
      </c>
      <c r="S45" s="62" t="e">
        <f>VLOOKUP('北段 (人資版)'!S45,工作表1!$A$3:$B$78,2,FALSE)</f>
        <v>#N/A</v>
      </c>
      <c r="T45" s="62" t="e">
        <f>VLOOKUP('北段 (人資版)'!T45,工作表1!$A$3:$B$78,2,FALSE)</f>
        <v>#N/A</v>
      </c>
      <c r="U45" s="62" t="e">
        <f>VLOOKUP('北段 (人資版)'!U45,工作表1!$A$3:$B$78,2,FALSE)</f>
        <v>#N/A</v>
      </c>
      <c r="V45" s="62" t="e">
        <f>VLOOKUP('北段 (人資版)'!V45,工作表1!$A$3:$B$78,2,FALSE)</f>
        <v>#N/A</v>
      </c>
      <c r="W45" s="62" t="e">
        <f>VLOOKUP('北段 (人資版)'!W45,工作表1!$A$3:$B$78,2,FALSE)</f>
        <v>#N/A</v>
      </c>
      <c r="X45" s="62" t="e">
        <f>VLOOKUP('北段 (人資版)'!X45,工作表1!$A$3:$B$78,2,FALSE)</f>
        <v>#N/A</v>
      </c>
      <c r="Y45" s="62" t="e">
        <f>VLOOKUP('北段 (人資版)'!Y45,工作表1!$A$3:$B$78,2,FALSE)</f>
        <v>#N/A</v>
      </c>
      <c r="Z45" s="62" t="e">
        <f>VLOOKUP('北段 (人資版)'!Z45,工作表1!$A$3:$B$78,2,FALSE)</f>
        <v>#N/A</v>
      </c>
      <c r="AA45" s="62" t="e">
        <f>VLOOKUP('北段 (人資版)'!AA45,工作表1!$A$3:$B$78,2,FALSE)</f>
        <v>#N/A</v>
      </c>
      <c r="AB45" s="62" t="e">
        <f>VLOOKUP('北段 (人資版)'!AB45,工作表1!$A$3:$B$78,2,FALSE)</f>
        <v>#N/A</v>
      </c>
      <c r="AC45" s="62" t="e">
        <f>VLOOKUP('北段 (人資版)'!AC45,工作表1!$A$3:$B$78,2,FALSE)</f>
        <v>#N/A</v>
      </c>
      <c r="AD45" s="62" t="e">
        <f>VLOOKUP('北段 (人資版)'!AD45,工作表1!$A$3:$B$78,2,FALSE)</f>
        <v>#N/A</v>
      </c>
      <c r="AE45" s="62" t="e">
        <f>VLOOKUP('北段 (人資版)'!AE45,工作表1!$A$3:$B$78,2,FALSE)</f>
        <v>#N/A</v>
      </c>
      <c r="AF45" s="62" t="e">
        <f>VLOOKUP('北段 (人資版)'!AF45,工作表1!$A$3:$B$78,2,FALSE)</f>
        <v>#N/A</v>
      </c>
      <c r="AG45" s="62" t="e">
        <f>VLOOKUP('北段 (人資版)'!AG45,工作表1!$A$3:$B$78,2,FALSE)</f>
        <v>#N/A</v>
      </c>
      <c r="AH45" s="62" t="e">
        <f>VLOOKUP('北段 (人資版)'!AH45,工作表1!$A$3:$B$78,2,FALSE)</f>
        <v>#REF!</v>
      </c>
      <c r="AI45" s="62" t="e">
        <f>VLOOKUP('北段 (人資版)'!AI45,工作表1!$A$3:$B$78,2,FALSE)</f>
        <v>#REF!</v>
      </c>
      <c r="AJ45" s="62" t="e">
        <f>VLOOKUP('北段 (人資版)'!AJ45,工作表1!$A$3:$B$78,2,FALSE)</f>
        <v>#REF!</v>
      </c>
      <c r="AK45" s="62" t="e">
        <f>VLOOKUP('北段 (人資版)'!AK45,工作表1!$A$3:$B$78,2,FALSE)</f>
        <v>#REF!</v>
      </c>
      <c r="AL45" s="62" t="e">
        <f>VLOOKUP('北段 (人資版)'!AL45,工作表1!$A$3:$B$78,2,FALSE)</f>
        <v>#REF!</v>
      </c>
      <c r="AM45" s="62" t="e">
        <f>VLOOKUP('北段 (人資版)'!AM45,工作表1!$A$3:$B$78,2,FALSE)</f>
        <v>#REF!</v>
      </c>
      <c r="AN45" s="62" t="e">
        <f>VLOOKUP('北段 (人資版)'!AN45,工作表1!$A$3:$B$78,2,FALSE)</f>
        <v>#REF!</v>
      </c>
    </row>
    <row r="46" spans="1:40" ht="39.75" customHeight="1">
      <c r="A46" s="56"/>
      <c r="B46" s="101" t="str">
        <f>北段!B45</f>
        <v>T00924</v>
      </c>
      <c r="C46" s="38" t="str">
        <f>VLOOKUP(B46,北段!B:C,2,FALSE)</f>
        <v>鄧宛萍</v>
      </c>
      <c r="D46" s="62">
        <f>VLOOKUP('北段 (人資版)'!D46,工作表1!$A$3:$B$78,2,FALSE)</f>
        <v>66</v>
      </c>
      <c r="E46" s="62">
        <f>VLOOKUP('北段 (人資版)'!E46,工作表1!$A$3:$B$78,2,FALSE)</f>
        <v>66</v>
      </c>
      <c r="F46" s="62" t="e">
        <f>VLOOKUP('北段 (人資版)'!F46,工作表1!$A$3:$B$78,2,FALSE)</f>
        <v>#N/A</v>
      </c>
      <c r="G46" s="62" t="e">
        <f>VLOOKUP('北段 (人資版)'!G46,工作表1!$A$3:$B$78,2,FALSE)</f>
        <v>#N/A</v>
      </c>
      <c r="H46" s="62" t="e">
        <f>VLOOKUP('北段 (人資版)'!H46,工作表1!$A$3:$B$78,2,FALSE)</f>
        <v>#N/A</v>
      </c>
      <c r="I46" s="62" t="e">
        <f>VLOOKUP('北段 (人資版)'!I46,工作表1!$A$3:$B$78,2,FALSE)</f>
        <v>#N/A</v>
      </c>
      <c r="J46" s="62" t="e">
        <f>VLOOKUP('北段 (人資版)'!J46,工作表1!$A$3:$B$78,2,FALSE)</f>
        <v>#N/A</v>
      </c>
      <c r="K46" s="62" t="e">
        <f>VLOOKUP('北段 (人資版)'!K46,工作表1!$A$3:$B$78,2,FALSE)</f>
        <v>#N/A</v>
      </c>
      <c r="L46" s="62" t="e">
        <f>VLOOKUP('北段 (人資版)'!L46,工作表1!$A$3:$B$78,2,FALSE)</f>
        <v>#N/A</v>
      </c>
      <c r="M46" s="62" t="e">
        <f>VLOOKUP('北段 (人資版)'!M46,工作表1!$A$3:$B$78,2,FALSE)</f>
        <v>#N/A</v>
      </c>
      <c r="N46" s="62" t="e">
        <f>VLOOKUP('北段 (人資版)'!N46,工作表1!$A$3:$B$78,2,FALSE)</f>
        <v>#N/A</v>
      </c>
      <c r="O46" s="62" t="e">
        <f>VLOOKUP('北段 (人資版)'!O46,工作表1!$A$3:$B$78,2,FALSE)</f>
        <v>#N/A</v>
      </c>
      <c r="P46" s="62" t="e">
        <f>VLOOKUP('北段 (人資版)'!P46,工作表1!$A$3:$B$78,2,FALSE)</f>
        <v>#N/A</v>
      </c>
      <c r="Q46" s="62" t="e">
        <f>VLOOKUP('北段 (人資版)'!Q46,工作表1!$A$3:$B$78,2,FALSE)</f>
        <v>#N/A</v>
      </c>
      <c r="R46" s="62" t="e">
        <f>VLOOKUP('北段 (人資版)'!R46,工作表1!$A$3:$B$78,2,FALSE)</f>
        <v>#N/A</v>
      </c>
      <c r="S46" s="62" t="e">
        <f>VLOOKUP('北段 (人資版)'!S46,工作表1!$A$3:$B$78,2,FALSE)</f>
        <v>#N/A</v>
      </c>
      <c r="T46" s="62" t="e">
        <f>VLOOKUP('北段 (人資版)'!T46,工作表1!$A$3:$B$78,2,FALSE)</f>
        <v>#N/A</v>
      </c>
      <c r="U46" s="62" t="e">
        <f>VLOOKUP('北段 (人資版)'!U46,工作表1!$A$3:$B$78,2,FALSE)</f>
        <v>#N/A</v>
      </c>
      <c r="V46" s="62" t="e">
        <f>VLOOKUP('北段 (人資版)'!V46,工作表1!$A$3:$B$78,2,FALSE)</f>
        <v>#N/A</v>
      </c>
      <c r="W46" s="62" t="e">
        <f>VLOOKUP('北段 (人資版)'!W46,工作表1!$A$3:$B$78,2,FALSE)</f>
        <v>#N/A</v>
      </c>
      <c r="X46" s="62" t="e">
        <f>VLOOKUP('北段 (人資版)'!X46,工作表1!$A$3:$B$78,2,FALSE)</f>
        <v>#N/A</v>
      </c>
      <c r="Y46" s="62" t="e">
        <f>VLOOKUP('北段 (人資版)'!Y46,工作表1!$A$3:$B$78,2,FALSE)</f>
        <v>#N/A</v>
      </c>
      <c r="Z46" s="62" t="e">
        <f>VLOOKUP('北段 (人資版)'!Z46,工作表1!$A$3:$B$78,2,FALSE)</f>
        <v>#N/A</v>
      </c>
      <c r="AA46" s="62" t="e">
        <f>VLOOKUP('北段 (人資版)'!AA46,工作表1!$A$3:$B$78,2,FALSE)</f>
        <v>#N/A</v>
      </c>
      <c r="AB46" s="62" t="e">
        <f>VLOOKUP('北段 (人資版)'!AB46,工作表1!$A$3:$B$78,2,FALSE)</f>
        <v>#N/A</v>
      </c>
      <c r="AC46" s="62" t="e">
        <f>VLOOKUP('北段 (人資版)'!AC46,工作表1!$A$3:$B$78,2,FALSE)</f>
        <v>#N/A</v>
      </c>
      <c r="AD46" s="62" t="e">
        <f>VLOOKUP('北段 (人資版)'!AD46,工作表1!$A$3:$B$78,2,FALSE)</f>
        <v>#N/A</v>
      </c>
      <c r="AE46" s="62" t="e">
        <f>VLOOKUP('北段 (人資版)'!AE46,工作表1!$A$3:$B$78,2,FALSE)</f>
        <v>#N/A</v>
      </c>
      <c r="AF46" s="62" t="e">
        <f>VLOOKUP('北段 (人資版)'!AF46,工作表1!$A$3:$B$78,2,FALSE)</f>
        <v>#N/A</v>
      </c>
      <c r="AG46" s="62" t="e">
        <f>VLOOKUP('北段 (人資版)'!AG46,工作表1!$A$3:$B$78,2,FALSE)</f>
        <v>#N/A</v>
      </c>
      <c r="AH46" s="62" t="e">
        <f>VLOOKUP('北段 (人資版)'!AH46,工作表1!$A$3:$B$78,2,FALSE)</f>
        <v>#REF!</v>
      </c>
      <c r="AI46" s="62" t="e">
        <f>VLOOKUP('北段 (人資版)'!AI46,工作表1!$A$3:$B$78,2,FALSE)</f>
        <v>#REF!</v>
      </c>
      <c r="AJ46" s="62" t="e">
        <f>VLOOKUP('北段 (人資版)'!AJ46,工作表1!$A$3:$B$78,2,FALSE)</f>
        <v>#REF!</v>
      </c>
      <c r="AK46" s="62" t="e">
        <f>VLOOKUP('北段 (人資版)'!AK46,工作表1!$A$3:$B$78,2,FALSE)</f>
        <v>#REF!</v>
      </c>
      <c r="AL46" s="62" t="e">
        <f>VLOOKUP('北段 (人資版)'!AL46,工作表1!$A$3:$B$78,2,FALSE)</f>
        <v>#REF!</v>
      </c>
      <c r="AM46" s="62" t="e">
        <f>VLOOKUP('北段 (人資版)'!AM46,工作表1!$A$3:$B$78,2,FALSE)</f>
        <v>#REF!</v>
      </c>
      <c r="AN46" s="62" t="e">
        <f>VLOOKUP('北段 (人資版)'!AN46,工作表1!$A$3:$B$78,2,FALSE)</f>
        <v>#REF!</v>
      </c>
    </row>
    <row r="47" spans="1:40" ht="39.75" customHeight="1">
      <c r="A47" s="56"/>
      <c r="B47" s="101" t="str">
        <f>北段!B46</f>
        <v>T01198</v>
      </c>
      <c r="C47" s="38" t="str">
        <f>VLOOKUP(B47,北段!B:C,2,FALSE)</f>
        <v>許慰音</v>
      </c>
      <c r="D47" s="62">
        <f>VLOOKUP('北段 (人資版)'!D47,工作表1!$A$3:$B$78,2,FALSE)</f>
        <v>92</v>
      </c>
      <c r="E47" s="62">
        <f>VLOOKUP('北段 (人資版)'!E47,工作表1!$A$3:$B$78,2,FALSE)</f>
        <v>91</v>
      </c>
      <c r="F47" s="62" t="e">
        <f>VLOOKUP('北段 (人資版)'!F47,工作表1!$A$3:$B$78,2,FALSE)</f>
        <v>#N/A</v>
      </c>
      <c r="G47" s="62" t="e">
        <f>VLOOKUP('北段 (人資版)'!G47,工作表1!$A$3:$B$78,2,FALSE)</f>
        <v>#N/A</v>
      </c>
      <c r="H47" s="62" t="e">
        <f>VLOOKUP('北段 (人資版)'!H47,工作表1!$A$3:$B$78,2,FALSE)</f>
        <v>#N/A</v>
      </c>
      <c r="I47" s="62" t="e">
        <f>VLOOKUP('北段 (人資版)'!I47,工作表1!$A$3:$B$78,2,FALSE)</f>
        <v>#N/A</v>
      </c>
      <c r="J47" s="62" t="e">
        <f>VLOOKUP('北段 (人資版)'!J47,工作表1!$A$3:$B$78,2,FALSE)</f>
        <v>#N/A</v>
      </c>
      <c r="K47" s="62" t="e">
        <f>VLOOKUP('北段 (人資版)'!K47,工作表1!$A$3:$B$78,2,FALSE)</f>
        <v>#N/A</v>
      </c>
      <c r="L47" s="62" t="e">
        <f>VLOOKUP('北段 (人資版)'!L47,工作表1!$A$3:$B$78,2,FALSE)</f>
        <v>#N/A</v>
      </c>
      <c r="M47" s="62" t="e">
        <f>VLOOKUP('北段 (人資版)'!M47,工作表1!$A$3:$B$78,2,FALSE)</f>
        <v>#N/A</v>
      </c>
      <c r="N47" s="62" t="e">
        <f>VLOOKUP('北段 (人資版)'!N47,工作表1!$A$3:$B$78,2,FALSE)</f>
        <v>#N/A</v>
      </c>
      <c r="O47" s="62" t="e">
        <f>VLOOKUP('北段 (人資版)'!O47,工作表1!$A$3:$B$78,2,FALSE)</f>
        <v>#N/A</v>
      </c>
      <c r="P47" s="62" t="e">
        <f>VLOOKUP('北段 (人資版)'!P47,工作表1!$A$3:$B$78,2,FALSE)</f>
        <v>#N/A</v>
      </c>
      <c r="Q47" s="62" t="e">
        <f>VLOOKUP('北段 (人資版)'!Q47,工作表1!$A$3:$B$78,2,FALSE)</f>
        <v>#N/A</v>
      </c>
      <c r="R47" s="62" t="e">
        <f>VLOOKUP('北段 (人資版)'!R47,工作表1!$A$3:$B$78,2,FALSE)</f>
        <v>#N/A</v>
      </c>
      <c r="S47" s="62" t="e">
        <f>VLOOKUP('北段 (人資版)'!S47,工作表1!$A$3:$B$78,2,FALSE)</f>
        <v>#N/A</v>
      </c>
      <c r="T47" s="62" t="e">
        <f>VLOOKUP('北段 (人資版)'!T47,工作表1!$A$3:$B$78,2,FALSE)</f>
        <v>#N/A</v>
      </c>
      <c r="U47" s="62" t="e">
        <f>VLOOKUP('北段 (人資版)'!U47,工作表1!$A$3:$B$78,2,FALSE)</f>
        <v>#N/A</v>
      </c>
      <c r="V47" s="62" t="e">
        <f>VLOOKUP('北段 (人資版)'!V47,工作表1!$A$3:$B$78,2,FALSE)</f>
        <v>#N/A</v>
      </c>
      <c r="W47" s="62" t="e">
        <f>VLOOKUP('北段 (人資版)'!W47,工作表1!$A$3:$B$78,2,FALSE)</f>
        <v>#N/A</v>
      </c>
      <c r="X47" s="62" t="e">
        <f>VLOOKUP('北段 (人資版)'!X47,工作表1!$A$3:$B$78,2,FALSE)</f>
        <v>#N/A</v>
      </c>
      <c r="Y47" s="62" t="e">
        <f>VLOOKUP('北段 (人資版)'!Y47,工作表1!$A$3:$B$78,2,FALSE)</f>
        <v>#N/A</v>
      </c>
      <c r="Z47" s="62" t="e">
        <f>VLOOKUP('北段 (人資版)'!Z47,工作表1!$A$3:$B$78,2,FALSE)</f>
        <v>#N/A</v>
      </c>
      <c r="AA47" s="62" t="e">
        <f>VLOOKUP('北段 (人資版)'!AA47,工作表1!$A$3:$B$78,2,FALSE)</f>
        <v>#N/A</v>
      </c>
      <c r="AB47" s="62" t="e">
        <f>VLOOKUP('北段 (人資版)'!AB47,工作表1!$A$3:$B$78,2,FALSE)</f>
        <v>#N/A</v>
      </c>
      <c r="AC47" s="62" t="e">
        <f>VLOOKUP('北段 (人資版)'!AC47,工作表1!$A$3:$B$78,2,FALSE)</f>
        <v>#N/A</v>
      </c>
      <c r="AD47" s="62" t="e">
        <f>VLOOKUP('北段 (人資版)'!AD47,工作表1!$A$3:$B$78,2,FALSE)</f>
        <v>#N/A</v>
      </c>
      <c r="AE47" s="62" t="e">
        <f>VLOOKUP('北段 (人資版)'!AE47,工作表1!$A$3:$B$78,2,FALSE)</f>
        <v>#N/A</v>
      </c>
      <c r="AF47" s="62" t="e">
        <f>VLOOKUP('北段 (人資版)'!AF47,工作表1!$A$3:$B$78,2,FALSE)</f>
        <v>#N/A</v>
      </c>
      <c r="AG47" s="62" t="e">
        <f>VLOOKUP('北段 (人資版)'!AG47,工作表1!$A$3:$B$78,2,FALSE)</f>
        <v>#N/A</v>
      </c>
      <c r="AH47" s="62" t="e">
        <f>VLOOKUP('北段 (人資版)'!AH47,工作表1!$A$3:$B$78,2,FALSE)</f>
        <v>#REF!</v>
      </c>
      <c r="AI47" s="62" t="e">
        <f>VLOOKUP('北段 (人資版)'!AI47,工作表1!$A$3:$B$78,2,FALSE)</f>
        <v>#REF!</v>
      </c>
      <c r="AJ47" s="62" t="e">
        <f>VLOOKUP('北段 (人資版)'!AJ47,工作表1!$A$3:$B$78,2,FALSE)</f>
        <v>#REF!</v>
      </c>
      <c r="AK47" s="62" t="e">
        <f>VLOOKUP('北段 (人資版)'!AK47,工作表1!$A$3:$B$78,2,FALSE)</f>
        <v>#REF!</v>
      </c>
      <c r="AL47" s="62" t="e">
        <f>VLOOKUP('北段 (人資版)'!AL47,工作表1!$A$3:$B$78,2,FALSE)</f>
        <v>#REF!</v>
      </c>
      <c r="AM47" s="62" t="e">
        <f>VLOOKUP('北段 (人資版)'!AM47,工作表1!$A$3:$B$78,2,FALSE)</f>
        <v>#REF!</v>
      </c>
      <c r="AN47" s="62" t="e">
        <f>VLOOKUP('北段 (人資版)'!AN47,工作表1!$A$3:$B$78,2,FALSE)</f>
        <v>#REF!</v>
      </c>
    </row>
    <row r="48" spans="1:40" ht="39.6" customHeight="1">
      <c r="A48" s="56"/>
      <c r="B48" s="101" t="str">
        <f>北段!B47</f>
        <v>T01260</v>
      </c>
      <c r="C48" s="38" t="str">
        <f>VLOOKUP(B48,北段!B:C,2,FALSE)</f>
        <v>林毓萱</v>
      </c>
      <c r="D48" s="62" t="str">
        <f>VLOOKUP('北段 (人資版)'!D48,工作表1!$A$3:$B$78,2,FALSE)</f>
        <v>23d</v>
      </c>
      <c r="E48" s="62">
        <f>VLOOKUP('北段 (人資版)'!E48,工作表1!$A$3:$B$78,2,FALSE)</f>
        <v>38</v>
      </c>
      <c r="F48" s="62" t="e">
        <f>VLOOKUP('北段 (人資版)'!F48,工作表1!$A$3:$B$78,2,FALSE)</f>
        <v>#N/A</v>
      </c>
      <c r="G48" s="62" t="e">
        <f>VLOOKUP('北段 (人資版)'!G48,工作表1!$A$3:$B$78,2,FALSE)</f>
        <v>#N/A</v>
      </c>
      <c r="H48" s="62" t="e">
        <f>VLOOKUP('北段 (人資版)'!H48,工作表1!$A$3:$B$78,2,FALSE)</f>
        <v>#N/A</v>
      </c>
      <c r="I48" s="62" t="e">
        <f>VLOOKUP('北段 (人資版)'!I48,工作表1!$A$3:$B$78,2,FALSE)</f>
        <v>#N/A</v>
      </c>
      <c r="J48" s="62" t="e">
        <f>VLOOKUP('北段 (人資版)'!J48,工作表1!$A$3:$B$78,2,FALSE)</f>
        <v>#N/A</v>
      </c>
      <c r="K48" s="62" t="e">
        <f>VLOOKUP('北段 (人資版)'!K48,工作表1!$A$3:$B$78,2,FALSE)</f>
        <v>#N/A</v>
      </c>
      <c r="L48" s="62" t="e">
        <f>VLOOKUP('北段 (人資版)'!L48,工作表1!$A$3:$B$78,2,FALSE)</f>
        <v>#N/A</v>
      </c>
      <c r="M48" s="62" t="e">
        <f>VLOOKUP('北段 (人資版)'!M48,工作表1!$A$3:$B$78,2,FALSE)</f>
        <v>#N/A</v>
      </c>
      <c r="N48" s="62" t="e">
        <f>VLOOKUP('北段 (人資版)'!N48,工作表1!$A$3:$B$78,2,FALSE)</f>
        <v>#N/A</v>
      </c>
      <c r="O48" s="62" t="e">
        <f>VLOOKUP('北段 (人資版)'!O48,工作表1!$A$3:$B$78,2,FALSE)</f>
        <v>#N/A</v>
      </c>
      <c r="P48" s="62" t="e">
        <f>VLOOKUP('北段 (人資版)'!P48,工作表1!$A$3:$B$78,2,FALSE)</f>
        <v>#N/A</v>
      </c>
      <c r="Q48" s="62" t="e">
        <f>VLOOKUP('北段 (人資版)'!Q48,工作表1!$A$3:$B$78,2,FALSE)</f>
        <v>#N/A</v>
      </c>
      <c r="R48" s="62" t="e">
        <f>VLOOKUP('北段 (人資版)'!R48,工作表1!$A$3:$B$78,2,FALSE)</f>
        <v>#N/A</v>
      </c>
      <c r="S48" s="62" t="e">
        <f>VLOOKUP('北段 (人資版)'!S48,工作表1!$A$3:$B$78,2,FALSE)</f>
        <v>#N/A</v>
      </c>
      <c r="T48" s="62" t="e">
        <f>VLOOKUP('北段 (人資版)'!T48,工作表1!$A$3:$B$78,2,FALSE)</f>
        <v>#N/A</v>
      </c>
      <c r="U48" s="62" t="e">
        <f>VLOOKUP('北段 (人資版)'!U48,工作表1!$A$3:$B$78,2,FALSE)</f>
        <v>#N/A</v>
      </c>
      <c r="V48" s="62" t="e">
        <f>VLOOKUP('北段 (人資版)'!V48,工作表1!$A$3:$B$78,2,FALSE)</f>
        <v>#N/A</v>
      </c>
      <c r="W48" s="62" t="e">
        <f>VLOOKUP('北段 (人資版)'!W48,工作表1!$A$3:$B$78,2,FALSE)</f>
        <v>#N/A</v>
      </c>
      <c r="X48" s="62" t="e">
        <f>VLOOKUP('北段 (人資版)'!X48,工作表1!$A$3:$B$78,2,FALSE)</f>
        <v>#N/A</v>
      </c>
      <c r="Y48" s="62" t="e">
        <f>VLOOKUP('北段 (人資版)'!Y48,工作表1!$A$3:$B$78,2,FALSE)</f>
        <v>#N/A</v>
      </c>
      <c r="Z48" s="62" t="e">
        <f>VLOOKUP('北段 (人資版)'!Z48,工作表1!$A$3:$B$78,2,FALSE)</f>
        <v>#N/A</v>
      </c>
      <c r="AA48" s="62" t="e">
        <f>VLOOKUP('北段 (人資版)'!AA48,工作表1!$A$3:$B$78,2,FALSE)</f>
        <v>#N/A</v>
      </c>
      <c r="AB48" s="62" t="e">
        <f>VLOOKUP('北段 (人資版)'!AB48,工作表1!$A$3:$B$78,2,FALSE)</f>
        <v>#N/A</v>
      </c>
      <c r="AC48" s="62" t="e">
        <f>VLOOKUP('北段 (人資版)'!AC48,工作表1!$A$3:$B$78,2,FALSE)</f>
        <v>#N/A</v>
      </c>
      <c r="AD48" s="62" t="e">
        <f>VLOOKUP('北段 (人資版)'!AD48,工作表1!$A$3:$B$78,2,FALSE)</f>
        <v>#N/A</v>
      </c>
      <c r="AE48" s="62" t="e">
        <f>VLOOKUP('北段 (人資版)'!AE48,工作表1!$A$3:$B$78,2,FALSE)</f>
        <v>#N/A</v>
      </c>
      <c r="AF48" s="62" t="e">
        <f>VLOOKUP('北段 (人資版)'!AF48,工作表1!$A$3:$B$78,2,FALSE)</f>
        <v>#N/A</v>
      </c>
      <c r="AG48" s="62" t="e">
        <f>VLOOKUP('北段 (人資版)'!AG48,工作表1!$A$3:$B$78,2,FALSE)</f>
        <v>#N/A</v>
      </c>
      <c r="AH48" s="62" t="e">
        <f>VLOOKUP('北段 (人資版)'!AH48,工作表1!$A$3:$B$78,2,FALSE)</f>
        <v>#REF!</v>
      </c>
      <c r="AI48" s="62" t="e">
        <f>VLOOKUP('北段 (人資版)'!AI48,工作表1!$A$3:$B$78,2,FALSE)</f>
        <v>#REF!</v>
      </c>
      <c r="AJ48" s="62" t="e">
        <f>VLOOKUP('北段 (人資版)'!AJ48,工作表1!$A$3:$B$78,2,FALSE)</f>
        <v>#REF!</v>
      </c>
      <c r="AK48" s="62" t="e">
        <f>VLOOKUP('北段 (人資版)'!AK48,工作表1!$A$3:$B$78,2,FALSE)</f>
        <v>#REF!</v>
      </c>
      <c r="AL48" s="62" t="e">
        <f>VLOOKUP('北段 (人資版)'!AL48,工作表1!$A$3:$B$78,2,FALSE)</f>
        <v>#REF!</v>
      </c>
      <c r="AM48" s="62" t="e">
        <f>VLOOKUP('北段 (人資版)'!AM48,工作表1!$A$3:$B$78,2,FALSE)</f>
        <v>#REF!</v>
      </c>
      <c r="AN48" s="62" t="e">
        <f>VLOOKUP('北段 (人資版)'!AN48,工作表1!$A$3:$B$78,2,FALSE)</f>
        <v>#REF!</v>
      </c>
    </row>
    <row r="49" spans="1:40" s="36" customFormat="1" ht="39.6" customHeight="1" thickBot="1">
      <c r="A49" s="56"/>
      <c r="B49" s="101" t="str">
        <f>北段!B48</f>
        <v>T02220</v>
      </c>
      <c r="C49" s="38" t="str">
        <f>VLOOKUP(B49,北段!B:C,2,FALSE)</f>
        <v>曹宇嫺</v>
      </c>
      <c r="D49" s="62" t="str">
        <f>VLOOKUP('北段 (人資版)'!D49,工作表1!$A$3:$B$78,2,FALSE)</f>
        <v>34d</v>
      </c>
      <c r="E49" s="62" t="str">
        <f>VLOOKUP('北段 (人資版)'!E49,工作表1!$A$3:$B$78,2,FALSE)</f>
        <v>34d</v>
      </c>
      <c r="F49" s="62" t="e">
        <f>VLOOKUP('北段 (人資版)'!F49,工作表1!$A$3:$B$78,2,FALSE)</f>
        <v>#N/A</v>
      </c>
      <c r="G49" s="62" t="e">
        <f>VLOOKUP('北段 (人資版)'!G49,工作表1!$A$3:$B$78,2,FALSE)</f>
        <v>#N/A</v>
      </c>
      <c r="H49" s="62" t="e">
        <f>VLOOKUP('北段 (人資版)'!H49,工作表1!$A$3:$B$78,2,FALSE)</f>
        <v>#N/A</v>
      </c>
      <c r="I49" s="62" t="e">
        <f>VLOOKUP('北段 (人資版)'!I49,工作表1!$A$3:$B$78,2,FALSE)</f>
        <v>#N/A</v>
      </c>
      <c r="J49" s="62" t="e">
        <f>VLOOKUP('北段 (人資版)'!J49,工作表1!$A$3:$B$78,2,FALSE)</f>
        <v>#N/A</v>
      </c>
      <c r="K49" s="62" t="e">
        <f>VLOOKUP('北段 (人資版)'!K49,工作表1!$A$3:$B$78,2,FALSE)</f>
        <v>#N/A</v>
      </c>
      <c r="L49" s="62" t="e">
        <f>VLOOKUP('北段 (人資版)'!L49,工作表1!$A$3:$B$78,2,FALSE)</f>
        <v>#N/A</v>
      </c>
      <c r="M49" s="62" t="e">
        <f>VLOOKUP('北段 (人資版)'!M49,工作表1!$A$3:$B$78,2,FALSE)</f>
        <v>#N/A</v>
      </c>
      <c r="N49" s="62" t="e">
        <f>VLOOKUP('北段 (人資版)'!N49,工作表1!$A$3:$B$78,2,FALSE)</f>
        <v>#N/A</v>
      </c>
      <c r="O49" s="62" t="e">
        <f>VLOOKUP('北段 (人資版)'!O49,工作表1!$A$3:$B$78,2,FALSE)</f>
        <v>#N/A</v>
      </c>
      <c r="P49" s="62" t="e">
        <f>VLOOKUP('北段 (人資版)'!P49,工作表1!$A$3:$B$78,2,FALSE)</f>
        <v>#N/A</v>
      </c>
      <c r="Q49" s="62" t="e">
        <f>VLOOKUP('北段 (人資版)'!Q49,工作表1!$A$3:$B$78,2,FALSE)</f>
        <v>#N/A</v>
      </c>
      <c r="R49" s="62" t="e">
        <f>VLOOKUP('北段 (人資版)'!R49,工作表1!$A$3:$B$78,2,FALSE)</f>
        <v>#N/A</v>
      </c>
      <c r="S49" s="62" t="e">
        <f>VLOOKUP('北段 (人資版)'!S49,工作表1!$A$3:$B$78,2,FALSE)</f>
        <v>#N/A</v>
      </c>
      <c r="T49" s="62" t="e">
        <f>VLOOKUP('北段 (人資版)'!T49,工作表1!$A$3:$B$78,2,FALSE)</f>
        <v>#N/A</v>
      </c>
      <c r="U49" s="62" t="e">
        <f>VLOOKUP('北段 (人資版)'!U49,工作表1!$A$3:$B$78,2,FALSE)</f>
        <v>#N/A</v>
      </c>
      <c r="V49" s="62" t="e">
        <f>VLOOKUP('北段 (人資版)'!V49,工作表1!$A$3:$B$78,2,FALSE)</f>
        <v>#N/A</v>
      </c>
      <c r="W49" s="62" t="e">
        <f>VLOOKUP('北段 (人資版)'!W49,工作表1!$A$3:$B$78,2,FALSE)</f>
        <v>#N/A</v>
      </c>
      <c r="X49" s="62" t="e">
        <f>VLOOKUP('北段 (人資版)'!X49,工作表1!$A$3:$B$78,2,FALSE)</f>
        <v>#N/A</v>
      </c>
      <c r="Y49" s="62" t="e">
        <f>VLOOKUP('北段 (人資版)'!Y49,工作表1!$A$3:$B$78,2,FALSE)</f>
        <v>#N/A</v>
      </c>
      <c r="Z49" s="62" t="e">
        <f>VLOOKUP('北段 (人資版)'!Z49,工作表1!$A$3:$B$78,2,FALSE)</f>
        <v>#N/A</v>
      </c>
      <c r="AA49" s="62" t="e">
        <f>VLOOKUP('北段 (人資版)'!AA49,工作表1!$A$3:$B$78,2,FALSE)</f>
        <v>#N/A</v>
      </c>
      <c r="AB49" s="62" t="e">
        <f>VLOOKUP('北段 (人資版)'!AB49,工作表1!$A$3:$B$78,2,FALSE)</f>
        <v>#N/A</v>
      </c>
      <c r="AC49" s="62" t="e">
        <f>VLOOKUP('北段 (人資版)'!AC49,工作表1!$A$3:$B$78,2,FALSE)</f>
        <v>#N/A</v>
      </c>
      <c r="AD49" s="62" t="e">
        <f>VLOOKUP('北段 (人資版)'!AD49,工作表1!$A$3:$B$78,2,FALSE)</f>
        <v>#N/A</v>
      </c>
      <c r="AE49" s="62" t="e">
        <f>VLOOKUP('北段 (人資版)'!AE49,工作表1!$A$3:$B$78,2,FALSE)</f>
        <v>#N/A</v>
      </c>
      <c r="AF49" s="62" t="e">
        <f>VLOOKUP('北段 (人資版)'!AF49,工作表1!$A$3:$B$78,2,FALSE)</f>
        <v>#N/A</v>
      </c>
      <c r="AG49" s="62" t="e">
        <f>VLOOKUP('北段 (人資版)'!AG49,工作表1!$A$3:$B$78,2,FALSE)</f>
        <v>#N/A</v>
      </c>
      <c r="AH49" s="62" t="e">
        <f>VLOOKUP('北段 (人資版)'!AH49,工作表1!$A$3:$B$78,2,FALSE)</f>
        <v>#REF!</v>
      </c>
      <c r="AI49" s="62" t="e">
        <f>VLOOKUP('北段 (人資版)'!AI49,工作表1!$A$3:$B$78,2,FALSE)</f>
        <v>#REF!</v>
      </c>
      <c r="AJ49" s="62" t="e">
        <f>VLOOKUP('北段 (人資版)'!AJ49,工作表1!$A$3:$B$78,2,FALSE)</f>
        <v>#REF!</v>
      </c>
      <c r="AK49" s="62" t="e">
        <f>VLOOKUP('北段 (人資版)'!AK49,工作表1!$A$3:$B$78,2,FALSE)</f>
        <v>#REF!</v>
      </c>
      <c r="AL49" s="62" t="e">
        <f>VLOOKUP('北段 (人資版)'!AL49,工作表1!$A$3:$B$78,2,FALSE)</f>
        <v>#REF!</v>
      </c>
      <c r="AM49" s="62" t="e">
        <f>VLOOKUP('北段 (人資版)'!AM49,工作表1!$A$3:$B$78,2,FALSE)</f>
        <v>#REF!</v>
      </c>
      <c r="AN49" s="62" t="e">
        <f>VLOOKUP('北段 (人資版)'!AN49,工作表1!$A$3:$B$78,2,FALSE)</f>
        <v>#REF!</v>
      </c>
    </row>
    <row r="50" spans="1:40" ht="39.75" customHeight="1">
      <c r="A50" s="55" t="s">
        <v>62</v>
      </c>
      <c r="B50" s="101" t="str">
        <f>北段!B49</f>
        <v>T02221</v>
      </c>
      <c r="C50" s="38" t="str">
        <f>VLOOKUP(B50,北段!B:C,2,FALSE)</f>
        <v>陳彥伶</v>
      </c>
      <c r="D50" s="62">
        <f>VLOOKUP('北段 (人資版)'!D50,工作表1!$A$3:$B$78,2,FALSE)</f>
        <v>38</v>
      </c>
      <c r="E50" s="62">
        <f>VLOOKUP('北段 (人資版)'!E50,工作表1!$A$3:$B$78,2,FALSE)</f>
        <v>92</v>
      </c>
      <c r="F50" s="62" t="e">
        <f>VLOOKUP('北段 (人資版)'!F50,工作表1!$A$3:$B$78,2,FALSE)</f>
        <v>#N/A</v>
      </c>
      <c r="G50" s="62" t="e">
        <f>VLOOKUP('北段 (人資版)'!G50,工作表1!$A$3:$B$78,2,FALSE)</f>
        <v>#N/A</v>
      </c>
      <c r="H50" s="62" t="e">
        <f>VLOOKUP('北段 (人資版)'!H50,工作表1!$A$3:$B$78,2,FALSE)</f>
        <v>#N/A</v>
      </c>
      <c r="I50" s="62" t="e">
        <f>VLOOKUP('北段 (人資版)'!I50,工作表1!$A$3:$B$78,2,FALSE)</f>
        <v>#N/A</v>
      </c>
      <c r="J50" s="62" t="e">
        <f>VLOOKUP('北段 (人資版)'!J50,工作表1!$A$3:$B$78,2,FALSE)</f>
        <v>#N/A</v>
      </c>
      <c r="K50" s="62" t="e">
        <f>VLOOKUP('北段 (人資版)'!K50,工作表1!$A$3:$B$78,2,FALSE)</f>
        <v>#N/A</v>
      </c>
      <c r="L50" s="62" t="e">
        <f>VLOOKUP('北段 (人資版)'!L50,工作表1!$A$3:$B$78,2,FALSE)</f>
        <v>#N/A</v>
      </c>
      <c r="M50" s="62" t="e">
        <f>VLOOKUP('北段 (人資版)'!M50,工作表1!$A$3:$B$78,2,FALSE)</f>
        <v>#N/A</v>
      </c>
      <c r="N50" s="62" t="e">
        <f>VLOOKUP('北段 (人資版)'!N50,工作表1!$A$3:$B$78,2,FALSE)</f>
        <v>#N/A</v>
      </c>
      <c r="O50" s="62" t="e">
        <f>VLOOKUP('北段 (人資版)'!O50,工作表1!$A$3:$B$78,2,FALSE)</f>
        <v>#N/A</v>
      </c>
      <c r="P50" s="62" t="e">
        <f>VLOOKUP('北段 (人資版)'!P50,工作表1!$A$3:$B$78,2,FALSE)</f>
        <v>#N/A</v>
      </c>
      <c r="Q50" s="62" t="e">
        <f>VLOOKUP('北段 (人資版)'!Q50,工作表1!$A$3:$B$78,2,FALSE)</f>
        <v>#N/A</v>
      </c>
      <c r="R50" s="62" t="e">
        <f>VLOOKUP('北段 (人資版)'!R50,工作表1!$A$3:$B$78,2,FALSE)</f>
        <v>#N/A</v>
      </c>
      <c r="S50" s="62" t="e">
        <f>VLOOKUP('北段 (人資版)'!S50,工作表1!$A$3:$B$78,2,FALSE)</f>
        <v>#N/A</v>
      </c>
      <c r="T50" s="62" t="e">
        <f>VLOOKUP('北段 (人資版)'!T50,工作表1!$A$3:$B$78,2,FALSE)</f>
        <v>#N/A</v>
      </c>
      <c r="U50" s="62" t="e">
        <f>VLOOKUP('北段 (人資版)'!U50,工作表1!$A$3:$B$78,2,FALSE)</f>
        <v>#N/A</v>
      </c>
      <c r="V50" s="62" t="e">
        <f>VLOOKUP('北段 (人資版)'!V50,工作表1!$A$3:$B$78,2,FALSE)</f>
        <v>#N/A</v>
      </c>
      <c r="W50" s="62" t="e">
        <f>VLOOKUP('北段 (人資版)'!W50,工作表1!$A$3:$B$78,2,FALSE)</f>
        <v>#N/A</v>
      </c>
      <c r="X50" s="62" t="e">
        <f>VLOOKUP('北段 (人資版)'!X50,工作表1!$A$3:$B$78,2,FALSE)</f>
        <v>#N/A</v>
      </c>
      <c r="Y50" s="62" t="e">
        <f>VLOOKUP('北段 (人資版)'!Y50,工作表1!$A$3:$B$78,2,FALSE)</f>
        <v>#N/A</v>
      </c>
      <c r="Z50" s="62" t="e">
        <f>VLOOKUP('北段 (人資版)'!Z50,工作表1!$A$3:$B$78,2,FALSE)</f>
        <v>#N/A</v>
      </c>
      <c r="AA50" s="62" t="e">
        <f>VLOOKUP('北段 (人資版)'!AA50,工作表1!$A$3:$B$78,2,FALSE)</f>
        <v>#N/A</v>
      </c>
      <c r="AB50" s="62" t="e">
        <f>VLOOKUP('北段 (人資版)'!AB50,工作表1!$A$3:$B$78,2,FALSE)</f>
        <v>#N/A</v>
      </c>
      <c r="AC50" s="62" t="e">
        <f>VLOOKUP('北段 (人資版)'!AC50,工作表1!$A$3:$B$78,2,FALSE)</f>
        <v>#N/A</v>
      </c>
      <c r="AD50" s="62" t="e">
        <f>VLOOKUP('北段 (人資版)'!AD50,工作表1!$A$3:$B$78,2,FALSE)</f>
        <v>#N/A</v>
      </c>
      <c r="AE50" s="62" t="e">
        <f>VLOOKUP('北段 (人資版)'!AE50,工作表1!$A$3:$B$78,2,FALSE)</f>
        <v>#N/A</v>
      </c>
      <c r="AF50" s="62" t="e">
        <f>VLOOKUP('北段 (人資版)'!AF50,工作表1!$A$3:$B$78,2,FALSE)</f>
        <v>#N/A</v>
      </c>
      <c r="AG50" s="62" t="e">
        <f>VLOOKUP('北段 (人資版)'!AG50,工作表1!$A$3:$B$78,2,FALSE)</f>
        <v>#N/A</v>
      </c>
      <c r="AH50" s="62" t="e">
        <f>VLOOKUP('北段 (人資版)'!AH50,工作表1!$A$3:$B$78,2,FALSE)</f>
        <v>#REF!</v>
      </c>
      <c r="AI50" s="62" t="e">
        <f>VLOOKUP('北段 (人資版)'!AI50,工作表1!$A$3:$B$78,2,FALSE)</f>
        <v>#REF!</v>
      </c>
      <c r="AJ50" s="62" t="e">
        <f>VLOOKUP('北段 (人資版)'!AJ50,工作表1!$A$3:$B$78,2,FALSE)</f>
        <v>#REF!</v>
      </c>
      <c r="AK50" s="62" t="e">
        <f>VLOOKUP('北段 (人資版)'!AK50,工作表1!$A$3:$B$78,2,FALSE)</f>
        <v>#REF!</v>
      </c>
      <c r="AL50" s="62" t="e">
        <f>VLOOKUP('北段 (人資版)'!AL50,工作表1!$A$3:$B$78,2,FALSE)</f>
        <v>#REF!</v>
      </c>
      <c r="AM50" s="62" t="e">
        <f>VLOOKUP('北段 (人資版)'!AM50,工作表1!$A$3:$B$78,2,FALSE)</f>
        <v>#REF!</v>
      </c>
      <c r="AN50" s="62" t="e">
        <f>VLOOKUP('北段 (人資版)'!AN50,工作表1!$A$3:$B$78,2,FALSE)</f>
        <v>#REF!</v>
      </c>
    </row>
    <row r="51" spans="1:40" ht="39.75" customHeight="1">
      <c r="A51" s="56"/>
      <c r="B51" s="101" t="str">
        <f>北段!B50</f>
        <v>T02223</v>
      </c>
      <c r="C51" s="38" t="str">
        <f>VLOOKUP(B51,北段!B:C,2,FALSE)</f>
        <v>鄭景豪</v>
      </c>
      <c r="D51" s="62">
        <f>VLOOKUP('北段 (人資版)'!D51,工作表1!$A$3:$B$78,2,FALSE)</f>
        <v>90</v>
      </c>
      <c r="E51" s="62">
        <f>VLOOKUP('北段 (人資版)'!E51,工作表1!$A$3:$B$78,2,FALSE)</f>
        <v>92</v>
      </c>
      <c r="F51" s="62" t="e">
        <f>VLOOKUP('北段 (人資版)'!F51,工作表1!$A$3:$B$78,2,FALSE)</f>
        <v>#N/A</v>
      </c>
      <c r="G51" s="62" t="e">
        <f>VLOOKUP('北段 (人資版)'!G51,工作表1!$A$3:$B$78,2,FALSE)</f>
        <v>#N/A</v>
      </c>
      <c r="H51" s="62" t="e">
        <f>VLOOKUP('北段 (人資版)'!H51,工作表1!$A$3:$B$78,2,FALSE)</f>
        <v>#N/A</v>
      </c>
      <c r="I51" s="62" t="e">
        <f>VLOOKUP('北段 (人資版)'!I51,工作表1!$A$3:$B$78,2,FALSE)</f>
        <v>#N/A</v>
      </c>
      <c r="J51" s="62" t="e">
        <f>VLOOKUP('北段 (人資版)'!J51,工作表1!$A$3:$B$78,2,FALSE)</f>
        <v>#N/A</v>
      </c>
      <c r="K51" s="62" t="e">
        <f>VLOOKUP('北段 (人資版)'!K51,工作表1!$A$3:$B$78,2,FALSE)</f>
        <v>#N/A</v>
      </c>
      <c r="L51" s="62" t="e">
        <f>VLOOKUP('北段 (人資版)'!L51,工作表1!$A$3:$B$78,2,FALSE)</f>
        <v>#N/A</v>
      </c>
      <c r="M51" s="62" t="e">
        <f>VLOOKUP('北段 (人資版)'!M51,工作表1!$A$3:$B$78,2,FALSE)</f>
        <v>#N/A</v>
      </c>
      <c r="N51" s="62" t="e">
        <f>VLOOKUP('北段 (人資版)'!N51,工作表1!$A$3:$B$78,2,FALSE)</f>
        <v>#N/A</v>
      </c>
      <c r="O51" s="62" t="e">
        <f>VLOOKUP('北段 (人資版)'!O51,工作表1!$A$3:$B$78,2,FALSE)</f>
        <v>#N/A</v>
      </c>
      <c r="P51" s="62" t="e">
        <f>VLOOKUP('北段 (人資版)'!P51,工作表1!$A$3:$B$78,2,FALSE)</f>
        <v>#N/A</v>
      </c>
      <c r="Q51" s="62" t="e">
        <f>VLOOKUP('北段 (人資版)'!Q51,工作表1!$A$3:$B$78,2,FALSE)</f>
        <v>#N/A</v>
      </c>
      <c r="R51" s="62" t="e">
        <f>VLOOKUP('北段 (人資版)'!R51,工作表1!$A$3:$B$78,2,FALSE)</f>
        <v>#N/A</v>
      </c>
      <c r="S51" s="62" t="e">
        <f>VLOOKUP('北段 (人資版)'!S51,工作表1!$A$3:$B$78,2,FALSE)</f>
        <v>#N/A</v>
      </c>
      <c r="T51" s="62" t="e">
        <f>VLOOKUP('北段 (人資版)'!T51,工作表1!$A$3:$B$78,2,FALSE)</f>
        <v>#N/A</v>
      </c>
      <c r="U51" s="62" t="e">
        <f>VLOOKUP('北段 (人資版)'!U51,工作表1!$A$3:$B$78,2,FALSE)</f>
        <v>#N/A</v>
      </c>
      <c r="V51" s="62" t="e">
        <f>VLOOKUP('北段 (人資版)'!V51,工作表1!$A$3:$B$78,2,FALSE)</f>
        <v>#N/A</v>
      </c>
      <c r="W51" s="62" t="e">
        <f>VLOOKUP('北段 (人資版)'!W51,工作表1!$A$3:$B$78,2,FALSE)</f>
        <v>#N/A</v>
      </c>
      <c r="X51" s="62" t="e">
        <f>VLOOKUP('北段 (人資版)'!X51,工作表1!$A$3:$B$78,2,FALSE)</f>
        <v>#N/A</v>
      </c>
      <c r="Y51" s="62" t="e">
        <f>VLOOKUP('北段 (人資版)'!Y51,工作表1!$A$3:$B$78,2,FALSE)</f>
        <v>#N/A</v>
      </c>
      <c r="Z51" s="62" t="e">
        <f>VLOOKUP('北段 (人資版)'!Z51,工作表1!$A$3:$B$78,2,FALSE)</f>
        <v>#N/A</v>
      </c>
      <c r="AA51" s="62" t="e">
        <f>VLOOKUP('北段 (人資版)'!AA51,工作表1!$A$3:$B$78,2,FALSE)</f>
        <v>#N/A</v>
      </c>
      <c r="AB51" s="62" t="e">
        <f>VLOOKUP('北段 (人資版)'!AB51,工作表1!$A$3:$B$78,2,FALSE)</f>
        <v>#N/A</v>
      </c>
      <c r="AC51" s="62" t="e">
        <f>VLOOKUP('北段 (人資版)'!AC51,工作表1!$A$3:$B$78,2,FALSE)</f>
        <v>#N/A</v>
      </c>
      <c r="AD51" s="62" t="e">
        <f>VLOOKUP('北段 (人資版)'!AD51,工作表1!$A$3:$B$78,2,FALSE)</f>
        <v>#N/A</v>
      </c>
      <c r="AE51" s="62" t="e">
        <f>VLOOKUP('北段 (人資版)'!AE51,工作表1!$A$3:$B$78,2,FALSE)</f>
        <v>#N/A</v>
      </c>
      <c r="AF51" s="62" t="e">
        <f>VLOOKUP('北段 (人資版)'!AF51,工作表1!$A$3:$B$78,2,FALSE)</f>
        <v>#N/A</v>
      </c>
      <c r="AG51" s="62" t="e">
        <f>VLOOKUP('北段 (人資版)'!AG51,工作表1!$A$3:$B$78,2,FALSE)</f>
        <v>#N/A</v>
      </c>
      <c r="AH51" s="62" t="e">
        <f>VLOOKUP('北段 (人資版)'!AH51,工作表1!$A$3:$B$78,2,FALSE)</f>
        <v>#REF!</v>
      </c>
      <c r="AI51" s="62" t="e">
        <f>VLOOKUP('北段 (人資版)'!AI51,工作表1!$A$3:$B$78,2,FALSE)</f>
        <v>#REF!</v>
      </c>
      <c r="AJ51" s="62" t="e">
        <f>VLOOKUP('北段 (人資版)'!AJ51,工作表1!$A$3:$B$78,2,FALSE)</f>
        <v>#REF!</v>
      </c>
      <c r="AK51" s="62" t="e">
        <f>VLOOKUP('北段 (人資版)'!AK51,工作表1!$A$3:$B$78,2,FALSE)</f>
        <v>#REF!</v>
      </c>
      <c r="AL51" s="62" t="e">
        <f>VLOOKUP('北段 (人資版)'!AL51,工作表1!$A$3:$B$78,2,FALSE)</f>
        <v>#REF!</v>
      </c>
      <c r="AM51" s="62" t="e">
        <f>VLOOKUP('北段 (人資版)'!AM51,工作表1!$A$3:$B$78,2,FALSE)</f>
        <v>#REF!</v>
      </c>
      <c r="AN51" s="62" t="e">
        <f>VLOOKUP('北段 (人資版)'!AN51,工作表1!$A$3:$B$78,2,FALSE)</f>
        <v>#REF!</v>
      </c>
    </row>
    <row r="52" spans="1:40" ht="39.6" customHeight="1">
      <c r="A52" s="56"/>
      <c r="B52" s="101" t="str">
        <f>北段!B51</f>
        <v>T01083</v>
      </c>
      <c r="C52" s="38" t="str">
        <f>VLOOKUP(B52,北段!B:C,2,FALSE)</f>
        <v>趙中靖</v>
      </c>
      <c r="D52" s="62">
        <f>VLOOKUP('北段 (人資版)'!D52,工作表1!$A$3:$B$78,2,FALSE)</f>
        <v>90</v>
      </c>
      <c r="E52" s="62">
        <f>VLOOKUP('北段 (人資版)'!E52,工作表1!$A$3:$B$78,2,FALSE)</f>
        <v>66</v>
      </c>
      <c r="F52" s="62" t="e">
        <f>VLOOKUP('北段 (人資版)'!F52,工作表1!$A$3:$B$78,2,FALSE)</f>
        <v>#N/A</v>
      </c>
      <c r="G52" s="62" t="e">
        <f>VLOOKUP('北段 (人資版)'!G52,工作表1!$A$3:$B$78,2,FALSE)</f>
        <v>#N/A</v>
      </c>
      <c r="H52" s="62" t="e">
        <f>VLOOKUP('北段 (人資版)'!H52,工作表1!$A$3:$B$78,2,FALSE)</f>
        <v>#N/A</v>
      </c>
      <c r="I52" s="62" t="e">
        <f>VLOOKUP('北段 (人資版)'!I52,工作表1!$A$3:$B$78,2,FALSE)</f>
        <v>#N/A</v>
      </c>
      <c r="J52" s="62" t="e">
        <f>VLOOKUP('北段 (人資版)'!J52,工作表1!$A$3:$B$78,2,FALSE)</f>
        <v>#N/A</v>
      </c>
      <c r="K52" s="62" t="e">
        <f>VLOOKUP('北段 (人資版)'!K52,工作表1!$A$3:$B$78,2,FALSE)</f>
        <v>#N/A</v>
      </c>
      <c r="L52" s="62" t="e">
        <f>VLOOKUP('北段 (人資版)'!L52,工作表1!$A$3:$B$78,2,FALSE)</f>
        <v>#N/A</v>
      </c>
      <c r="M52" s="62" t="e">
        <f>VLOOKUP('北段 (人資版)'!M52,工作表1!$A$3:$B$78,2,FALSE)</f>
        <v>#N/A</v>
      </c>
      <c r="N52" s="62" t="e">
        <f>VLOOKUP('北段 (人資版)'!N52,工作表1!$A$3:$B$78,2,FALSE)</f>
        <v>#N/A</v>
      </c>
      <c r="O52" s="62" t="e">
        <f>VLOOKUP('北段 (人資版)'!O52,工作表1!$A$3:$B$78,2,FALSE)</f>
        <v>#N/A</v>
      </c>
      <c r="P52" s="62" t="e">
        <f>VLOOKUP('北段 (人資版)'!P52,工作表1!$A$3:$B$78,2,FALSE)</f>
        <v>#N/A</v>
      </c>
      <c r="Q52" s="62" t="e">
        <f>VLOOKUP('北段 (人資版)'!Q52,工作表1!$A$3:$B$78,2,FALSE)</f>
        <v>#N/A</v>
      </c>
      <c r="R52" s="62" t="e">
        <f>VLOOKUP('北段 (人資版)'!R52,工作表1!$A$3:$B$78,2,FALSE)</f>
        <v>#N/A</v>
      </c>
      <c r="S52" s="62" t="e">
        <f>VLOOKUP('北段 (人資版)'!S52,工作表1!$A$3:$B$78,2,FALSE)</f>
        <v>#N/A</v>
      </c>
      <c r="T52" s="62" t="e">
        <f>VLOOKUP('北段 (人資版)'!T52,工作表1!$A$3:$B$78,2,FALSE)</f>
        <v>#N/A</v>
      </c>
      <c r="U52" s="62" t="e">
        <f>VLOOKUP('北段 (人資版)'!U52,工作表1!$A$3:$B$78,2,FALSE)</f>
        <v>#N/A</v>
      </c>
      <c r="V52" s="62" t="e">
        <f>VLOOKUP('北段 (人資版)'!V52,工作表1!$A$3:$B$78,2,FALSE)</f>
        <v>#N/A</v>
      </c>
      <c r="W52" s="62" t="e">
        <f>VLOOKUP('北段 (人資版)'!W52,工作表1!$A$3:$B$78,2,FALSE)</f>
        <v>#N/A</v>
      </c>
      <c r="X52" s="62" t="e">
        <f>VLOOKUP('北段 (人資版)'!X52,工作表1!$A$3:$B$78,2,FALSE)</f>
        <v>#N/A</v>
      </c>
      <c r="Y52" s="62" t="e">
        <f>VLOOKUP('北段 (人資版)'!Y52,工作表1!$A$3:$B$78,2,FALSE)</f>
        <v>#N/A</v>
      </c>
      <c r="Z52" s="62" t="e">
        <f>VLOOKUP('北段 (人資版)'!Z52,工作表1!$A$3:$B$78,2,FALSE)</f>
        <v>#N/A</v>
      </c>
      <c r="AA52" s="62" t="e">
        <f>VLOOKUP('北段 (人資版)'!AA52,工作表1!$A$3:$B$78,2,FALSE)</f>
        <v>#N/A</v>
      </c>
      <c r="AB52" s="62" t="e">
        <f>VLOOKUP('北段 (人資版)'!AB52,工作表1!$A$3:$B$78,2,FALSE)</f>
        <v>#N/A</v>
      </c>
      <c r="AC52" s="62" t="e">
        <f>VLOOKUP('北段 (人資版)'!AC52,工作表1!$A$3:$B$78,2,FALSE)</f>
        <v>#N/A</v>
      </c>
      <c r="AD52" s="62" t="e">
        <f>VLOOKUP('北段 (人資版)'!AD52,工作表1!$A$3:$B$78,2,FALSE)</f>
        <v>#N/A</v>
      </c>
      <c r="AE52" s="62" t="e">
        <f>VLOOKUP('北段 (人資版)'!AE52,工作表1!$A$3:$B$78,2,FALSE)</f>
        <v>#N/A</v>
      </c>
      <c r="AF52" s="62" t="e">
        <f>VLOOKUP('北段 (人資版)'!AF52,工作表1!$A$3:$B$78,2,FALSE)</f>
        <v>#N/A</v>
      </c>
      <c r="AG52" s="62" t="e">
        <f>VLOOKUP('北段 (人資版)'!AG52,工作表1!$A$3:$B$78,2,FALSE)</f>
        <v>#N/A</v>
      </c>
      <c r="AH52" s="62" t="e">
        <f>VLOOKUP('北段 (人資版)'!AH52,工作表1!$A$3:$B$78,2,FALSE)</f>
        <v>#REF!</v>
      </c>
      <c r="AI52" s="62" t="e">
        <f>VLOOKUP('北段 (人資版)'!AI52,工作表1!$A$3:$B$78,2,FALSE)</f>
        <v>#REF!</v>
      </c>
      <c r="AJ52" s="62" t="e">
        <f>VLOOKUP('北段 (人資版)'!AJ52,工作表1!$A$3:$B$78,2,FALSE)</f>
        <v>#REF!</v>
      </c>
      <c r="AK52" s="62" t="e">
        <f>VLOOKUP('北段 (人資版)'!AK52,工作表1!$A$3:$B$78,2,FALSE)</f>
        <v>#REF!</v>
      </c>
      <c r="AL52" s="62" t="e">
        <f>VLOOKUP('北段 (人資版)'!AL52,工作表1!$A$3:$B$78,2,FALSE)</f>
        <v>#REF!</v>
      </c>
      <c r="AM52" s="62" t="e">
        <f>VLOOKUP('北段 (人資版)'!AM52,工作表1!$A$3:$B$78,2,FALSE)</f>
        <v>#REF!</v>
      </c>
      <c r="AN52" s="62" t="e">
        <f>VLOOKUP('北段 (人資版)'!AN52,工作表1!$A$3:$B$78,2,FALSE)</f>
        <v>#REF!</v>
      </c>
    </row>
    <row r="53" spans="1:40" ht="39.75" customHeight="1">
      <c r="A53" s="56"/>
      <c r="B53" s="101" t="str">
        <f>北段!B52</f>
        <v>T00515</v>
      </c>
      <c r="C53" s="38" t="str">
        <f>VLOOKUP(B53,北段!B:C,2,FALSE)</f>
        <v>曾靜君</v>
      </c>
      <c r="D53" s="62">
        <f>VLOOKUP('北段 (人資版)'!D53,工作表1!$A$3:$B$78,2,FALSE)</f>
        <v>70</v>
      </c>
      <c r="E53" s="62">
        <f>VLOOKUP('北段 (人資版)'!E53,工作表1!$A$3:$B$78,2,FALSE)</f>
        <v>70</v>
      </c>
      <c r="F53" s="62" t="e">
        <f>VLOOKUP('北段 (人資版)'!F53,工作表1!$A$3:$B$78,2,FALSE)</f>
        <v>#N/A</v>
      </c>
      <c r="G53" s="62" t="e">
        <f>VLOOKUP('北段 (人資版)'!G53,工作表1!$A$3:$B$78,2,FALSE)</f>
        <v>#N/A</v>
      </c>
      <c r="H53" s="62" t="e">
        <f>VLOOKUP('北段 (人資版)'!H53,工作表1!$A$3:$B$78,2,FALSE)</f>
        <v>#N/A</v>
      </c>
      <c r="I53" s="62" t="e">
        <f>VLOOKUP('北段 (人資版)'!I53,工作表1!$A$3:$B$78,2,FALSE)</f>
        <v>#N/A</v>
      </c>
      <c r="J53" s="62" t="e">
        <f>VLOOKUP('北段 (人資版)'!J53,工作表1!$A$3:$B$78,2,FALSE)</f>
        <v>#N/A</v>
      </c>
      <c r="K53" s="62" t="e">
        <f>VLOOKUP('北段 (人資版)'!K53,工作表1!$A$3:$B$78,2,FALSE)</f>
        <v>#N/A</v>
      </c>
      <c r="L53" s="62" t="e">
        <f>VLOOKUP('北段 (人資版)'!L53,工作表1!$A$3:$B$78,2,FALSE)</f>
        <v>#N/A</v>
      </c>
      <c r="M53" s="62" t="e">
        <f>VLOOKUP('北段 (人資版)'!M53,工作表1!$A$3:$B$78,2,FALSE)</f>
        <v>#N/A</v>
      </c>
      <c r="N53" s="62" t="e">
        <f>VLOOKUP('北段 (人資版)'!N53,工作表1!$A$3:$B$78,2,FALSE)</f>
        <v>#N/A</v>
      </c>
      <c r="O53" s="62" t="e">
        <f>VLOOKUP('北段 (人資版)'!O53,工作表1!$A$3:$B$78,2,FALSE)</f>
        <v>#N/A</v>
      </c>
      <c r="P53" s="62" t="e">
        <f>VLOOKUP('北段 (人資版)'!P53,工作表1!$A$3:$B$78,2,FALSE)</f>
        <v>#N/A</v>
      </c>
      <c r="Q53" s="62" t="e">
        <f>VLOOKUP('北段 (人資版)'!Q53,工作表1!$A$3:$B$78,2,FALSE)</f>
        <v>#N/A</v>
      </c>
      <c r="R53" s="62" t="e">
        <f>VLOOKUP('北段 (人資版)'!R53,工作表1!$A$3:$B$78,2,FALSE)</f>
        <v>#N/A</v>
      </c>
      <c r="S53" s="62" t="e">
        <f>VLOOKUP('北段 (人資版)'!S53,工作表1!$A$3:$B$78,2,FALSE)</f>
        <v>#N/A</v>
      </c>
      <c r="T53" s="62" t="e">
        <f>VLOOKUP('北段 (人資版)'!T53,工作表1!$A$3:$B$78,2,FALSE)</f>
        <v>#N/A</v>
      </c>
      <c r="U53" s="62" t="e">
        <f>VLOOKUP('北段 (人資版)'!U53,工作表1!$A$3:$B$78,2,FALSE)</f>
        <v>#N/A</v>
      </c>
      <c r="V53" s="62" t="e">
        <f>VLOOKUP('北段 (人資版)'!V53,工作表1!$A$3:$B$78,2,FALSE)</f>
        <v>#N/A</v>
      </c>
      <c r="W53" s="62" t="e">
        <f>VLOOKUP('北段 (人資版)'!W53,工作表1!$A$3:$B$78,2,FALSE)</f>
        <v>#N/A</v>
      </c>
      <c r="X53" s="62" t="e">
        <f>VLOOKUP('北段 (人資版)'!X53,工作表1!$A$3:$B$78,2,FALSE)</f>
        <v>#N/A</v>
      </c>
      <c r="Y53" s="62" t="e">
        <f>VLOOKUP('北段 (人資版)'!Y53,工作表1!$A$3:$B$78,2,FALSE)</f>
        <v>#N/A</v>
      </c>
      <c r="Z53" s="62" t="e">
        <f>VLOOKUP('北段 (人資版)'!Z53,工作表1!$A$3:$B$78,2,FALSE)</f>
        <v>#N/A</v>
      </c>
      <c r="AA53" s="62" t="e">
        <f>VLOOKUP('北段 (人資版)'!AA53,工作表1!$A$3:$B$78,2,FALSE)</f>
        <v>#N/A</v>
      </c>
      <c r="AB53" s="62" t="e">
        <f>VLOOKUP('北段 (人資版)'!AB53,工作表1!$A$3:$B$78,2,FALSE)</f>
        <v>#N/A</v>
      </c>
      <c r="AC53" s="62" t="e">
        <f>VLOOKUP('北段 (人資版)'!AC53,工作表1!$A$3:$B$78,2,FALSE)</f>
        <v>#N/A</v>
      </c>
      <c r="AD53" s="62" t="e">
        <f>VLOOKUP('北段 (人資版)'!AD53,工作表1!$A$3:$B$78,2,FALSE)</f>
        <v>#N/A</v>
      </c>
      <c r="AE53" s="62" t="e">
        <f>VLOOKUP('北段 (人資版)'!AE53,工作表1!$A$3:$B$78,2,FALSE)</f>
        <v>#N/A</v>
      </c>
      <c r="AF53" s="62" t="e">
        <f>VLOOKUP('北段 (人資版)'!AF53,工作表1!$A$3:$B$78,2,FALSE)</f>
        <v>#N/A</v>
      </c>
      <c r="AG53" s="62" t="e">
        <f>VLOOKUP('北段 (人資版)'!AG53,工作表1!$A$3:$B$78,2,FALSE)</f>
        <v>#N/A</v>
      </c>
      <c r="AH53" s="62" t="e">
        <f>VLOOKUP('北段 (人資版)'!AH53,工作表1!$A$3:$B$78,2,FALSE)</f>
        <v>#REF!</v>
      </c>
      <c r="AI53" s="62" t="e">
        <f>VLOOKUP('北段 (人資版)'!AI53,工作表1!$A$3:$B$78,2,FALSE)</f>
        <v>#REF!</v>
      </c>
      <c r="AJ53" s="62" t="e">
        <f>VLOOKUP('北段 (人資版)'!AJ53,工作表1!$A$3:$B$78,2,FALSE)</f>
        <v>#REF!</v>
      </c>
      <c r="AK53" s="62" t="e">
        <f>VLOOKUP('北段 (人資版)'!AK53,工作表1!$A$3:$B$78,2,FALSE)</f>
        <v>#REF!</v>
      </c>
      <c r="AL53" s="62" t="e">
        <f>VLOOKUP('北段 (人資版)'!AL53,工作表1!$A$3:$B$78,2,FALSE)</f>
        <v>#REF!</v>
      </c>
      <c r="AM53" s="62" t="e">
        <f>VLOOKUP('北段 (人資版)'!AM53,工作表1!$A$3:$B$78,2,FALSE)</f>
        <v>#REF!</v>
      </c>
      <c r="AN53" s="62" t="e">
        <f>VLOOKUP('北段 (人資版)'!AN53,工作表1!$A$3:$B$78,2,FALSE)</f>
        <v>#REF!</v>
      </c>
    </row>
    <row r="54" spans="1:40" s="36" customFormat="1" ht="39.75" customHeight="1">
      <c r="A54" s="56"/>
      <c r="B54" s="101" t="str">
        <f>北段!B53</f>
        <v>T00895</v>
      </c>
      <c r="C54" s="38" t="str">
        <f>VLOOKUP(B54,北段!B:C,2,FALSE)</f>
        <v>張鑫聰</v>
      </c>
      <c r="D54" s="62">
        <f>VLOOKUP('北段 (人資版)'!D54,工作表1!$A$3:$B$78,2,FALSE)</f>
        <v>38</v>
      </c>
      <c r="E54" s="62">
        <f>VLOOKUP('北段 (人資版)'!E54,工作表1!$A$3:$B$78,2,FALSE)</f>
        <v>38</v>
      </c>
      <c r="F54" s="62" t="e">
        <f>VLOOKUP('北段 (人資版)'!F54,工作表1!$A$3:$B$78,2,FALSE)</f>
        <v>#N/A</v>
      </c>
      <c r="G54" s="62" t="e">
        <f>VLOOKUP('北段 (人資版)'!G54,工作表1!$A$3:$B$78,2,FALSE)</f>
        <v>#N/A</v>
      </c>
      <c r="H54" s="62" t="e">
        <f>VLOOKUP('北段 (人資版)'!H54,工作表1!$A$3:$B$78,2,FALSE)</f>
        <v>#N/A</v>
      </c>
      <c r="I54" s="62" t="e">
        <f>VLOOKUP('北段 (人資版)'!I54,工作表1!$A$3:$B$78,2,FALSE)</f>
        <v>#N/A</v>
      </c>
      <c r="J54" s="62" t="e">
        <f>VLOOKUP('北段 (人資版)'!J54,工作表1!$A$3:$B$78,2,FALSE)</f>
        <v>#N/A</v>
      </c>
      <c r="K54" s="62" t="e">
        <f>VLOOKUP('北段 (人資版)'!K54,工作表1!$A$3:$B$78,2,FALSE)</f>
        <v>#N/A</v>
      </c>
      <c r="L54" s="62" t="e">
        <f>VLOOKUP('北段 (人資版)'!L54,工作表1!$A$3:$B$78,2,FALSE)</f>
        <v>#N/A</v>
      </c>
      <c r="M54" s="62" t="e">
        <f>VLOOKUP('北段 (人資版)'!M54,工作表1!$A$3:$B$78,2,FALSE)</f>
        <v>#N/A</v>
      </c>
      <c r="N54" s="62" t="e">
        <f>VLOOKUP('北段 (人資版)'!N54,工作表1!$A$3:$B$78,2,FALSE)</f>
        <v>#N/A</v>
      </c>
      <c r="O54" s="62" t="e">
        <f>VLOOKUP('北段 (人資版)'!O54,工作表1!$A$3:$B$78,2,FALSE)</f>
        <v>#N/A</v>
      </c>
      <c r="P54" s="62" t="e">
        <f>VLOOKUP('北段 (人資版)'!P54,工作表1!$A$3:$B$78,2,FALSE)</f>
        <v>#N/A</v>
      </c>
      <c r="Q54" s="62" t="e">
        <f>VLOOKUP('北段 (人資版)'!Q54,工作表1!$A$3:$B$78,2,FALSE)</f>
        <v>#N/A</v>
      </c>
      <c r="R54" s="62" t="e">
        <f>VLOOKUP('北段 (人資版)'!R54,工作表1!$A$3:$B$78,2,FALSE)</f>
        <v>#N/A</v>
      </c>
      <c r="S54" s="62" t="e">
        <f>VLOOKUP('北段 (人資版)'!S54,工作表1!$A$3:$B$78,2,FALSE)</f>
        <v>#N/A</v>
      </c>
      <c r="T54" s="62" t="e">
        <f>VLOOKUP('北段 (人資版)'!T54,工作表1!$A$3:$B$78,2,FALSE)</f>
        <v>#N/A</v>
      </c>
      <c r="U54" s="62" t="e">
        <f>VLOOKUP('北段 (人資版)'!U54,工作表1!$A$3:$B$78,2,FALSE)</f>
        <v>#N/A</v>
      </c>
      <c r="V54" s="62" t="e">
        <f>VLOOKUP('北段 (人資版)'!V54,工作表1!$A$3:$B$78,2,FALSE)</f>
        <v>#N/A</v>
      </c>
      <c r="W54" s="62" t="e">
        <f>VLOOKUP('北段 (人資版)'!W54,工作表1!$A$3:$B$78,2,FALSE)</f>
        <v>#N/A</v>
      </c>
      <c r="X54" s="62" t="e">
        <f>VLOOKUP('北段 (人資版)'!X54,工作表1!$A$3:$B$78,2,FALSE)</f>
        <v>#N/A</v>
      </c>
      <c r="Y54" s="62" t="e">
        <f>VLOOKUP('北段 (人資版)'!Y54,工作表1!$A$3:$B$78,2,FALSE)</f>
        <v>#N/A</v>
      </c>
      <c r="Z54" s="62" t="e">
        <f>VLOOKUP('北段 (人資版)'!Z54,工作表1!$A$3:$B$78,2,FALSE)</f>
        <v>#N/A</v>
      </c>
      <c r="AA54" s="62" t="e">
        <f>VLOOKUP('北段 (人資版)'!AA54,工作表1!$A$3:$B$78,2,FALSE)</f>
        <v>#N/A</v>
      </c>
      <c r="AB54" s="62" t="e">
        <f>VLOOKUP('北段 (人資版)'!AB54,工作表1!$A$3:$B$78,2,FALSE)</f>
        <v>#N/A</v>
      </c>
      <c r="AC54" s="62" t="e">
        <f>VLOOKUP('北段 (人資版)'!AC54,工作表1!$A$3:$B$78,2,FALSE)</f>
        <v>#N/A</v>
      </c>
      <c r="AD54" s="62" t="e">
        <f>VLOOKUP('北段 (人資版)'!AD54,工作表1!$A$3:$B$78,2,FALSE)</f>
        <v>#N/A</v>
      </c>
      <c r="AE54" s="62" t="e">
        <f>VLOOKUP('北段 (人資版)'!AE54,工作表1!$A$3:$B$78,2,FALSE)</f>
        <v>#N/A</v>
      </c>
      <c r="AF54" s="62" t="e">
        <f>VLOOKUP('北段 (人資版)'!AF54,工作表1!$A$3:$B$78,2,FALSE)</f>
        <v>#N/A</v>
      </c>
      <c r="AG54" s="62" t="e">
        <f>VLOOKUP('北段 (人資版)'!AG54,工作表1!$A$3:$B$78,2,FALSE)</f>
        <v>#N/A</v>
      </c>
      <c r="AH54" s="62" t="e">
        <f>VLOOKUP('北段 (人資版)'!AH54,工作表1!$A$3:$B$78,2,FALSE)</f>
        <v>#REF!</v>
      </c>
      <c r="AI54" s="62" t="e">
        <f>VLOOKUP('北段 (人資版)'!AI54,工作表1!$A$3:$B$78,2,FALSE)</f>
        <v>#REF!</v>
      </c>
      <c r="AJ54" s="62" t="e">
        <f>VLOOKUP('北段 (人資版)'!AJ54,工作表1!$A$3:$B$78,2,FALSE)</f>
        <v>#REF!</v>
      </c>
      <c r="AK54" s="62" t="e">
        <f>VLOOKUP('北段 (人資版)'!AK54,工作表1!$A$3:$B$78,2,FALSE)</f>
        <v>#REF!</v>
      </c>
      <c r="AL54" s="62" t="e">
        <f>VLOOKUP('北段 (人資版)'!AL54,工作表1!$A$3:$B$78,2,FALSE)</f>
        <v>#REF!</v>
      </c>
      <c r="AM54" s="62" t="e">
        <f>VLOOKUP('北段 (人資版)'!AM54,工作表1!$A$3:$B$78,2,FALSE)</f>
        <v>#REF!</v>
      </c>
      <c r="AN54" s="62" t="e">
        <f>VLOOKUP('北段 (人資版)'!AN54,工作表1!$A$3:$B$78,2,FALSE)</f>
        <v>#REF!</v>
      </c>
    </row>
    <row r="55" spans="1:40" ht="39.75" customHeight="1">
      <c r="A55" s="56"/>
      <c r="B55" s="101" t="str">
        <f>北段!B54</f>
        <v>T01066</v>
      </c>
      <c r="C55" s="38" t="str">
        <f>VLOOKUP(B55,北段!B:C,2,FALSE)</f>
        <v>陳瑞欽</v>
      </c>
      <c r="D55" s="62" t="str">
        <f>VLOOKUP('北段 (人資版)'!D55,工作表1!$A$3:$B$78,2,FALSE)</f>
        <v>07</v>
      </c>
      <c r="E55" s="62">
        <f>VLOOKUP('北段 (人資版)'!E55,工作表1!$A$3:$B$78,2,FALSE)</f>
        <v>92</v>
      </c>
      <c r="F55" s="62" t="e">
        <f>VLOOKUP('北段 (人資版)'!F55,工作表1!$A$3:$B$78,2,FALSE)</f>
        <v>#N/A</v>
      </c>
      <c r="G55" s="62" t="e">
        <f>VLOOKUP('北段 (人資版)'!G55,工作表1!$A$3:$B$78,2,FALSE)</f>
        <v>#N/A</v>
      </c>
      <c r="H55" s="62" t="e">
        <f>VLOOKUP('北段 (人資版)'!H55,工作表1!$A$3:$B$78,2,FALSE)</f>
        <v>#N/A</v>
      </c>
      <c r="I55" s="62" t="e">
        <f>VLOOKUP('北段 (人資版)'!I55,工作表1!$A$3:$B$78,2,FALSE)</f>
        <v>#N/A</v>
      </c>
      <c r="J55" s="62" t="e">
        <f>VLOOKUP('北段 (人資版)'!J55,工作表1!$A$3:$B$78,2,FALSE)</f>
        <v>#N/A</v>
      </c>
      <c r="K55" s="62" t="e">
        <f>VLOOKUP('北段 (人資版)'!K55,工作表1!$A$3:$B$78,2,FALSE)</f>
        <v>#N/A</v>
      </c>
      <c r="L55" s="62" t="e">
        <f>VLOOKUP('北段 (人資版)'!L55,工作表1!$A$3:$B$78,2,FALSE)</f>
        <v>#N/A</v>
      </c>
      <c r="M55" s="62" t="e">
        <f>VLOOKUP('北段 (人資版)'!M55,工作表1!$A$3:$B$78,2,FALSE)</f>
        <v>#N/A</v>
      </c>
      <c r="N55" s="62" t="e">
        <f>VLOOKUP('北段 (人資版)'!N55,工作表1!$A$3:$B$78,2,FALSE)</f>
        <v>#N/A</v>
      </c>
      <c r="O55" s="62" t="e">
        <f>VLOOKUP('北段 (人資版)'!O55,工作表1!$A$3:$B$78,2,FALSE)</f>
        <v>#N/A</v>
      </c>
      <c r="P55" s="62" t="e">
        <f>VLOOKUP('北段 (人資版)'!P55,工作表1!$A$3:$B$78,2,FALSE)</f>
        <v>#N/A</v>
      </c>
      <c r="Q55" s="62" t="e">
        <f>VLOOKUP('北段 (人資版)'!Q55,工作表1!$A$3:$B$78,2,FALSE)</f>
        <v>#N/A</v>
      </c>
      <c r="R55" s="62" t="e">
        <f>VLOOKUP('北段 (人資版)'!R55,工作表1!$A$3:$B$78,2,FALSE)</f>
        <v>#N/A</v>
      </c>
      <c r="S55" s="62" t="e">
        <f>VLOOKUP('北段 (人資版)'!S55,工作表1!$A$3:$B$78,2,FALSE)</f>
        <v>#N/A</v>
      </c>
      <c r="T55" s="62" t="e">
        <f>VLOOKUP('北段 (人資版)'!T55,工作表1!$A$3:$B$78,2,FALSE)</f>
        <v>#N/A</v>
      </c>
      <c r="U55" s="62" t="e">
        <f>VLOOKUP('北段 (人資版)'!U55,工作表1!$A$3:$B$78,2,FALSE)</f>
        <v>#N/A</v>
      </c>
      <c r="V55" s="62" t="e">
        <f>VLOOKUP('北段 (人資版)'!V55,工作表1!$A$3:$B$78,2,FALSE)</f>
        <v>#N/A</v>
      </c>
      <c r="W55" s="62" t="e">
        <f>VLOOKUP('北段 (人資版)'!W55,工作表1!$A$3:$B$78,2,FALSE)</f>
        <v>#N/A</v>
      </c>
      <c r="X55" s="62" t="e">
        <f>VLOOKUP('北段 (人資版)'!X55,工作表1!$A$3:$B$78,2,FALSE)</f>
        <v>#N/A</v>
      </c>
      <c r="Y55" s="62" t="e">
        <f>VLOOKUP('北段 (人資版)'!Y55,工作表1!$A$3:$B$78,2,FALSE)</f>
        <v>#N/A</v>
      </c>
      <c r="Z55" s="62" t="e">
        <f>VLOOKUP('北段 (人資版)'!Z55,工作表1!$A$3:$B$78,2,FALSE)</f>
        <v>#N/A</v>
      </c>
      <c r="AA55" s="62" t="e">
        <f>VLOOKUP('北段 (人資版)'!AA55,工作表1!$A$3:$B$78,2,FALSE)</f>
        <v>#N/A</v>
      </c>
      <c r="AB55" s="62" t="e">
        <f>VLOOKUP('北段 (人資版)'!AB55,工作表1!$A$3:$B$78,2,FALSE)</f>
        <v>#N/A</v>
      </c>
      <c r="AC55" s="62" t="e">
        <f>VLOOKUP('北段 (人資版)'!AC55,工作表1!$A$3:$B$78,2,FALSE)</f>
        <v>#N/A</v>
      </c>
      <c r="AD55" s="62" t="e">
        <f>VLOOKUP('北段 (人資版)'!AD55,工作表1!$A$3:$B$78,2,FALSE)</f>
        <v>#N/A</v>
      </c>
      <c r="AE55" s="62" t="e">
        <f>VLOOKUP('北段 (人資版)'!AE55,工作表1!$A$3:$B$78,2,FALSE)</f>
        <v>#N/A</v>
      </c>
      <c r="AF55" s="62" t="e">
        <f>VLOOKUP('北段 (人資版)'!AF55,工作表1!$A$3:$B$78,2,FALSE)</f>
        <v>#N/A</v>
      </c>
      <c r="AG55" s="62" t="e">
        <f>VLOOKUP('北段 (人資版)'!AG55,工作表1!$A$3:$B$78,2,FALSE)</f>
        <v>#N/A</v>
      </c>
      <c r="AH55" s="62" t="e">
        <f>VLOOKUP('北段 (人資版)'!AH55,工作表1!$A$3:$B$78,2,FALSE)</f>
        <v>#REF!</v>
      </c>
      <c r="AI55" s="62" t="e">
        <f>VLOOKUP('北段 (人資版)'!AI55,工作表1!$A$3:$B$78,2,FALSE)</f>
        <v>#REF!</v>
      </c>
      <c r="AJ55" s="62" t="e">
        <f>VLOOKUP('北段 (人資版)'!AJ55,工作表1!$A$3:$B$78,2,FALSE)</f>
        <v>#REF!</v>
      </c>
      <c r="AK55" s="62" t="e">
        <f>VLOOKUP('北段 (人資版)'!AK55,工作表1!$A$3:$B$78,2,FALSE)</f>
        <v>#REF!</v>
      </c>
      <c r="AL55" s="62" t="e">
        <f>VLOOKUP('北段 (人資版)'!AL55,工作表1!$A$3:$B$78,2,FALSE)</f>
        <v>#REF!</v>
      </c>
      <c r="AM55" s="62" t="e">
        <f>VLOOKUP('北段 (人資版)'!AM55,工作表1!$A$3:$B$78,2,FALSE)</f>
        <v>#REF!</v>
      </c>
      <c r="AN55" s="62" t="e">
        <f>VLOOKUP('北段 (人資版)'!AN55,工作表1!$A$3:$B$78,2,FALSE)</f>
        <v>#REF!</v>
      </c>
    </row>
    <row r="56" spans="1:40" s="36" customFormat="1" ht="39.75" customHeight="1" thickBot="1">
      <c r="A56" s="59"/>
      <c r="B56" s="101" t="str">
        <f>北段!B55</f>
        <v>T01427</v>
      </c>
      <c r="C56" s="38" t="str">
        <f>VLOOKUP(B56,北段!B:C,2,FALSE)</f>
        <v>沈裕謙</v>
      </c>
      <c r="D56" s="62">
        <f>VLOOKUP('北段 (人資版)'!D56,工作表1!$A$3:$B$78,2,FALSE)</f>
        <v>66</v>
      </c>
      <c r="E56" s="62">
        <f>VLOOKUP('北段 (人資版)'!E56,工作表1!$A$3:$B$78,2,FALSE)</f>
        <v>92</v>
      </c>
      <c r="F56" s="62" t="e">
        <f>VLOOKUP('北段 (人資版)'!F56,工作表1!$A$3:$B$78,2,FALSE)</f>
        <v>#N/A</v>
      </c>
      <c r="G56" s="62" t="e">
        <f>VLOOKUP('北段 (人資版)'!G56,工作表1!$A$3:$B$78,2,FALSE)</f>
        <v>#N/A</v>
      </c>
      <c r="H56" s="62" t="e">
        <f>VLOOKUP('北段 (人資版)'!H56,工作表1!$A$3:$B$78,2,FALSE)</f>
        <v>#N/A</v>
      </c>
      <c r="I56" s="62" t="e">
        <f>VLOOKUP('北段 (人資版)'!I56,工作表1!$A$3:$B$78,2,FALSE)</f>
        <v>#N/A</v>
      </c>
      <c r="J56" s="62" t="e">
        <f>VLOOKUP('北段 (人資版)'!J56,工作表1!$A$3:$B$78,2,FALSE)</f>
        <v>#N/A</v>
      </c>
      <c r="K56" s="62" t="e">
        <f>VLOOKUP('北段 (人資版)'!K56,工作表1!$A$3:$B$78,2,FALSE)</f>
        <v>#N/A</v>
      </c>
      <c r="L56" s="62" t="e">
        <f>VLOOKUP('北段 (人資版)'!L56,工作表1!$A$3:$B$78,2,FALSE)</f>
        <v>#N/A</v>
      </c>
      <c r="M56" s="62" t="e">
        <f>VLOOKUP('北段 (人資版)'!M56,工作表1!$A$3:$B$78,2,FALSE)</f>
        <v>#N/A</v>
      </c>
      <c r="N56" s="62" t="e">
        <f>VLOOKUP('北段 (人資版)'!N56,工作表1!$A$3:$B$78,2,FALSE)</f>
        <v>#N/A</v>
      </c>
      <c r="O56" s="62" t="e">
        <f>VLOOKUP('北段 (人資版)'!O56,工作表1!$A$3:$B$78,2,FALSE)</f>
        <v>#N/A</v>
      </c>
      <c r="P56" s="62" t="e">
        <f>VLOOKUP('北段 (人資版)'!P56,工作表1!$A$3:$B$78,2,FALSE)</f>
        <v>#N/A</v>
      </c>
      <c r="Q56" s="62" t="e">
        <f>VLOOKUP('北段 (人資版)'!Q56,工作表1!$A$3:$B$78,2,FALSE)</f>
        <v>#N/A</v>
      </c>
      <c r="R56" s="62" t="e">
        <f>VLOOKUP('北段 (人資版)'!R56,工作表1!$A$3:$B$78,2,FALSE)</f>
        <v>#N/A</v>
      </c>
      <c r="S56" s="62" t="e">
        <f>VLOOKUP('北段 (人資版)'!S56,工作表1!$A$3:$B$78,2,FALSE)</f>
        <v>#N/A</v>
      </c>
      <c r="T56" s="62" t="e">
        <f>VLOOKUP('北段 (人資版)'!T56,工作表1!$A$3:$B$78,2,FALSE)</f>
        <v>#N/A</v>
      </c>
      <c r="U56" s="62" t="e">
        <f>VLOOKUP('北段 (人資版)'!U56,工作表1!$A$3:$B$78,2,FALSE)</f>
        <v>#N/A</v>
      </c>
      <c r="V56" s="62" t="e">
        <f>VLOOKUP('北段 (人資版)'!V56,工作表1!$A$3:$B$78,2,FALSE)</f>
        <v>#N/A</v>
      </c>
      <c r="W56" s="62" t="e">
        <f>VLOOKUP('北段 (人資版)'!W56,工作表1!$A$3:$B$78,2,FALSE)</f>
        <v>#N/A</v>
      </c>
      <c r="X56" s="62" t="e">
        <f>VLOOKUP('北段 (人資版)'!X56,工作表1!$A$3:$B$78,2,FALSE)</f>
        <v>#N/A</v>
      </c>
      <c r="Y56" s="62" t="e">
        <f>VLOOKUP('北段 (人資版)'!Y56,工作表1!$A$3:$B$78,2,FALSE)</f>
        <v>#N/A</v>
      </c>
      <c r="Z56" s="62" t="e">
        <f>VLOOKUP('北段 (人資版)'!Z56,工作表1!$A$3:$B$78,2,FALSE)</f>
        <v>#N/A</v>
      </c>
      <c r="AA56" s="62" t="e">
        <f>VLOOKUP('北段 (人資版)'!AA56,工作表1!$A$3:$B$78,2,FALSE)</f>
        <v>#N/A</v>
      </c>
      <c r="AB56" s="62" t="e">
        <f>VLOOKUP('北段 (人資版)'!AB56,工作表1!$A$3:$B$78,2,FALSE)</f>
        <v>#N/A</v>
      </c>
      <c r="AC56" s="62" t="e">
        <f>VLOOKUP('北段 (人資版)'!AC56,工作表1!$A$3:$B$78,2,FALSE)</f>
        <v>#N/A</v>
      </c>
      <c r="AD56" s="62" t="e">
        <f>VLOOKUP('北段 (人資版)'!AD56,工作表1!$A$3:$B$78,2,FALSE)</f>
        <v>#N/A</v>
      </c>
      <c r="AE56" s="62" t="e">
        <f>VLOOKUP('北段 (人資版)'!AE56,工作表1!$A$3:$B$78,2,FALSE)</f>
        <v>#N/A</v>
      </c>
      <c r="AF56" s="62" t="e">
        <f>VLOOKUP('北段 (人資版)'!AF56,工作表1!$A$3:$B$78,2,FALSE)</f>
        <v>#N/A</v>
      </c>
      <c r="AG56" s="62" t="e">
        <f>VLOOKUP('北段 (人資版)'!AG56,工作表1!$A$3:$B$78,2,FALSE)</f>
        <v>#N/A</v>
      </c>
      <c r="AH56" s="62" t="e">
        <f>VLOOKUP('北段 (人資版)'!AH56,工作表1!$A$3:$B$78,2,FALSE)</f>
        <v>#REF!</v>
      </c>
      <c r="AI56" s="62" t="e">
        <f>VLOOKUP('北段 (人資版)'!AI56,工作表1!$A$3:$B$78,2,FALSE)</f>
        <v>#REF!</v>
      </c>
      <c r="AJ56" s="62" t="e">
        <f>VLOOKUP('北段 (人資版)'!AJ56,工作表1!$A$3:$B$78,2,FALSE)</f>
        <v>#REF!</v>
      </c>
      <c r="AK56" s="62" t="e">
        <f>VLOOKUP('北段 (人資版)'!AK56,工作表1!$A$3:$B$78,2,FALSE)</f>
        <v>#REF!</v>
      </c>
      <c r="AL56" s="62" t="e">
        <f>VLOOKUP('北段 (人資版)'!AL56,工作表1!$A$3:$B$78,2,FALSE)</f>
        <v>#REF!</v>
      </c>
      <c r="AM56" s="62" t="e">
        <f>VLOOKUP('北段 (人資版)'!AM56,工作表1!$A$3:$B$78,2,FALSE)</f>
        <v>#REF!</v>
      </c>
      <c r="AN56" s="62" t="e">
        <f>VLOOKUP('北段 (人資版)'!AN56,工作表1!$A$3:$B$78,2,FALSE)</f>
        <v>#REF!</v>
      </c>
    </row>
    <row r="57" spans="1:40" ht="39.75" customHeight="1">
      <c r="A57" s="55" t="s">
        <v>71</v>
      </c>
      <c r="B57" s="101" t="str">
        <f>北段!B56</f>
        <v>T00501</v>
      </c>
      <c r="C57" s="38" t="str">
        <f>VLOOKUP(B57,北段!B:C,2,FALSE)</f>
        <v>林慧姍</v>
      </c>
      <c r="D57" s="62" t="str">
        <f>VLOOKUP('北段 (人資版)'!D57,工作表1!$A$3:$B$78,2,FALSE)</f>
        <v>07</v>
      </c>
      <c r="E57" s="62">
        <f>VLOOKUP('北段 (人資版)'!E57,工作表1!$A$3:$B$78,2,FALSE)</f>
        <v>92</v>
      </c>
      <c r="F57" s="62" t="e">
        <f>VLOOKUP('北段 (人資版)'!F57,工作表1!$A$3:$B$78,2,FALSE)</f>
        <v>#N/A</v>
      </c>
      <c r="G57" s="62" t="e">
        <f>VLOOKUP('北段 (人資版)'!G57,工作表1!$A$3:$B$78,2,FALSE)</f>
        <v>#N/A</v>
      </c>
      <c r="H57" s="62" t="e">
        <f>VLOOKUP('北段 (人資版)'!H57,工作表1!$A$3:$B$78,2,FALSE)</f>
        <v>#N/A</v>
      </c>
      <c r="I57" s="62" t="e">
        <f>VLOOKUP('北段 (人資版)'!I57,工作表1!$A$3:$B$78,2,FALSE)</f>
        <v>#N/A</v>
      </c>
      <c r="J57" s="62" t="e">
        <f>VLOOKUP('北段 (人資版)'!J57,工作表1!$A$3:$B$78,2,FALSE)</f>
        <v>#N/A</v>
      </c>
      <c r="K57" s="62" t="e">
        <f>VLOOKUP('北段 (人資版)'!K57,工作表1!$A$3:$B$78,2,FALSE)</f>
        <v>#N/A</v>
      </c>
      <c r="L57" s="62" t="e">
        <f>VLOOKUP('北段 (人資版)'!L57,工作表1!$A$3:$B$78,2,FALSE)</f>
        <v>#N/A</v>
      </c>
      <c r="M57" s="62" t="e">
        <f>VLOOKUP('北段 (人資版)'!M57,工作表1!$A$3:$B$78,2,FALSE)</f>
        <v>#N/A</v>
      </c>
      <c r="N57" s="62" t="e">
        <f>VLOOKUP('北段 (人資版)'!N57,工作表1!$A$3:$B$78,2,FALSE)</f>
        <v>#N/A</v>
      </c>
      <c r="O57" s="62" t="e">
        <f>VLOOKUP('北段 (人資版)'!O57,工作表1!$A$3:$B$78,2,FALSE)</f>
        <v>#N/A</v>
      </c>
      <c r="P57" s="62" t="e">
        <f>VLOOKUP('北段 (人資版)'!P57,工作表1!$A$3:$B$78,2,FALSE)</f>
        <v>#N/A</v>
      </c>
      <c r="Q57" s="62" t="e">
        <f>VLOOKUP('北段 (人資版)'!Q57,工作表1!$A$3:$B$78,2,FALSE)</f>
        <v>#N/A</v>
      </c>
      <c r="R57" s="62" t="e">
        <f>VLOOKUP('北段 (人資版)'!R57,工作表1!$A$3:$B$78,2,FALSE)</f>
        <v>#N/A</v>
      </c>
      <c r="S57" s="62" t="e">
        <f>VLOOKUP('北段 (人資版)'!S57,工作表1!$A$3:$B$78,2,FALSE)</f>
        <v>#N/A</v>
      </c>
      <c r="T57" s="62" t="e">
        <f>VLOOKUP('北段 (人資版)'!T57,工作表1!$A$3:$B$78,2,FALSE)</f>
        <v>#N/A</v>
      </c>
      <c r="U57" s="62" t="e">
        <f>VLOOKUP('北段 (人資版)'!U57,工作表1!$A$3:$B$78,2,FALSE)</f>
        <v>#N/A</v>
      </c>
      <c r="V57" s="62" t="e">
        <f>VLOOKUP('北段 (人資版)'!V57,工作表1!$A$3:$B$78,2,FALSE)</f>
        <v>#N/A</v>
      </c>
      <c r="W57" s="62" t="e">
        <f>VLOOKUP('北段 (人資版)'!W57,工作表1!$A$3:$B$78,2,FALSE)</f>
        <v>#N/A</v>
      </c>
      <c r="X57" s="62" t="e">
        <f>VLOOKUP('北段 (人資版)'!X57,工作表1!$A$3:$B$78,2,FALSE)</f>
        <v>#N/A</v>
      </c>
      <c r="Y57" s="62" t="e">
        <f>VLOOKUP('北段 (人資版)'!Y57,工作表1!$A$3:$B$78,2,FALSE)</f>
        <v>#N/A</v>
      </c>
      <c r="Z57" s="62" t="e">
        <f>VLOOKUP('北段 (人資版)'!Z57,工作表1!$A$3:$B$78,2,FALSE)</f>
        <v>#N/A</v>
      </c>
      <c r="AA57" s="62" t="e">
        <f>VLOOKUP('北段 (人資版)'!AA57,工作表1!$A$3:$B$78,2,FALSE)</f>
        <v>#N/A</v>
      </c>
      <c r="AB57" s="62" t="e">
        <f>VLOOKUP('北段 (人資版)'!AB57,工作表1!$A$3:$B$78,2,FALSE)</f>
        <v>#N/A</v>
      </c>
      <c r="AC57" s="62" t="e">
        <f>VLOOKUP('北段 (人資版)'!AC57,工作表1!$A$3:$B$78,2,FALSE)</f>
        <v>#N/A</v>
      </c>
      <c r="AD57" s="62" t="e">
        <f>VLOOKUP('北段 (人資版)'!AD57,工作表1!$A$3:$B$78,2,FALSE)</f>
        <v>#N/A</v>
      </c>
      <c r="AE57" s="62" t="e">
        <f>VLOOKUP('北段 (人資版)'!AE57,工作表1!$A$3:$B$78,2,FALSE)</f>
        <v>#N/A</v>
      </c>
      <c r="AF57" s="62" t="e">
        <f>VLOOKUP('北段 (人資版)'!AF57,工作表1!$A$3:$B$78,2,FALSE)</f>
        <v>#N/A</v>
      </c>
      <c r="AG57" s="62" t="e">
        <f>VLOOKUP('北段 (人資版)'!AG57,工作表1!$A$3:$B$78,2,FALSE)</f>
        <v>#N/A</v>
      </c>
      <c r="AH57" s="62" t="e">
        <f>VLOOKUP('北段 (人資版)'!AH57,工作表1!$A$3:$B$78,2,FALSE)</f>
        <v>#REF!</v>
      </c>
      <c r="AI57" s="62" t="e">
        <f>VLOOKUP('北段 (人資版)'!AI57,工作表1!$A$3:$B$78,2,FALSE)</f>
        <v>#REF!</v>
      </c>
      <c r="AJ57" s="62" t="e">
        <f>VLOOKUP('北段 (人資版)'!AJ57,工作表1!$A$3:$B$78,2,FALSE)</f>
        <v>#REF!</v>
      </c>
      <c r="AK57" s="62" t="e">
        <f>VLOOKUP('北段 (人資版)'!AK57,工作表1!$A$3:$B$78,2,FALSE)</f>
        <v>#REF!</v>
      </c>
      <c r="AL57" s="62" t="e">
        <f>VLOOKUP('北段 (人資版)'!AL57,工作表1!$A$3:$B$78,2,FALSE)</f>
        <v>#REF!</v>
      </c>
      <c r="AM57" s="62" t="e">
        <f>VLOOKUP('北段 (人資版)'!AM57,工作表1!$A$3:$B$78,2,FALSE)</f>
        <v>#REF!</v>
      </c>
      <c r="AN57" s="62" t="e">
        <f>VLOOKUP('北段 (人資版)'!AN57,工作表1!$A$3:$B$78,2,FALSE)</f>
        <v>#REF!</v>
      </c>
    </row>
    <row r="58" spans="1:40" ht="39.6" customHeight="1">
      <c r="A58" s="56"/>
      <c r="B58" s="101" t="str">
        <f>北段!B57</f>
        <v>T00925</v>
      </c>
      <c r="C58" s="38" t="str">
        <f>VLOOKUP(B58,北段!B:C,2,FALSE)</f>
        <v>鄭淑玲</v>
      </c>
      <c r="D58" s="62" t="str">
        <f>VLOOKUP('北段 (人資版)'!D58,工作表1!$A$3:$B$78,2,FALSE)</f>
        <v>07</v>
      </c>
      <c r="E58" s="62">
        <f>VLOOKUP('北段 (人資版)'!E58,工作表1!$A$3:$B$78,2,FALSE)</f>
        <v>92</v>
      </c>
      <c r="F58" s="62" t="e">
        <f>VLOOKUP('北段 (人資版)'!F58,工作表1!$A$3:$B$78,2,FALSE)</f>
        <v>#N/A</v>
      </c>
      <c r="G58" s="62" t="e">
        <f>VLOOKUP('北段 (人資版)'!G58,工作表1!$A$3:$B$78,2,FALSE)</f>
        <v>#N/A</v>
      </c>
      <c r="H58" s="62" t="e">
        <f>VLOOKUP('北段 (人資版)'!H58,工作表1!$A$3:$B$78,2,FALSE)</f>
        <v>#N/A</v>
      </c>
      <c r="I58" s="62" t="e">
        <f>VLOOKUP('北段 (人資版)'!I58,工作表1!$A$3:$B$78,2,FALSE)</f>
        <v>#N/A</v>
      </c>
      <c r="J58" s="62" t="e">
        <f>VLOOKUP('北段 (人資版)'!J58,工作表1!$A$3:$B$78,2,FALSE)</f>
        <v>#N/A</v>
      </c>
      <c r="K58" s="62" t="e">
        <f>VLOOKUP('北段 (人資版)'!K58,工作表1!$A$3:$B$78,2,FALSE)</f>
        <v>#N/A</v>
      </c>
      <c r="L58" s="62" t="e">
        <f>VLOOKUP('北段 (人資版)'!L58,工作表1!$A$3:$B$78,2,FALSE)</f>
        <v>#N/A</v>
      </c>
      <c r="M58" s="62" t="e">
        <f>VLOOKUP('北段 (人資版)'!M58,工作表1!$A$3:$B$78,2,FALSE)</f>
        <v>#N/A</v>
      </c>
      <c r="N58" s="62" t="e">
        <f>VLOOKUP('北段 (人資版)'!N58,工作表1!$A$3:$B$78,2,FALSE)</f>
        <v>#N/A</v>
      </c>
      <c r="O58" s="62" t="e">
        <f>VLOOKUP('北段 (人資版)'!O58,工作表1!$A$3:$B$78,2,FALSE)</f>
        <v>#N/A</v>
      </c>
      <c r="P58" s="62" t="e">
        <f>VLOOKUP('北段 (人資版)'!P58,工作表1!$A$3:$B$78,2,FALSE)</f>
        <v>#N/A</v>
      </c>
      <c r="Q58" s="62" t="e">
        <f>VLOOKUP('北段 (人資版)'!Q58,工作表1!$A$3:$B$78,2,FALSE)</f>
        <v>#N/A</v>
      </c>
      <c r="R58" s="62" t="e">
        <f>VLOOKUP('北段 (人資版)'!R58,工作表1!$A$3:$B$78,2,FALSE)</f>
        <v>#N/A</v>
      </c>
      <c r="S58" s="62" t="e">
        <f>VLOOKUP('北段 (人資版)'!S58,工作表1!$A$3:$B$78,2,FALSE)</f>
        <v>#N/A</v>
      </c>
      <c r="T58" s="62" t="e">
        <f>VLOOKUP('北段 (人資版)'!T58,工作表1!$A$3:$B$78,2,FALSE)</f>
        <v>#N/A</v>
      </c>
      <c r="U58" s="62" t="e">
        <f>VLOOKUP('北段 (人資版)'!U58,工作表1!$A$3:$B$78,2,FALSE)</f>
        <v>#N/A</v>
      </c>
      <c r="V58" s="62" t="e">
        <f>VLOOKUP('北段 (人資版)'!V58,工作表1!$A$3:$B$78,2,FALSE)</f>
        <v>#N/A</v>
      </c>
      <c r="W58" s="62" t="e">
        <f>VLOOKUP('北段 (人資版)'!W58,工作表1!$A$3:$B$78,2,FALSE)</f>
        <v>#N/A</v>
      </c>
      <c r="X58" s="62" t="e">
        <f>VLOOKUP('北段 (人資版)'!X58,工作表1!$A$3:$B$78,2,FALSE)</f>
        <v>#N/A</v>
      </c>
      <c r="Y58" s="62" t="e">
        <f>VLOOKUP('北段 (人資版)'!Y58,工作表1!$A$3:$B$78,2,FALSE)</f>
        <v>#N/A</v>
      </c>
      <c r="Z58" s="62" t="e">
        <f>VLOOKUP('北段 (人資版)'!Z58,工作表1!$A$3:$B$78,2,FALSE)</f>
        <v>#N/A</v>
      </c>
      <c r="AA58" s="62" t="e">
        <f>VLOOKUP('北段 (人資版)'!AA58,工作表1!$A$3:$B$78,2,FALSE)</f>
        <v>#N/A</v>
      </c>
      <c r="AB58" s="62" t="e">
        <f>VLOOKUP('北段 (人資版)'!AB58,工作表1!$A$3:$B$78,2,FALSE)</f>
        <v>#N/A</v>
      </c>
      <c r="AC58" s="62" t="e">
        <f>VLOOKUP('北段 (人資版)'!AC58,工作表1!$A$3:$B$78,2,FALSE)</f>
        <v>#N/A</v>
      </c>
      <c r="AD58" s="62" t="e">
        <f>VLOOKUP('北段 (人資版)'!AD58,工作表1!$A$3:$B$78,2,FALSE)</f>
        <v>#N/A</v>
      </c>
      <c r="AE58" s="62" t="e">
        <f>VLOOKUP('北段 (人資版)'!AE58,工作表1!$A$3:$B$78,2,FALSE)</f>
        <v>#N/A</v>
      </c>
      <c r="AF58" s="62" t="e">
        <f>VLOOKUP('北段 (人資版)'!AF58,工作表1!$A$3:$B$78,2,FALSE)</f>
        <v>#N/A</v>
      </c>
      <c r="AG58" s="62" t="e">
        <f>VLOOKUP('北段 (人資版)'!AG58,工作表1!$A$3:$B$78,2,FALSE)</f>
        <v>#N/A</v>
      </c>
      <c r="AH58" s="62" t="e">
        <f>VLOOKUP('北段 (人資版)'!AH58,工作表1!$A$3:$B$78,2,FALSE)</f>
        <v>#REF!</v>
      </c>
      <c r="AI58" s="62" t="e">
        <f>VLOOKUP('北段 (人資版)'!AI58,工作表1!$A$3:$B$78,2,FALSE)</f>
        <v>#REF!</v>
      </c>
      <c r="AJ58" s="62" t="e">
        <f>VLOOKUP('北段 (人資版)'!AJ58,工作表1!$A$3:$B$78,2,FALSE)</f>
        <v>#REF!</v>
      </c>
      <c r="AK58" s="62" t="e">
        <f>VLOOKUP('北段 (人資版)'!AK58,工作表1!$A$3:$B$78,2,FALSE)</f>
        <v>#REF!</v>
      </c>
      <c r="AL58" s="62" t="e">
        <f>VLOOKUP('北段 (人資版)'!AL58,工作表1!$A$3:$B$78,2,FALSE)</f>
        <v>#REF!</v>
      </c>
      <c r="AM58" s="62" t="e">
        <f>VLOOKUP('北段 (人資版)'!AM58,工作表1!$A$3:$B$78,2,FALSE)</f>
        <v>#REF!</v>
      </c>
      <c r="AN58" s="62" t="e">
        <f>VLOOKUP('北段 (人資版)'!AN58,工作表1!$A$3:$B$78,2,FALSE)</f>
        <v>#REF!</v>
      </c>
    </row>
    <row r="59" spans="1:40" ht="39.75" customHeight="1">
      <c r="A59" s="56"/>
      <c r="B59" s="101" t="str">
        <f>北段!B58</f>
        <v>T01426</v>
      </c>
      <c r="C59" s="38" t="str">
        <f>VLOOKUP(B59,北段!B:C,2,FALSE)</f>
        <v>林怡輝</v>
      </c>
      <c r="D59" s="62">
        <f>VLOOKUP('北段 (人資版)'!D59,工作表1!$A$3:$B$78,2,FALSE)</f>
        <v>92</v>
      </c>
      <c r="E59" s="62" t="str">
        <f>VLOOKUP('北段 (人資版)'!E59,工作表1!$A$3:$B$78,2,FALSE)</f>
        <v>07</v>
      </c>
      <c r="F59" s="62" t="e">
        <f>VLOOKUP('北段 (人資版)'!F59,工作表1!$A$3:$B$78,2,FALSE)</f>
        <v>#N/A</v>
      </c>
      <c r="G59" s="62" t="e">
        <f>VLOOKUP('北段 (人資版)'!G59,工作表1!$A$3:$B$78,2,FALSE)</f>
        <v>#N/A</v>
      </c>
      <c r="H59" s="62" t="e">
        <f>VLOOKUP('北段 (人資版)'!H59,工作表1!$A$3:$B$78,2,FALSE)</f>
        <v>#N/A</v>
      </c>
      <c r="I59" s="62" t="e">
        <f>VLOOKUP('北段 (人資版)'!I59,工作表1!$A$3:$B$78,2,FALSE)</f>
        <v>#N/A</v>
      </c>
      <c r="J59" s="62" t="e">
        <f>VLOOKUP('北段 (人資版)'!J59,工作表1!$A$3:$B$78,2,FALSE)</f>
        <v>#N/A</v>
      </c>
      <c r="K59" s="62" t="e">
        <f>VLOOKUP('北段 (人資版)'!K59,工作表1!$A$3:$B$78,2,FALSE)</f>
        <v>#N/A</v>
      </c>
      <c r="L59" s="62" t="e">
        <f>VLOOKUP('北段 (人資版)'!L59,工作表1!$A$3:$B$78,2,FALSE)</f>
        <v>#N/A</v>
      </c>
      <c r="M59" s="62" t="e">
        <f>VLOOKUP('北段 (人資版)'!M59,工作表1!$A$3:$B$78,2,FALSE)</f>
        <v>#N/A</v>
      </c>
      <c r="N59" s="62" t="e">
        <f>VLOOKUP('北段 (人資版)'!N59,工作表1!$A$3:$B$78,2,FALSE)</f>
        <v>#N/A</v>
      </c>
      <c r="O59" s="62" t="e">
        <f>VLOOKUP('北段 (人資版)'!O59,工作表1!$A$3:$B$78,2,FALSE)</f>
        <v>#N/A</v>
      </c>
      <c r="P59" s="62" t="e">
        <f>VLOOKUP('北段 (人資版)'!P59,工作表1!$A$3:$B$78,2,FALSE)</f>
        <v>#N/A</v>
      </c>
      <c r="Q59" s="62" t="e">
        <f>VLOOKUP('北段 (人資版)'!Q59,工作表1!$A$3:$B$78,2,FALSE)</f>
        <v>#N/A</v>
      </c>
      <c r="R59" s="62" t="e">
        <f>VLOOKUP('北段 (人資版)'!R59,工作表1!$A$3:$B$78,2,FALSE)</f>
        <v>#N/A</v>
      </c>
      <c r="S59" s="62" t="e">
        <f>VLOOKUP('北段 (人資版)'!S59,工作表1!$A$3:$B$78,2,FALSE)</f>
        <v>#N/A</v>
      </c>
      <c r="T59" s="62" t="e">
        <f>VLOOKUP('北段 (人資版)'!T59,工作表1!$A$3:$B$78,2,FALSE)</f>
        <v>#N/A</v>
      </c>
      <c r="U59" s="62" t="e">
        <f>VLOOKUP('北段 (人資版)'!U59,工作表1!$A$3:$B$78,2,FALSE)</f>
        <v>#N/A</v>
      </c>
      <c r="V59" s="62" t="e">
        <f>VLOOKUP('北段 (人資版)'!V59,工作表1!$A$3:$B$78,2,FALSE)</f>
        <v>#N/A</v>
      </c>
      <c r="W59" s="62" t="e">
        <f>VLOOKUP('北段 (人資版)'!W59,工作表1!$A$3:$B$78,2,FALSE)</f>
        <v>#N/A</v>
      </c>
      <c r="X59" s="62" t="e">
        <f>VLOOKUP('北段 (人資版)'!X59,工作表1!$A$3:$B$78,2,FALSE)</f>
        <v>#N/A</v>
      </c>
      <c r="Y59" s="62" t="e">
        <f>VLOOKUP('北段 (人資版)'!Y59,工作表1!$A$3:$B$78,2,FALSE)</f>
        <v>#N/A</v>
      </c>
      <c r="Z59" s="62" t="e">
        <f>VLOOKUP('北段 (人資版)'!Z59,工作表1!$A$3:$B$78,2,FALSE)</f>
        <v>#N/A</v>
      </c>
      <c r="AA59" s="62" t="e">
        <f>VLOOKUP('北段 (人資版)'!AA59,工作表1!$A$3:$B$78,2,FALSE)</f>
        <v>#N/A</v>
      </c>
      <c r="AB59" s="62" t="e">
        <f>VLOOKUP('北段 (人資版)'!AB59,工作表1!$A$3:$B$78,2,FALSE)</f>
        <v>#N/A</v>
      </c>
      <c r="AC59" s="62" t="e">
        <f>VLOOKUP('北段 (人資版)'!AC59,工作表1!$A$3:$B$78,2,FALSE)</f>
        <v>#N/A</v>
      </c>
      <c r="AD59" s="62" t="e">
        <f>VLOOKUP('北段 (人資版)'!AD59,工作表1!$A$3:$B$78,2,FALSE)</f>
        <v>#N/A</v>
      </c>
      <c r="AE59" s="62" t="e">
        <f>VLOOKUP('北段 (人資版)'!AE59,工作表1!$A$3:$B$78,2,FALSE)</f>
        <v>#N/A</v>
      </c>
      <c r="AF59" s="62" t="e">
        <f>VLOOKUP('北段 (人資版)'!AF59,工作表1!$A$3:$B$78,2,FALSE)</f>
        <v>#N/A</v>
      </c>
      <c r="AG59" s="62" t="e">
        <f>VLOOKUP('北段 (人資版)'!AG59,工作表1!$A$3:$B$78,2,FALSE)</f>
        <v>#N/A</v>
      </c>
      <c r="AH59" s="62" t="e">
        <f>VLOOKUP('北段 (人資版)'!AH59,工作表1!$A$3:$B$78,2,FALSE)</f>
        <v>#REF!</v>
      </c>
      <c r="AI59" s="62" t="e">
        <f>VLOOKUP('北段 (人資版)'!AI59,工作表1!$A$3:$B$78,2,FALSE)</f>
        <v>#REF!</v>
      </c>
      <c r="AJ59" s="62" t="e">
        <f>VLOOKUP('北段 (人資版)'!AJ59,工作表1!$A$3:$B$78,2,FALSE)</f>
        <v>#REF!</v>
      </c>
      <c r="AK59" s="62" t="e">
        <f>VLOOKUP('北段 (人資版)'!AK59,工作表1!$A$3:$B$78,2,FALSE)</f>
        <v>#REF!</v>
      </c>
      <c r="AL59" s="62" t="e">
        <f>VLOOKUP('北段 (人資版)'!AL59,工作表1!$A$3:$B$78,2,FALSE)</f>
        <v>#REF!</v>
      </c>
      <c r="AM59" s="62" t="e">
        <f>VLOOKUP('北段 (人資版)'!AM59,工作表1!$A$3:$B$78,2,FALSE)</f>
        <v>#REF!</v>
      </c>
      <c r="AN59" s="62" t="e">
        <f>VLOOKUP('北段 (人資版)'!AN59,工作表1!$A$3:$B$78,2,FALSE)</f>
        <v>#REF!</v>
      </c>
    </row>
    <row r="60" spans="1:40" ht="39.6" customHeight="1">
      <c r="A60" s="56"/>
      <c r="B60" s="101" t="str">
        <f>北段!B59</f>
        <v>T00487</v>
      </c>
      <c r="C60" s="38" t="str">
        <f>VLOOKUP(B60,北段!B:C,2,FALSE)</f>
        <v>余柏翰</v>
      </c>
      <c r="D60" s="62">
        <f>VLOOKUP('北段 (人資版)'!D60,工作表1!$A$3:$B$78,2,FALSE)</f>
        <v>70</v>
      </c>
      <c r="E60" s="62">
        <f>VLOOKUP('北段 (人資版)'!E60,工作表1!$A$3:$B$78,2,FALSE)</f>
        <v>92</v>
      </c>
      <c r="F60" s="62" t="e">
        <f>VLOOKUP('北段 (人資版)'!F60,工作表1!$A$3:$B$78,2,FALSE)</f>
        <v>#N/A</v>
      </c>
      <c r="G60" s="62" t="e">
        <f>VLOOKUP('北段 (人資版)'!G60,工作表1!$A$3:$B$78,2,FALSE)</f>
        <v>#N/A</v>
      </c>
      <c r="H60" s="62" t="e">
        <f>VLOOKUP('北段 (人資版)'!H60,工作表1!$A$3:$B$78,2,FALSE)</f>
        <v>#N/A</v>
      </c>
      <c r="I60" s="62" t="e">
        <f>VLOOKUP('北段 (人資版)'!I60,工作表1!$A$3:$B$78,2,FALSE)</f>
        <v>#N/A</v>
      </c>
      <c r="J60" s="62" t="e">
        <f>VLOOKUP('北段 (人資版)'!J60,工作表1!$A$3:$B$78,2,FALSE)</f>
        <v>#N/A</v>
      </c>
      <c r="K60" s="62" t="e">
        <f>VLOOKUP('北段 (人資版)'!K60,工作表1!$A$3:$B$78,2,FALSE)</f>
        <v>#N/A</v>
      </c>
      <c r="L60" s="62" t="e">
        <f>VLOOKUP('北段 (人資版)'!L60,工作表1!$A$3:$B$78,2,FALSE)</f>
        <v>#N/A</v>
      </c>
      <c r="M60" s="62" t="e">
        <f>VLOOKUP('北段 (人資版)'!M60,工作表1!$A$3:$B$78,2,FALSE)</f>
        <v>#N/A</v>
      </c>
      <c r="N60" s="62" t="e">
        <f>VLOOKUP('北段 (人資版)'!N60,工作表1!$A$3:$B$78,2,FALSE)</f>
        <v>#N/A</v>
      </c>
      <c r="O60" s="62" t="e">
        <f>VLOOKUP('北段 (人資版)'!O60,工作表1!$A$3:$B$78,2,FALSE)</f>
        <v>#N/A</v>
      </c>
      <c r="P60" s="62" t="e">
        <f>VLOOKUP('北段 (人資版)'!P60,工作表1!$A$3:$B$78,2,FALSE)</f>
        <v>#N/A</v>
      </c>
      <c r="Q60" s="62" t="e">
        <f>VLOOKUP('北段 (人資版)'!Q60,工作表1!$A$3:$B$78,2,FALSE)</f>
        <v>#N/A</v>
      </c>
      <c r="R60" s="62" t="e">
        <f>VLOOKUP('北段 (人資版)'!R60,工作表1!$A$3:$B$78,2,FALSE)</f>
        <v>#N/A</v>
      </c>
      <c r="S60" s="62" t="e">
        <f>VLOOKUP('北段 (人資版)'!S60,工作表1!$A$3:$B$78,2,FALSE)</f>
        <v>#N/A</v>
      </c>
      <c r="T60" s="62" t="e">
        <f>VLOOKUP('北段 (人資版)'!T60,工作表1!$A$3:$B$78,2,FALSE)</f>
        <v>#N/A</v>
      </c>
      <c r="U60" s="62" t="e">
        <f>VLOOKUP('北段 (人資版)'!U60,工作表1!$A$3:$B$78,2,FALSE)</f>
        <v>#N/A</v>
      </c>
      <c r="V60" s="62" t="e">
        <f>VLOOKUP('北段 (人資版)'!V60,工作表1!$A$3:$B$78,2,FALSE)</f>
        <v>#N/A</v>
      </c>
      <c r="W60" s="62" t="e">
        <f>VLOOKUP('北段 (人資版)'!W60,工作表1!$A$3:$B$78,2,FALSE)</f>
        <v>#N/A</v>
      </c>
      <c r="X60" s="62" t="e">
        <f>VLOOKUP('北段 (人資版)'!X60,工作表1!$A$3:$B$78,2,FALSE)</f>
        <v>#N/A</v>
      </c>
      <c r="Y60" s="62" t="e">
        <f>VLOOKUP('北段 (人資版)'!Y60,工作表1!$A$3:$B$78,2,FALSE)</f>
        <v>#N/A</v>
      </c>
      <c r="Z60" s="62" t="e">
        <f>VLOOKUP('北段 (人資版)'!Z60,工作表1!$A$3:$B$78,2,FALSE)</f>
        <v>#N/A</v>
      </c>
      <c r="AA60" s="62" t="e">
        <f>VLOOKUP('北段 (人資版)'!AA60,工作表1!$A$3:$B$78,2,FALSE)</f>
        <v>#N/A</v>
      </c>
      <c r="AB60" s="62" t="e">
        <f>VLOOKUP('北段 (人資版)'!AB60,工作表1!$A$3:$B$78,2,FALSE)</f>
        <v>#N/A</v>
      </c>
      <c r="AC60" s="62" t="e">
        <f>VLOOKUP('北段 (人資版)'!AC60,工作表1!$A$3:$B$78,2,FALSE)</f>
        <v>#N/A</v>
      </c>
      <c r="AD60" s="62" t="e">
        <f>VLOOKUP('北段 (人資版)'!AD60,工作表1!$A$3:$B$78,2,FALSE)</f>
        <v>#N/A</v>
      </c>
      <c r="AE60" s="62" t="e">
        <f>VLOOKUP('北段 (人資版)'!AE60,工作表1!$A$3:$B$78,2,FALSE)</f>
        <v>#N/A</v>
      </c>
      <c r="AF60" s="62" t="e">
        <f>VLOOKUP('北段 (人資版)'!AF60,工作表1!$A$3:$B$78,2,FALSE)</f>
        <v>#N/A</v>
      </c>
      <c r="AG60" s="62" t="e">
        <f>VLOOKUP('北段 (人資版)'!AG60,工作表1!$A$3:$B$78,2,FALSE)</f>
        <v>#N/A</v>
      </c>
      <c r="AH60" s="62" t="e">
        <f>VLOOKUP('北段 (人資版)'!AH60,工作表1!$A$3:$B$78,2,FALSE)</f>
        <v>#REF!</v>
      </c>
      <c r="AI60" s="62" t="e">
        <f>VLOOKUP('北段 (人資版)'!AI60,工作表1!$A$3:$B$78,2,FALSE)</f>
        <v>#REF!</v>
      </c>
      <c r="AJ60" s="62" t="e">
        <f>VLOOKUP('北段 (人資版)'!AJ60,工作表1!$A$3:$B$78,2,FALSE)</f>
        <v>#REF!</v>
      </c>
      <c r="AK60" s="62" t="e">
        <f>VLOOKUP('北段 (人資版)'!AK60,工作表1!$A$3:$B$78,2,FALSE)</f>
        <v>#REF!</v>
      </c>
      <c r="AL60" s="62" t="e">
        <f>VLOOKUP('北段 (人資版)'!AL60,工作表1!$A$3:$B$78,2,FALSE)</f>
        <v>#REF!</v>
      </c>
      <c r="AM60" s="62" t="e">
        <f>VLOOKUP('北段 (人資版)'!AM60,工作表1!$A$3:$B$78,2,FALSE)</f>
        <v>#REF!</v>
      </c>
      <c r="AN60" s="62" t="e">
        <f>VLOOKUP('北段 (人資版)'!AN60,工作表1!$A$3:$B$78,2,FALSE)</f>
        <v>#REF!</v>
      </c>
    </row>
    <row r="61" spans="1:40" ht="39.6" customHeight="1">
      <c r="A61" s="56"/>
      <c r="B61" s="101" t="str">
        <f>北段!B60</f>
        <v>T00506</v>
      </c>
      <c r="C61" s="38" t="str">
        <f>VLOOKUP(B61,北段!B:C,2,FALSE)</f>
        <v>高雅婷</v>
      </c>
      <c r="D61" s="62">
        <f>VLOOKUP('北段 (人資版)'!D61,工作表1!$A$3:$B$78,2,FALSE)</f>
        <v>38</v>
      </c>
      <c r="E61" s="62">
        <f>VLOOKUP('北段 (人資版)'!E61,工作表1!$A$3:$B$78,2,FALSE)</f>
        <v>38</v>
      </c>
      <c r="F61" s="62" t="e">
        <f>VLOOKUP('北段 (人資版)'!F61,工作表1!$A$3:$B$78,2,FALSE)</f>
        <v>#N/A</v>
      </c>
      <c r="G61" s="62" t="e">
        <f>VLOOKUP('北段 (人資版)'!G61,工作表1!$A$3:$B$78,2,FALSE)</f>
        <v>#N/A</v>
      </c>
      <c r="H61" s="62" t="e">
        <f>VLOOKUP('北段 (人資版)'!H61,工作表1!$A$3:$B$78,2,FALSE)</f>
        <v>#N/A</v>
      </c>
      <c r="I61" s="62" t="e">
        <f>VLOOKUP('北段 (人資版)'!I61,工作表1!$A$3:$B$78,2,FALSE)</f>
        <v>#N/A</v>
      </c>
      <c r="J61" s="62" t="e">
        <f>VLOOKUP('北段 (人資版)'!J61,工作表1!$A$3:$B$78,2,FALSE)</f>
        <v>#N/A</v>
      </c>
      <c r="K61" s="62" t="e">
        <f>VLOOKUP('北段 (人資版)'!K61,工作表1!$A$3:$B$78,2,FALSE)</f>
        <v>#N/A</v>
      </c>
      <c r="L61" s="62" t="e">
        <f>VLOOKUP('北段 (人資版)'!L61,工作表1!$A$3:$B$78,2,FALSE)</f>
        <v>#N/A</v>
      </c>
      <c r="M61" s="62" t="e">
        <f>VLOOKUP('北段 (人資版)'!M61,工作表1!$A$3:$B$78,2,FALSE)</f>
        <v>#N/A</v>
      </c>
      <c r="N61" s="62" t="e">
        <f>VLOOKUP('北段 (人資版)'!N61,工作表1!$A$3:$B$78,2,FALSE)</f>
        <v>#N/A</v>
      </c>
      <c r="O61" s="62" t="e">
        <f>VLOOKUP('北段 (人資版)'!O61,工作表1!$A$3:$B$78,2,FALSE)</f>
        <v>#N/A</v>
      </c>
      <c r="P61" s="62" t="e">
        <f>VLOOKUP('北段 (人資版)'!P61,工作表1!$A$3:$B$78,2,FALSE)</f>
        <v>#N/A</v>
      </c>
      <c r="Q61" s="62" t="e">
        <f>VLOOKUP('北段 (人資版)'!Q61,工作表1!$A$3:$B$78,2,FALSE)</f>
        <v>#N/A</v>
      </c>
      <c r="R61" s="62" t="e">
        <f>VLOOKUP('北段 (人資版)'!R61,工作表1!$A$3:$B$78,2,FALSE)</f>
        <v>#N/A</v>
      </c>
      <c r="S61" s="62" t="e">
        <f>VLOOKUP('北段 (人資版)'!S61,工作表1!$A$3:$B$78,2,FALSE)</f>
        <v>#N/A</v>
      </c>
      <c r="T61" s="62" t="e">
        <f>VLOOKUP('北段 (人資版)'!T61,工作表1!$A$3:$B$78,2,FALSE)</f>
        <v>#N/A</v>
      </c>
      <c r="U61" s="62" t="e">
        <f>VLOOKUP('北段 (人資版)'!U61,工作表1!$A$3:$B$78,2,FALSE)</f>
        <v>#N/A</v>
      </c>
      <c r="V61" s="62" t="e">
        <f>VLOOKUP('北段 (人資版)'!V61,工作表1!$A$3:$B$78,2,FALSE)</f>
        <v>#N/A</v>
      </c>
      <c r="W61" s="62" t="e">
        <f>VLOOKUP('北段 (人資版)'!W61,工作表1!$A$3:$B$78,2,FALSE)</f>
        <v>#N/A</v>
      </c>
      <c r="X61" s="62" t="e">
        <f>VLOOKUP('北段 (人資版)'!X61,工作表1!$A$3:$B$78,2,FALSE)</f>
        <v>#N/A</v>
      </c>
      <c r="Y61" s="62" t="e">
        <f>VLOOKUP('北段 (人資版)'!Y61,工作表1!$A$3:$B$78,2,FALSE)</f>
        <v>#N/A</v>
      </c>
      <c r="Z61" s="62" t="e">
        <f>VLOOKUP('北段 (人資版)'!Z61,工作表1!$A$3:$B$78,2,FALSE)</f>
        <v>#N/A</v>
      </c>
      <c r="AA61" s="62" t="e">
        <f>VLOOKUP('北段 (人資版)'!AA61,工作表1!$A$3:$B$78,2,FALSE)</f>
        <v>#N/A</v>
      </c>
      <c r="AB61" s="62" t="e">
        <f>VLOOKUP('北段 (人資版)'!AB61,工作表1!$A$3:$B$78,2,FALSE)</f>
        <v>#N/A</v>
      </c>
      <c r="AC61" s="62" t="e">
        <f>VLOOKUP('北段 (人資版)'!AC61,工作表1!$A$3:$B$78,2,FALSE)</f>
        <v>#N/A</v>
      </c>
      <c r="AD61" s="62" t="e">
        <f>VLOOKUP('北段 (人資版)'!AD61,工作表1!$A$3:$B$78,2,FALSE)</f>
        <v>#N/A</v>
      </c>
      <c r="AE61" s="62" t="e">
        <f>VLOOKUP('北段 (人資版)'!AE61,工作表1!$A$3:$B$78,2,FALSE)</f>
        <v>#N/A</v>
      </c>
      <c r="AF61" s="62" t="e">
        <f>VLOOKUP('北段 (人資版)'!AF61,工作表1!$A$3:$B$78,2,FALSE)</f>
        <v>#N/A</v>
      </c>
      <c r="AG61" s="62" t="e">
        <f>VLOOKUP('北段 (人資版)'!AG61,工作表1!$A$3:$B$78,2,FALSE)</f>
        <v>#N/A</v>
      </c>
      <c r="AH61" s="62" t="e">
        <f>VLOOKUP('北段 (人資版)'!AH61,工作表1!$A$3:$B$78,2,FALSE)</f>
        <v>#REF!</v>
      </c>
      <c r="AI61" s="62" t="e">
        <f>VLOOKUP('北段 (人資版)'!AI61,工作表1!$A$3:$B$78,2,FALSE)</f>
        <v>#REF!</v>
      </c>
      <c r="AJ61" s="62" t="e">
        <f>VLOOKUP('北段 (人資版)'!AJ61,工作表1!$A$3:$B$78,2,FALSE)</f>
        <v>#REF!</v>
      </c>
      <c r="AK61" s="62" t="e">
        <f>VLOOKUP('北段 (人資版)'!AK61,工作表1!$A$3:$B$78,2,FALSE)</f>
        <v>#REF!</v>
      </c>
      <c r="AL61" s="62" t="e">
        <f>VLOOKUP('北段 (人資版)'!AL61,工作表1!$A$3:$B$78,2,FALSE)</f>
        <v>#REF!</v>
      </c>
      <c r="AM61" s="62" t="e">
        <f>VLOOKUP('北段 (人資版)'!AM61,工作表1!$A$3:$B$78,2,FALSE)</f>
        <v>#REF!</v>
      </c>
      <c r="AN61" s="62" t="e">
        <f>VLOOKUP('北段 (人資版)'!AN61,工作表1!$A$3:$B$78,2,FALSE)</f>
        <v>#REF!</v>
      </c>
    </row>
    <row r="62" spans="1:40" s="36" customFormat="1" ht="39.6" customHeight="1">
      <c r="A62" s="59"/>
      <c r="B62" s="101" t="str">
        <f>北段!B61</f>
        <v>T00839</v>
      </c>
      <c r="C62" s="38" t="str">
        <f>VLOOKUP(B62,北段!B:C,2,FALSE)</f>
        <v>蘇雅惠</v>
      </c>
      <c r="D62" s="62">
        <f>VLOOKUP('北段 (人資版)'!D62,工作表1!$A$3:$B$78,2,FALSE)</f>
        <v>92</v>
      </c>
      <c r="E62" s="62">
        <f>VLOOKUP('北段 (人資版)'!E62,工作表1!$A$3:$B$78,2,FALSE)</f>
        <v>70</v>
      </c>
      <c r="F62" s="62" t="e">
        <f>VLOOKUP('北段 (人資版)'!F62,工作表1!$A$3:$B$78,2,FALSE)</f>
        <v>#N/A</v>
      </c>
      <c r="G62" s="62" t="e">
        <f>VLOOKUP('北段 (人資版)'!G62,工作表1!$A$3:$B$78,2,FALSE)</f>
        <v>#N/A</v>
      </c>
      <c r="H62" s="62" t="e">
        <f>VLOOKUP('北段 (人資版)'!H62,工作表1!$A$3:$B$78,2,FALSE)</f>
        <v>#N/A</v>
      </c>
      <c r="I62" s="62" t="e">
        <f>VLOOKUP('北段 (人資版)'!I62,工作表1!$A$3:$B$78,2,FALSE)</f>
        <v>#N/A</v>
      </c>
      <c r="J62" s="62" t="e">
        <f>VLOOKUP('北段 (人資版)'!J62,工作表1!$A$3:$B$78,2,FALSE)</f>
        <v>#N/A</v>
      </c>
      <c r="K62" s="62" t="e">
        <f>VLOOKUP('北段 (人資版)'!K62,工作表1!$A$3:$B$78,2,FALSE)</f>
        <v>#N/A</v>
      </c>
      <c r="L62" s="62" t="e">
        <f>VLOOKUP('北段 (人資版)'!L62,工作表1!$A$3:$B$78,2,FALSE)</f>
        <v>#N/A</v>
      </c>
      <c r="M62" s="62" t="e">
        <f>VLOOKUP('北段 (人資版)'!M62,工作表1!$A$3:$B$78,2,FALSE)</f>
        <v>#N/A</v>
      </c>
      <c r="N62" s="62" t="e">
        <f>VLOOKUP('北段 (人資版)'!N62,工作表1!$A$3:$B$78,2,FALSE)</f>
        <v>#N/A</v>
      </c>
      <c r="O62" s="62" t="e">
        <f>VLOOKUP('北段 (人資版)'!O62,工作表1!$A$3:$B$78,2,FALSE)</f>
        <v>#N/A</v>
      </c>
      <c r="P62" s="62" t="e">
        <f>VLOOKUP('北段 (人資版)'!P62,工作表1!$A$3:$B$78,2,FALSE)</f>
        <v>#N/A</v>
      </c>
      <c r="Q62" s="62" t="e">
        <f>VLOOKUP('北段 (人資版)'!Q62,工作表1!$A$3:$B$78,2,FALSE)</f>
        <v>#N/A</v>
      </c>
      <c r="R62" s="62" t="e">
        <f>VLOOKUP('北段 (人資版)'!R62,工作表1!$A$3:$B$78,2,FALSE)</f>
        <v>#N/A</v>
      </c>
      <c r="S62" s="62" t="e">
        <f>VLOOKUP('北段 (人資版)'!S62,工作表1!$A$3:$B$78,2,FALSE)</f>
        <v>#N/A</v>
      </c>
      <c r="T62" s="62" t="e">
        <f>VLOOKUP('北段 (人資版)'!T62,工作表1!$A$3:$B$78,2,FALSE)</f>
        <v>#N/A</v>
      </c>
      <c r="U62" s="62" t="e">
        <f>VLOOKUP('北段 (人資版)'!U62,工作表1!$A$3:$B$78,2,FALSE)</f>
        <v>#N/A</v>
      </c>
      <c r="V62" s="62" t="e">
        <f>VLOOKUP('北段 (人資版)'!V62,工作表1!$A$3:$B$78,2,FALSE)</f>
        <v>#N/A</v>
      </c>
      <c r="W62" s="62" t="e">
        <f>VLOOKUP('北段 (人資版)'!W62,工作表1!$A$3:$B$78,2,FALSE)</f>
        <v>#N/A</v>
      </c>
      <c r="X62" s="62" t="e">
        <f>VLOOKUP('北段 (人資版)'!X62,工作表1!$A$3:$B$78,2,FALSE)</f>
        <v>#N/A</v>
      </c>
      <c r="Y62" s="62" t="e">
        <f>VLOOKUP('北段 (人資版)'!Y62,工作表1!$A$3:$B$78,2,FALSE)</f>
        <v>#N/A</v>
      </c>
      <c r="Z62" s="62" t="e">
        <f>VLOOKUP('北段 (人資版)'!Z62,工作表1!$A$3:$B$78,2,FALSE)</f>
        <v>#N/A</v>
      </c>
      <c r="AA62" s="62" t="e">
        <f>VLOOKUP('北段 (人資版)'!AA62,工作表1!$A$3:$B$78,2,FALSE)</f>
        <v>#N/A</v>
      </c>
      <c r="AB62" s="62" t="e">
        <f>VLOOKUP('北段 (人資版)'!AB62,工作表1!$A$3:$B$78,2,FALSE)</f>
        <v>#N/A</v>
      </c>
      <c r="AC62" s="62" t="e">
        <f>VLOOKUP('北段 (人資版)'!AC62,工作表1!$A$3:$B$78,2,FALSE)</f>
        <v>#N/A</v>
      </c>
      <c r="AD62" s="62" t="e">
        <f>VLOOKUP('北段 (人資版)'!AD62,工作表1!$A$3:$B$78,2,FALSE)</f>
        <v>#N/A</v>
      </c>
      <c r="AE62" s="62" t="e">
        <f>VLOOKUP('北段 (人資版)'!AE62,工作表1!$A$3:$B$78,2,FALSE)</f>
        <v>#N/A</v>
      </c>
      <c r="AF62" s="62" t="e">
        <f>VLOOKUP('北段 (人資版)'!AF62,工作表1!$A$3:$B$78,2,FALSE)</f>
        <v>#N/A</v>
      </c>
      <c r="AG62" s="62" t="e">
        <f>VLOOKUP('北段 (人資版)'!AG62,工作表1!$A$3:$B$78,2,FALSE)</f>
        <v>#N/A</v>
      </c>
      <c r="AH62" s="62" t="e">
        <f>VLOOKUP('北段 (人資版)'!AH62,工作表1!$A$3:$B$78,2,FALSE)</f>
        <v>#REF!</v>
      </c>
      <c r="AI62" s="62" t="e">
        <f>VLOOKUP('北段 (人資版)'!AI62,工作表1!$A$3:$B$78,2,FALSE)</f>
        <v>#REF!</v>
      </c>
      <c r="AJ62" s="62" t="e">
        <f>VLOOKUP('北段 (人資版)'!AJ62,工作表1!$A$3:$B$78,2,FALSE)</f>
        <v>#REF!</v>
      </c>
      <c r="AK62" s="62" t="e">
        <f>VLOOKUP('北段 (人資版)'!AK62,工作表1!$A$3:$B$78,2,FALSE)</f>
        <v>#REF!</v>
      </c>
      <c r="AL62" s="62" t="e">
        <f>VLOOKUP('北段 (人資版)'!AL62,工作表1!$A$3:$B$78,2,FALSE)</f>
        <v>#REF!</v>
      </c>
      <c r="AM62" s="62" t="e">
        <f>VLOOKUP('北段 (人資版)'!AM62,工作表1!$A$3:$B$78,2,FALSE)</f>
        <v>#REF!</v>
      </c>
      <c r="AN62" s="62" t="e">
        <f>VLOOKUP('北段 (人資版)'!AN62,工作表1!$A$3:$B$78,2,FALSE)</f>
        <v>#REF!</v>
      </c>
    </row>
    <row r="63" spans="1:40" s="36" customFormat="1" ht="39.6" customHeight="1" thickBot="1">
      <c r="A63" s="60"/>
      <c r="B63" s="101" t="str">
        <f>北段!B62</f>
        <v>T02362</v>
      </c>
      <c r="C63" s="38" t="str">
        <f>VLOOKUP(B63,北段!B:C,2,FALSE)</f>
        <v>簡維頤</v>
      </c>
      <c r="D63" s="62">
        <f>VLOOKUP('北段 (人資版)'!D63,工作表1!$A$3:$B$78,2,FALSE)</f>
        <v>66</v>
      </c>
      <c r="E63" s="62">
        <f>VLOOKUP('北段 (人資版)'!E63,工作表1!$A$3:$B$78,2,FALSE)</f>
        <v>66</v>
      </c>
      <c r="F63" s="62" t="e">
        <f>VLOOKUP('北段 (人資版)'!F63,工作表1!$A$3:$B$78,2,FALSE)</f>
        <v>#N/A</v>
      </c>
      <c r="G63" s="62" t="e">
        <f>VLOOKUP('北段 (人資版)'!G63,工作表1!$A$3:$B$78,2,FALSE)</f>
        <v>#N/A</v>
      </c>
      <c r="H63" s="62" t="e">
        <f>VLOOKUP('北段 (人資版)'!H63,工作表1!$A$3:$B$78,2,FALSE)</f>
        <v>#N/A</v>
      </c>
      <c r="I63" s="62" t="e">
        <f>VLOOKUP('北段 (人資版)'!I63,工作表1!$A$3:$B$78,2,FALSE)</f>
        <v>#N/A</v>
      </c>
      <c r="J63" s="62" t="e">
        <f>VLOOKUP('北段 (人資版)'!J63,工作表1!$A$3:$B$78,2,FALSE)</f>
        <v>#N/A</v>
      </c>
      <c r="K63" s="62" t="e">
        <f>VLOOKUP('北段 (人資版)'!K63,工作表1!$A$3:$B$78,2,FALSE)</f>
        <v>#N/A</v>
      </c>
      <c r="L63" s="62" t="e">
        <f>VLOOKUP('北段 (人資版)'!L63,工作表1!$A$3:$B$78,2,FALSE)</f>
        <v>#N/A</v>
      </c>
      <c r="M63" s="62" t="e">
        <f>VLOOKUP('北段 (人資版)'!M63,工作表1!$A$3:$B$78,2,FALSE)</f>
        <v>#N/A</v>
      </c>
      <c r="N63" s="62" t="e">
        <f>VLOOKUP('北段 (人資版)'!N63,工作表1!$A$3:$B$78,2,FALSE)</f>
        <v>#N/A</v>
      </c>
      <c r="O63" s="62" t="e">
        <f>VLOOKUP('北段 (人資版)'!O63,工作表1!$A$3:$B$78,2,FALSE)</f>
        <v>#N/A</v>
      </c>
      <c r="P63" s="62" t="e">
        <f>VLOOKUP('北段 (人資版)'!P63,工作表1!$A$3:$B$78,2,FALSE)</f>
        <v>#N/A</v>
      </c>
      <c r="Q63" s="62" t="e">
        <f>VLOOKUP('北段 (人資版)'!Q63,工作表1!$A$3:$B$78,2,FALSE)</f>
        <v>#N/A</v>
      </c>
      <c r="R63" s="62" t="e">
        <f>VLOOKUP('北段 (人資版)'!R63,工作表1!$A$3:$B$78,2,FALSE)</f>
        <v>#N/A</v>
      </c>
      <c r="S63" s="62" t="e">
        <f>VLOOKUP('北段 (人資版)'!S63,工作表1!$A$3:$B$78,2,FALSE)</f>
        <v>#N/A</v>
      </c>
      <c r="T63" s="62" t="e">
        <f>VLOOKUP('北段 (人資版)'!T63,工作表1!$A$3:$B$78,2,FALSE)</f>
        <v>#N/A</v>
      </c>
      <c r="U63" s="62" t="e">
        <f>VLOOKUP('北段 (人資版)'!U63,工作表1!$A$3:$B$78,2,FALSE)</f>
        <v>#N/A</v>
      </c>
      <c r="V63" s="62" t="e">
        <f>VLOOKUP('北段 (人資版)'!V63,工作表1!$A$3:$B$78,2,FALSE)</f>
        <v>#N/A</v>
      </c>
      <c r="W63" s="62" t="e">
        <f>VLOOKUP('北段 (人資版)'!W63,工作表1!$A$3:$B$78,2,FALSE)</f>
        <v>#N/A</v>
      </c>
      <c r="X63" s="62" t="e">
        <f>VLOOKUP('北段 (人資版)'!X63,工作表1!$A$3:$B$78,2,FALSE)</f>
        <v>#N/A</v>
      </c>
      <c r="Y63" s="62" t="e">
        <f>VLOOKUP('北段 (人資版)'!Y63,工作表1!$A$3:$B$78,2,FALSE)</f>
        <v>#N/A</v>
      </c>
      <c r="Z63" s="62" t="e">
        <f>VLOOKUP('北段 (人資版)'!Z63,工作表1!$A$3:$B$78,2,FALSE)</f>
        <v>#N/A</v>
      </c>
      <c r="AA63" s="62" t="e">
        <f>VLOOKUP('北段 (人資版)'!AA63,工作表1!$A$3:$B$78,2,FALSE)</f>
        <v>#N/A</v>
      </c>
      <c r="AB63" s="62" t="e">
        <f>VLOOKUP('北段 (人資版)'!AB63,工作表1!$A$3:$B$78,2,FALSE)</f>
        <v>#N/A</v>
      </c>
      <c r="AC63" s="62" t="e">
        <f>VLOOKUP('北段 (人資版)'!AC63,工作表1!$A$3:$B$78,2,FALSE)</f>
        <v>#N/A</v>
      </c>
      <c r="AD63" s="62" t="e">
        <f>VLOOKUP('北段 (人資版)'!AD63,工作表1!$A$3:$B$78,2,FALSE)</f>
        <v>#N/A</v>
      </c>
      <c r="AE63" s="62" t="e">
        <f>VLOOKUP('北段 (人資版)'!AE63,工作表1!$A$3:$B$78,2,FALSE)</f>
        <v>#N/A</v>
      </c>
      <c r="AF63" s="62" t="e">
        <f>VLOOKUP('北段 (人資版)'!AF63,工作表1!$A$3:$B$78,2,FALSE)</f>
        <v>#N/A</v>
      </c>
      <c r="AG63" s="62" t="e">
        <f>VLOOKUP('北段 (人資版)'!AG63,工作表1!$A$3:$B$78,2,FALSE)</f>
        <v>#N/A</v>
      </c>
      <c r="AH63" s="62" t="e">
        <f>VLOOKUP('北段 (人資版)'!AH63,工作表1!$A$3:$B$78,2,FALSE)</f>
        <v>#REF!</v>
      </c>
      <c r="AI63" s="62" t="e">
        <f>VLOOKUP('北段 (人資版)'!AI63,工作表1!$A$3:$B$78,2,FALSE)</f>
        <v>#REF!</v>
      </c>
      <c r="AJ63" s="62" t="e">
        <f>VLOOKUP('北段 (人資版)'!AJ63,工作表1!$A$3:$B$78,2,FALSE)</f>
        <v>#REF!</v>
      </c>
      <c r="AK63" s="62" t="e">
        <f>VLOOKUP('北段 (人資版)'!AK63,工作表1!$A$3:$B$78,2,FALSE)</f>
        <v>#REF!</v>
      </c>
      <c r="AL63" s="62" t="e">
        <f>VLOOKUP('北段 (人資版)'!AL63,工作表1!$A$3:$B$78,2,FALSE)</f>
        <v>#REF!</v>
      </c>
      <c r="AM63" s="62" t="e">
        <f>VLOOKUP('北段 (人資版)'!AM63,工作表1!$A$3:$B$78,2,FALSE)</f>
        <v>#REF!</v>
      </c>
      <c r="AN63" s="62" t="e">
        <f>VLOOKUP('北段 (人資版)'!AN63,工作表1!$A$3:$B$78,2,FALSE)</f>
        <v>#REF!</v>
      </c>
    </row>
    <row r="64" spans="1:40" ht="39" customHeight="1">
      <c r="A64" s="56"/>
      <c r="B64" s="101" t="str">
        <f>北段!B63</f>
        <v>T01736</v>
      </c>
      <c r="C64" s="38" t="str">
        <f>VLOOKUP(B64,北段!B:C,2,FALSE)</f>
        <v>廖紫吟</v>
      </c>
      <c r="D64" s="62">
        <f>VLOOKUP('北段 (人資版)'!D64,工作表1!$A$3:$B$78,2,FALSE)</f>
        <v>38</v>
      </c>
      <c r="E64" s="62">
        <f>VLOOKUP('北段 (人資版)'!E64,工作表1!$A$3:$B$78,2,FALSE)</f>
        <v>92</v>
      </c>
      <c r="F64" s="62" t="e">
        <f>VLOOKUP('北段 (人資版)'!F64,工作表1!$A$3:$B$78,2,FALSE)</f>
        <v>#N/A</v>
      </c>
      <c r="G64" s="62" t="e">
        <f>VLOOKUP('北段 (人資版)'!G64,工作表1!$A$3:$B$78,2,FALSE)</f>
        <v>#N/A</v>
      </c>
      <c r="H64" s="62" t="e">
        <f>VLOOKUP('北段 (人資版)'!H64,工作表1!$A$3:$B$78,2,FALSE)</f>
        <v>#N/A</v>
      </c>
      <c r="I64" s="62" t="e">
        <f>VLOOKUP('北段 (人資版)'!I64,工作表1!$A$3:$B$78,2,FALSE)</f>
        <v>#N/A</v>
      </c>
      <c r="J64" s="62" t="e">
        <f>VLOOKUP('北段 (人資版)'!J64,工作表1!$A$3:$B$78,2,FALSE)</f>
        <v>#N/A</v>
      </c>
      <c r="K64" s="62" t="e">
        <f>VLOOKUP('北段 (人資版)'!K64,工作表1!$A$3:$B$78,2,FALSE)</f>
        <v>#N/A</v>
      </c>
      <c r="L64" s="62" t="e">
        <f>VLOOKUP('北段 (人資版)'!L64,工作表1!$A$3:$B$78,2,FALSE)</f>
        <v>#N/A</v>
      </c>
      <c r="M64" s="62" t="e">
        <f>VLOOKUP('北段 (人資版)'!M64,工作表1!$A$3:$B$78,2,FALSE)</f>
        <v>#N/A</v>
      </c>
      <c r="N64" s="62" t="e">
        <f>VLOOKUP('北段 (人資版)'!N64,工作表1!$A$3:$B$78,2,FALSE)</f>
        <v>#N/A</v>
      </c>
      <c r="O64" s="62" t="e">
        <f>VLOOKUP('北段 (人資版)'!O64,工作表1!$A$3:$B$78,2,FALSE)</f>
        <v>#N/A</v>
      </c>
      <c r="P64" s="62" t="e">
        <f>VLOOKUP('北段 (人資版)'!P64,工作表1!$A$3:$B$78,2,FALSE)</f>
        <v>#N/A</v>
      </c>
      <c r="Q64" s="62" t="e">
        <f>VLOOKUP('北段 (人資版)'!Q64,工作表1!$A$3:$B$78,2,FALSE)</f>
        <v>#N/A</v>
      </c>
      <c r="R64" s="62" t="e">
        <f>VLOOKUP('北段 (人資版)'!R64,工作表1!$A$3:$B$78,2,FALSE)</f>
        <v>#N/A</v>
      </c>
      <c r="S64" s="62" t="e">
        <f>VLOOKUP('北段 (人資版)'!S64,工作表1!$A$3:$B$78,2,FALSE)</f>
        <v>#N/A</v>
      </c>
      <c r="T64" s="62" t="e">
        <f>VLOOKUP('北段 (人資版)'!T64,工作表1!$A$3:$B$78,2,FALSE)</f>
        <v>#N/A</v>
      </c>
      <c r="U64" s="62" t="e">
        <f>VLOOKUP('北段 (人資版)'!U64,工作表1!$A$3:$B$78,2,FALSE)</f>
        <v>#N/A</v>
      </c>
      <c r="V64" s="62" t="e">
        <f>VLOOKUP('北段 (人資版)'!V64,工作表1!$A$3:$B$78,2,FALSE)</f>
        <v>#N/A</v>
      </c>
      <c r="W64" s="62" t="e">
        <f>VLOOKUP('北段 (人資版)'!W64,工作表1!$A$3:$B$78,2,FALSE)</f>
        <v>#N/A</v>
      </c>
      <c r="X64" s="62" t="e">
        <f>VLOOKUP('北段 (人資版)'!X64,工作表1!$A$3:$B$78,2,FALSE)</f>
        <v>#N/A</v>
      </c>
      <c r="Y64" s="62" t="e">
        <f>VLOOKUP('北段 (人資版)'!Y64,工作表1!$A$3:$B$78,2,FALSE)</f>
        <v>#N/A</v>
      </c>
      <c r="Z64" s="62" t="e">
        <f>VLOOKUP('北段 (人資版)'!Z64,工作表1!$A$3:$B$78,2,FALSE)</f>
        <v>#N/A</v>
      </c>
      <c r="AA64" s="62" t="e">
        <f>VLOOKUP('北段 (人資版)'!AA64,工作表1!$A$3:$B$78,2,FALSE)</f>
        <v>#N/A</v>
      </c>
      <c r="AB64" s="62" t="e">
        <f>VLOOKUP('北段 (人資版)'!AB64,工作表1!$A$3:$B$78,2,FALSE)</f>
        <v>#N/A</v>
      </c>
      <c r="AC64" s="62" t="e">
        <f>VLOOKUP('北段 (人資版)'!AC64,工作表1!$A$3:$B$78,2,FALSE)</f>
        <v>#N/A</v>
      </c>
      <c r="AD64" s="62" t="e">
        <f>VLOOKUP('北段 (人資版)'!AD64,工作表1!$A$3:$B$78,2,FALSE)</f>
        <v>#N/A</v>
      </c>
      <c r="AE64" s="62" t="e">
        <f>VLOOKUP('北段 (人資版)'!AE64,工作表1!$A$3:$B$78,2,FALSE)</f>
        <v>#N/A</v>
      </c>
      <c r="AF64" s="62" t="e">
        <f>VLOOKUP('北段 (人資版)'!AF64,工作表1!$A$3:$B$78,2,FALSE)</f>
        <v>#N/A</v>
      </c>
      <c r="AG64" s="62" t="e">
        <f>VLOOKUP('北段 (人資版)'!AG64,工作表1!$A$3:$B$78,2,FALSE)</f>
        <v>#N/A</v>
      </c>
      <c r="AH64" s="62" t="e">
        <f>VLOOKUP('北段 (人資版)'!AH64,工作表1!$A$3:$B$78,2,FALSE)</f>
        <v>#REF!</v>
      </c>
      <c r="AI64" s="62" t="e">
        <f>VLOOKUP('北段 (人資版)'!AI64,工作表1!$A$3:$B$78,2,FALSE)</f>
        <v>#REF!</v>
      </c>
      <c r="AJ64" s="62" t="e">
        <f>VLOOKUP('北段 (人資版)'!AJ64,工作表1!$A$3:$B$78,2,FALSE)</f>
        <v>#REF!</v>
      </c>
      <c r="AK64" s="62" t="e">
        <f>VLOOKUP('北段 (人資版)'!AK64,工作表1!$A$3:$B$78,2,FALSE)</f>
        <v>#REF!</v>
      </c>
      <c r="AL64" s="62" t="e">
        <f>VLOOKUP('北段 (人資版)'!AL64,工作表1!$A$3:$B$78,2,FALSE)</f>
        <v>#REF!</v>
      </c>
      <c r="AM64" s="62" t="e">
        <f>VLOOKUP('北段 (人資版)'!AM64,工作表1!$A$3:$B$78,2,FALSE)</f>
        <v>#REF!</v>
      </c>
      <c r="AN64" s="62" t="e">
        <f>VLOOKUP('北段 (人資版)'!AN64,工作表1!$A$3:$B$78,2,FALSE)</f>
        <v>#REF!</v>
      </c>
    </row>
    <row r="65" spans="1:40" ht="39" customHeight="1">
      <c r="A65" s="56"/>
      <c r="B65" s="101" t="str">
        <f>北段!B64</f>
        <v>T02124</v>
      </c>
      <c r="C65" s="38" t="str">
        <f>VLOOKUP(B65,北段!B:C,2,FALSE)</f>
        <v>張宸睿</v>
      </c>
      <c r="D65" s="62" t="str">
        <f>VLOOKUP('北段 (人資版)'!D65,工作表1!$A$3:$B$78,2,FALSE)</f>
        <v>07</v>
      </c>
      <c r="E65" s="62" t="str">
        <f>VLOOKUP('北段 (人資版)'!E65,工作表1!$A$3:$B$78,2,FALSE)</f>
        <v>07</v>
      </c>
      <c r="F65" s="62" t="e">
        <f>VLOOKUP('北段 (人資版)'!F65,工作表1!$A$3:$B$78,2,FALSE)</f>
        <v>#N/A</v>
      </c>
      <c r="G65" s="62" t="e">
        <f>VLOOKUP('北段 (人資版)'!G65,工作表1!$A$3:$B$78,2,FALSE)</f>
        <v>#N/A</v>
      </c>
      <c r="H65" s="62" t="e">
        <f>VLOOKUP('北段 (人資版)'!H65,工作表1!$A$3:$B$78,2,FALSE)</f>
        <v>#N/A</v>
      </c>
      <c r="I65" s="62" t="e">
        <f>VLOOKUP('北段 (人資版)'!I65,工作表1!$A$3:$B$78,2,FALSE)</f>
        <v>#N/A</v>
      </c>
      <c r="J65" s="62" t="e">
        <f>VLOOKUP('北段 (人資版)'!J65,工作表1!$A$3:$B$78,2,FALSE)</f>
        <v>#N/A</v>
      </c>
      <c r="K65" s="62" t="e">
        <f>VLOOKUP('北段 (人資版)'!K65,工作表1!$A$3:$B$78,2,FALSE)</f>
        <v>#N/A</v>
      </c>
      <c r="L65" s="62" t="e">
        <f>VLOOKUP('北段 (人資版)'!L65,工作表1!$A$3:$B$78,2,FALSE)</f>
        <v>#N/A</v>
      </c>
      <c r="M65" s="62" t="e">
        <f>VLOOKUP('北段 (人資版)'!M65,工作表1!$A$3:$B$78,2,FALSE)</f>
        <v>#N/A</v>
      </c>
      <c r="N65" s="62" t="e">
        <f>VLOOKUP('北段 (人資版)'!N65,工作表1!$A$3:$B$78,2,FALSE)</f>
        <v>#N/A</v>
      </c>
      <c r="O65" s="62" t="e">
        <f>VLOOKUP('北段 (人資版)'!O65,工作表1!$A$3:$B$78,2,FALSE)</f>
        <v>#N/A</v>
      </c>
      <c r="P65" s="62" t="e">
        <f>VLOOKUP('北段 (人資版)'!P65,工作表1!$A$3:$B$78,2,FALSE)</f>
        <v>#N/A</v>
      </c>
      <c r="Q65" s="62" t="e">
        <f>VLOOKUP('北段 (人資版)'!Q65,工作表1!$A$3:$B$78,2,FALSE)</f>
        <v>#N/A</v>
      </c>
      <c r="R65" s="62" t="e">
        <f>VLOOKUP('北段 (人資版)'!R65,工作表1!$A$3:$B$78,2,FALSE)</f>
        <v>#N/A</v>
      </c>
      <c r="S65" s="62" t="e">
        <f>VLOOKUP('北段 (人資版)'!S65,工作表1!$A$3:$B$78,2,FALSE)</f>
        <v>#N/A</v>
      </c>
      <c r="T65" s="62" t="e">
        <f>VLOOKUP('北段 (人資版)'!T65,工作表1!$A$3:$B$78,2,FALSE)</f>
        <v>#N/A</v>
      </c>
      <c r="U65" s="62" t="e">
        <f>VLOOKUP('北段 (人資版)'!U65,工作表1!$A$3:$B$78,2,FALSE)</f>
        <v>#N/A</v>
      </c>
      <c r="V65" s="62" t="e">
        <f>VLOOKUP('北段 (人資版)'!V65,工作表1!$A$3:$B$78,2,FALSE)</f>
        <v>#N/A</v>
      </c>
      <c r="W65" s="62" t="e">
        <f>VLOOKUP('北段 (人資版)'!W65,工作表1!$A$3:$B$78,2,FALSE)</f>
        <v>#N/A</v>
      </c>
      <c r="X65" s="62" t="e">
        <f>VLOOKUP('北段 (人資版)'!X65,工作表1!$A$3:$B$78,2,FALSE)</f>
        <v>#N/A</v>
      </c>
      <c r="Y65" s="62" t="e">
        <f>VLOOKUP('北段 (人資版)'!Y65,工作表1!$A$3:$B$78,2,FALSE)</f>
        <v>#N/A</v>
      </c>
      <c r="Z65" s="62" t="e">
        <f>VLOOKUP('北段 (人資版)'!Z65,工作表1!$A$3:$B$78,2,FALSE)</f>
        <v>#N/A</v>
      </c>
      <c r="AA65" s="62" t="e">
        <f>VLOOKUP('北段 (人資版)'!AA65,工作表1!$A$3:$B$78,2,FALSE)</f>
        <v>#N/A</v>
      </c>
      <c r="AB65" s="62" t="e">
        <f>VLOOKUP('北段 (人資版)'!AB65,工作表1!$A$3:$B$78,2,FALSE)</f>
        <v>#N/A</v>
      </c>
      <c r="AC65" s="62" t="e">
        <f>VLOOKUP('北段 (人資版)'!AC65,工作表1!$A$3:$B$78,2,FALSE)</f>
        <v>#N/A</v>
      </c>
      <c r="AD65" s="62" t="e">
        <f>VLOOKUP('北段 (人資版)'!AD65,工作表1!$A$3:$B$78,2,FALSE)</f>
        <v>#N/A</v>
      </c>
      <c r="AE65" s="62" t="e">
        <f>VLOOKUP('北段 (人資版)'!AE65,工作表1!$A$3:$B$78,2,FALSE)</f>
        <v>#N/A</v>
      </c>
      <c r="AF65" s="62" t="e">
        <f>VLOOKUP('北段 (人資版)'!AF65,工作表1!$A$3:$B$78,2,FALSE)</f>
        <v>#N/A</v>
      </c>
      <c r="AG65" s="62" t="e">
        <f>VLOOKUP('北段 (人資版)'!AG65,工作表1!$A$3:$B$78,2,FALSE)</f>
        <v>#N/A</v>
      </c>
      <c r="AH65" s="62" t="e">
        <f>VLOOKUP('北段 (人資版)'!AH65,工作表1!$A$3:$B$78,2,FALSE)</f>
        <v>#REF!</v>
      </c>
      <c r="AI65" s="62" t="e">
        <f>VLOOKUP('北段 (人資版)'!AI65,工作表1!$A$3:$B$78,2,FALSE)</f>
        <v>#REF!</v>
      </c>
      <c r="AJ65" s="62" t="e">
        <f>VLOOKUP('北段 (人資版)'!AJ65,工作表1!$A$3:$B$78,2,FALSE)</f>
        <v>#REF!</v>
      </c>
      <c r="AK65" s="62" t="e">
        <f>VLOOKUP('北段 (人資版)'!AK65,工作表1!$A$3:$B$78,2,FALSE)</f>
        <v>#REF!</v>
      </c>
      <c r="AL65" s="62" t="e">
        <f>VLOOKUP('北段 (人資版)'!AL65,工作表1!$A$3:$B$78,2,FALSE)</f>
        <v>#REF!</v>
      </c>
      <c r="AM65" s="62" t="e">
        <f>VLOOKUP('北段 (人資版)'!AM65,工作表1!$A$3:$B$78,2,FALSE)</f>
        <v>#REF!</v>
      </c>
      <c r="AN65" s="62" t="e">
        <f>VLOOKUP('北段 (人資版)'!AN65,工作表1!$A$3:$B$78,2,FALSE)</f>
        <v>#REF!</v>
      </c>
    </row>
    <row r="66" spans="1:40" ht="39" customHeight="1">
      <c r="A66" s="56"/>
      <c r="B66" s="101" t="str">
        <f>北段!B65</f>
        <v>T00921</v>
      </c>
      <c r="C66" s="38" t="str">
        <f>VLOOKUP(B66,北段!B:C,2,FALSE)</f>
        <v>蔡承昊</v>
      </c>
      <c r="D66" s="62">
        <f>VLOOKUP('北段 (人資版)'!D66,工作表1!$A$3:$B$78,2,FALSE)</f>
        <v>92</v>
      </c>
      <c r="E66" s="62">
        <f>VLOOKUP('北段 (人資版)'!E66,工作表1!$A$3:$B$78,2,FALSE)</f>
        <v>91</v>
      </c>
      <c r="F66" s="62" t="e">
        <f>VLOOKUP('北段 (人資版)'!F66,工作表1!$A$3:$B$78,2,FALSE)</f>
        <v>#N/A</v>
      </c>
      <c r="G66" s="62" t="e">
        <f>VLOOKUP('北段 (人資版)'!G66,工作表1!$A$3:$B$78,2,FALSE)</f>
        <v>#N/A</v>
      </c>
      <c r="H66" s="62" t="e">
        <f>VLOOKUP('北段 (人資版)'!H66,工作表1!$A$3:$B$78,2,FALSE)</f>
        <v>#N/A</v>
      </c>
      <c r="I66" s="62" t="e">
        <f>VLOOKUP('北段 (人資版)'!I66,工作表1!$A$3:$B$78,2,FALSE)</f>
        <v>#N/A</v>
      </c>
      <c r="J66" s="62" t="e">
        <f>VLOOKUP('北段 (人資版)'!J66,工作表1!$A$3:$B$78,2,FALSE)</f>
        <v>#N/A</v>
      </c>
      <c r="K66" s="62" t="e">
        <f>VLOOKUP('北段 (人資版)'!K66,工作表1!$A$3:$B$78,2,FALSE)</f>
        <v>#N/A</v>
      </c>
      <c r="L66" s="62" t="e">
        <f>VLOOKUP('北段 (人資版)'!L66,工作表1!$A$3:$B$78,2,FALSE)</f>
        <v>#N/A</v>
      </c>
      <c r="M66" s="62" t="e">
        <f>VLOOKUP('北段 (人資版)'!M66,工作表1!$A$3:$B$78,2,FALSE)</f>
        <v>#N/A</v>
      </c>
      <c r="N66" s="62" t="e">
        <f>VLOOKUP('北段 (人資版)'!N66,工作表1!$A$3:$B$78,2,FALSE)</f>
        <v>#N/A</v>
      </c>
      <c r="O66" s="62" t="e">
        <f>VLOOKUP('北段 (人資版)'!O66,工作表1!$A$3:$B$78,2,FALSE)</f>
        <v>#N/A</v>
      </c>
      <c r="P66" s="62" t="e">
        <f>VLOOKUP('北段 (人資版)'!P66,工作表1!$A$3:$B$78,2,FALSE)</f>
        <v>#N/A</v>
      </c>
      <c r="Q66" s="62" t="e">
        <f>VLOOKUP('北段 (人資版)'!Q66,工作表1!$A$3:$B$78,2,FALSE)</f>
        <v>#N/A</v>
      </c>
      <c r="R66" s="62" t="e">
        <f>VLOOKUP('北段 (人資版)'!R66,工作表1!$A$3:$B$78,2,FALSE)</f>
        <v>#N/A</v>
      </c>
      <c r="S66" s="62" t="e">
        <f>VLOOKUP('北段 (人資版)'!S66,工作表1!$A$3:$B$78,2,FALSE)</f>
        <v>#N/A</v>
      </c>
      <c r="T66" s="62" t="e">
        <f>VLOOKUP('北段 (人資版)'!T66,工作表1!$A$3:$B$78,2,FALSE)</f>
        <v>#N/A</v>
      </c>
      <c r="U66" s="62" t="e">
        <f>VLOOKUP('北段 (人資版)'!U66,工作表1!$A$3:$B$78,2,FALSE)</f>
        <v>#N/A</v>
      </c>
      <c r="V66" s="62" t="e">
        <f>VLOOKUP('北段 (人資版)'!V66,工作表1!$A$3:$B$78,2,FALSE)</f>
        <v>#N/A</v>
      </c>
      <c r="W66" s="62" t="e">
        <f>VLOOKUP('北段 (人資版)'!W66,工作表1!$A$3:$B$78,2,FALSE)</f>
        <v>#N/A</v>
      </c>
      <c r="X66" s="62" t="e">
        <f>VLOOKUP('北段 (人資版)'!X66,工作表1!$A$3:$B$78,2,FALSE)</f>
        <v>#N/A</v>
      </c>
      <c r="Y66" s="62" t="e">
        <f>VLOOKUP('北段 (人資版)'!Y66,工作表1!$A$3:$B$78,2,FALSE)</f>
        <v>#N/A</v>
      </c>
      <c r="Z66" s="62" t="e">
        <f>VLOOKUP('北段 (人資版)'!Z66,工作表1!$A$3:$B$78,2,FALSE)</f>
        <v>#N/A</v>
      </c>
      <c r="AA66" s="62" t="e">
        <f>VLOOKUP('北段 (人資版)'!AA66,工作表1!$A$3:$B$78,2,FALSE)</f>
        <v>#N/A</v>
      </c>
      <c r="AB66" s="62" t="e">
        <f>VLOOKUP('北段 (人資版)'!AB66,工作表1!$A$3:$B$78,2,FALSE)</f>
        <v>#N/A</v>
      </c>
      <c r="AC66" s="62" t="e">
        <f>VLOOKUP('北段 (人資版)'!AC66,工作表1!$A$3:$B$78,2,FALSE)</f>
        <v>#N/A</v>
      </c>
      <c r="AD66" s="62" t="e">
        <f>VLOOKUP('北段 (人資版)'!AD66,工作表1!$A$3:$B$78,2,FALSE)</f>
        <v>#N/A</v>
      </c>
      <c r="AE66" s="62" t="e">
        <f>VLOOKUP('北段 (人資版)'!AE66,工作表1!$A$3:$B$78,2,FALSE)</f>
        <v>#N/A</v>
      </c>
      <c r="AF66" s="62" t="e">
        <f>VLOOKUP('北段 (人資版)'!AF66,工作表1!$A$3:$B$78,2,FALSE)</f>
        <v>#N/A</v>
      </c>
      <c r="AG66" s="62" t="e">
        <f>VLOOKUP('北段 (人資版)'!AG66,工作表1!$A$3:$B$78,2,FALSE)</f>
        <v>#N/A</v>
      </c>
      <c r="AH66" s="62" t="e">
        <f>VLOOKUP('北段 (人資版)'!AH66,工作表1!$A$3:$B$78,2,FALSE)</f>
        <v>#REF!</v>
      </c>
      <c r="AI66" s="62" t="e">
        <f>VLOOKUP('北段 (人資版)'!AI66,工作表1!$A$3:$B$78,2,FALSE)</f>
        <v>#REF!</v>
      </c>
      <c r="AJ66" s="62" t="e">
        <f>VLOOKUP('北段 (人資版)'!AJ66,工作表1!$A$3:$B$78,2,FALSE)</f>
        <v>#REF!</v>
      </c>
      <c r="AK66" s="62" t="e">
        <f>VLOOKUP('北段 (人資版)'!AK66,工作表1!$A$3:$B$78,2,FALSE)</f>
        <v>#REF!</v>
      </c>
      <c r="AL66" s="62" t="e">
        <f>VLOOKUP('北段 (人資版)'!AL66,工作表1!$A$3:$B$78,2,FALSE)</f>
        <v>#REF!</v>
      </c>
      <c r="AM66" s="62" t="e">
        <f>VLOOKUP('北段 (人資版)'!AM66,工作表1!$A$3:$B$78,2,FALSE)</f>
        <v>#REF!</v>
      </c>
      <c r="AN66" s="62" t="e">
        <f>VLOOKUP('北段 (人資版)'!AN66,工作表1!$A$3:$B$78,2,FALSE)</f>
        <v>#REF!</v>
      </c>
    </row>
    <row r="67" spans="1:40" ht="39" customHeight="1">
      <c r="A67" s="56"/>
      <c r="B67" s="101" t="str">
        <f>北段!B66</f>
        <v>T00503</v>
      </c>
      <c r="C67" s="38" t="str">
        <f>VLOOKUP(B67,北段!B:C,2,FALSE)</f>
        <v>范素梅</v>
      </c>
      <c r="D67" s="62">
        <f>VLOOKUP('北段 (人資版)'!D67,工作表1!$A$3:$B$78,2,FALSE)</f>
        <v>38</v>
      </c>
      <c r="E67" s="62">
        <f>VLOOKUP('北段 (人資版)'!E67,工作表1!$A$3:$B$78,2,FALSE)</f>
        <v>92</v>
      </c>
      <c r="F67" s="62" t="e">
        <f>VLOOKUP('北段 (人資版)'!F67,工作表1!$A$3:$B$78,2,FALSE)</f>
        <v>#N/A</v>
      </c>
      <c r="G67" s="62" t="e">
        <f>VLOOKUP('北段 (人資版)'!G67,工作表1!$A$3:$B$78,2,FALSE)</f>
        <v>#N/A</v>
      </c>
      <c r="H67" s="62" t="e">
        <f>VLOOKUP('北段 (人資版)'!H67,工作表1!$A$3:$B$78,2,FALSE)</f>
        <v>#N/A</v>
      </c>
      <c r="I67" s="62" t="e">
        <f>VLOOKUP('北段 (人資版)'!I67,工作表1!$A$3:$B$78,2,FALSE)</f>
        <v>#N/A</v>
      </c>
      <c r="J67" s="62" t="e">
        <f>VLOOKUP('北段 (人資版)'!J67,工作表1!$A$3:$B$78,2,FALSE)</f>
        <v>#N/A</v>
      </c>
      <c r="K67" s="62" t="e">
        <f>VLOOKUP('北段 (人資版)'!K67,工作表1!$A$3:$B$78,2,FALSE)</f>
        <v>#N/A</v>
      </c>
      <c r="L67" s="62" t="e">
        <f>VLOOKUP('北段 (人資版)'!L67,工作表1!$A$3:$B$78,2,FALSE)</f>
        <v>#N/A</v>
      </c>
      <c r="M67" s="62" t="e">
        <f>VLOOKUP('北段 (人資版)'!M67,工作表1!$A$3:$B$78,2,FALSE)</f>
        <v>#N/A</v>
      </c>
      <c r="N67" s="62" t="e">
        <f>VLOOKUP('北段 (人資版)'!N67,工作表1!$A$3:$B$78,2,FALSE)</f>
        <v>#N/A</v>
      </c>
      <c r="O67" s="62" t="e">
        <f>VLOOKUP('北段 (人資版)'!O67,工作表1!$A$3:$B$78,2,FALSE)</f>
        <v>#N/A</v>
      </c>
      <c r="P67" s="62" t="e">
        <f>VLOOKUP('北段 (人資版)'!P67,工作表1!$A$3:$B$78,2,FALSE)</f>
        <v>#N/A</v>
      </c>
      <c r="Q67" s="62" t="e">
        <f>VLOOKUP('北段 (人資版)'!Q67,工作表1!$A$3:$B$78,2,FALSE)</f>
        <v>#N/A</v>
      </c>
      <c r="R67" s="62" t="e">
        <f>VLOOKUP('北段 (人資版)'!R67,工作表1!$A$3:$B$78,2,FALSE)</f>
        <v>#N/A</v>
      </c>
      <c r="S67" s="62" t="e">
        <f>VLOOKUP('北段 (人資版)'!S67,工作表1!$A$3:$B$78,2,FALSE)</f>
        <v>#N/A</v>
      </c>
      <c r="T67" s="62" t="e">
        <f>VLOOKUP('北段 (人資版)'!T67,工作表1!$A$3:$B$78,2,FALSE)</f>
        <v>#N/A</v>
      </c>
      <c r="U67" s="62" t="e">
        <f>VLOOKUP('北段 (人資版)'!U67,工作表1!$A$3:$B$78,2,FALSE)</f>
        <v>#N/A</v>
      </c>
      <c r="V67" s="62" t="e">
        <f>VLOOKUP('北段 (人資版)'!V67,工作表1!$A$3:$B$78,2,FALSE)</f>
        <v>#N/A</v>
      </c>
      <c r="W67" s="62" t="e">
        <f>VLOOKUP('北段 (人資版)'!W67,工作表1!$A$3:$B$78,2,FALSE)</f>
        <v>#N/A</v>
      </c>
      <c r="X67" s="62" t="e">
        <f>VLOOKUP('北段 (人資版)'!X67,工作表1!$A$3:$B$78,2,FALSE)</f>
        <v>#N/A</v>
      </c>
      <c r="Y67" s="62" t="e">
        <f>VLOOKUP('北段 (人資版)'!Y67,工作表1!$A$3:$B$78,2,FALSE)</f>
        <v>#N/A</v>
      </c>
      <c r="Z67" s="62" t="e">
        <f>VLOOKUP('北段 (人資版)'!Z67,工作表1!$A$3:$B$78,2,FALSE)</f>
        <v>#N/A</v>
      </c>
      <c r="AA67" s="62" t="e">
        <f>VLOOKUP('北段 (人資版)'!AA67,工作表1!$A$3:$B$78,2,FALSE)</f>
        <v>#N/A</v>
      </c>
      <c r="AB67" s="62" t="e">
        <f>VLOOKUP('北段 (人資版)'!AB67,工作表1!$A$3:$B$78,2,FALSE)</f>
        <v>#N/A</v>
      </c>
      <c r="AC67" s="62" t="e">
        <f>VLOOKUP('北段 (人資版)'!AC67,工作表1!$A$3:$B$78,2,FALSE)</f>
        <v>#N/A</v>
      </c>
      <c r="AD67" s="62" t="e">
        <f>VLOOKUP('北段 (人資版)'!AD67,工作表1!$A$3:$B$78,2,FALSE)</f>
        <v>#N/A</v>
      </c>
      <c r="AE67" s="62" t="e">
        <f>VLOOKUP('北段 (人資版)'!AE67,工作表1!$A$3:$B$78,2,FALSE)</f>
        <v>#N/A</v>
      </c>
      <c r="AF67" s="62" t="e">
        <f>VLOOKUP('北段 (人資版)'!AF67,工作表1!$A$3:$B$78,2,FALSE)</f>
        <v>#N/A</v>
      </c>
      <c r="AG67" s="62" t="e">
        <f>VLOOKUP('北段 (人資版)'!AG67,工作表1!$A$3:$B$78,2,FALSE)</f>
        <v>#N/A</v>
      </c>
      <c r="AH67" s="62" t="e">
        <f>VLOOKUP('北段 (人資版)'!AH67,工作表1!$A$3:$B$78,2,FALSE)</f>
        <v>#REF!</v>
      </c>
      <c r="AI67" s="62" t="e">
        <f>VLOOKUP('北段 (人資版)'!AI67,工作表1!$A$3:$B$78,2,FALSE)</f>
        <v>#REF!</v>
      </c>
      <c r="AJ67" s="62" t="e">
        <f>VLOOKUP('北段 (人資版)'!AJ67,工作表1!$A$3:$B$78,2,FALSE)</f>
        <v>#REF!</v>
      </c>
      <c r="AK67" s="62" t="e">
        <f>VLOOKUP('北段 (人資版)'!AK67,工作表1!$A$3:$B$78,2,FALSE)</f>
        <v>#REF!</v>
      </c>
      <c r="AL67" s="62" t="e">
        <f>VLOOKUP('北段 (人資版)'!AL67,工作表1!$A$3:$B$78,2,FALSE)</f>
        <v>#REF!</v>
      </c>
      <c r="AM67" s="62" t="e">
        <f>VLOOKUP('北段 (人資版)'!AM67,工作表1!$A$3:$B$78,2,FALSE)</f>
        <v>#REF!</v>
      </c>
      <c r="AN67" s="62" t="e">
        <f>VLOOKUP('北段 (人資版)'!AN67,工作表1!$A$3:$B$78,2,FALSE)</f>
        <v>#REF!</v>
      </c>
    </row>
    <row r="68" spans="1:40" s="36" customFormat="1" ht="39" customHeight="1">
      <c r="A68" s="54"/>
      <c r="B68" s="101" t="str">
        <f>北段!B67</f>
        <v>T01084</v>
      </c>
      <c r="C68" s="38" t="str">
        <f>VLOOKUP(B68,北段!B:C,2,FALSE)</f>
        <v>蔡佳玲</v>
      </c>
      <c r="D68" s="62">
        <f>VLOOKUP('北段 (人資版)'!D68,工作表1!$A$3:$B$78,2,FALSE)</f>
        <v>70</v>
      </c>
      <c r="E68" s="62">
        <f>VLOOKUP('北段 (人資版)'!E68,工作表1!$A$3:$B$78,2,FALSE)</f>
        <v>70</v>
      </c>
      <c r="F68" s="62" t="e">
        <f>VLOOKUP('北段 (人資版)'!F68,工作表1!$A$3:$B$78,2,FALSE)</f>
        <v>#N/A</v>
      </c>
      <c r="G68" s="62" t="e">
        <f>VLOOKUP('北段 (人資版)'!G68,工作表1!$A$3:$B$78,2,FALSE)</f>
        <v>#N/A</v>
      </c>
      <c r="H68" s="62" t="e">
        <f>VLOOKUP('北段 (人資版)'!H68,工作表1!$A$3:$B$78,2,FALSE)</f>
        <v>#N/A</v>
      </c>
      <c r="I68" s="62" t="e">
        <f>VLOOKUP('北段 (人資版)'!I68,工作表1!$A$3:$B$78,2,FALSE)</f>
        <v>#N/A</v>
      </c>
      <c r="J68" s="62" t="e">
        <f>VLOOKUP('北段 (人資版)'!J68,工作表1!$A$3:$B$78,2,FALSE)</f>
        <v>#N/A</v>
      </c>
      <c r="K68" s="62" t="e">
        <f>VLOOKUP('北段 (人資版)'!K68,工作表1!$A$3:$B$78,2,FALSE)</f>
        <v>#N/A</v>
      </c>
      <c r="L68" s="62" t="e">
        <f>VLOOKUP('北段 (人資版)'!L68,工作表1!$A$3:$B$78,2,FALSE)</f>
        <v>#N/A</v>
      </c>
      <c r="M68" s="62" t="e">
        <f>VLOOKUP('北段 (人資版)'!M68,工作表1!$A$3:$B$78,2,FALSE)</f>
        <v>#N/A</v>
      </c>
      <c r="N68" s="62" t="e">
        <f>VLOOKUP('北段 (人資版)'!N68,工作表1!$A$3:$B$78,2,FALSE)</f>
        <v>#N/A</v>
      </c>
      <c r="O68" s="62" t="e">
        <f>VLOOKUP('北段 (人資版)'!O68,工作表1!$A$3:$B$78,2,FALSE)</f>
        <v>#N/A</v>
      </c>
      <c r="P68" s="62" t="e">
        <f>VLOOKUP('北段 (人資版)'!P68,工作表1!$A$3:$B$78,2,FALSE)</f>
        <v>#N/A</v>
      </c>
      <c r="Q68" s="62" t="e">
        <f>VLOOKUP('北段 (人資版)'!Q68,工作表1!$A$3:$B$78,2,FALSE)</f>
        <v>#N/A</v>
      </c>
      <c r="R68" s="62" t="e">
        <f>VLOOKUP('北段 (人資版)'!R68,工作表1!$A$3:$B$78,2,FALSE)</f>
        <v>#N/A</v>
      </c>
      <c r="S68" s="62" t="e">
        <f>VLOOKUP('北段 (人資版)'!S68,工作表1!$A$3:$B$78,2,FALSE)</f>
        <v>#N/A</v>
      </c>
      <c r="T68" s="62" t="e">
        <f>VLOOKUP('北段 (人資版)'!T68,工作表1!$A$3:$B$78,2,FALSE)</f>
        <v>#N/A</v>
      </c>
      <c r="U68" s="62" t="e">
        <f>VLOOKUP('北段 (人資版)'!U68,工作表1!$A$3:$B$78,2,FALSE)</f>
        <v>#N/A</v>
      </c>
      <c r="V68" s="62" t="e">
        <f>VLOOKUP('北段 (人資版)'!V68,工作表1!$A$3:$B$78,2,FALSE)</f>
        <v>#N/A</v>
      </c>
      <c r="W68" s="62" t="e">
        <f>VLOOKUP('北段 (人資版)'!W68,工作表1!$A$3:$B$78,2,FALSE)</f>
        <v>#N/A</v>
      </c>
      <c r="X68" s="62" t="e">
        <f>VLOOKUP('北段 (人資版)'!X68,工作表1!$A$3:$B$78,2,FALSE)</f>
        <v>#N/A</v>
      </c>
      <c r="Y68" s="62" t="e">
        <f>VLOOKUP('北段 (人資版)'!Y68,工作表1!$A$3:$B$78,2,FALSE)</f>
        <v>#N/A</v>
      </c>
      <c r="Z68" s="62" t="e">
        <f>VLOOKUP('北段 (人資版)'!Z68,工作表1!$A$3:$B$78,2,FALSE)</f>
        <v>#N/A</v>
      </c>
      <c r="AA68" s="62" t="e">
        <f>VLOOKUP('北段 (人資版)'!AA68,工作表1!$A$3:$B$78,2,FALSE)</f>
        <v>#N/A</v>
      </c>
      <c r="AB68" s="62" t="e">
        <f>VLOOKUP('北段 (人資版)'!AB68,工作表1!$A$3:$B$78,2,FALSE)</f>
        <v>#N/A</v>
      </c>
      <c r="AC68" s="62" t="e">
        <f>VLOOKUP('北段 (人資版)'!AC68,工作表1!$A$3:$B$78,2,FALSE)</f>
        <v>#N/A</v>
      </c>
      <c r="AD68" s="62" t="e">
        <f>VLOOKUP('北段 (人資版)'!AD68,工作表1!$A$3:$B$78,2,FALSE)</f>
        <v>#N/A</v>
      </c>
      <c r="AE68" s="62" t="e">
        <f>VLOOKUP('北段 (人資版)'!AE68,工作表1!$A$3:$B$78,2,FALSE)</f>
        <v>#N/A</v>
      </c>
      <c r="AF68" s="62" t="e">
        <f>VLOOKUP('北段 (人資版)'!AF68,工作表1!$A$3:$B$78,2,FALSE)</f>
        <v>#N/A</v>
      </c>
      <c r="AG68" s="62" t="e">
        <f>VLOOKUP('北段 (人資版)'!AG68,工作表1!$A$3:$B$78,2,FALSE)</f>
        <v>#N/A</v>
      </c>
      <c r="AH68" s="62" t="e">
        <f>VLOOKUP('北段 (人資版)'!AH68,工作表1!$A$3:$B$78,2,FALSE)</f>
        <v>#REF!</v>
      </c>
      <c r="AI68" s="62" t="e">
        <f>VLOOKUP('北段 (人資版)'!AI68,工作表1!$A$3:$B$78,2,FALSE)</f>
        <v>#REF!</v>
      </c>
      <c r="AJ68" s="62" t="e">
        <f>VLOOKUP('北段 (人資版)'!AJ68,工作表1!$A$3:$B$78,2,FALSE)</f>
        <v>#REF!</v>
      </c>
      <c r="AK68" s="62" t="e">
        <f>VLOOKUP('北段 (人資版)'!AK68,工作表1!$A$3:$B$78,2,FALSE)</f>
        <v>#REF!</v>
      </c>
      <c r="AL68" s="62" t="e">
        <f>VLOOKUP('北段 (人資版)'!AL68,工作表1!$A$3:$B$78,2,FALSE)</f>
        <v>#REF!</v>
      </c>
      <c r="AM68" s="62" t="e">
        <f>VLOOKUP('北段 (人資版)'!AM68,工作表1!$A$3:$B$78,2,FALSE)</f>
        <v>#REF!</v>
      </c>
      <c r="AN68" s="62" t="e">
        <f>VLOOKUP('北段 (人資版)'!AN68,工作表1!$A$3:$B$78,2,FALSE)</f>
        <v>#REF!</v>
      </c>
    </row>
    <row r="69" spans="1:40" ht="39" customHeight="1">
      <c r="B69" s="101" t="str">
        <f>北段!B68</f>
        <v>T01465</v>
      </c>
      <c r="C69" s="38" t="str">
        <f>VLOOKUP(B69,北段!B:C,2,FALSE)</f>
        <v>簡聖育</v>
      </c>
      <c r="D69" s="62">
        <f>VLOOKUP('北段 (人資版)'!D69,工作表1!$A$3:$B$78,2,FALSE)</f>
        <v>66</v>
      </c>
      <c r="E69" s="62">
        <f>VLOOKUP('北段 (人資版)'!E69,工作表1!$A$3:$B$78,2,FALSE)</f>
        <v>66</v>
      </c>
      <c r="F69" s="62" t="e">
        <f>VLOOKUP('北段 (人資版)'!F69,工作表1!$A$3:$B$78,2,FALSE)</f>
        <v>#N/A</v>
      </c>
      <c r="G69" s="62" t="e">
        <f>VLOOKUP('北段 (人資版)'!G69,工作表1!$A$3:$B$78,2,FALSE)</f>
        <v>#N/A</v>
      </c>
      <c r="H69" s="62" t="e">
        <f>VLOOKUP('北段 (人資版)'!H69,工作表1!$A$3:$B$78,2,FALSE)</f>
        <v>#N/A</v>
      </c>
      <c r="I69" s="62" t="e">
        <f>VLOOKUP('北段 (人資版)'!I69,工作表1!$A$3:$B$78,2,FALSE)</f>
        <v>#N/A</v>
      </c>
      <c r="J69" s="62" t="e">
        <f>VLOOKUP('北段 (人資版)'!J69,工作表1!$A$3:$B$78,2,FALSE)</f>
        <v>#N/A</v>
      </c>
      <c r="K69" s="62" t="e">
        <f>VLOOKUP('北段 (人資版)'!K69,工作表1!$A$3:$B$78,2,FALSE)</f>
        <v>#N/A</v>
      </c>
      <c r="L69" s="62" t="e">
        <f>VLOOKUP('北段 (人資版)'!L69,工作表1!$A$3:$B$78,2,FALSE)</f>
        <v>#N/A</v>
      </c>
      <c r="M69" s="62" t="e">
        <f>VLOOKUP('北段 (人資版)'!M69,工作表1!$A$3:$B$78,2,FALSE)</f>
        <v>#N/A</v>
      </c>
      <c r="N69" s="62" t="e">
        <f>VLOOKUP('北段 (人資版)'!N69,工作表1!$A$3:$B$78,2,FALSE)</f>
        <v>#N/A</v>
      </c>
      <c r="O69" s="62" t="e">
        <f>VLOOKUP('北段 (人資版)'!O69,工作表1!$A$3:$B$78,2,FALSE)</f>
        <v>#N/A</v>
      </c>
      <c r="P69" s="62" t="e">
        <f>VLOOKUP('北段 (人資版)'!P69,工作表1!$A$3:$B$78,2,FALSE)</f>
        <v>#N/A</v>
      </c>
      <c r="Q69" s="62" t="e">
        <f>VLOOKUP('北段 (人資版)'!Q69,工作表1!$A$3:$B$78,2,FALSE)</f>
        <v>#N/A</v>
      </c>
      <c r="R69" s="62" t="e">
        <f>VLOOKUP('北段 (人資版)'!R69,工作表1!$A$3:$B$78,2,FALSE)</f>
        <v>#N/A</v>
      </c>
      <c r="S69" s="62" t="e">
        <f>VLOOKUP('北段 (人資版)'!S69,工作表1!$A$3:$B$78,2,FALSE)</f>
        <v>#N/A</v>
      </c>
      <c r="T69" s="62" t="e">
        <f>VLOOKUP('北段 (人資版)'!T69,工作表1!$A$3:$B$78,2,FALSE)</f>
        <v>#N/A</v>
      </c>
      <c r="U69" s="62" t="e">
        <f>VLOOKUP('北段 (人資版)'!U69,工作表1!$A$3:$B$78,2,FALSE)</f>
        <v>#N/A</v>
      </c>
      <c r="V69" s="62" t="e">
        <f>VLOOKUP('北段 (人資版)'!V69,工作表1!$A$3:$B$78,2,FALSE)</f>
        <v>#N/A</v>
      </c>
      <c r="W69" s="62" t="e">
        <f>VLOOKUP('北段 (人資版)'!W69,工作表1!$A$3:$B$78,2,FALSE)</f>
        <v>#N/A</v>
      </c>
      <c r="X69" s="62" t="e">
        <f>VLOOKUP('北段 (人資版)'!X69,工作表1!$A$3:$B$78,2,FALSE)</f>
        <v>#N/A</v>
      </c>
      <c r="Y69" s="62" t="e">
        <f>VLOOKUP('北段 (人資版)'!Y69,工作表1!$A$3:$B$78,2,FALSE)</f>
        <v>#N/A</v>
      </c>
      <c r="Z69" s="62" t="e">
        <f>VLOOKUP('北段 (人資版)'!Z69,工作表1!$A$3:$B$78,2,FALSE)</f>
        <v>#N/A</v>
      </c>
      <c r="AA69" s="62" t="e">
        <f>VLOOKUP('北段 (人資版)'!AA69,工作表1!$A$3:$B$78,2,FALSE)</f>
        <v>#N/A</v>
      </c>
      <c r="AB69" s="62" t="e">
        <f>VLOOKUP('北段 (人資版)'!AB69,工作表1!$A$3:$B$78,2,FALSE)</f>
        <v>#N/A</v>
      </c>
      <c r="AC69" s="62" t="e">
        <f>VLOOKUP('北段 (人資版)'!AC69,工作表1!$A$3:$B$78,2,FALSE)</f>
        <v>#N/A</v>
      </c>
      <c r="AD69" s="62" t="e">
        <f>VLOOKUP('北段 (人資版)'!AD69,工作表1!$A$3:$B$78,2,FALSE)</f>
        <v>#N/A</v>
      </c>
      <c r="AE69" s="62" t="e">
        <f>VLOOKUP('北段 (人資版)'!AE69,工作表1!$A$3:$B$78,2,FALSE)</f>
        <v>#N/A</v>
      </c>
      <c r="AF69" s="62" t="e">
        <f>VLOOKUP('北段 (人資版)'!AF69,工作表1!$A$3:$B$78,2,FALSE)</f>
        <v>#N/A</v>
      </c>
      <c r="AG69" s="62" t="e">
        <f>VLOOKUP('北段 (人資版)'!AG69,工作表1!$A$3:$B$78,2,FALSE)</f>
        <v>#N/A</v>
      </c>
      <c r="AH69" s="62" t="e">
        <f>VLOOKUP('北段 (人資版)'!AH69,工作表1!$A$3:$B$78,2,FALSE)</f>
        <v>#REF!</v>
      </c>
      <c r="AI69" s="62" t="e">
        <f>VLOOKUP('北段 (人資版)'!AI69,工作表1!$A$3:$B$78,2,FALSE)</f>
        <v>#REF!</v>
      </c>
      <c r="AJ69" s="62" t="e">
        <f>VLOOKUP('北段 (人資版)'!AJ69,工作表1!$A$3:$B$78,2,FALSE)</f>
        <v>#REF!</v>
      </c>
      <c r="AK69" s="62" t="e">
        <f>VLOOKUP('北段 (人資版)'!AK69,工作表1!$A$3:$B$78,2,FALSE)</f>
        <v>#REF!</v>
      </c>
      <c r="AL69" s="62" t="e">
        <f>VLOOKUP('北段 (人資版)'!AL69,工作表1!$A$3:$B$78,2,FALSE)</f>
        <v>#REF!</v>
      </c>
      <c r="AM69" s="62" t="e">
        <f>VLOOKUP('北段 (人資版)'!AM69,工作表1!$A$3:$B$78,2,FALSE)</f>
        <v>#REF!</v>
      </c>
      <c r="AN69" s="62" t="e">
        <f>VLOOKUP('北段 (人資版)'!AN69,工作表1!$A$3:$B$78,2,FALSE)</f>
        <v>#REF!</v>
      </c>
    </row>
    <row r="70" spans="1:40" ht="39" customHeight="1">
      <c r="B70" s="101" t="str">
        <f>北段!B69</f>
        <v>T02230</v>
      </c>
      <c r="C70" s="38" t="str">
        <f>VLOOKUP(B70,北段!B:C,2,FALSE)</f>
        <v>葉夏</v>
      </c>
      <c r="D70" s="62" t="e">
        <f>VLOOKUP('北段 (人資版)'!D70,工作表1!$A$3:$B$78,2,FALSE)</f>
        <v>#N/A</v>
      </c>
      <c r="E70" s="62" t="e">
        <f>VLOOKUP('北段 (人資版)'!E70,工作表1!$A$3:$B$78,2,FALSE)</f>
        <v>#N/A</v>
      </c>
      <c r="F70" s="62" t="e">
        <f>VLOOKUP('北段 (人資版)'!F70,工作表1!$A$3:$B$78,2,FALSE)</f>
        <v>#N/A</v>
      </c>
      <c r="G70" s="62" t="e">
        <f>VLOOKUP('北段 (人資版)'!G70,工作表1!$A$3:$B$78,2,FALSE)</f>
        <v>#N/A</v>
      </c>
      <c r="H70" s="62" t="e">
        <f>VLOOKUP('北段 (人資版)'!H70,工作表1!$A$3:$B$78,2,FALSE)</f>
        <v>#N/A</v>
      </c>
      <c r="I70" s="62" t="e">
        <f>VLOOKUP('北段 (人資版)'!I70,工作表1!$A$3:$B$78,2,FALSE)</f>
        <v>#N/A</v>
      </c>
      <c r="J70" s="62" t="e">
        <f>VLOOKUP('北段 (人資版)'!J70,工作表1!$A$3:$B$78,2,FALSE)</f>
        <v>#N/A</v>
      </c>
      <c r="K70" s="62" t="e">
        <f>VLOOKUP('北段 (人資版)'!K70,工作表1!$A$3:$B$78,2,FALSE)</f>
        <v>#N/A</v>
      </c>
      <c r="L70" s="62" t="e">
        <f>VLOOKUP('北段 (人資版)'!L70,工作表1!$A$3:$B$78,2,FALSE)</f>
        <v>#N/A</v>
      </c>
      <c r="M70" s="62" t="e">
        <f>VLOOKUP('北段 (人資版)'!M70,工作表1!$A$3:$B$78,2,FALSE)</f>
        <v>#N/A</v>
      </c>
      <c r="N70" s="62" t="e">
        <f>VLOOKUP('北段 (人資版)'!N70,工作表1!$A$3:$B$78,2,FALSE)</f>
        <v>#N/A</v>
      </c>
      <c r="O70" s="62" t="e">
        <f>VLOOKUP('北段 (人資版)'!O70,工作表1!$A$3:$B$78,2,FALSE)</f>
        <v>#N/A</v>
      </c>
      <c r="P70" s="62" t="e">
        <f>VLOOKUP('北段 (人資版)'!P70,工作表1!$A$3:$B$78,2,FALSE)</f>
        <v>#N/A</v>
      </c>
      <c r="Q70" s="62" t="e">
        <f>VLOOKUP('北段 (人資版)'!Q70,工作表1!$A$3:$B$78,2,FALSE)</f>
        <v>#N/A</v>
      </c>
      <c r="R70" s="62" t="e">
        <f>VLOOKUP('北段 (人資版)'!R70,工作表1!$A$3:$B$78,2,FALSE)</f>
        <v>#N/A</v>
      </c>
      <c r="S70" s="62" t="e">
        <f>VLOOKUP('北段 (人資版)'!S70,工作表1!$A$3:$B$78,2,FALSE)</f>
        <v>#N/A</v>
      </c>
      <c r="T70" s="62" t="e">
        <f>VLOOKUP('北段 (人資版)'!T70,工作表1!$A$3:$B$78,2,FALSE)</f>
        <v>#N/A</v>
      </c>
      <c r="U70" s="62" t="e">
        <f>VLOOKUP('北段 (人資版)'!U70,工作表1!$A$3:$B$78,2,FALSE)</f>
        <v>#N/A</v>
      </c>
      <c r="V70" s="62" t="e">
        <f>VLOOKUP('北段 (人資版)'!V70,工作表1!$A$3:$B$78,2,FALSE)</f>
        <v>#N/A</v>
      </c>
      <c r="W70" s="62" t="e">
        <f>VLOOKUP('北段 (人資版)'!W70,工作表1!$A$3:$B$78,2,FALSE)</f>
        <v>#N/A</v>
      </c>
      <c r="X70" s="62" t="e">
        <f>VLOOKUP('北段 (人資版)'!X70,工作表1!$A$3:$B$78,2,FALSE)</f>
        <v>#N/A</v>
      </c>
      <c r="Y70" s="62" t="e">
        <f>VLOOKUP('北段 (人資版)'!Y70,工作表1!$A$3:$B$78,2,FALSE)</f>
        <v>#N/A</v>
      </c>
      <c r="Z70" s="62" t="e">
        <f>VLOOKUP('北段 (人資版)'!Z70,工作表1!$A$3:$B$78,2,FALSE)</f>
        <v>#N/A</v>
      </c>
      <c r="AA70" s="62" t="e">
        <f>VLOOKUP('北段 (人資版)'!AA70,工作表1!$A$3:$B$78,2,FALSE)</f>
        <v>#N/A</v>
      </c>
      <c r="AB70" s="62" t="e">
        <f>VLOOKUP('北段 (人資版)'!AB70,工作表1!$A$3:$B$78,2,FALSE)</f>
        <v>#N/A</v>
      </c>
      <c r="AC70" s="62" t="e">
        <f>VLOOKUP('北段 (人資版)'!AC70,工作表1!$A$3:$B$78,2,FALSE)</f>
        <v>#N/A</v>
      </c>
      <c r="AD70" s="62" t="e">
        <f>VLOOKUP('北段 (人資版)'!AD70,工作表1!$A$3:$B$78,2,FALSE)</f>
        <v>#N/A</v>
      </c>
      <c r="AE70" s="62" t="e">
        <f>VLOOKUP('北段 (人資版)'!AE70,工作表1!$A$3:$B$78,2,FALSE)</f>
        <v>#N/A</v>
      </c>
      <c r="AF70" s="62" t="e">
        <f>VLOOKUP('北段 (人資版)'!AF70,工作表1!$A$3:$B$78,2,FALSE)</f>
        <v>#N/A</v>
      </c>
      <c r="AG70" s="62" t="e">
        <f>VLOOKUP('北段 (人資版)'!AG70,工作表1!$A$3:$B$78,2,FALSE)</f>
        <v>#N/A</v>
      </c>
      <c r="AH70" s="62" t="e">
        <f>VLOOKUP('北段 (人資版)'!AH70,工作表1!$A$3:$B$78,2,FALSE)</f>
        <v>#REF!</v>
      </c>
      <c r="AI70" s="62" t="e">
        <f>VLOOKUP('北段 (人資版)'!AI70,工作表1!$A$3:$B$78,2,FALSE)</f>
        <v>#REF!</v>
      </c>
      <c r="AJ70" s="62" t="e">
        <f>VLOOKUP('北段 (人資版)'!AJ70,工作表1!$A$3:$B$78,2,FALSE)</f>
        <v>#REF!</v>
      </c>
      <c r="AK70" s="62" t="e">
        <f>VLOOKUP('北段 (人資版)'!AK70,工作表1!$A$3:$B$78,2,FALSE)</f>
        <v>#REF!</v>
      </c>
      <c r="AL70" s="62" t="e">
        <f>VLOOKUP('北段 (人資版)'!AL70,工作表1!$A$3:$B$78,2,FALSE)</f>
        <v>#REF!</v>
      </c>
      <c r="AM70" s="62" t="e">
        <f>VLOOKUP('北段 (人資版)'!AM70,工作表1!$A$3:$B$78,2,FALSE)</f>
        <v>#REF!</v>
      </c>
      <c r="AN70" s="62" t="e">
        <f>VLOOKUP('北段 (人資版)'!AN70,工作表1!$A$3:$B$78,2,FALSE)</f>
        <v>#REF!</v>
      </c>
    </row>
    <row r="71" spans="1:40" ht="39" customHeight="1">
      <c r="B71" s="101" t="str">
        <f>北段!B70</f>
        <v>T00813</v>
      </c>
      <c r="C71" s="38" t="str">
        <f>VLOOKUP(B71,北段!B:C,2,FALSE)</f>
        <v>陳雅愉</v>
      </c>
      <c r="D71" s="62" t="str">
        <f>VLOOKUP('北段 (人資版)'!D71,工作表1!$A$3:$B$78,2,FALSE)</f>
        <v>07</v>
      </c>
      <c r="E71" s="62">
        <f>VLOOKUP('北段 (人資版)'!E71,工作表1!$A$3:$B$78,2,FALSE)</f>
        <v>92</v>
      </c>
      <c r="F71" s="62" t="e">
        <f>VLOOKUP('北段 (人資版)'!F71,工作表1!$A$3:$B$78,2,FALSE)</f>
        <v>#N/A</v>
      </c>
      <c r="G71" s="62" t="e">
        <f>VLOOKUP('北段 (人資版)'!G71,工作表1!$A$3:$B$78,2,FALSE)</f>
        <v>#N/A</v>
      </c>
      <c r="H71" s="62" t="e">
        <f>VLOOKUP('北段 (人資版)'!H71,工作表1!$A$3:$B$78,2,FALSE)</f>
        <v>#N/A</v>
      </c>
      <c r="I71" s="62" t="e">
        <f>VLOOKUP('北段 (人資版)'!I71,工作表1!$A$3:$B$78,2,FALSE)</f>
        <v>#N/A</v>
      </c>
      <c r="J71" s="62" t="e">
        <f>VLOOKUP('北段 (人資版)'!J71,工作表1!$A$3:$B$78,2,FALSE)</f>
        <v>#N/A</v>
      </c>
      <c r="K71" s="62" t="e">
        <f>VLOOKUP('北段 (人資版)'!K71,工作表1!$A$3:$B$78,2,FALSE)</f>
        <v>#N/A</v>
      </c>
      <c r="L71" s="62" t="e">
        <f>VLOOKUP('北段 (人資版)'!L71,工作表1!$A$3:$B$78,2,FALSE)</f>
        <v>#N/A</v>
      </c>
      <c r="M71" s="62" t="e">
        <f>VLOOKUP('北段 (人資版)'!M71,工作表1!$A$3:$B$78,2,FALSE)</f>
        <v>#N/A</v>
      </c>
      <c r="N71" s="62" t="e">
        <f>VLOOKUP('北段 (人資版)'!N71,工作表1!$A$3:$B$78,2,FALSE)</f>
        <v>#N/A</v>
      </c>
      <c r="O71" s="62" t="e">
        <f>VLOOKUP('北段 (人資版)'!O71,工作表1!$A$3:$B$78,2,FALSE)</f>
        <v>#N/A</v>
      </c>
      <c r="P71" s="62" t="e">
        <f>VLOOKUP('北段 (人資版)'!P71,工作表1!$A$3:$B$78,2,FALSE)</f>
        <v>#N/A</v>
      </c>
      <c r="Q71" s="62" t="e">
        <f>VLOOKUP('北段 (人資版)'!Q71,工作表1!$A$3:$B$78,2,FALSE)</f>
        <v>#N/A</v>
      </c>
      <c r="R71" s="62" t="e">
        <f>VLOOKUP('北段 (人資版)'!R71,工作表1!$A$3:$B$78,2,FALSE)</f>
        <v>#N/A</v>
      </c>
      <c r="S71" s="62" t="e">
        <f>VLOOKUP('北段 (人資版)'!S71,工作表1!$A$3:$B$78,2,FALSE)</f>
        <v>#N/A</v>
      </c>
      <c r="T71" s="62" t="e">
        <f>VLOOKUP('北段 (人資版)'!T71,工作表1!$A$3:$B$78,2,FALSE)</f>
        <v>#N/A</v>
      </c>
      <c r="U71" s="62" t="e">
        <f>VLOOKUP('北段 (人資版)'!U71,工作表1!$A$3:$B$78,2,FALSE)</f>
        <v>#N/A</v>
      </c>
      <c r="V71" s="62" t="e">
        <f>VLOOKUP('北段 (人資版)'!V71,工作表1!$A$3:$B$78,2,FALSE)</f>
        <v>#N/A</v>
      </c>
      <c r="W71" s="62" t="e">
        <f>VLOOKUP('北段 (人資版)'!W71,工作表1!$A$3:$B$78,2,FALSE)</f>
        <v>#N/A</v>
      </c>
      <c r="X71" s="62" t="e">
        <f>VLOOKUP('北段 (人資版)'!X71,工作表1!$A$3:$B$78,2,FALSE)</f>
        <v>#N/A</v>
      </c>
      <c r="Y71" s="62" t="e">
        <f>VLOOKUP('北段 (人資版)'!Y71,工作表1!$A$3:$B$78,2,FALSE)</f>
        <v>#N/A</v>
      </c>
      <c r="Z71" s="62" t="e">
        <f>VLOOKUP('北段 (人資版)'!Z71,工作表1!$A$3:$B$78,2,FALSE)</f>
        <v>#N/A</v>
      </c>
      <c r="AA71" s="62" t="e">
        <f>VLOOKUP('北段 (人資版)'!AA71,工作表1!$A$3:$B$78,2,FALSE)</f>
        <v>#N/A</v>
      </c>
      <c r="AB71" s="62" t="e">
        <f>VLOOKUP('北段 (人資版)'!AB71,工作表1!$A$3:$B$78,2,FALSE)</f>
        <v>#N/A</v>
      </c>
      <c r="AC71" s="62" t="e">
        <f>VLOOKUP('北段 (人資版)'!AC71,工作表1!$A$3:$B$78,2,FALSE)</f>
        <v>#N/A</v>
      </c>
      <c r="AD71" s="62" t="e">
        <f>VLOOKUP('北段 (人資版)'!AD71,工作表1!$A$3:$B$78,2,FALSE)</f>
        <v>#N/A</v>
      </c>
      <c r="AE71" s="62" t="e">
        <f>VLOOKUP('北段 (人資版)'!AE71,工作表1!$A$3:$B$78,2,FALSE)</f>
        <v>#N/A</v>
      </c>
      <c r="AF71" s="62" t="e">
        <f>VLOOKUP('北段 (人資版)'!AF71,工作表1!$A$3:$B$78,2,FALSE)</f>
        <v>#N/A</v>
      </c>
      <c r="AG71" s="62" t="e">
        <f>VLOOKUP('北段 (人資版)'!AG71,工作表1!$A$3:$B$78,2,FALSE)</f>
        <v>#N/A</v>
      </c>
      <c r="AH71" s="62" t="e">
        <f>VLOOKUP('北段 (人資版)'!AH71,工作表1!$A$3:$B$78,2,FALSE)</f>
        <v>#REF!</v>
      </c>
      <c r="AI71" s="62" t="e">
        <f>VLOOKUP('北段 (人資版)'!AI71,工作表1!$A$3:$B$78,2,FALSE)</f>
        <v>#REF!</v>
      </c>
      <c r="AJ71" s="62" t="e">
        <f>VLOOKUP('北段 (人資版)'!AJ71,工作表1!$A$3:$B$78,2,FALSE)</f>
        <v>#REF!</v>
      </c>
      <c r="AK71" s="62" t="e">
        <f>VLOOKUP('北段 (人資版)'!AK71,工作表1!$A$3:$B$78,2,FALSE)</f>
        <v>#REF!</v>
      </c>
      <c r="AL71" s="62" t="e">
        <f>VLOOKUP('北段 (人資版)'!AL71,工作表1!$A$3:$B$78,2,FALSE)</f>
        <v>#REF!</v>
      </c>
      <c r="AM71" s="62" t="e">
        <f>VLOOKUP('北段 (人資版)'!AM71,工作表1!$A$3:$B$78,2,FALSE)</f>
        <v>#REF!</v>
      </c>
      <c r="AN71" s="62" t="e">
        <f>VLOOKUP('北段 (人資版)'!AN71,工作表1!$A$3:$B$78,2,FALSE)</f>
        <v>#REF!</v>
      </c>
    </row>
    <row r="72" spans="1:40" ht="39" customHeight="1">
      <c r="B72" s="101" t="str">
        <f>北段!B71</f>
        <v>T02215</v>
      </c>
      <c r="C72" s="38" t="str">
        <f>VLOOKUP(B72,北段!B:C,2,FALSE)</f>
        <v>吳尚達</v>
      </c>
      <c r="D72" s="62">
        <f>VLOOKUP('北段 (人資版)'!D72,工作表1!$A$3:$B$78,2,FALSE)</f>
        <v>91</v>
      </c>
      <c r="E72" s="62">
        <f>VLOOKUP('北段 (人資版)'!E72,工作表1!$A$3:$B$78,2,FALSE)</f>
        <v>92</v>
      </c>
      <c r="F72" s="62" t="e">
        <f>VLOOKUP('北段 (人資版)'!F72,工作表1!$A$3:$B$78,2,FALSE)</f>
        <v>#N/A</v>
      </c>
      <c r="G72" s="62" t="e">
        <f>VLOOKUP('北段 (人資版)'!G72,工作表1!$A$3:$B$78,2,FALSE)</f>
        <v>#N/A</v>
      </c>
      <c r="H72" s="62" t="e">
        <f>VLOOKUP('北段 (人資版)'!H72,工作表1!$A$3:$B$78,2,FALSE)</f>
        <v>#N/A</v>
      </c>
      <c r="I72" s="62" t="e">
        <f>VLOOKUP('北段 (人資版)'!I72,工作表1!$A$3:$B$78,2,FALSE)</f>
        <v>#N/A</v>
      </c>
      <c r="J72" s="62" t="e">
        <f>VLOOKUP('北段 (人資版)'!J72,工作表1!$A$3:$B$78,2,FALSE)</f>
        <v>#N/A</v>
      </c>
      <c r="K72" s="62" t="e">
        <f>VLOOKUP('北段 (人資版)'!K72,工作表1!$A$3:$B$78,2,FALSE)</f>
        <v>#N/A</v>
      </c>
      <c r="L72" s="62" t="e">
        <f>VLOOKUP('北段 (人資版)'!L72,工作表1!$A$3:$B$78,2,FALSE)</f>
        <v>#N/A</v>
      </c>
      <c r="M72" s="62" t="e">
        <f>VLOOKUP('北段 (人資版)'!M72,工作表1!$A$3:$B$78,2,FALSE)</f>
        <v>#N/A</v>
      </c>
      <c r="N72" s="62" t="e">
        <f>VLOOKUP('北段 (人資版)'!N72,工作表1!$A$3:$B$78,2,FALSE)</f>
        <v>#N/A</v>
      </c>
      <c r="O72" s="62" t="e">
        <f>VLOOKUP('北段 (人資版)'!O72,工作表1!$A$3:$B$78,2,FALSE)</f>
        <v>#N/A</v>
      </c>
      <c r="P72" s="62" t="e">
        <f>VLOOKUP('北段 (人資版)'!P72,工作表1!$A$3:$B$78,2,FALSE)</f>
        <v>#N/A</v>
      </c>
      <c r="Q72" s="62" t="e">
        <f>VLOOKUP('北段 (人資版)'!Q72,工作表1!$A$3:$B$78,2,FALSE)</f>
        <v>#N/A</v>
      </c>
      <c r="R72" s="62" t="e">
        <f>VLOOKUP('北段 (人資版)'!R72,工作表1!$A$3:$B$78,2,FALSE)</f>
        <v>#N/A</v>
      </c>
      <c r="S72" s="62" t="e">
        <f>VLOOKUP('北段 (人資版)'!S72,工作表1!$A$3:$B$78,2,FALSE)</f>
        <v>#N/A</v>
      </c>
      <c r="T72" s="62" t="e">
        <f>VLOOKUP('北段 (人資版)'!T72,工作表1!$A$3:$B$78,2,FALSE)</f>
        <v>#N/A</v>
      </c>
      <c r="U72" s="62" t="e">
        <f>VLOOKUP('北段 (人資版)'!U72,工作表1!$A$3:$B$78,2,FALSE)</f>
        <v>#N/A</v>
      </c>
      <c r="V72" s="62" t="e">
        <f>VLOOKUP('北段 (人資版)'!V72,工作表1!$A$3:$B$78,2,FALSE)</f>
        <v>#N/A</v>
      </c>
      <c r="W72" s="62" t="e">
        <f>VLOOKUP('北段 (人資版)'!W72,工作表1!$A$3:$B$78,2,FALSE)</f>
        <v>#N/A</v>
      </c>
      <c r="X72" s="62" t="e">
        <f>VLOOKUP('北段 (人資版)'!X72,工作表1!$A$3:$B$78,2,FALSE)</f>
        <v>#N/A</v>
      </c>
      <c r="Y72" s="62" t="e">
        <f>VLOOKUP('北段 (人資版)'!Y72,工作表1!$A$3:$B$78,2,FALSE)</f>
        <v>#N/A</v>
      </c>
      <c r="Z72" s="62" t="e">
        <f>VLOOKUP('北段 (人資版)'!Z72,工作表1!$A$3:$B$78,2,FALSE)</f>
        <v>#N/A</v>
      </c>
      <c r="AA72" s="62" t="e">
        <f>VLOOKUP('北段 (人資版)'!AA72,工作表1!$A$3:$B$78,2,FALSE)</f>
        <v>#N/A</v>
      </c>
      <c r="AB72" s="62" t="e">
        <f>VLOOKUP('北段 (人資版)'!AB72,工作表1!$A$3:$B$78,2,FALSE)</f>
        <v>#N/A</v>
      </c>
      <c r="AC72" s="62" t="e">
        <f>VLOOKUP('北段 (人資版)'!AC72,工作表1!$A$3:$B$78,2,FALSE)</f>
        <v>#N/A</v>
      </c>
      <c r="AD72" s="62" t="e">
        <f>VLOOKUP('北段 (人資版)'!AD72,工作表1!$A$3:$B$78,2,FALSE)</f>
        <v>#N/A</v>
      </c>
      <c r="AE72" s="62" t="e">
        <f>VLOOKUP('北段 (人資版)'!AE72,工作表1!$A$3:$B$78,2,FALSE)</f>
        <v>#N/A</v>
      </c>
      <c r="AF72" s="62" t="e">
        <f>VLOOKUP('北段 (人資版)'!AF72,工作表1!$A$3:$B$78,2,FALSE)</f>
        <v>#N/A</v>
      </c>
      <c r="AG72" s="62" t="e">
        <f>VLOOKUP('北段 (人資版)'!AG72,工作表1!$A$3:$B$78,2,FALSE)</f>
        <v>#N/A</v>
      </c>
      <c r="AH72" s="62" t="e">
        <f>VLOOKUP('北段 (人資版)'!AH72,工作表1!$A$3:$B$78,2,FALSE)</f>
        <v>#REF!</v>
      </c>
      <c r="AI72" s="62" t="e">
        <f>VLOOKUP('北段 (人資版)'!AI72,工作表1!$A$3:$B$78,2,FALSE)</f>
        <v>#REF!</v>
      </c>
      <c r="AJ72" s="62" t="e">
        <f>VLOOKUP('北段 (人資版)'!AJ72,工作表1!$A$3:$B$78,2,FALSE)</f>
        <v>#REF!</v>
      </c>
      <c r="AK72" s="62" t="e">
        <f>VLOOKUP('北段 (人資版)'!AK72,工作表1!$A$3:$B$78,2,FALSE)</f>
        <v>#REF!</v>
      </c>
      <c r="AL72" s="62" t="e">
        <f>VLOOKUP('北段 (人資版)'!AL72,工作表1!$A$3:$B$78,2,FALSE)</f>
        <v>#REF!</v>
      </c>
      <c r="AM72" s="62" t="e">
        <f>VLOOKUP('北段 (人資版)'!AM72,工作表1!$A$3:$B$78,2,FALSE)</f>
        <v>#REF!</v>
      </c>
      <c r="AN72" s="62" t="e">
        <f>VLOOKUP('北段 (人資版)'!AN72,工作表1!$A$3:$B$78,2,FALSE)</f>
        <v>#REF!</v>
      </c>
    </row>
    <row r="73" spans="1:40" ht="39" customHeight="1">
      <c r="B73" s="101" t="str">
        <f>北段!B72</f>
        <v>T02229</v>
      </c>
      <c r="C73" s="38" t="str">
        <f>VLOOKUP(B73,北段!B:C,2,FALSE)</f>
        <v>吳意甄</v>
      </c>
      <c r="D73" s="62" t="str">
        <f>VLOOKUP('北段 (人資版)'!D73,工作表1!$A$3:$B$78,2,FALSE)</f>
        <v>07</v>
      </c>
      <c r="E73" s="62" t="str">
        <f>VLOOKUP('北段 (人資版)'!E73,工作表1!$A$3:$B$78,2,FALSE)</f>
        <v>07</v>
      </c>
      <c r="F73" s="62" t="e">
        <f>VLOOKUP('北段 (人資版)'!F73,工作表1!$A$3:$B$78,2,FALSE)</f>
        <v>#N/A</v>
      </c>
      <c r="G73" s="62" t="e">
        <f>VLOOKUP('北段 (人資版)'!G73,工作表1!$A$3:$B$78,2,FALSE)</f>
        <v>#N/A</v>
      </c>
      <c r="H73" s="62" t="e">
        <f>VLOOKUP('北段 (人資版)'!H73,工作表1!$A$3:$B$78,2,FALSE)</f>
        <v>#N/A</v>
      </c>
      <c r="I73" s="62" t="e">
        <f>VLOOKUP('北段 (人資版)'!I73,工作表1!$A$3:$B$78,2,FALSE)</f>
        <v>#N/A</v>
      </c>
      <c r="J73" s="62" t="e">
        <f>VLOOKUP('北段 (人資版)'!J73,工作表1!$A$3:$B$78,2,FALSE)</f>
        <v>#N/A</v>
      </c>
      <c r="K73" s="62" t="e">
        <f>VLOOKUP('北段 (人資版)'!K73,工作表1!$A$3:$B$78,2,FALSE)</f>
        <v>#N/A</v>
      </c>
      <c r="L73" s="62" t="e">
        <f>VLOOKUP('北段 (人資版)'!L73,工作表1!$A$3:$B$78,2,FALSE)</f>
        <v>#N/A</v>
      </c>
      <c r="M73" s="62" t="e">
        <f>VLOOKUP('北段 (人資版)'!M73,工作表1!$A$3:$B$78,2,FALSE)</f>
        <v>#N/A</v>
      </c>
      <c r="N73" s="62" t="e">
        <f>VLOOKUP('北段 (人資版)'!N73,工作表1!$A$3:$B$78,2,FALSE)</f>
        <v>#N/A</v>
      </c>
      <c r="O73" s="62" t="e">
        <f>VLOOKUP('北段 (人資版)'!O73,工作表1!$A$3:$B$78,2,FALSE)</f>
        <v>#N/A</v>
      </c>
      <c r="P73" s="62" t="e">
        <f>VLOOKUP('北段 (人資版)'!P73,工作表1!$A$3:$B$78,2,FALSE)</f>
        <v>#N/A</v>
      </c>
      <c r="Q73" s="62" t="e">
        <f>VLOOKUP('北段 (人資版)'!Q73,工作表1!$A$3:$B$78,2,FALSE)</f>
        <v>#N/A</v>
      </c>
      <c r="R73" s="62" t="e">
        <f>VLOOKUP('北段 (人資版)'!R73,工作表1!$A$3:$B$78,2,FALSE)</f>
        <v>#N/A</v>
      </c>
      <c r="S73" s="62" t="e">
        <f>VLOOKUP('北段 (人資版)'!S73,工作表1!$A$3:$B$78,2,FALSE)</f>
        <v>#N/A</v>
      </c>
      <c r="T73" s="62" t="e">
        <f>VLOOKUP('北段 (人資版)'!T73,工作表1!$A$3:$B$78,2,FALSE)</f>
        <v>#N/A</v>
      </c>
      <c r="U73" s="62" t="e">
        <f>VLOOKUP('北段 (人資版)'!U73,工作表1!$A$3:$B$78,2,FALSE)</f>
        <v>#N/A</v>
      </c>
      <c r="V73" s="62" t="e">
        <f>VLOOKUP('北段 (人資版)'!V73,工作表1!$A$3:$B$78,2,FALSE)</f>
        <v>#N/A</v>
      </c>
      <c r="W73" s="62" t="e">
        <f>VLOOKUP('北段 (人資版)'!W73,工作表1!$A$3:$B$78,2,FALSE)</f>
        <v>#N/A</v>
      </c>
      <c r="X73" s="62" t="e">
        <f>VLOOKUP('北段 (人資版)'!X73,工作表1!$A$3:$B$78,2,FALSE)</f>
        <v>#N/A</v>
      </c>
      <c r="Y73" s="62" t="e">
        <f>VLOOKUP('北段 (人資版)'!Y73,工作表1!$A$3:$B$78,2,FALSE)</f>
        <v>#N/A</v>
      </c>
      <c r="Z73" s="62" t="e">
        <f>VLOOKUP('北段 (人資版)'!Z73,工作表1!$A$3:$B$78,2,FALSE)</f>
        <v>#N/A</v>
      </c>
      <c r="AA73" s="62" t="e">
        <f>VLOOKUP('北段 (人資版)'!AA73,工作表1!$A$3:$B$78,2,FALSE)</f>
        <v>#N/A</v>
      </c>
      <c r="AB73" s="62" t="e">
        <f>VLOOKUP('北段 (人資版)'!AB73,工作表1!$A$3:$B$78,2,FALSE)</f>
        <v>#N/A</v>
      </c>
      <c r="AC73" s="62" t="e">
        <f>VLOOKUP('北段 (人資版)'!AC73,工作表1!$A$3:$B$78,2,FALSE)</f>
        <v>#N/A</v>
      </c>
      <c r="AD73" s="62" t="e">
        <f>VLOOKUP('北段 (人資版)'!AD73,工作表1!$A$3:$B$78,2,FALSE)</f>
        <v>#N/A</v>
      </c>
      <c r="AE73" s="62" t="e">
        <f>VLOOKUP('北段 (人資版)'!AE73,工作表1!$A$3:$B$78,2,FALSE)</f>
        <v>#N/A</v>
      </c>
      <c r="AF73" s="62" t="e">
        <f>VLOOKUP('北段 (人資版)'!AF73,工作表1!$A$3:$B$78,2,FALSE)</f>
        <v>#N/A</v>
      </c>
      <c r="AG73" s="62" t="e">
        <f>VLOOKUP('北段 (人資版)'!AG73,工作表1!$A$3:$B$78,2,FALSE)</f>
        <v>#N/A</v>
      </c>
      <c r="AH73" s="62" t="e">
        <f>VLOOKUP('北段 (人資版)'!AH73,工作表1!$A$3:$B$78,2,FALSE)</f>
        <v>#REF!</v>
      </c>
      <c r="AI73" s="62" t="e">
        <f>VLOOKUP('北段 (人資版)'!AI73,工作表1!$A$3:$B$78,2,FALSE)</f>
        <v>#REF!</v>
      </c>
      <c r="AJ73" s="62" t="e">
        <f>VLOOKUP('北段 (人資版)'!AJ73,工作表1!$A$3:$B$78,2,FALSE)</f>
        <v>#REF!</v>
      </c>
      <c r="AK73" s="62" t="e">
        <f>VLOOKUP('北段 (人資版)'!AK73,工作表1!$A$3:$B$78,2,FALSE)</f>
        <v>#REF!</v>
      </c>
      <c r="AL73" s="62" t="e">
        <f>VLOOKUP('北段 (人資版)'!AL73,工作表1!$A$3:$B$78,2,FALSE)</f>
        <v>#REF!</v>
      </c>
      <c r="AM73" s="62" t="e">
        <f>VLOOKUP('北段 (人資版)'!AM73,工作表1!$A$3:$B$78,2,FALSE)</f>
        <v>#REF!</v>
      </c>
      <c r="AN73" s="62" t="e">
        <f>VLOOKUP('北段 (人資版)'!AN73,工作表1!$A$3:$B$78,2,FALSE)</f>
        <v>#REF!</v>
      </c>
    </row>
  </sheetData>
  <sheetProtection autoFilter="0"/>
  <autoFilter ref="A2:AJ73"/>
  <mergeCells count="4">
    <mergeCell ref="A3:A12"/>
    <mergeCell ref="A1:A2"/>
    <mergeCell ref="B1:B2"/>
    <mergeCell ref="C1:C2"/>
  </mergeCells>
  <phoneticPr fontId="1" type="noConversion"/>
  <conditionalFormatting sqref="D3:AN73">
    <cfRule type="containsErrors" dxfId="0" priority="59">
      <formula>ISERROR(D3)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  <headerFooter>
    <oddHeader>&amp;C&amp;"微軟正黑體,標準"&amp;48桃園捷運公司 運務處站務中心
110年6月員工輪值表(北段)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35"/>
  <sheetViews>
    <sheetView zoomScale="115" zoomScaleNormal="115" workbookViewId="0">
      <selection activeCell="A21" sqref="A21"/>
    </sheetView>
  </sheetViews>
  <sheetFormatPr defaultColWidth="8.875" defaultRowHeight="16.5"/>
  <cols>
    <col min="1" max="1" width="18.375" style="5" customWidth="1"/>
    <col min="2" max="2" width="10.75" style="5" customWidth="1"/>
    <col min="3" max="5" width="8.875" style="5"/>
    <col min="6" max="6" width="9.5" style="5" bestFit="1" customWidth="1"/>
    <col min="7" max="16384" width="8.875" style="5"/>
  </cols>
  <sheetData>
    <row r="1" spans="1:8" customFormat="1">
      <c r="B1" s="1" t="s">
        <v>115</v>
      </c>
      <c r="C1" s="2">
        <v>2026</v>
      </c>
      <c r="E1" s="312" t="s">
        <v>116</v>
      </c>
      <c r="F1" s="312">
        <v>2</v>
      </c>
      <c r="G1" s="312"/>
      <c r="H1" s="2">
        <v>4</v>
      </c>
    </row>
    <row r="3" spans="1:8">
      <c r="A3" s="5" t="s">
        <v>164</v>
      </c>
      <c r="B3" s="5" t="s">
        <v>154</v>
      </c>
      <c r="F3" s="134"/>
    </row>
    <row r="4" spans="1:8">
      <c r="A4" s="5" t="s">
        <v>171</v>
      </c>
      <c r="B4" s="5" t="s">
        <v>154</v>
      </c>
    </row>
    <row r="5" spans="1:8" s="36" customFormat="1">
      <c r="A5" s="36" t="s">
        <v>205</v>
      </c>
      <c r="B5" s="36" t="s">
        <v>154</v>
      </c>
      <c r="F5" s="134">
        <v>46075</v>
      </c>
    </row>
    <row r="6" spans="1:8" s="36" customFormat="1">
      <c r="A6" s="36" t="s">
        <v>178</v>
      </c>
      <c r="B6" s="40" t="s">
        <v>204</v>
      </c>
      <c r="F6" s="134">
        <v>46081</v>
      </c>
    </row>
    <row r="7" spans="1:8" s="99" customFormat="1">
      <c r="A7" s="99" t="s">
        <v>238</v>
      </c>
      <c r="B7" s="40" t="s">
        <v>169</v>
      </c>
      <c r="F7" s="134">
        <v>46082</v>
      </c>
    </row>
    <row r="8" spans="1:8" s="99" customFormat="1">
      <c r="A8" s="99" t="s">
        <v>240</v>
      </c>
      <c r="B8" s="40" t="s">
        <v>169</v>
      </c>
      <c r="F8" s="134">
        <v>46088</v>
      </c>
    </row>
    <row r="9" spans="1:8" s="99" customFormat="1">
      <c r="A9" s="99" t="s">
        <v>241</v>
      </c>
      <c r="B9" s="40" t="s">
        <v>169</v>
      </c>
      <c r="F9" s="134">
        <v>46089</v>
      </c>
    </row>
    <row r="10" spans="1:8" s="99" customFormat="1">
      <c r="A10" s="99" t="s">
        <v>242</v>
      </c>
      <c r="B10" s="40" t="s">
        <v>169</v>
      </c>
      <c r="F10" s="134">
        <v>46095</v>
      </c>
    </row>
    <row r="11" spans="1:8" s="36" customFormat="1">
      <c r="A11" s="36" t="s">
        <v>168</v>
      </c>
      <c r="B11" s="40" t="s">
        <v>169</v>
      </c>
      <c r="F11" s="134">
        <v>46096</v>
      </c>
    </row>
    <row r="12" spans="1:8" s="99" customFormat="1">
      <c r="A12" s="99" t="s">
        <v>216</v>
      </c>
      <c r="B12" s="40" t="s">
        <v>169</v>
      </c>
      <c r="F12" s="134">
        <v>46102</v>
      </c>
    </row>
    <row r="13" spans="1:8">
      <c r="A13" s="5" t="s">
        <v>153</v>
      </c>
      <c r="B13" s="5" t="s">
        <v>155</v>
      </c>
      <c r="F13" s="134">
        <v>46103</v>
      </c>
    </row>
    <row r="14" spans="1:8">
      <c r="A14" s="5" t="s">
        <v>156</v>
      </c>
      <c r="B14" s="5" t="s">
        <v>155</v>
      </c>
      <c r="F14" s="134">
        <v>46109</v>
      </c>
    </row>
    <row r="15" spans="1:8">
      <c r="A15" s="5" t="s">
        <v>157</v>
      </c>
      <c r="B15" s="5" t="s">
        <v>155</v>
      </c>
      <c r="F15" s="134">
        <v>46110</v>
      </c>
    </row>
    <row r="16" spans="1:8">
      <c r="A16" s="5" t="s">
        <v>138</v>
      </c>
      <c r="B16" s="5" t="s">
        <v>155</v>
      </c>
      <c r="F16" s="134">
        <v>46116</v>
      </c>
    </row>
    <row r="17" spans="1:2">
      <c r="A17" s="5" t="s">
        <v>142</v>
      </c>
      <c r="B17" s="5" t="s">
        <v>155</v>
      </c>
    </row>
    <row r="18" spans="1:2">
      <c r="A18" s="5" t="s">
        <v>146</v>
      </c>
      <c r="B18" s="5" t="s">
        <v>155</v>
      </c>
    </row>
    <row r="19" spans="1:2" s="36" customFormat="1">
      <c r="A19" s="36" t="s">
        <v>148</v>
      </c>
      <c r="B19" s="36" t="s">
        <v>155</v>
      </c>
    </row>
    <row r="20" spans="1:2" s="36" customFormat="1">
      <c r="A20" s="36" t="s">
        <v>277</v>
      </c>
      <c r="B20" s="36">
        <v>43</v>
      </c>
    </row>
    <row r="21" spans="1:2" s="36" customFormat="1">
      <c r="A21" s="36" t="s">
        <v>202</v>
      </c>
      <c r="B21" s="36">
        <v>31</v>
      </c>
    </row>
    <row r="22" spans="1:2" s="36" customFormat="1">
      <c r="A22" s="36" t="s">
        <v>206</v>
      </c>
      <c r="B22" s="36">
        <v>11</v>
      </c>
    </row>
    <row r="23" spans="1:2">
      <c r="A23" s="5" t="s">
        <v>158</v>
      </c>
      <c r="B23" s="5">
        <v>38</v>
      </c>
    </row>
    <row r="24" spans="1:2">
      <c r="A24" s="5" t="s">
        <v>128</v>
      </c>
      <c r="B24" s="5">
        <v>38</v>
      </c>
    </row>
    <row r="25" spans="1:2">
      <c r="A25" s="5" t="s">
        <v>159</v>
      </c>
      <c r="B25" s="5">
        <v>38</v>
      </c>
    </row>
    <row r="26" spans="1:2">
      <c r="A26" s="5" t="s">
        <v>137</v>
      </c>
      <c r="B26" s="5">
        <v>38</v>
      </c>
    </row>
    <row r="27" spans="1:2">
      <c r="A27" s="5" t="s">
        <v>140</v>
      </c>
      <c r="B27" s="5">
        <v>38</v>
      </c>
    </row>
    <row r="28" spans="1:2">
      <c r="A28" s="5" t="s">
        <v>144</v>
      </c>
      <c r="B28" s="5">
        <v>38</v>
      </c>
    </row>
    <row r="29" spans="1:2" s="36" customFormat="1">
      <c r="A29" s="36" t="s">
        <v>196</v>
      </c>
      <c r="B29" s="36">
        <v>38</v>
      </c>
    </row>
    <row r="30" spans="1:2" s="36" customFormat="1">
      <c r="A30" s="36" t="s">
        <v>195</v>
      </c>
      <c r="B30" s="36">
        <v>38</v>
      </c>
    </row>
    <row r="31" spans="1:2" ht="18.75" customHeight="1">
      <c r="A31" s="5" t="s">
        <v>124</v>
      </c>
      <c r="B31" s="5">
        <v>38</v>
      </c>
    </row>
    <row r="32" spans="1:2" s="36" customFormat="1" ht="18.75" customHeight="1">
      <c r="A32" s="36" t="s">
        <v>197</v>
      </c>
      <c r="B32" s="36">
        <v>43</v>
      </c>
    </row>
    <row r="33" spans="1:2" s="36" customFormat="1" ht="18.75" customHeight="1">
      <c r="A33" s="36" t="s">
        <v>207</v>
      </c>
      <c r="B33" s="36">
        <v>43</v>
      </c>
    </row>
    <row r="34" spans="1:2">
      <c r="A34" s="5" t="s">
        <v>166</v>
      </c>
      <c r="B34" s="5">
        <v>66</v>
      </c>
    </row>
    <row r="35" spans="1:2">
      <c r="A35" s="5" t="s">
        <v>129</v>
      </c>
      <c r="B35" s="5">
        <v>66</v>
      </c>
    </row>
    <row r="36" spans="1:2">
      <c r="A36" s="5" t="s">
        <v>131</v>
      </c>
      <c r="B36" s="5">
        <v>66</v>
      </c>
    </row>
    <row r="37" spans="1:2">
      <c r="A37" s="5" t="s">
        <v>136</v>
      </c>
      <c r="B37" s="5">
        <v>66</v>
      </c>
    </row>
    <row r="38" spans="1:2" ht="15" customHeight="1">
      <c r="A38" s="5" t="s">
        <v>141</v>
      </c>
      <c r="B38" s="5">
        <v>66</v>
      </c>
    </row>
    <row r="39" spans="1:2">
      <c r="A39" s="5" t="s">
        <v>143</v>
      </c>
      <c r="B39" s="5">
        <v>66</v>
      </c>
    </row>
    <row r="40" spans="1:2" s="36" customFormat="1">
      <c r="A40" s="40" t="s">
        <v>176</v>
      </c>
      <c r="B40" s="36">
        <v>22</v>
      </c>
    </row>
    <row r="41" spans="1:2" s="36" customFormat="1">
      <c r="A41" s="40" t="s">
        <v>203</v>
      </c>
      <c r="B41" s="36">
        <v>22</v>
      </c>
    </row>
    <row r="42" spans="1:2" s="36" customFormat="1">
      <c r="A42" s="40" t="s">
        <v>211</v>
      </c>
      <c r="B42" s="36">
        <v>22</v>
      </c>
    </row>
    <row r="43" spans="1:2" s="36" customFormat="1">
      <c r="A43" s="36" t="s">
        <v>201</v>
      </c>
      <c r="B43" s="36">
        <v>22</v>
      </c>
    </row>
    <row r="44" spans="1:2" s="36" customFormat="1">
      <c r="A44" s="36" t="s">
        <v>194</v>
      </c>
      <c r="B44" s="36">
        <v>66</v>
      </c>
    </row>
    <row r="45" spans="1:2">
      <c r="A45" s="5" t="s">
        <v>126</v>
      </c>
      <c r="B45" s="5">
        <v>66</v>
      </c>
    </row>
    <row r="46" spans="1:2">
      <c r="A46" s="5" t="s">
        <v>160</v>
      </c>
      <c r="B46" s="5">
        <v>70</v>
      </c>
    </row>
    <row r="47" spans="1:2">
      <c r="A47" s="5" t="s">
        <v>130</v>
      </c>
      <c r="B47" s="5">
        <v>70</v>
      </c>
    </row>
    <row r="48" spans="1:2">
      <c r="A48" s="5" t="s">
        <v>132</v>
      </c>
      <c r="B48" s="5">
        <v>70</v>
      </c>
    </row>
    <row r="49" spans="1:17">
      <c r="A49" s="5" t="s">
        <v>135</v>
      </c>
      <c r="B49" s="5">
        <v>70</v>
      </c>
    </row>
    <row r="50" spans="1:17">
      <c r="A50" s="5" t="s">
        <v>139</v>
      </c>
      <c r="B50" s="5">
        <v>70</v>
      </c>
    </row>
    <row r="51" spans="1:17">
      <c r="A51" s="5" t="s">
        <v>145</v>
      </c>
      <c r="B51" s="5">
        <v>70</v>
      </c>
    </row>
    <row r="52" spans="1:17">
      <c r="A52" s="5" t="s">
        <v>127</v>
      </c>
      <c r="B52" s="5">
        <v>70</v>
      </c>
    </row>
    <row r="53" spans="1:17" s="36" customFormat="1">
      <c r="A53" s="36" t="s">
        <v>177</v>
      </c>
      <c r="B53" s="36">
        <v>67</v>
      </c>
    </row>
    <row r="54" spans="1:17" ht="16.149999999999999" customHeight="1">
      <c r="A54" s="5" t="s">
        <v>133</v>
      </c>
      <c r="B54" s="5" t="s">
        <v>161</v>
      </c>
      <c r="J54" s="32"/>
      <c r="K54" s="32"/>
      <c r="L54" s="32"/>
      <c r="M54" s="32"/>
      <c r="N54" s="32"/>
      <c r="O54" s="32"/>
      <c r="P54" s="32"/>
      <c r="Q54" s="32"/>
    </row>
    <row r="55" spans="1:17" ht="16.149999999999999" customHeight="1">
      <c r="A55" s="5" t="s">
        <v>134</v>
      </c>
      <c r="B55" s="5" t="s">
        <v>162</v>
      </c>
      <c r="J55" s="32"/>
      <c r="K55" s="32"/>
      <c r="L55" s="32"/>
      <c r="M55" s="32"/>
      <c r="N55" s="32"/>
      <c r="O55" s="32"/>
      <c r="P55" s="32"/>
      <c r="Q55" s="32"/>
    </row>
    <row r="56" spans="1:17">
      <c r="A56" s="5" t="s">
        <v>6</v>
      </c>
      <c r="B56" s="5" t="s">
        <v>155</v>
      </c>
    </row>
    <row r="57" spans="1:17">
      <c r="A57" s="5" t="s">
        <v>165</v>
      </c>
      <c r="B57" s="5">
        <v>90</v>
      </c>
    </row>
    <row r="58" spans="1:17" ht="16.149999999999999" customHeight="1">
      <c r="A58" s="5" t="s">
        <v>7</v>
      </c>
      <c r="B58" s="5">
        <v>91</v>
      </c>
      <c r="J58" s="32"/>
      <c r="K58" s="32"/>
      <c r="L58" s="32"/>
      <c r="M58" s="32"/>
      <c r="N58" s="32"/>
      <c r="O58" s="32"/>
      <c r="P58" s="32"/>
      <c r="Q58" s="32"/>
    </row>
    <row r="59" spans="1:17" ht="16.149999999999999" customHeight="1">
      <c r="A59" s="5" t="s">
        <v>125</v>
      </c>
      <c r="B59" s="5">
        <v>92</v>
      </c>
      <c r="J59" s="32"/>
      <c r="K59" s="32"/>
      <c r="L59" s="32"/>
      <c r="M59" s="32"/>
      <c r="N59" s="32"/>
      <c r="O59" s="32"/>
      <c r="P59" s="32"/>
      <c r="Q59" s="32"/>
    </row>
    <row r="60" spans="1:17" s="36" customFormat="1" ht="16.149999999999999" customHeight="1">
      <c r="A60" s="36" t="s">
        <v>175</v>
      </c>
      <c r="B60" s="36">
        <v>92</v>
      </c>
      <c r="J60" s="32"/>
      <c r="K60" s="32"/>
      <c r="L60" s="32"/>
      <c r="M60" s="32"/>
      <c r="N60" s="32"/>
      <c r="O60" s="32"/>
      <c r="P60" s="32"/>
      <c r="Q60" s="32"/>
    </row>
    <row r="61" spans="1:17" s="99" customFormat="1" ht="16.149999999999999" customHeight="1">
      <c r="A61" s="99" t="s">
        <v>199</v>
      </c>
      <c r="B61" s="99">
        <v>92</v>
      </c>
      <c r="J61" s="32"/>
      <c r="K61" s="32"/>
      <c r="L61" s="32"/>
      <c r="M61" s="32"/>
      <c r="N61" s="32"/>
      <c r="O61" s="32"/>
      <c r="P61" s="32"/>
      <c r="Q61" s="32"/>
    </row>
    <row r="62" spans="1:17" s="99" customFormat="1" ht="16.149999999999999" customHeight="1">
      <c r="A62" s="99" t="s">
        <v>252</v>
      </c>
      <c r="B62" s="99">
        <v>92</v>
      </c>
      <c r="J62" s="32"/>
      <c r="K62" s="32"/>
      <c r="L62" s="32"/>
      <c r="M62" s="32"/>
      <c r="N62" s="32"/>
      <c r="O62" s="32"/>
      <c r="P62" s="32"/>
      <c r="Q62" s="32"/>
    </row>
    <row r="63" spans="1:17" s="36" customFormat="1" ht="16.149999999999999" customHeight="1">
      <c r="A63" s="36" t="s">
        <v>172</v>
      </c>
      <c r="B63" s="36">
        <v>92</v>
      </c>
      <c r="J63" s="32"/>
      <c r="K63" s="32"/>
      <c r="L63" s="32"/>
      <c r="M63" s="32"/>
      <c r="N63" s="32"/>
      <c r="O63" s="32"/>
      <c r="P63" s="32"/>
      <c r="Q63" s="32"/>
    </row>
    <row r="64" spans="1:17" s="36" customFormat="1" ht="16.149999999999999" customHeight="1">
      <c r="A64" s="36" t="s">
        <v>249</v>
      </c>
      <c r="B64" s="36">
        <v>92</v>
      </c>
      <c r="J64" s="32"/>
      <c r="K64" s="32"/>
      <c r="L64" s="32"/>
      <c r="M64" s="32"/>
      <c r="N64" s="32"/>
      <c r="O64" s="32"/>
      <c r="P64" s="32"/>
      <c r="Q64" s="32"/>
    </row>
    <row r="65" spans="1:17" s="36" customFormat="1" ht="16.149999999999999" customHeight="1">
      <c r="A65" s="36" t="s">
        <v>210</v>
      </c>
      <c r="B65" s="36">
        <v>92</v>
      </c>
      <c r="J65" s="32"/>
      <c r="K65" s="32"/>
      <c r="L65" s="32"/>
      <c r="M65" s="32"/>
      <c r="N65" s="32"/>
      <c r="O65" s="32"/>
      <c r="P65" s="32"/>
      <c r="Q65" s="32"/>
    </row>
    <row r="66" spans="1:17" s="36" customFormat="1" ht="16.149999999999999" customHeight="1">
      <c r="A66" s="36" t="s">
        <v>200</v>
      </c>
      <c r="B66" s="36">
        <v>92</v>
      </c>
      <c r="J66" s="32"/>
      <c r="K66" s="32"/>
      <c r="L66" s="32"/>
      <c r="M66" s="32"/>
      <c r="N66" s="32"/>
      <c r="O66" s="32"/>
      <c r="P66" s="32"/>
      <c r="Q66" s="32"/>
    </row>
    <row r="67" spans="1:17" s="99" customFormat="1" ht="16.149999999999999" customHeight="1">
      <c r="A67" s="40" t="s">
        <v>260</v>
      </c>
      <c r="B67" s="99">
        <v>90</v>
      </c>
      <c r="J67" s="32"/>
      <c r="K67" s="32"/>
      <c r="L67" s="32"/>
      <c r="M67" s="32"/>
      <c r="N67" s="32"/>
      <c r="O67" s="32"/>
      <c r="P67" s="32"/>
      <c r="Q67" s="32"/>
    </row>
    <row r="68" spans="1:17" s="99" customFormat="1" ht="16.149999999999999" customHeight="1">
      <c r="A68" s="99" t="s">
        <v>237</v>
      </c>
      <c r="B68" s="99" t="s">
        <v>239</v>
      </c>
      <c r="J68" s="32"/>
      <c r="K68" s="32"/>
      <c r="L68" s="32"/>
      <c r="M68" s="32"/>
      <c r="N68" s="32"/>
      <c r="O68" s="32"/>
      <c r="P68" s="32"/>
      <c r="Q68" s="32"/>
    </row>
    <row r="69" spans="1:17" s="36" customFormat="1" ht="16.149999999999999" customHeight="1">
      <c r="A69" s="36" t="s">
        <v>208</v>
      </c>
      <c r="B69" s="36" t="s">
        <v>170</v>
      </c>
      <c r="J69" s="32"/>
      <c r="K69" s="32"/>
      <c r="L69" s="32"/>
      <c r="M69" s="32"/>
      <c r="N69" s="32"/>
      <c r="O69" s="32"/>
      <c r="P69" s="32"/>
      <c r="Q69" s="32"/>
    </row>
    <row r="70" spans="1:17" s="99" customFormat="1" ht="16.149999999999999" customHeight="1">
      <c r="A70" s="99" t="s">
        <v>259</v>
      </c>
      <c r="B70" s="99" t="s">
        <v>170</v>
      </c>
      <c r="J70" s="32"/>
      <c r="K70" s="32"/>
      <c r="L70" s="32"/>
      <c r="M70" s="32"/>
      <c r="N70" s="32"/>
      <c r="O70" s="32"/>
      <c r="P70" s="32"/>
      <c r="Q70" s="32"/>
    </row>
    <row r="71" spans="1:17" s="99" customFormat="1" ht="16.149999999999999" customHeight="1">
      <c r="A71" s="99" t="s">
        <v>248</v>
      </c>
      <c r="B71" s="99" t="s">
        <v>170</v>
      </c>
      <c r="J71" s="32"/>
      <c r="K71" s="32"/>
      <c r="L71" s="32"/>
      <c r="M71" s="32"/>
      <c r="N71" s="32"/>
      <c r="O71" s="32"/>
      <c r="P71" s="32"/>
      <c r="Q71" s="32"/>
    </row>
    <row r="72" spans="1:17" s="99" customFormat="1" ht="16.149999999999999" customHeight="1">
      <c r="A72" s="99" t="s">
        <v>174</v>
      </c>
      <c r="B72" s="99" t="s">
        <v>170</v>
      </c>
      <c r="J72" s="32"/>
      <c r="K72" s="32"/>
      <c r="L72" s="32"/>
      <c r="M72" s="32"/>
      <c r="N72" s="32"/>
      <c r="O72" s="32"/>
      <c r="P72" s="32"/>
      <c r="Q72" s="32"/>
    </row>
    <row r="73" spans="1:17" s="99" customFormat="1" ht="16.149999999999999" customHeight="1">
      <c r="A73" s="99" t="s">
        <v>167</v>
      </c>
      <c r="B73" s="99" t="s">
        <v>173</v>
      </c>
      <c r="J73" s="32"/>
      <c r="K73" s="32"/>
      <c r="L73" s="32"/>
      <c r="M73" s="32"/>
      <c r="N73" s="32"/>
      <c r="O73" s="32"/>
      <c r="P73" s="32"/>
      <c r="Q73" s="32"/>
    </row>
    <row r="74" spans="1:17" s="36" customFormat="1" ht="16.149999999999999" customHeight="1">
      <c r="A74" s="36" t="s">
        <v>209</v>
      </c>
      <c r="B74" s="36" t="s">
        <v>239</v>
      </c>
      <c r="J74" s="32"/>
      <c r="K74" s="32"/>
      <c r="L74" s="32"/>
      <c r="M74" s="32"/>
      <c r="N74" s="32"/>
      <c r="O74" s="32"/>
      <c r="P74" s="32"/>
      <c r="Q74" s="32"/>
    </row>
    <row r="75" spans="1:17" ht="16.149999999999999" customHeight="1">
      <c r="J75" s="32"/>
      <c r="K75" s="32"/>
      <c r="L75" s="32"/>
      <c r="M75" s="32"/>
      <c r="N75" s="32"/>
      <c r="O75" s="32"/>
      <c r="P75" s="32"/>
      <c r="Q75" s="32"/>
    </row>
    <row r="76" spans="1:17" ht="16.149999999999999" customHeight="1">
      <c r="J76" s="32"/>
      <c r="K76" s="32"/>
      <c r="L76" s="32"/>
      <c r="M76" s="32"/>
      <c r="N76" s="32"/>
      <c r="O76" s="32"/>
      <c r="P76" s="32"/>
      <c r="Q76" s="32"/>
    </row>
    <row r="77" spans="1:17" ht="16.149999999999999" customHeight="1"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</row>
    <row r="78" spans="1:17" ht="16.149999999999999" customHeight="1"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</row>
    <row r="79" spans="1:17" ht="16.149999999999999" customHeight="1"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</row>
    <row r="80" spans="1:17" ht="16.149999999999999" customHeight="1"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</row>
    <row r="81" spans="5:17" ht="16.149999999999999" customHeight="1"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</row>
    <row r="82" spans="5:17" ht="16.149999999999999" customHeight="1"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</row>
    <row r="83" spans="5:17" ht="16.149999999999999" customHeight="1"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</row>
    <row r="84" spans="5:17" ht="16.149999999999999" customHeight="1">
      <c r="E84" s="32"/>
      <c r="F84" s="32"/>
      <c r="G84" s="32"/>
      <c r="H84" s="32"/>
      <c r="I84" s="32"/>
      <c r="J84" s="32"/>
      <c r="K84" s="32"/>
      <c r="L84" s="32"/>
    </row>
    <row r="85" spans="5:17" ht="16.149999999999999" customHeight="1">
      <c r="E85" s="32"/>
      <c r="F85" s="32"/>
      <c r="G85" s="32"/>
      <c r="H85" s="32"/>
      <c r="I85" s="32"/>
      <c r="J85" s="32"/>
      <c r="K85" s="32"/>
      <c r="L85" s="32"/>
    </row>
    <row r="86" spans="5:17" ht="16.149999999999999" customHeight="1">
      <c r="E86" s="32"/>
      <c r="F86" s="32"/>
      <c r="G86" s="32"/>
      <c r="H86" s="32"/>
      <c r="I86" s="32"/>
      <c r="J86" s="32"/>
      <c r="K86" s="32"/>
      <c r="L86" s="32"/>
    </row>
    <row r="87" spans="5:17" ht="16.149999999999999" customHeight="1">
      <c r="E87" s="32"/>
      <c r="F87" s="32"/>
      <c r="G87" s="32"/>
      <c r="H87" s="32"/>
      <c r="I87" s="32"/>
      <c r="J87" s="32"/>
      <c r="K87" s="32"/>
      <c r="L87" s="32"/>
    </row>
    <row r="88" spans="5:17" ht="16.149999999999999" customHeight="1">
      <c r="E88" s="32"/>
      <c r="F88" s="32"/>
      <c r="G88" s="32"/>
      <c r="H88" s="32"/>
      <c r="I88" s="32"/>
      <c r="J88" s="32"/>
      <c r="K88" s="32"/>
      <c r="L88" s="32"/>
    </row>
    <row r="89" spans="5:17" ht="16.149999999999999" customHeight="1">
      <c r="E89" s="32"/>
      <c r="F89" s="32"/>
      <c r="G89" s="32"/>
      <c r="H89" s="32"/>
      <c r="I89" s="32"/>
      <c r="J89" s="32"/>
      <c r="K89" s="32"/>
      <c r="L89" s="32"/>
    </row>
    <row r="90" spans="5:17" ht="16.149999999999999" customHeight="1">
      <c r="E90" s="32"/>
      <c r="F90" s="32"/>
      <c r="G90" s="32"/>
      <c r="H90" s="32"/>
      <c r="I90" s="32"/>
      <c r="J90" s="32"/>
      <c r="K90" s="32"/>
      <c r="L90" s="32"/>
    </row>
    <row r="91" spans="5:17" ht="16.149999999999999" customHeight="1">
      <c r="E91" s="32"/>
      <c r="F91" s="32"/>
      <c r="G91" s="32"/>
      <c r="H91" s="32"/>
      <c r="I91" s="32"/>
      <c r="J91" s="32"/>
      <c r="K91" s="32"/>
      <c r="L91" s="32"/>
    </row>
    <row r="92" spans="5:17" ht="16.149999999999999" customHeight="1">
      <c r="E92" s="32"/>
      <c r="F92" s="32"/>
      <c r="G92" s="32"/>
      <c r="H92" s="32"/>
      <c r="I92" s="32"/>
      <c r="J92" s="32"/>
      <c r="K92" s="32"/>
      <c r="L92" s="32"/>
    </row>
    <row r="93" spans="5:17" ht="16.149999999999999" customHeight="1">
      <c r="E93" s="32"/>
      <c r="F93" s="32"/>
      <c r="G93" s="32"/>
      <c r="H93" s="32"/>
      <c r="I93" s="32"/>
      <c r="J93" s="32"/>
      <c r="K93" s="32"/>
      <c r="L93" s="32"/>
    </row>
    <row r="94" spans="5:17" ht="16.899999999999999" customHeight="1">
      <c r="E94" s="32"/>
      <c r="F94" s="32"/>
      <c r="G94" s="32"/>
      <c r="H94" s="32"/>
      <c r="I94" s="32"/>
      <c r="J94" s="32"/>
      <c r="K94" s="32"/>
      <c r="L94" s="32"/>
    </row>
    <row r="95" spans="5:17">
      <c r="E95" s="32"/>
      <c r="F95" s="32"/>
      <c r="G95" s="32"/>
      <c r="H95" s="32"/>
      <c r="I95" s="32"/>
      <c r="J95" s="32"/>
      <c r="K95" s="32"/>
      <c r="L95" s="32"/>
    </row>
    <row r="96" spans="5:17">
      <c r="E96" s="32"/>
      <c r="F96" s="32"/>
      <c r="G96" s="32"/>
      <c r="H96" s="32"/>
      <c r="I96" s="32"/>
      <c r="J96" s="32"/>
      <c r="K96" s="32"/>
      <c r="L96" s="32"/>
    </row>
    <row r="97" spans="5:17">
      <c r="E97" s="32"/>
      <c r="F97" s="32"/>
      <c r="G97" s="32"/>
      <c r="H97" s="32"/>
      <c r="I97" s="32"/>
      <c r="J97" s="32"/>
      <c r="K97" s="32"/>
      <c r="L97" s="32"/>
    </row>
    <row r="98" spans="5:17"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</row>
    <row r="99" spans="5:17"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</row>
    <row r="100" spans="5:17"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</row>
    <row r="101" spans="5:17"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</row>
    <row r="102" spans="5:17"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</row>
    <row r="103" spans="5:17"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</row>
    <row r="104" spans="5:17"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</row>
    <row r="105" spans="5:17"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</row>
    <row r="106" spans="5:17"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</row>
    <row r="107" spans="5:17"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</row>
    <row r="108" spans="5:17"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</row>
    <row r="109" spans="5:17"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</row>
    <row r="110" spans="5:17"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</row>
    <row r="111" spans="5:17"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</row>
    <row r="112" spans="5:17"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</row>
    <row r="113" spans="5:17"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</row>
    <row r="114" spans="5:17"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</row>
    <row r="115" spans="5:17"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</row>
    <row r="116" spans="5:17"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</row>
    <row r="117" spans="5:17"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</row>
    <row r="118" spans="5:17"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</row>
    <row r="119" spans="5:17"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</row>
    <row r="120" spans="5:17"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</row>
    <row r="121" spans="5:17"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</row>
    <row r="122" spans="5:17"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</row>
    <row r="123" spans="5:17"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</row>
    <row r="124" spans="5:17"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</row>
    <row r="125" spans="5:17"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</row>
    <row r="126" spans="5:17"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</row>
    <row r="127" spans="5:17"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</row>
    <row r="128" spans="5:17"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</row>
    <row r="129" spans="5:17"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</row>
    <row r="130" spans="5:17"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</row>
    <row r="131" spans="5:17"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</row>
    <row r="132" spans="5:17"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</row>
    <row r="133" spans="5:17"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</row>
    <row r="134" spans="5:17"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</row>
    <row r="135" spans="5:17"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</row>
  </sheetData>
  <mergeCells count="1">
    <mergeCell ref="E1:G1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Spinner 1">
              <controlPr defaultSize="0" autoPict="0">
                <anchor moveWithCells="1" sizeWithCells="1">
                  <from>
                    <xdr:col>3</xdr:col>
                    <xdr:colOff>38100</xdr:colOff>
                    <xdr:row>0</xdr:row>
                    <xdr:rowOff>28575</xdr:rowOff>
                  </from>
                  <to>
                    <xdr:col>3</xdr:col>
                    <xdr:colOff>447675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Spinner 2">
              <controlPr defaultSize="0" autoPict="0">
                <anchor moveWithCells="1" sizeWithCells="1">
                  <from>
                    <xdr:col>8</xdr:col>
                    <xdr:colOff>57150</xdr:colOff>
                    <xdr:row>0</xdr:row>
                    <xdr:rowOff>9525</xdr:rowOff>
                  </from>
                  <to>
                    <xdr:col>8</xdr:col>
                    <xdr:colOff>438150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Button 3">
              <controlPr defaultSize="0" print="0" autoFill="0" autoPict="0" macro="[1]!清除">
                <anchor moveWithCells="1" sizeWithCells="1">
                  <from>
                    <xdr:col>9</xdr:col>
                    <xdr:colOff>171450</xdr:colOff>
                    <xdr:row>0</xdr:row>
                    <xdr:rowOff>57150</xdr:rowOff>
                  </from>
                  <to>
                    <xdr:col>11</xdr:col>
                    <xdr:colOff>133350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3" sqref="L23"/>
    </sheetView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3</vt:i4>
      </vt:variant>
    </vt:vector>
  </HeadingPairs>
  <TitlesOfParts>
    <vt:vector size="8" baseType="lpstr">
      <vt:lpstr>北段</vt:lpstr>
      <vt:lpstr>北段 (人資版)</vt:lpstr>
      <vt:lpstr>北段(八周檢核代碼</vt:lpstr>
      <vt:lpstr>工作表1</vt:lpstr>
      <vt:lpstr>工作表2</vt:lpstr>
      <vt:lpstr>北段!Print_Area</vt:lpstr>
      <vt:lpstr>'北段 (人資版)'!Print_Area</vt:lpstr>
      <vt:lpstr>'北段(八周檢核代碼'!Print_Area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吳婉婷</dc:creator>
  <cp:lastModifiedBy>林孟錡</cp:lastModifiedBy>
  <cp:lastPrinted>2026-04-20T01:56:19Z</cp:lastPrinted>
  <dcterms:created xsi:type="dcterms:W3CDTF">2019-06-06T11:40:27Z</dcterms:created>
  <dcterms:modified xsi:type="dcterms:W3CDTF">2026-06-06T21:09:52Z</dcterms:modified>
</cp:coreProperties>
</file>