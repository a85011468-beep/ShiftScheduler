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北段" sheetId="1" r:id="rId5"/>
    <sheet state="visible" name="北段 (人資版)" sheetId="2" r:id="rId6"/>
    <sheet state="visible" name="北段(八周檢核代碼" sheetId="3" r:id="rId7"/>
    <sheet state="visible" name="工作表1" sheetId="4" r:id="rId8"/>
    <sheet state="visible" name="工作表2" sheetId="5" r:id="rId9"/>
  </sheets>
  <definedNames>
    <definedName localSheetId="2" name="Z_BD804FFF_0FA6_4DDB_B9D5_07B1854E6033_.wvu.PrintArea">'北段(八周檢核代碼'!$A$1:$AJ$68</definedName>
    <definedName localSheetId="0" name="Z_BD804FFF_0FA6_4DDB_B9D5_07B1854E6033_.wvu.PrintArea">'北段'!$A$1:$BL$65</definedName>
    <definedName localSheetId="1" name="Z_BD804FFF_0FA6_4DDB_B9D5_07B1854E6033_.wvu.PrintArea">'北段 (人資版)'!$A$1:$AC$70</definedName>
    <definedName hidden="1" localSheetId="0" name="_xlnm._FilterDatabase">'北段'!$A$2:$BR$32</definedName>
    <definedName hidden="1" localSheetId="1" name="_xlnm._FilterDatabase">'北段 (人資版)'!$A$2:$AC$70</definedName>
    <definedName hidden="1" localSheetId="2" name="_xlnm._FilterDatabase">'北段(八周檢核代碼'!$A$2:$AJ$73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I1">
      <text>
        <t xml:space="preserve">1500-1600
服務人員與情訓管理講座
@A1訓練教室</t>
      </text>
    </comment>
    <comment authorId="0" ref="AA1">
      <text>
        <t xml:space="preserve">14:00~17:00
勞安訓@A1訓練教室</t>
      </text>
    </comment>
    <comment authorId="0" ref="AB1">
      <text>
        <t xml:space="preserve">1400-1700
POST3.0差異訓練
@A1訓練教室</t>
      </text>
    </comment>
  </commentList>
</comments>
</file>

<file path=xl/sharedStrings.xml><?xml version="1.0" encoding="utf-8"?>
<sst xmlns="http://schemas.openxmlformats.org/spreadsheetml/2006/main" count="1112" uniqueCount="215">
  <si>
    <t>員編
ID No.</t>
  </si>
  <si>
    <t xml:space="preserve">          日期
          星期                   
姓名</t>
  </si>
  <si>
    <t>1/1~7/4
P班天數</t>
  </si>
  <si>
    <t>5/24~6/6
實際休假天數</t>
  </si>
  <si>
    <t>6/7~7/4
實際休假天數</t>
  </si>
  <si>
    <t>7/5~7/18
實際休假天數</t>
  </si>
  <si>
    <t>7/5~7/18
剩餘休假天數</t>
  </si>
  <si>
    <t>7/19~8/1
剩餘休假天數</t>
  </si>
  <si>
    <t>7/19~8/1
實際休假天數</t>
  </si>
  <si>
    <t>7份班別小計</t>
  </si>
  <si>
    <t>7月份</t>
  </si>
  <si>
    <t>5/31~6/6</t>
  </si>
  <si>
    <t>6/7~6/13</t>
  </si>
  <si>
    <t>6/14~6/20</t>
  </si>
  <si>
    <t>6/21~6/27</t>
  </si>
  <si>
    <t>6/28~7/4</t>
  </si>
  <si>
    <t>6月天數</t>
  </si>
  <si>
    <t>1/1~6/6
P班天數</t>
  </si>
  <si>
    <t>6/7~7/4
P班天數</t>
  </si>
  <si>
    <t>r</t>
  </si>
  <si>
    <t>R</t>
  </si>
  <si>
    <t>早</t>
  </si>
  <si>
    <t>早A</t>
  </si>
  <si>
    <t>中</t>
  </si>
  <si>
    <t>午</t>
  </si>
  <si>
    <t>午F</t>
  </si>
  <si>
    <t>夜</t>
  </si>
  <si>
    <t>T</t>
  </si>
  <si>
    <t>日</t>
  </si>
  <si>
    <t>L</t>
  </si>
  <si>
    <t>P</t>
  </si>
  <si>
    <t>休假
日數</t>
  </si>
  <si>
    <t>A1</t>
  </si>
  <si>
    <t>T01028</t>
  </si>
  <si>
    <t>林金緗</t>
  </si>
  <si>
    <t>01午M</t>
  </si>
  <si>
    <t>01午m</t>
  </si>
  <si>
    <t>01夜B2</t>
  </si>
  <si>
    <t>01夜B1</t>
  </si>
  <si>
    <t>r'</t>
  </si>
  <si>
    <t>01午B1</t>
  </si>
  <si>
    <t>T00509</t>
  </si>
  <si>
    <t>郭秋儀</t>
  </si>
  <si>
    <t>01早M</t>
  </si>
  <si>
    <t>01早m</t>
  </si>
  <si>
    <t>01中A</t>
  </si>
  <si>
    <t>01早B1</t>
  </si>
  <si>
    <t>01早M(身心減壓)</t>
  </si>
  <si>
    <t>T01029</t>
  </si>
  <si>
    <t>林雯琳</t>
  </si>
  <si>
    <t>T01734</t>
  </si>
  <si>
    <t>黃冠銘</t>
  </si>
  <si>
    <t>T02287</t>
  </si>
  <si>
    <t>林江玉</t>
  </si>
  <si>
    <t>01早M加(AFC訓)</t>
  </si>
  <si>
    <t>T02359</t>
  </si>
  <si>
    <t>陳佳婷</t>
  </si>
  <si>
    <t>01早m(身心減壓)</t>
  </si>
  <si>
    <t>T02363</t>
  </si>
  <si>
    <t>林孟錡</t>
  </si>
  <si>
    <t>T02504</t>
  </si>
  <si>
    <t>潘元浩</t>
  </si>
  <si>
    <t>T02505</t>
  </si>
  <si>
    <t>李慧盺</t>
  </si>
  <si>
    <t>T02776</t>
  </si>
  <si>
    <t>陳怡臻</t>
  </si>
  <si>
    <t>01早B2(跟)</t>
  </si>
  <si>
    <t>01早B1(跟)</t>
  </si>
  <si>
    <t>01午B2</t>
  </si>
  <si>
    <t>01早B2</t>
  </si>
  <si>
    <t>01早m加(AFC訓)</t>
  </si>
  <si>
    <t>T02777</t>
  </si>
  <si>
    <t>彭裕涵</t>
  </si>
  <si>
    <t>T00557</t>
  </si>
  <si>
    <t>陳志明</t>
  </si>
  <si>
    <t>01早B2(身心減壓)</t>
  </si>
  <si>
    <t>T00929</t>
  </si>
  <si>
    <t>簡婉蓁</t>
  </si>
  <si>
    <t>01早B1加(AFC訓)</t>
  </si>
  <si>
    <t>T01459</t>
  </si>
  <si>
    <t>林禹丞</t>
  </si>
  <si>
    <t>T01600</t>
  </si>
  <si>
    <t>陳奎羽</t>
  </si>
  <si>
    <t>01早B1(身心減壓)</t>
  </si>
  <si>
    <t>T01795</t>
  </si>
  <si>
    <t>黃羿綾</t>
  </si>
  <si>
    <t>T02222</t>
  </si>
  <si>
    <r>
      <rPr>
        <rFont val="細明體-ExtB"/>
        <color theme="1"/>
        <sz val="24.0"/>
      </rPr>
      <t>𡍼</t>
    </r>
    <r>
      <rPr>
        <rFont val="微軟正黑體"/>
        <color theme="1"/>
        <sz val="24.0"/>
      </rPr>
      <t>文妤</t>
    </r>
  </si>
  <si>
    <t>01中A(勞安訓)</t>
  </si>
  <si>
    <t>01早B2加(AFC訓)</t>
  </si>
  <si>
    <t>T02233</t>
  </si>
  <si>
    <t>簡悅如</t>
  </si>
  <si>
    <t>T02498</t>
  </si>
  <si>
    <t>張芯瑜</t>
  </si>
  <si>
    <t>T02613</t>
  </si>
  <si>
    <t>張雅荃</t>
  </si>
  <si>
    <t>T02758</t>
  </si>
  <si>
    <t>王映心</t>
  </si>
  <si>
    <t>01午B1(跟)</t>
  </si>
  <si>
    <t>01午B2(跟)</t>
  </si>
  <si>
    <t>T02762</t>
  </si>
  <si>
    <t>周怡萍</t>
  </si>
  <si>
    <t>T02763</t>
  </si>
  <si>
    <t>陳佑融</t>
  </si>
  <si>
    <t>T02769</t>
  </si>
  <si>
    <t>吳東翰</t>
  </si>
  <si>
    <t>班別代號:
OO早A：0620~1520(9hr)  OO早：0630~1430(8hr)  OO早G：0730~1530(8hr) OO早Q：0930~1730(8hr)  OO中A：1100~1900(8hr) OO午P：1400~2200(8hr)  OO午：1410~2210(8hr)  OO午F：1500~2400(9hr)  OO夜：2150~0650(9hr)
OO代表車站、段辦(例如：A17早班，代碼17早。A17正常班，代碼17日。中心正常班，代碼日。北段段辦正常班，代號41日。中段段辦正常班，代號42日。南段段辦正常班，代號43日。)
T：訓練 0830~1730      日：0830~1730      R：例假      L：其他休假　r：休假　P：國定假日</t>
  </si>
  <si>
    <t>備註</t>
  </si>
  <si>
    <t>01早B2c</t>
  </si>
  <si>
    <t>41早</t>
  </si>
  <si>
    <t>41午</t>
  </si>
  <si>
    <t>41夜</t>
  </si>
  <si>
    <t>A1早</t>
  </si>
  <si>
    <t>A1中A</t>
  </si>
  <si>
    <t>A1午</t>
  </si>
  <si>
    <t>A1夜</t>
  </si>
  <si>
    <t>A2早</t>
  </si>
  <si>
    <t>A2中A</t>
  </si>
  <si>
    <t>A2午</t>
  </si>
  <si>
    <t>A2夜</t>
  </si>
  <si>
    <t>A3早</t>
  </si>
  <si>
    <t>A3早A</t>
  </si>
  <si>
    <t>A3中A</t>
  </si>
  <si>
    <t>A3午</t>
  </si>
  <si>
    <t>A3午F</t>
  </si>
  <si>
    <t>A3夜</t>
  </si>
  <si>
    <t>A4早</t>
  </si>
  <si>
    <t>A4中A</t>
  </si>
  <si>
    <t>A4午</t>
  </si>
  <si>
    <t>A4夜</t>
  </si>
  <si>
    <t>A5早</t>
  </si>
  <si>
    <t>A5中A</t>
  </si>
  <si>
    <t>A5午</t>
  </si>
  <si>
    <t>A5夜</t>
  </si>
  <si>
    <t>A6早</t>
  </si>
  <si>
    <t>A6中A</t>
  </si>
  <si>
    <t>A6午</t>
  </si>
  <si>
    <t>A6夜</t>
  </si>
  <si>
    <t>北
段
辦</t>
  </si>
  <si>
    <t>A2</t>
  </si>
  <si>
    <t>A3</t>
  </si>
  <si>
    <t>A4</t>
  </si>
  <si>
    <t>A5</t>
  </si>
  <si>
    <t>請輸入年度</t>
  </si>
  <si>
    <t>請輸入月份</t>
  </si>
  <si>
    <t>41日</t>
  </si>
  <si>
    <t>05</t>
  </si>
  <si>
    <t>01日</t>
  </si>
  <si>
    <t>06日</t>
  </si>
  <si>
    <t>01日.</t>
  </si>
  <si>
    <t>03</t>
  </si>
  <si>
    <t>02日</t>
  </si>
  <si>
    <t>03日</t>
  </si>
  <si>
    <t>04日</t>
  </si>
  <si>
    <t>05日</t>
  </si>
  <si>
    <t>07</t>
  </si>
  <si>
    <t>02中A</t>
  </si>
  <si>
    <t>03中A</t>
  </si>
  <si>
    <t>04中A</t>
  </si>
  <si>
    <t>05中A</t>
  </si>
  <si>
    <t>06中A</t>
  </si>
  <si>
    <t>41中A</t>
  </si>
  <si>
    <t>05早Q</t>
  </si>
  <si>
    <t>41早K</t>
  </si>
  <si>
    <t>41早G</t>
  </si>
  <si>
    <t>01早</t>
  </si>
  <si>
    <t>02早</t>
  </si>
  <si>
    <t>03早</t>
  </si>
  <si>
    <t>04早</t>
  </si>
  <si>
    <t>05早</t>
  </si>
  <si>
    <t>06早</t>
  </si>
  <si>
    <t>07早</t>
  </si>
  <si>
    <t>21早</t>
  </si>
  <si>
    <t>41早Q</t>
  </si>
  <si>
    <t>04早Q</t>
  </si>
  <si>
    <t>01午</t>
  </si>
  <si>
    <t>02午</t>
  </si>
  <si>
    <t>03午</t>
  </si>
  <si>
    <t>04午</t>
  </si>
  <si>
    <t>05午</t>
  </si>
  <si>
    <t>06午</t>
  </si>
  <si>
    <t>02午P</t>
  </si>
  <si>
    <t>03午P</t>
  </si>
  <si>
    <t>05午P</t>
  </si>
  <si>
    <t>06午P</t>
  </si>
  <si>
    <t>07午</t>
  </si>
  <si>
    <t>01夜</t>
  </si>
  <si>
    <t>02夜</t>
  </si>
  <si>
    <t>03夜</t>
  </si>
  <si>
    <t>04夜</t>
  </si>
  <si>
    <t>05夜</t>
  </si>
  <si>
    <t>06夜</t>
  </si>
  <si>
    <t>41夜.</t>
  </si>
  <si>
    <t>03早A</t>
  </si>
  <si>
    <t>23d</t>
  </si>
  <si>
    <t>03午F</t>
  </si>
  <si>
    <t>34d</t>
  </si>
  <si>
    <t>r'(01早)</t>
  </si>
  <si>
    <t>r'(02早)</t>
  </si>
  <si>
    <t>r'(03早)</t>
  </si>
  <si>
    <t>r'(04早)</t>
  </si>
  <si>
    <t>r'(05早)</t>
  </si>
  <si>
    <t>r'(06早)</t>
  </si>
  <si>
    <t>r'(03早A)</t>
  </si>
  <si>
    <t>P(05早)</t>
  </si>
  <si>
    <t>r'(01夜)</t>
  </si>
  <si>
    <t>92D</t>
  </si>
  <si>
    <t>r'(06午)</t>
  </si>
  <si>
    <t>92B</t>
  </si>
  <si>
    <t>r'(02午)</t>
  </si>
  <si>
    <t>r'(05午)</t>
  </si>
  <si>
    <t>r'(03午)</t>
  </si>
  <si>
    <t>r'(03午F)</t>
  </si>
  <si>
    <t>92C</t>
  </si>
  <si>
    <t>r'(06夜)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</si>
</sst>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"/>
    <numFmt numFmtId="165" formatCode="m/d"/>
    <numFmt numFmtId="166" formatCode="m&quot;月&quot;d&quot;日&quot;"/>
    <numFmt numFmtId="167" formatCode="[DBNum1][$-404]General"/>
    <numFmt numFmtId="168" formatCode="D/M/YYYY"/>
  </numFmts>
  <fonts count="18">
    <font>
      <sz val="12.0"/>
      <color theme="1"/>
      <name val="Calibri"/>
      <scheme val="minor"/>
    </font>
    <font>
      <sz val="24.0"/>
      <color theme="1"/>
      <name val="Microsoft JhengHei"/>
    </font>
    <font>
      <sz val="20.0"/>
      <color theme="1"/>
      <name val="Microsoft JhengHei"/>
    </font>
    <font>
      <sz val="14.0"/>
      <color theme="1"/>
      <name val="Microsoft JhengHei"/>
    </font>
    <font/>
    <font>
      <sz val="18.0"/>
      <color theme="1"/>
      <name val="Microsoft JhengHei"/>
    </font>
    <font>
      <sz val="12.0"/>
      <color theme="1"/>
      <name val="PMingLiu"/>
    </font>
    <font>
      <sz val="12.0"/>
      <color theme="1"/>
      <name val="Microsoft JhengHei"/>
    </font>
    <font>
      <sz val="24.0"/>
      <color rgb="FFFF0000"/>
      <name val="Microsoft JhengHei"/>
    </font>
    <font>
      <sz val="24.0"/>
      <color rgb="FF000000"/>
      <name val="Microsoft JhengHei"/>
    </font>
    <font>
      <sz val="24.0"/>
      <color rgb="FF00B050"/>
      <name val="Microsoft JhengHei"/>
    </font>
    <font>
      <sz val="20.0"/>
      <color theme="1"/>
      <name val="PMingLiu"/>
    </font>
    <font>
      <sz val="24.0"/>
      <color rgb="FFFF00FF"/>
      <name val="Microsoft JhengHei"/>
    </font>
    <font>
      <sz val="20.0"/>
      <color rgb="FFFF0000"/>
      <name val="PMingLiu"/>
    </font>
    <font>
      <sz val="11.0"/>
      <color theme="1"/>
      <name val="Calibri"/>
    </font>
    <font>
      <sz val="28.0"/>
      <color theme="1"/>
      <name val="PMingLiu"/>
    </font>
    <font>
      <sz val="28.0"/>
      <color theme="1"/>
      <name val="Microsoft JhengHei"/>
    </font>
    <font>
      <b/>
      <sz val="12.0"/>
      <color theme="0"/>
      <name val="Microsoft JhengHei"/>
    </font>
  </fonts>
  <fills count="12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E5E5E5"/>
        <bgColor rgb="FFE5E5E5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CCC0DA"/>
        <bgColor rgb="FFCCC0DA"/>
      </patternFill>
    </fill>
    <fill>
      <patternFill patternType="solid">
        <fgColor rgb="FFBFBFBF"/>
        <bgColor rgb="FFBFBFBF"/>
      </patternFill>
    </fill>
    <fill>
      <patternFill patternType="solid">
        <fgColor rgb="FFE36C09"/>
        <bgColor rgb="FFE36C09"/>
      </patternFill>
    </fill>
  </fills>
  <borders count="81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/>
      <right/>
      <bottom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medium">
        <color rgb="FF000000"/>
      </left>
    </border>
    <border>
      <left style="thin">
        <color rgb="FF000000"/>
      </lef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2" fontId="1" numFmtId="164" xfId="0" applyAlignment="1" applyBorder="1" applyFill="1" applyFont="1" applyNumberFormat="1">
      <alignment horizontal="center" shrinkToFit="0" vertical="center" wrapText="1"/>
    </xf>
    <xf borderId="5" fillId="2" fontId="1" numFmtId="164" xfId="0" applyAlignment="1" applyBorder="1" applyFont="1" applyNumberFormat="1">
      <alignment horizontal="center" shrinkToFit="0" vertical="center" wrapText="1"/>
    </xf>
    <xf borderId="6" fillId="2" fontId="1" numFmtId="164" xfId="0" applyAlignment="1" applyBorder="1" applyFont="1" applyNumberFormat="1">
      <alignment horizontal="center" shrinkToFit="0" vertical="center" wrapText="1"/>
    </xf>
    <xf borderId="7" fillId="2" fontId="1" numFmtId="164" xfId="0" applyAlignment="1" applyBorder="1" applyFont="1" applyNumberFormat="1">
      <alignment horizontal="center" shrinkToFit="0" vertical="center" wrapText="1"/>
    </xf>
    <xf borderId="5" fillId="3" fontId="1" numFmtId="164" xfId="0" applyAlignment="1" applyBorder="1" applyFill="1" applyFont="1" applyNumberFormat="1">
      <alignment horizontal="center" shrinkToFit="0" vertical="center" wrapText="1"/>
    </xf>
    <xf borderId="5" fillId="0" fontId="1" numFmtId="164" xfId="0" applyAlignment="1" applyBorder="1" applyFont="1" applyNumberFormat="1">
      <alignment horizontal="center" shrinkToFit="0" vertical="center" wrapText="1"/>
    </xf>
    <xf borderId="5" fillId="4" fontId="1" numFmtId="164" xfId="0" applyAlignment="1" applyBorder="1" applyFill="1" applyFont="1" applyNumberFormat="1">
      <alignment horizontal="center" shrinkToFit="0" vertical="center" wrapText="1"/>
    </xf>
    <xf borderId="8" fillId="0" fontId="2" numFmtId="164" xfId="0" applyAlignment="1" applyBorder="1" applyFont="1" applyNumberFormat="1">
      <alignment horizontal="center" shrinkToFit="0" vertical="center" wrapText="1"/>
    </xf>
    <xf borderId="9" fillId="2" fontId="3" numFmtId="165" xfId="0" applyAlignment="1" applyBorder="1" applyFont="1" applyNumberFormat="1">
      <alignment horizontal="center" shrinkToFit="0" vertical="center" wrapText="1"/>
    </xf>
    <xf borderId="10" fillId="0" fontId="4" numFmtId="0" xfId="0" applyAlignment="1" applyBorder="1" applyFont="1">
      <alignment vertical="center"/>
    </xf>
    <xf borderId="9" fillId="4" fontId="3" numFmtId="165" xfId="0" applyAlignment="1" applyBorder="1" applyFont="1" applyNumberFormat="1">
      <alignment horizontal="center" shrinkToFit="0" vertical="center" wrapText="1"/>
    </xf>
    <xf borderId="9" fillId="4" fontId="3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vertical="center"/>
    </xf>
    <xf borderId="11" fillId="0" fontId="4" numFmtId="0" xfId="0" applyAlignment="1" applyBorder="1" applyFont="1">
      <alignment vertical="center"/>
    </xf>
    <xf borderId="12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3" fillId="0" fontId="3" numFmtId="166" xfId="0" applyAlignment="1" applyBorder="1" applyFont="1" applyNumberForma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2" fontId="1" numFmtId="167" xfId="0" applyAlignment="1" applyBorder="1" applyFont="1" applyNumberFormat="1">
      <alignment horizontal="center" vertical="center"/>
    </xf>
    <xf borderId="19" fillId="2" fontId="1" numFmtId="167" xfId="0" applyAlignment="1" applyBorder="1" applyFont="1" applyNumberFormat="1">
      <alignment horizontal="center" vertical="center"/>
    </xf>
    <xf borderId="20" fillId="2" fontId="1" numFmtId="167" xfId="0" applyAlignment="1" applyBorder="1" applyFont="1" applyNumberFormat="1">
      <alignment horizontal="center" vertical="center"/>
    </xf>
    <xf borderId="21" fillId="2" fontId="1" numFmtId="167" xfId="0" applyAlignment="1" applyBorder="1" applyFont="1" applyNumberFormat="1">
      <alignment horizontal="center" vertical="center"/>
    </xf>
    <xf borderId="19" fillId="3" fontId="1" numFmtId="167" xfId="0" applyAlignment="1" applyBorder="1" applyFont="1" applyNumberFormat="1">
      <alignment horizontal="center" vertical="center"/>
    </xf>
    <xf borderId="19" fillId="0" fontId="1" numFmtId="167" xfId="0" applyAlignment="1" applyBorder="1" applyFont="1" applyNumberFormat="1">
      <alignment horizontal="center" vertical="center"/>
    </xf>
    <xf borderId="22" fillId="2" fontId="1" numFmtId="0" xfId="0" applyAlignment="1" applyBorder="1" applyFont="1">
      <alignment horizontal="center" vertical="center"/>
    </xf>
    <xf borderId="22" fillId="4" fontId="1" numFmtId="0" xfId="0" applyAlignment="1" applyBorder="1" applyFont="1">
      <alignment horizontal="center" vertical="center"/>
    </xf>
    <xf borderId="23" fillId="4" fontId="1" numFmtId="0" xfId="0" applyAlignment="1" applyBorder="1" applyFont="1">
      <alignment horizontal="center" vertical="center"/>
    </xf>
    <xf borderId="24" fillId="0" fontId="1" numFmtId="167" xfId="0" applyAlignment="1" applyBorder="1" applyFont="1" applyNumberFormat="1">
      <alignment horizontal="center" vertical="center"/>
    </xf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26" fillId="0" fontId="7" numFmtId="0" xfId="0" applyAlignment="1" applyBorder="1" applyFont="1">
      <alignment horizontal="center" shrinkToFit="0" vertical="center" wrapText="1"/>
    </xf>
    <xf borderId="26" fillId="0" fontId="5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5" fontId="1" numFmtId="0" xfId="0" applyAlignment="1" applyBorder="1" applyFill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0" fillId="0" fontId="8" numFmtId="0" xfId="0" applyAlignment="1" applyBorder="1" applyFont="1">
      <alignment horizontal="center" vertical="center"/>
    </xf>
    <xf borderId="30" fillId="5" fontId="8" numFmtId="0" xfId="0" applyAlignment="1" applyBorder="1" applyFont="1">
      <alignment horizontal="center" vertical="center"/>
    </xf>
    <xf borderId="5" fillId="3" fontId="9" numFmtId="0" xfId="0" applyAlignment="1" applyBorder="1" applyFont="1">
      <alignment horizontal="center" readingOrder="0" vertical="center"/>
    </xf>
    <xf borderId="5" fillId="6" fontId="9" numFmtId="0" xfId="0" applyAlignment="1" applyBorder="1" applyFill="1" applyFont="1">
      <alignment horizontal="center" readingOrder="0" vertical="center"/>
    </xf>
    <xf borderId="5" fillId="6" fontId="10" numFmtId="0" xfId="0" applyAlignment="1" applyBorder="1" applyFont="1">
      <alignment horizontal="center" readingOrder="0" vertical="center"/>
    </xf>
    <xf borderId="6" fillId="3" fontId="9" numFmtId="0" xfId="0" applyAlignment="1" applyBorder="1" applyFont="1">
      <alignment horizontal="center" readingOrder="0" vertical="center"/>
    </xf>
    <xf borderId="31" fillId="0" fontId="1" numFmtId="0" xfId="0" applyAlignment="1" applyBorder="1" applyFont="1">
      <alignment horizontal="center" vertical="center"/>
    </xf>
    <xf borderId="30" fillId="2" fontId="1" numFmtId="0" xfId="0" applyAlignment="1" applyBorder="1" applyFont="1">
      <alignment horizontal="center" vertical="center"/>
    </xf>
    <xf borderId="30" fillId="4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32" fillId="0" fontId="1" numFmtId="0" xfId="0" applyAlignment="1" applyBorder="1" applyFont="1">
      <alignment vertical="center"/>
    </xf>
    <xf borderId="33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0" fillId="0" fontId="10" numFmtId="0" xfId="0" applyAlignment="1" applyBorder="1" applyFont="1">
      <alignment horizontal="center" vertical="center"/>
    </xf>
    <xf borderId="30" fillId="3" fontId="9" numFmtId="0" xfId="0" applyAlignment="1" applyBorder="1" applyFont="1">
      <alignment horizontal="center" readingOrder="0" vertical="center"/>
    </xf>
    <xf borderId="30" fillId="6" fontId="9" numFmtId="0" xfId="0" applyAlignment="1" applyBorder="1" applyFont="1">
      <alignment horizontal="center" readingOrder="0" vertical="center"/>
    </xf>
    <xf borderId="30" fillId="0" fontId="10" numFmtId="0" xfId="0" applyAlignment="1" applyBorder="1" applyFont="1">
      <alignment horizontal="center" vertical="center"/>
    </xf>
    <xf borderId="30" fillId="3" fontId="10" numFmtId="0" xfId="0" applyAlignment="1" applyBorder="1" applyFont="1">
      <alignment horizontal="center" readingOrder="0" vertical="center"/>
    </xf>
    <xf borderId="30" fillId="6" fontId="8" numFmtId="0" xfId="0" applyAlignment="1" applyBorder="1" applyFont="1">
      <alignment horizontal="center" readingOrder="0" vertical="center"/>
    </xf>
    <xf borderId="35" fillId="3" fontId="9" numFmtId="0" xfId="0" applyAlignment="1" applyBorder="1" applyFont="1">
      <alignment horizontal="center" readingOrder="0" vertical="center"/>
    </xf>
    <xf borderId="33" fillId="2" fontId="1" numFmtId="0" xfId="0" applyAlignment="1" applyBorder="1" applyFont="1">
      <alignment horizontal="center" vertical="center"/>
    </xf>
    <xf borderId="35" fillId="2" fontId="1" numFmtId="0" xfId="0" applyAlignment="1" applyBorder="1" applyFont="1">
      <alignment horizontal="center" vertical="center"/>
    </xf>
    <xf borderId="36" fillId="2" fontId="1" numFmtId="0" xfId="0" applyAlignment="1" applyBorder="1" applyFont="1">
      <alignment horizontal="center" vertical="center"/>
    </xf>
    <xf borderId="30" fillId="7" fontId="9" numFmtId="0" xfId="0" applyAlignment="1" applyBorder="1" applyFill="1" applyFont="1">
      <alignment horizontal="center" readingOrder="0" vertical="center"/>
    </xf>
    <xf borderId="30" fillId="6" fontId="10" numFmtId="0" xfId="0" applyAlignment="1" applyBorder="1" applyFont="1">
      <alignment horizontal="center" readingOrder="0" vertical="center"/>
    </xf>
    <xf borderId="30" fillId="3" fontId="1" numFmtId="0" xfId="0" applyAlignment="1" applyBorder="1" applyFont="1">
      <alignment horizontal="center" vertical="center"/>
    </xf>
    <xf borderId="30" fillId="0" fontId="9" numFmtId="0" xfId="0" applyAlignment="1" applyBorder="1" applyFont="1">
      <alignment horizontal="center" vertical="center"/>
    </xf>
    <xf borderId="35" fillId="3" fontId="1" numFmtId="0" xfId="0" applyAlignment="1" applyBorder="1" applyFont="1">
      <alignment horizontal="center" vertical="center"/>
    </xf>
    <xf borderId="30" fillId="3" fontId="12" numFmtId="0" xfId="0" applyAlignment="1" applyBorder="1" applyFont="1">
      <alignment horizontal="center" vertical="center"/>
    </xf>
    <xf borderId="30" fillId="0" fontId="12" numFmtId="0" xfId="0" applyAlignment="1" applyBorder="1" applyFont="1">
      <alignment horizontal="center" vertical="center"/>
    </xf>
    <xf borderId="30" fillId="2" fontId="1" numFmtId="0" xfId="0" applyAlignment="1" applyBorder="1" applyFont="1">
      <alignment horizontal="center" readingOrder="0" vertical="center"/>
    </xf>
    <xf borderId="37" fillId="8" fontId="11" numFmtId="0" xfId="0" applyAlignment="1" applyBorder="1" applyFill="1" applyFont="1">
      <alignment vertical="center"/>
    </xf>
    <xf borderId="38" fillId="0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vertical="center"/>
    </xf>
    <xf borderId="40" fillId="3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40" fillId="0" fontId="10" numFmtId="0" xfId="0" applyAlignment="1" applyBorder="1" applyFont="1">
      <alignment horizontal="center" vertical="center"/>
    </xf>
    <xf borderId="40" fillId="0" fontId="12" numFmtId="0" xfId="0" applyAlignment="1" applyBorder="1" applyFont="1">
      <alignment horizontal="center" vertical="center"/>
    </xf>
    <xf borderId="41" fillId="3" fontId="1" numFmtId="0" xfId="0" applyAlignment="1" applyBorder="1" applyFont="1">
      <alignment horizontal="center" vertical="center"/>
    </xf>
    <xf borderId="42" fillId="3" fontId="9" numFmtId="0" xfId="0" applyAlignment="1" applyBorder="1" applyFont="1">
      <alignment horizontal="center" readingOrder="0" vertical="center"/>
    </xf>
    <xf borderId="42" fillId="6" fontId="9" numFmtId="0" xfId="0" applyAlignment="1" applyBorder="1" applyFont="1">
      <alignment horizontal="center" readingOrder="0" vertical="center"/>
    </xf>
    <xf borderId="42" fillId="3" fontId="10" numFmtId="0" xfId="0" applyAlignment="1" applyBorder="1" applyFont="1">
      <alignment horizontal="center" readingOrder="0" vertical="center"/>
    </xf>
    <xf borderId="43" fillId="3" fontId="9" numFmtId="0" xfId="0" applyAlignment="1" applyBorder="1" applyFont="1">
      <alignment horizontal="center" readingOrder="0" vertical="center"/>
    </xf>
    <xf borderId="44" fillId="0" fontId="1" numFmtId="0" xfId="0" applyAlignment="1" applyBorder="1" applyFont="1">
      <alignment horizontal="center" vertical="center"/>
    </xf>
    <xf borderId="45" fillId="0" fontId="1" numFmtId="0" xfId="0" applyAlignment="1" applyBorder="1" applyFont="1">
      <alignment horizontal="center" vertical="center"/>
    </xf>
    <xf borderId="46" fillId="2" fontId="1" numFmtId="0" xfId="0" applyAlignment="1" applyBorder="1" applyFont="1">
      <alignment horizontal="center" vertical="center"/>
    </xf>
    <xf borderId="47" fillId="2" fontId="1" numFmtId="0" xfId="0" applyAlignment="1" applyBorder="1" applyFont="1">
      <alignment horizontal="center" vertical="center"/>
    </xf>
    <xf borderId="48" fillId="2" fontId="1" numFmtId="0" xfId="0" applyAlignment="1" applyBorder="1" applyFont="1">
      <alignment horizontal="center" vertical="center"/>
    </xf>
    <xf borderId="49" fillId="2" fontId="1" numFmtId="0" xfId="0" applyAlignment="1" applyBorder="1" applyFont="1">
      <alignment horizontal="center" vertical="center"/>
    </xf>
    <xf borderId="30" fillId="9" fontId="9" numFmtId="0" xfId="0" applyAlignment="1" applyBorder="1" applyFill="1" applyFont="1">
      <alignment horizontal="center" readingOrder="0" vertical="center"/>
    </xf>
    <xf borderId="50" fillId="6" fontId="9" numFmtId="0" xfId="0" applyAlignment="1" applyBorder="1" applyFont="1">
      <alignment horizontal="center" readingOrder="0" vertical="center"/>
    </xf>
    <xf borderId="50" fillId="9" fontId="9" numFmtId="0" xfId="0" applyAlignment="1" applyBorder="1" applyFont="1">
      <alignment horizontal="center" readingOrder="0" vertical="center"/>
    </xf>
    <xf borderId="50" fillId="6" fontId="10" numFmtId="0" xfId="0" applyAlignment="1" applyBorder="1" applyFont="1">
      <alignment horizontal="center" readingOrder="0" vertical="center"/>
    </xf>
    <xf borderId="50" fillId="3" fontId="10" numFmtId="0" xfId="0" applyAlignment="1" applyBorder="1" applyFont="1">
      <alignment horizontal="center" readingOrder="0" vertical="center"/>
    </xf>
    <xf borderId="50" fillId="3" fontId="9" numFmtId="0" xfId="0" applyAlignment="1" applyBorder="1" applyFont="1">
      <alignment horizontal="center" readingOrder="0" vertical="center"/>
    </xf>
    <xf borderId="50" fillId="7" fontId="9" numFmtId="0" xfId="0" applyAlignment="1" applyBorder="1" applyFont="1">
      <alignment horizontal="center" readingOrder="0" vertical="center"/>
    </xf>
    <xf borderId="50" fillId="6" fontId="8" numFmtId="0" xfId="0" applyAlignment="1" applyBorder="1" applyFont="1">
      <alignment horizontal="center" readingOrder="0" vertical="center"/>
    </xf>
    <xf borderId="51" fillId="9" fontId="9" numFmtId="0" xfId="0" applyAlignment="1" applyBorder="1" applyFont="1">
      <alignment horizontal="center" readingOrder="0" vertical="center"/>
    </xf>
    <xf borderId="0" fillId="0" fontId="13" numFmtId="0" xfId="0" applyAlignment="1" applyFont="1">
      <alignment vertical="center"/>
    </xf>
    <xf borderId="34" fillId="2" fontId="10" numFmtId="0" xfId="0" applyAlignment="1" applyBorder="1" applyFont="1">
      <alignment horizontal="center" vertical="center"/>
    </xf>
    <xf borderId="30" fillId="9" fontId="8" numFmtId="0" xfId="0" applyAlignment="1" applyBorder="1" applyFont="1">
      <alignment horizontal="center" readingOrder="0" vertical="center"/>
    </xf>
    <xf borderId="52" fillId="3" fontId="9" numFmtId="0" xfId="0" applyAlignment="1" applyBorder="1" applyFont="1">
      <alignment horizontal="center" readingOrder="0" vertical="center"/>
    </xf>
    <xf borderId="34" fillId="2" fontId="1" numFmtId="0" xfId="0" applyAlignment="1" applyBorder="1" applyFont="1">
      <alignment horizontal="center" vertical="center"/>
    </xf>
    <xf borderId="52" fillId="9" fontId="9" numFmtId="0" xfId="0" applyAlignment="1" applyBorder="1" applyFont="1">
      <alignment horizontal="center" readingOrder="0" vertical="center"/>
    </xf>
    <xf borderId="52" fillId="7" fontId="9" numFmtId="0" xfId="0" applyAlignment="1" applyBorder="1" applyFont="1">
      <alignment horizontal="center" readingOrder="0" vertical="center"/>
    </xf>
    <xf borderId="53" fillId="0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54" fillId="0" fontId="1" numFmtId="0" xfId="0" applyAlignment="1" applyBorder="1" applyFont="1">
      <alignment horizontal="center" vertical="center"/>
    </xf>
    <xf borderId="19" fillId="0" fontId="12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55" fillId="6" fontId="9" numFmtId="0" xfId="0" applyAlignment="1" applyBorder="1" applyFont="1">
      <alignment horizontal="center" readingOrder="0" vertical="center"/>
    </xf>
    <xf borderId="55" fillId="6" fontId="10" numFmtId="0" xfId="0" applyAlignment="1" applyBorder="1" applyFont="1">
      <alignment horizontal="center" readingOrder="0" vertical="center"/>
    </xf>
    <xf borderId="55" fillId="3" fontId="10" numFmtId="0" xfId="0" applyAlignment="1" applyBorder="1" applyFont="1">
      <alignment horizontal="center" readingOrder="0" vertical="center"/>
    </xf>
    <xf borderId="55" fillId="9" fontId="9" numFmtId="0" xfId="0" applyAlignment="1" applyBorder="1" applyFont="1">
      <alignment horizontal="center" readingOrder="0" vertical="center"/>
    </xf>
    <xf borderId="55" fillId="3" fontId="9" numFmtId="0" xfId="0" applyAlignment="1" applyBorder="1" applyFont="1">
      <alignment horizontal="center" readingOrder="0" vertical="center"/>
    </xf>
    <xf borderId="55" fillId="7" fontId="9" numFmtId="0" xfId="0" applyAlignment="1" applyBorder="1" applyFont="1">
      <alignment horizontal="center" readingOrder="0" vertical="center"/>
    </xf>
    <xf borderId="56" fillId="3" fontId="9" numFmtId="0" xfId="0" applyAlignment="1" applyBorder="1" applyFont="1">
      <alignment horizontal="center" readingOrder="0" vertical="center"/>
    </xf>
    <xf borderId="57" fillId="0" fontId="7" numFmtId="0" xfId="0" applyAlignment="1" applyBorder="1" applyFont="1">
      <alignment horizontal="center" vertical="center"/>
    </xf>
    <xf borderId="58" fillId="0" fontId="4" numFmtId="0" xfId="0" applyAlignment="1" applyBorder="1" applyFont="1">
      <alignment vertical="center"/>
    </xf>
    <xf borderId="3" fillId="0" fontId="1" numFmtId="0" xfId="0" applyAlignment="1" applyBorder="1" applyFont="1">
      <alignment horizontal="left" shrinkToFit="0" vertical="center" wrapText="1"/>
    </xf>
    <xf borderId="59" fillId="0" fontId="4" numFmtId="0" xfId="0" applyAlignment="1" applyBorder="1" applyFont="1">
      <alignment vertical="center"/>
    </xf>
    <xf borderId="60" fillId="6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61" fillId="0" fontId="1" numFmtId="0" xfId="0" applyAlignment="1" applyBorder="1" applyFont="1">
      <alignment horizontal="center" vertical="center"/>
    </xf>
    <xf borderId="62" fillId="0" fontId="4" numFmtId="0" xfId="0" applyAlignment="1" applyBorder="1" applyFont="1">
      <alignment vertical="center"/>
    </xf>
    <xf borderId="62" fillId="0" fontId="7" numFmtId="0" xfId="0" applyAlignment="1" applyBorder="1" applyFont="1">
      <alignment horizontal="center" vertical="center"/>
    </xf>
    <xf borderId="62" fillId="0" fontId="1" numFmtId="0" xfId="0" applyAlignment="1" applyBorder="1" applyFont="1">
      <alignment horizontal="center" shrinkToFit="0" vertical="center" wrapText="1"/>
    </xf>
    <xf borderId="62" fillId="0" fontId="1" numFmtId="0" xfId="0" applyAlignment="1" applyBorder="1" applyFont="1">
      <alignment horizontal="left" shrinkToFit="0" vertical="center" wrapText="1"/>
    </xf>
    <xf borderId="63" fillId="6" fontId="7" numFmtId="0" xfId="0" applyAlignment="1" applyBorder="1" applyFont="1">
      <alignment vertical="center"/>
    </xf>
    <xf borderId="62" fillId="0" fontId="7" numFmtId="0" xfId="0" applyAlignment="1" applyBorder="1" applyFont="1">
      <alignment vertical="center"/>
    </xf>
    <xf borderId="64" fillId="0" fontId="4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5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37" fillId="6" fontId="7" numFmtId="0" xfId="0" applyAlignment="1" applyBorder="1" applyFont="1">
      <alignment vertical="center"/>
    </xf>
    <xf borderId="24" fillId="0" fontId="1" numFmtId="0" xfId="0" applyAlignment="1" applyBorder="1" applyFont="1">
      <alignment horizontal="left" shrinkToFit="0" vertical="center" wrapText="1"/>
    </xf>
    <xf borderId="0" fillId="0" fontId="1" numFmtId="166" xfId="0" applyAlignment="1" applyFont="1" applyNumberFormat="1">
      <alignment horizontal="center" vertical="center"/>
    </xf>
    <xf borderId="66" fillId="0" fontId="4" numFmtId="0" xfId="0" applyAlignment="1" applyBorder="1" applyFont="1">
      <alignment vertical="center"/>
    </xf>
    <xf borderId="67" fillId="0" fontId="4" numFmtId="0" xfId="0" applyAlignment="1" applyBorder="1" applyFont="1">
      <alignment vertical="center"/>
    </xf>
    <xf borderId="67" fillId="0" fontId="7" numFmtId="0" xfId="0" applyAlignment="1" applyBorder="1" applyFont="1">
      <alignment horizontal="center" vertical="center"/>
    </xf>
    <xf borderId="67" fillId="0" fontId="1" numFmtId="0" xfId="0" applyAlignment="1" applyBorder="1" applyFont="1">
      <alignment horizontal="left" shrinkToFit="0" vertical="center" wrapText="1"/>
    </xf>
    <xf borderId="68" fillId="0" fontId="1" numFmtId="0" xfId="0" applyAlignment="1" applyBorder="1" applyFont="1">
      <alignment horizontal="left" shrinkToFit="0" vertical="center" wrapText="1"/>
    </xf>
    <xf borderId="45" fillId="0" fontId="1" numFmtId="0" xfId="0" applyAlignment="1" applyBorder="1" applyFont="1">
      <alignment horizontal="left" shrinkToFit="0" vertical="center" wrapText="1"/>
    </xf>
    <xf borderId="69" fillId="6" fontId="7" numFmtId="0" xfId="0" applyAlignment="1" applyBorder="1" applyFont="1">
      <alignment vertical="center"/>
    </xf>
    <xf borderId="67" fillId="0" fontId="7" numFmtId="0" xfId="0" applyAlignment="1" applyBorder="1" applyFont="1">
      <alignment vertical="center"/>
    </xf>
    <xf borderId="70" fillId="0" fontId="1" numFmtId="0" xfId="0" applyAlignment="1" applyBorder="1" applyFont="1">
      <alignment horizontal="center" shrinkToFit="0" vertical="center" wrapText="1"/>
    </xf>
    <xf borderId="4" fillId="10" fontId="1" numFmtId="166" xfId="0" applyAlignment="1" applyBorder="1" applyFill="1" applyFont="1" applyNumberFormat="1">
      <alignment horizontal="center" shrinkToFit="0" vertical="center" wrapText="1"/>
    </xf>
    <xf borderId="15" fillId="0" fontId="4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71" fillId="0" fontId="4" numFmtId="0" xfId="0" applyAlignment="1" applyBorder="1" applyFont="1">
      <alignment vertical="center"/>
    </xf>
    <xf borderId="72" fillId="10" fontId="1" numFmtId="167" xfId="0" applyAlignment="1" applyBorder="1" applyFont="1" applyNumberFormat="1">
      <alignment horizontal="center" shrinkToFit="0" vertical="center" wrapText="1"/>
    </xf>
    <xf borderId="37" fillId="9" fontId="14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73" fillId="0" fontId="16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59" fillId="0" fontId="16" numFmtId="0" xfId="0" applyAlignment="1" applyBorder="1" applyFont="1">
      <alignment horizontal="center" vertical="center"/>
    </xf>
    <xf borderId="74" fillId="0" fontId="1" numFmtId="0" xfId="0" applyAlignment="1" applyBorder="1" applyFont="1">
      <alignment horizontal="center" vertical="center"/>
    </xf>
    <xf borderId="37" fillId="6" fontId="6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75" fillId="0" fontId="1" numFmtId="0" xfId="0" applyAlignment="1" applyBorder="1" applyFont="1">
      <alignment horizontal="center" shrinkToFit="0" vertical="center" wrapText="1"/>
    </xf>
    <xf borderId="5" fillId="0" fontId="1" numFmtId="164" xfId="0" applyAlignment="1" applyBorder="1" applyFont="1" applyNumberFormat="1">
      <alignment horizontal="center" vertical="center"/>
    </xf>
    <xf borderId="6" fillId="0" fontId="1" numFmtId="164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vertical="center"/>
    </xf>
    <xf borderId="25" fillId="0" fontId="1" numFmtId="0" xfId="0" applyAlignment="1" applyBorder="1" applyFont="1">
      <alignment horizontal="center" shrinkToFit="0" vertical="center" wrapText="1"/>
    </xf>
    <xf borderId="65" fillId="0" fontId="1" numFmtId="0" xfId="0" applyAlignment="1" applyBorder="1" applyFont="1">
      <alignment horizontal="center" shrinkToFit="0" vertical="center" wrapText="1"/>
    </xf>
    <xf borderId="76" fillId="0" fontId="1" numFmtId="167" xfId="0" applyAlignment="1" applyBorder="1" applyFont="1" applyNumberFormat="1">
      <alignment horizontal="center" vertical="center"/>
    </xf>
    <xf borderId="77" fillId="0" fontId="1" numFmtId="167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shrinkToFit="0" vertical="center" wrapText="1"/>
    </xf>
    <xf borderId="18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vertical="center"/>
    </xf>
    <xf borderId="33" fillId="0" fontId="1" numFmtId="0" xfId="0" applyAlignment="1" applyBorder="1" applyFont="1">
      <alignment vertical="center"/>
    </xf>
    <xf borderId="18" fillId="0" fontId="1" numFmtId="0" xfId="0" applyAlignment="1" applyBorder="1" applyFont="1">
      <alignment vertical="center"/>
    </xf>
    <xf borderId="33" fillId="0" fontId="6" numFmtId="0" xfId="0" applyAlignment="1" applyBorder="1" applyFont="1">
      <alignment vertical="center"/>
    </xf>
    <xf borderId="18" fillId="0" fontId="6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42" fillId="0" fontId="1" numFmtId="167" xfId="0" applyAlignment="1" applyBorder="1" applyFont="1" applyNumberFormat="1">
      <alignment horizontal="center" vertical="center"/>
    </xf>
    <xf borderId="27" fillId="0" fontId="4" numFmtId="0" xfId="0" applyAlignment="1" applyBorder="1" applyFont="1">
      <alignment vertical="center"/>
    </xf>
    <xf borderId="32" fillId="0" fontId="1" numFmtId="0" xfId="0" applyAlignment="1" applyBorder="1" applyFont="1">
      <alignment horizontal="center" vertical="center"/>
    </xf>
    <xf borderId="53" fillId="0" fontId="1" numFmtId="0" xfId="0" applyAlignment="1" applyBorder="1" applyFont="1">
      <alignment horizontal="center" vertical="center"/>
    </xf>
    <xf borderId="37" fillId="11" fontId="17" numFmtId="0" xfId="0" applyAlignment="1" applyBorder="1" applyFill="1" applyFont="1">
      <alignment vertical="center"/>
    </xf>
    <xf borderId="78" fillId="11" fontId="17" numFmtId="0" xfId="0" applyAlignment="1" applyBorder="1" applyFont="1">
      <alignment horizontal="center" vertical="center"/>
    </xf>
    <xf borderId="79" fillId="0" fontId="4" numFmtId="0" xfId="0" applyAlignment="1" applyBorder="1" applyFont="1">
      <alignment vertical="center"/>
    </xf>
    <xf borderId="80" fillId="0" fontId="4" numFmtId="0" xfId="0" applyAlignment="1" applyBorder="1" applyFont="1">
      <alignment vertical="center"/>
    </xf>
    <xf borderId="0" fillId="0" fontId="6" numFmtId="168" xfId="0" applyAlignment="1" applyFont="1" applyNumberFormat="1">
      <alignment vertical="center"/>
    </xf>
    <xf quotePrefix="1" borderId="0" fillId="0" fontId="6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10"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C2D69B"/>
          <bgColor rgb="FFC2D69B"/>
        </patternFill>
      </fill>
      <border/>
    </dxf>
    <dxf>
      <font/>
      <fill>
        <patternFill patternType="solid">
          <fgColor rgb="FF92CDDC"/>
          <bgColor rgb="FF92CDDC"/>
        </patternFill>
      </fill>
      <border/>
    </dxf>
    <dxf>
      <font/>
      <fill>
        <patternFill patternType="solid">
          <fgColor rgb="FFDDD9C3"/>
          <bgColor rgb="FFDDD9C3"/>
        </patternFill>
      </fill>
      <border/>
    </dxf>
    <dxf>
      <font/>
      <fill>
        <patternFill patternType="solid">
          <fgColor rgb="FFC4BD97"/>
          <bgColor rgb="FFC4BD97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27</xdr:row>
      <xdr:rowOff>9525</xdr:rowOff>
    </xdr:from>
    <xdr:ext cx="28660725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1.22" defaultRowHeight="15.0"/>
  <cols>
    <col customWidth="1" min="1" max="1" width="9.22"/>
    <col customWidth="1" min="2" max="2" width="15.67"/>
    <col customWidth="1" min="3" max="3" width="14.67"/>
    <col customWidth="1" min="4" max="6" width="15.44"/>
    <col customWidth="1" min="7" max="7" width="17.67"/>
    <col customWidth="1" min="8" max="8" width="18.67"/>
    <col customWidth="1" min="9" max="9" width="18.11"/>
    <col customWidth="1" min="10" max="38" width="15.44"/>
    <col customWidth="1" min="39" max="39" width="13.0"/>
    <col customWidth="1" min="40" max="41" width="6.56"/>
    <col customWidth="1" min="42" max="51" width="6.22"/>
    <col customWidth="1" min="52" max="64" width="5.78"/>
    <col customWidth="1" min="65" max="69" width="6.33"/>
    <col customWidth="1" min="70" max="70" width="6.11"/>
    <col customWidth="1" min="71" max="71" width="6.89"/>
    <col customWidth="1" min="72" max="73" width="6.56"/>
  </cols>
  <sheetData>
    <row r="1" ht="63.75" customHeight="1">
      <c r="A1" s="1"/>
      <c r="B1" s="2" t="s">
        <v>0</v>
      </c>
      <c r="C1" s="3" t="s">
        <v>1</v>
      </c>
      <c r="D1" s="4">
        <v>46201.0</v>
      </c>
      <c r="E1" s="5">
        <v>46202.0</v>
      </c>
      <c r="F1" s="5">
        <v>46203.0</v>
      </c>
      <c r="G1" s="5">
        <v>46204.0</v>
      </c>
      <c r="H1" s="6">
        <v>46205.0</v>
      </c>
      <c r="I1" s="7">
        <v>46206.0</v>
      </c>
      <c r="J1" s="5">
        <v>46207.0</v>
      </c>
      <c r="K1" s="8">
        <v>46208.0</v>
      </c>
      <c r="L1" s="9">
        <v>46209.0</v>
      </c>
      <c r="M1" s="9">
        <v>46210.0</v>
      </c>
      <c r="N1" s="9">
        <v>46211.0</v>
      </c>
      <c r="O1" s="9">
        <v>46212.0</v>
      </c>
      <c r="P1" s="9">
        <v>46213.0</v>
      </c>
      <c r="Q1" s="8">
        <v>46214.0</v>
      </c>
      <c r="R1" s="8">
        <v>46215.0</v>
      </c>
      <c r="S1" s="9">
        <v>46216.0</v>
      </c>
      <c r="T1" s="9">
        <v>46217.0</v>
      </c>
      <c r="U1" s="9">
        <v>46218.0</v>
      </c>
      <c r="V1" s="9">
        <v>46219.0</v>
      </c>
      <c r="W1" s="9">
        <v>46220.0</v>
      </c>
      <c r="X1" s="8">
        <v>46221.0</v>
      </c>
      <c r="Y1" s="8">
        <v>46222.0</v>
      </c>
      <c r="Z1" s="9">
        <v>46223.0</v>
      </c>
      <c r="AA1" s="9">
        <v>46224.0</v>
      </c>
      <c r="AB1" s="10">
        <v>46225.0</v>
      </c>
      <c r="AC1" s="9">
        <v>46226.0</v>
      </c>
      <c r="AD1" s="9">
        <v>46227.0</v>
      </c>
      <c r="AE1" s="8">
        <v>46228.0</v>
      </c>
      <c r="AF1" s="8">
        <v>46229.0</v>
      </c>
      <c r="AG1" s="9">
        <v>46230.0</v>
      </c>
      <c r="AH1" s="9">
        <v>46231.0</v>
      </c>
      <c r="AI1" s="9">
        <v>46232.0</v>
      </c>
      <c r="AJ1" s="9">
        <v>46233.0</v>
      </c>
      <c r="AK1" s="9">
        <v>46234.0</v>
      </c>
      <c r="AL1" s="8">
        <v>46235.0</v>
      </c>
      <c r="AM1" s="11" t="s">
        <v>2</v>
      </c>
      <c r="AN1" s="12" t="s">
        <v>3</v>
      </c>
      <c r="AO1" s="13"/>
      <c r="AP1" s="12" t="s">
        <v>4</v>
      </c>
      <c r="AQ1" s="13"/>
      <c r="AR1" s="14" t="s">
        <v>5</v>
      </c>
      <c r="AS1" s="13"/>
      <c r="AT1" s="14" t="s">
        <v>6</v>
      </c>
      <c r="AU1" s="13"/>
      <c r="AV1" s="14" t="s">
        <v>7</v>
      </c>
      <c r="AW1" s="13"/>
      <c r="AX1" s="15" t="s">
        <v>8</v>
      </c>
      <c r="AY1" s="13"/>
      <c r="AZ1" s="16" t="s">
        <v>9</v>
      </c>
      <c r="BA1" s="17"/>
      <c r="BB1" s="17"/>
      <c r="BC1" s="17"/>
      <c r="BD1" s="17"/>
      <c r="BE1" s="17"/>
      <c r="BF1" s="17"/>
      <c r="BG1" s="13"/>
      <c r="BH1" s="16" t="s">
        <v>10</v>
      </c>
      <c r="BI1" s="17"/>
      <c r="BJ1" s="17"/>
      <c r="BK1" s="17"/>
      <c r="BL1" s="13"/>
      <c r="BM1" s="18" t="s">
        <v>11</v>
      </c>
      <c r="BN1" s="18" t="s">
        <v>12</v>
      </c>
      <c r="BO1" s="19" t="s">
        <v>13</v>
      </c>
      <c r="BP1" s="20" t="s">
        <v>14</v>
      </c>
      <c r="BQ1" s="20" t="s">
        <v>15</v>
      </c>
      <c r="BR1" s="21" t="s">
        <v>16</v>
      </c>
      <c r="BS1" s="22"/>
      <c r="BT1" s="23" t="s">
        <v>17</v>
      </c>
      <c r="BU1" s="23" t="s">
        <v>18</v>
      </c>
    </row>
    <row r="2" ht="43.5" customHeight="1">
      <c r="A2" s="24"/>
      <c r="B2" s="25"/>
      <c r="C2" s="26"/>
      <c r="D2" s="27" t="str">
        <f t="shared" ref="D2:AL2" si="1">RIGHT(TEXT(D1,"[$-404]aaaa;@"),1)</f>
        <v>a</v>
      </c>
      <c r="E2" s="28" t="str">
        <f t="shared" si="1"/>
        <v>a</v>
      </c>
      <c r="F2" s="28" t="str">
        <f t="shared" si="1"/>
        <v>a</v>
      </c>
      <c r="G2" s="28" t="str">
        <f t="shared" si="1"/>
        <v>a</v>
      </c>
      <c r="H2" s="29" t="str">
        <f t="shared" si="1"/>
        <v>a</v>
      </c>
      <c r="I2" s="30" t="str">
        <f t="shared" si="1"/>
        <v>a</v>
      </c>
      <c r="J2" s="28" t="str">
        <f t="shared" si="1"/>
        <v>a</v>
      </c>
      <c r="K2" s="31" t="str">
        <f t="shared" si="1"/>
        <v>a</v>
      </c>
      <c r="L2" s="32" t="str">
        <f t="shared" si="1"/>
        <v>a</v>
      </c>
      <c r="M2" s="32" t="str">
        <f t="shared" si="1"/>
        <v>a</v>
      </c>
      <c r="N2" s="32" t="str">
        <f t="shared" si="1"/>
        <v>a</v>
      </c>
      <c r="O2" s="32" t="str">
        <f t="shared" si="1"/>
        <v>a</v>
      </c>
      <c r="P2" s="32" t="str">
        <f t="shared" si="1"/>
        <v>a</v>
      </c>
      <c r="Q2" s="31" t="str">
        <f t="shared" si="1"/>
        <v>a</v>
      </c>
      <c r="R2" s="31" t="str">
        <f t="shared" si="1"/>
        <v>a</v>
      </c>
      <c r="S2" s="32" t="str">
        <f t="shared" si="1"/>
        <v>a</v>
      </c>
      <c r="T2" s="32" t="str">
        <f t="shared" si="1"/>
        <v>a</v>
      </c>
      <c r="U2" s="32" t="str">
        <f t="shared" si="1"/>
        <v>a</v>
      </c>
      <c r="V2" s="32" t="str">
        <f t="shared" si="1"/>
        <v>a</v>
      </c>
      <c r="W2" s="32" t="str">
        <f t="shared" si="1"/>
        <v>a</v>
      </c>
      <c r="X2" s="31" t="str">
        <f t="shared" si="1"/>
        <v>a</v>
      </c>
      <c r="Y2" s="31" t="str">
        <f t="shared" si="1"/>
        <v>a</v>
      </c>
      <c r="Z2" s="32" t="str">
        <f t="shared" si="1"/>
        <v>a</v>
      </c>
      <c r="AA2" s="32" t="str">
        <f t="shared" si="1"/>
        <v>a</v>
      </c>
      <c r="AB2" s="32" t="str">
        <f t="shared" si="1"/>
        <v>a</v>
      </c>
      <c r="AC2" s="32" t="str">
        <f t="shared" si="1"/>
        <v>a</v>
      </c>
      <c r="AD2" s="32" t="str">
        <f t="shared" si="1"/>
        <v>a</v>
      </c>
      <c r="AE2" s="31" t="str">
        <f t="shared" si="1"/>
        <v>a</v>
      </c>
      <c r="AF2" s="31" t="str">
        <f t="shared" si="1"/>
        <v>a</v>
      </c>
      <c r="AG2" s="32" t="str">
        <f t="shared" si="1"/>
        <v>a</v>
      </c>
      <c r="AH2" s="32" t="str">
        <f t="shared" si="1"/>
        <v>a</v>
      </c>
      <c r="AI2" s="32" t="str">
        <f t="shared" si="1"/>
        <v>a</v>
      </c>
      <c r="AJ2" s="32" t="str">
        <f t="shared" si="1"/>
        <v>a</v>
      </c>
      <c r="AK2" s="32" t="str">
        <f t="shared" si="1"/>
        <v>a</v>
      </c>
      <c r="AL2" s="31" t="str">
        <f t="shared" si="1"/>
        <v>a</v>
      </c>
      <c r="AM2" s="11"/>
      <c r="AN2" s="33" t="s">
        <v>19</v>
      </c>
      <c r="AO2" s="33" t="s">
        <v>20</v>
      </c>
      <c r="AP2" s="33" t="s">
        <v>19</v>
      </c>
      <c r="AQ2" s="33" t="s">
        <v>20</v>
      </c>
      <c r="AR2" s="34" t="s">
        <v>19</v>
      </c>
      <c r="AS2" s="34" t="s">
        <v>20</v>
      </c>
      <c r="AT2" s="34" t="s">
        <v>19</v>
      </c>
      <c r="AU2" s="34" t="s">
        <v>20</v>
      </c>
      <c r="AV2" s="35" t="s">
        <v>19</v>
      </c>
      <c r="AW2" s="35" t="s">
        <v>20</v>
      </c>
      <c r="AX2" s="35" t="s">
        <v>19</v>
      </c>
      <c r="AY2" s="35" t="s">
        <v>20</v>
      </c>
      <c r="AZ2" s="36" t="s">
        <v>21</v>
      </c>
      <c r="BA2" s="37" t="s">
        <v>22</v>
      </c>
      <c r="BB2" s="38" t="s">
        <v>23</v>
      </c>
      <c r="BC2" s="38" t="s">
        <v>24</v>
      </c>
      <c r="BD2" s="38" t="s">
        <v>25</v>
      </c>
      <c r="BE2" s="38" t="s">
        <v>26</v>
      </c>
      <c r="BF2" s="38" t="s">
        <v>27</v>
      </c>
      <c r="BG2" s="39" t="s">
        <v>28</v>
      </c>
      <c r="BH2" s="40" t="s">
        <v>29</v>
      </c>
      <c r="BI2" s="38" t="s">
        <v>20</v>
      </c>
      <c r="BJ2" s="38" t="s">
        <v>19</v>
      </c>
      <c r="BK2" s="38" t="s">
        <v>30</v>
      </c>
      <c r="BL2" s="41" t="s">
        <v>31</v>
      </c>
      <c r="BM2" s="37" t="s">
        <v>20</v>
      </c>
      <c r="BN2" s="38" t="s">
        <v>20</v>
      </c>
      <c r="BO2" s="38" t="s">
        <v>20</v>
      </c>
      <c r="BP2" s="38" t="s">
        <v>20</v>
      </c>
      <c r="BQ2" s="38" t="s">
        <v>20</v>
      </c>
      <c r="BR2" s="42"/>
      <c r="BS2" s="22"/>
      <c r="BT2" s="22"/>
      <c r="BU2" s="22"/>
    </row>
    <row r="3" ht="39.75" customHeight="1">
      <c r="A3" s="43" t="s">
        <v>32</v>
      </c>
      <c r="B3" s="44" t="s">
        <v>33</v>
      </c>
      <c r="C3" s="45" t="s">
        <v>34</v>
      </c>
      <c r="D3" s="46" t="s">
        <v>35</v>
      </c>
      <c r="E3" s="47" t="s">
        <v>36</v>
      </c>
      <c r="F3" s="47" t="s">
        <v>20</v>
      </c>
      <c r="G3" s="48" t="s">
        <v>37</v>
      </c>
      <c r="H3" s="48" t="s">
        <v>38</v>
      </c>
      <c r="I3" s="48" t="s">
        <v>37</v>
      </c>
      <c r="J3" s="49" t="s">
        <v>38</v>
      </c>
      <c r="K3" s="50" t="s">
        <v>39</v>
      </c>
      <c r="L3" s="51" t="s">
        <v>39</v>
      </c>
      <c r="M3" s="51" t="s">
        <v>35</v>
      </c>
      <c r="N3" s="51" t="s">
        <v>36</v>
      </c>
      <c r="O3" s="51" t="s">
        <v>20</v>
      </c>
      <c r="P3" s="51" t="s">
        <v>40</v>
      </c>
      <c r="Q3" s="50" t="s">
        <v>36</v>
      </c>
      <c r="R3" s="50" t="s">
        <v>35</v>
      </c>
      <c r="S3" s="51" t="s">
        <v>20</v>
      </c>
      <c r="T3" s="51" t="s">
        <v>36</v>
      </c>
      <c r="U3" s="51" t="s">
        <v>35</v>
      </c>
      <c r="V3" s="51" t="s">
        <v>36</v>
      </c>
      <c r="W3" s="51" t="s">
        <v>35</v>
      </c>
      <c r="X3" s="50" t="s">
        <v>36</v>
      </c>
      <c r="Y3" s="50" t="s">
        <v>20</v>
      </c>
      <c r="Z3" s="51" t="s">
        <v>35</v>
      </c>
      <c r="AA3" s="51" t="s">
        <v>36</v>
      </c>
      <c r="AB3" s="51" t="s">
        <v>39</v>
      </c>
      <c r="AC3" s="51" t="s">
        <v>36</v>
      </c>
      <c r="AD3" s="51" t="s">
        <v>35</v>
      </c>
      <c r="AE3" s="50" t="s">
        <v>36</v>
      </c>
      <c r="AF3" s="50" t="s">
        <v>35</v>
      </c>
      <c r="AG3" s="52" t="s">
        <v>20</v>
      </c>
      <c r="AH3" s="52" t="s">
        <v>29</v>
      </c>
      <c r="AI3" s="52" t="s">
        <v>29</v>
      </c>
      <c r="AJ3" s="52" t="s">
        <v>39</v>
      </c>
      <c r="AK3" s="51" t="s">
        <v>28</v>
      </c>
      <c r="AL3" s="53" t="s">
        <v>35</v>
      </c>
      <c r="AM3" s="54">
        <f t="shared" ref="AM3:AM26" si="3">BT3+BU3</f>
        <v>10</v>
      </c>
      <c r="AN3" s="55">
        <v>2.0</v>
      </c>
      <c r="AO3" s="55">
        <v>2.0</v>
      </c>
      <c r="AP3" s="55">
        <v>4.0</v>
      </c>
      <c r="AQ3" s="55">
        <v>4.0</v>
      </c>
      <c r="AR3" s="56">
        <f t="shared" ref="AR3:AR26" si="4">COUNTIF(K3:X3,"r'*")</f>
        <v>2</v>
      </c>
      <c r="AS3" s="56">
        <f t="shared" ref="AS3:AS26" si="5">COUNTIF(K3:X3,"R")</f>
        <v>2</v>
      </c>
      <c r="AT3" s="56">
        <f t="shared" ref="AT3:AU3" si="2">8-AN3-AP3-AR3</f>
        <v>0</v>
      </c>
      <c r="AU3" s="56">
        <f t="shared" si="2"/>
        <v>0</v>
      </c>
      <c r="AV3" s="56">
        <f t="shared" ref="AV3:AV26" si="7">COUNTIF(Y3:AL3,"r'*")</f>
        <v>2</v>
      </c>
      <c r="AW3" s="56">
        <f t="shared" ref="AW3:AW26" si="8">COUNTIF(Y3:AL3,"R")</f>
        <v>2</v>
      </c>
      <c r="AX3" s="56">
        <f t="shared" ref="AX3:AX26" si="9">COUNTIF(Y3:AL3,"r'*")</f>
        <v>2</v>
      </c>
      <c r="AY3" s="56">
        <f t="shared" ref="AY3:AY26" si="10">COUNTIF(Y3:AL3,"R")</f>
        <v>2</v>
      </c>
      <c r="AZ3" s="57">
        <f t="shared" ref="AZ3:AZ26" si="11">COUNTIF(G3:AK3,"*早*")-BA3</f>
        <v>0</v>
      </c>
      <c r="BA3" s="57">
        <f t="shared" ref="BA3:BA26" si="12">COUNTIF(G3:AK3,"*早A")</f>
        <v>0</v>
      </c>
      <c r="BB3" s="57">
        <f t="shared" ref="BB3:BB26" si="13">COUNTIF(G3:AK3,"*中*")</f>
        <v>0</v>
      </c>
      <c r="BC3" s="57">
        <f t="shared" ref="BC3:BC26" si="14">COUNTIF(G3:AK3,"*午*")-BD3</f>
        <v>16</v>
      </c>
      <c r="BD3" s="57">
        <f t="shared" ref="BD3:BD26" si="15">COUNTIF(G3:AK3,"*午F")</f>
        <v>0</v>
      </c>
      <c r="BE3" s="57">
        <f t="shared" ref="BE3:BE26" si="16">COUNTIF(G3:AK3,"*夜*")</f>
        <v>4</v>
      </c>
      <c r="BF3" s="57">
        <f t="shared" ref="BF3:BF26" si="17">COUNTIF(G3:AK3,"*T*")</f>
        <v>0</v>
      </c>
      <c r="BG3" s="57">
        <f t="shared" ref="BG3:BG26" si="18">COUNTIF(G3:AK3,"*日*")</f>
        <v>1</v>
      </c>
      <c r="BH3" s="57">
        <f t="shared" ref="BH3:BH26" si="19">COUNTIF(G3:AK3,"L")</f>
        <v>2</v>
      </c>
      <c r="BI3" s="57">
        <f t="array" ref="BI3">SUMPRODUCT(1*ISNUMBER(FIND("R",G3:AK3)))</f>
        <v>4</v>
      </c>
      <c r="BJ3" s="57">
        <f t="array" ref="BJ3">SUMPRODUCT(1*ISNUMBER(FIND("r",G3:AK3)))</f>
        <v>4</v>
      </c>
      <c r="BK3" s="57">
        <f t="array" ref="BK3">SUMPRODUCT(1*ISNUMBER(FIND("P",G3:AK3)))-SUMPRODUCT(1*ISNUMBER(FIND("午P",G3:AK3)))</f>
        <v>0</v>
      </c>
      <c r="BL3" s="57">
        <f t="shared" ref="BL3:BL26" si="20">SUM(G3:AK3)</f>
        <v>0</v>
      </c>
      <c r="BM3" s="57">
        <f t="array" ref="BM3">SUMPRODUCT(1*ISNUMBER(FIND("R",D3:J3)))</f>
        <v>1</v>
      </c>
      <c r="BN3" s="57">
        <f t="array" ref="BN3">SUMPRODUCT(1*ISNUMBER(FIND("R",K3:Q3)))</f>
        <v>1</v>
      </c>
      <c r="BO3" s="57">
        <f t="array" ref="BO3">SUMPRODUCT(1*ISNUMBER(FIND("R",R3:X3)))</f>
        <v>1</v>
      </c>
      <c r="BP3" s="57">
        <f t="array" ref="BP3">SUMPRODUCT(1*ISNUMBER(FIND("R",Y3:AE3)))</f>
        <v>1</v>
      </c>
      <c r="BQ3" s="57">
        <f t="array" ref="BQ3">SUMPRODUCT(1*ISNUMBER(FIND("R",AF3:AL3)))</f>
        <v>1</v>
      </c>
      <c r="BR3" s="57">
        <f t="shared" ref="BR3:BR26" si="21">SUM(AZ3:BK3)</f>
        <v>31</v>
      </c>
      <c r="BS3" s="22"/>
      <c r="BT3" s="58">
        <v>10.0</v>
      </c>
      <c r="BU3" s="58">
        <f t="array" ref="BU3">SUMPRODUCT(1*ISNUMBER(FIND("P",K3:AL3)))-SUMPRODUCT(1*ISNUMBER(FIND("午P",K3:AL3)))</f>
        <v>0</v>
      </c>
    </row>
    <row r="4" ht="39.75" customHeight="1">
      <c r="A4" s="59"/>
      <c r="B4" s="60" t="s">
        <v>41</v>
      </c>
      <c r="C4" s="61" t="s">
        <v>42</v>
      </c>
      <c r="D4" s="46" t="s">
        <v>43</v>
      </c>
      <c r="E4" s="47" t="s">
        <v>43</v>
      </c>
      <c r="F4" s="47" t="s">
        <v>36</v>
      </c>
      <c r="G4" s="47" t="s">
        <v>30</v>
      </c>
      <c r="H4" s="62" t="s">
        <v>20</v>
      </c>
      <c r="I4" s="47" t="s">
        <v>35</v>
      </c>
      <c r="J4" s="46" t="s">
        <v>36</v>
      </c>
      <c r="K4" s="63" t="s">
        <v>20</v>
      </c>
      <c r="L4" s="64" t="s">
        <v>44</v>
      </c>
      <c r="M4" s="64" t="s">
        <v>39</v>
      </c>
      <c r="N4" s="64" t="s">
        <v>43</v>
      </c>
      <c r="O4" s="64" t="s">
        <v>44</v>
      </c>
      <c r="P4" s="64" t="s">
        <v>43</v>
      </c>
      <c r="Q4" s="63" t="s">
        <v>39</v>
      </c>
      <c r="R4" s="63" t="s">
        <v>38</v>
      </c>
      <c r="S4" s="64" t="s">
        <v>37</v>
      </c>
      <c r="T4" s="64" t="s">
        <v>20</v>
      </c>
      <c r="U4" s="65" t="s">
        <v>29</v>
      </c>
      <c r="V4" s="65" t="s">
        <v>29</v>
      </c>
      <c r="W4" s="64" t="s">
        <v>44</v>
      </c>
      <c r="X4" s="63" t="s">
        <v>43</v>
      </c>
      <c r="Y4" s="63" t="s">
        <v>44</v>
      </c>
      <c r="Z4" s="64" t="s">
        <v>44</v>
      </c>
      <c r="AA4" s="64" t="s">
        <v>20</v>
      </c>
      <c r="AB4" s="64" t="s">
        <v>45</v>
      </c>
      <c r="AC4" s="64" t="s">
        <v>37</v>
      </c>
      <c r="AD4" s="64" t="s">
        <v>38</v>
      </c>
      <c r="AE4" s="66" t="s">
        <v>39</v>
      </c>
      <c r="AF4" s="66" t="s">
        <v>39</v>
      </c>
      <c r="AG4" s="64" t="s">
        <v>46</v>
      </c>
      <c r="AH4" s="64" t="s">
        <v>44</v>
      </c>
      <c r="AI4" s="67" t="s">
        <v>47</v>
      </c>
      <c r="AJ4" s="64" t="s">
        <v>20</v>
      </c>
      <c r="AK4" s="64" t="s">
        <v>43</v>
      </c>
      <c r="AL4" s="68" t="s">
        <v>44</v>
      </c>
      <c r="AM4" s="54">
        <f t="shared" si="3"/>
        <v>10</v>
      </c>
      <c r="AN4" s="55">
        <v>2.0</v>
      </c>
      <c r="AO4" s="55">
        <v>2.0</v>
      </c>
      <c r="AP4" s="55">
        <v>4.0</v>
      </c>
      <c r="AQ4" s="55">
        <v>4.0</v>
      </c>
      <c r="AR4" s="56">
        <f t="shared" si="4"/>
        <v>2</v>
      </c>
      <c r="AS4" s="56">
        <f t="shared" si="5"/>
        <v>2</v>
      </c>
      <c r="AT4" s="56">
        <f t="shared" ref="AT4:AU4" si="6">8-AN4-AP4-AR4</f>
        <v>0</v>
      </c>
      <c r="AU4" s="56">
        <f t="shared" si="6"/>
        <v>0</v>
      </c>
      <c r="AV4" s="56">
        <f t="shared" si="7"/>
        <v>2</v>
      </c>
      <c r="AW4" s="56">
        <f t="shared" si="8"/>
        <v>2</v>
      </c>
      <c r="AX4" s="56">
        <f t="shared" si="9"/>
        <v>2</v>
      </c>
      <c r="AY4" s="56">
        <f t="shared" si="10"/>
        <v>2</v>
      </c>
      <c r="AZ4" s="57">
        <f t="shared" si="11"/>
        <v>12</v>
      </c>
      <c r="BA4" s="57">
        <f t="shared" si="12"/>
        <v>0</v>
      </c>
      <c r="BB4" s="57">
        <f t="shared" si="13"/>
        <v>1</v>
      </c>
      <c r="BC4" s="57">
        <f t="shared" si="14"/>
        <v>2</v>
      </c>
      <c r="BD4" s="57">
        <f t="shared" si="15"/>
        <v>0</v>
      </c>
      <c r="BE4" s="57">
        <f t="shared" si="16"/>
        <v>4</v>
      </c>
      <c r="BF4" s="57">
        <f t="shared" si="17"/>
        <v>0</v>
      </c>
      <c r="BG4" s="57">
        <f t="shared" si="18"/>
        <v>0</v>
      </c>
      <c r="BH4" s="57">
        <f t="shared" si="19"/>
        <v>2</v>
      </c>
      <c r="BI4" s="57">
        <f t="array" ref="BI4">SUMPRODUCT(1*ISNUMBER(FIND("R",G4:AK4)))</f>
        <v>5</v>
      </c>
      <c r="BJ4" s="57">
        <f t="array" ref="BJ4">SUMPRODUCT(1*ISNUMBER(FIND("r",G4:AK4)))</f>
        <v>4</v>
      </c>
      <c r="BK4" s="57">
        <f t="array" ref="BK4">SUMPRODUCT(1*ISNUMBER(FIND("P",G4:AK4)))-SUMPRODUCT(1*ISNUMBER(FIND("午P",G4:AK4)))</f>
        <v>1</v>
      </c>
      <c r="BL4" s="57">
        <f t="shared" si="20"/>
        <v>0</v>
      </c>
      <c r="BM4" s="57">
        <f t="array" ref="BM4">SUMPRODUCT(1*ISNUMBER(FIND("R",D4:J4)))</f>
        <v>1</v>
      </c>
      <c r="BN4" s="57">
        <f t="array" ref="BN4">SUMPRODUCT(1*ISNUMBER(FIND("R",K4:Q4)))</f>
        <v>1</v>
      </c>
      <c r="BO4" s="57">
        <f t="array" ref="BO4">SUMPRODUCT(1*ISNUMBER(FIND("R",R4:X4)))</f>
        <v>1</v>
      </c>
      <c r="BP4" s="57">
        <f t="array" ref="BP4">SUMPRODUCT(1*ISNUMBER(FIND("R",Y4:AE4)))</f>
        <v>1</v>
      </c>
      <c r="BQ4" s="57">
        <f t="array" ref="BQ4">SUMPRODUCT(1*ISNUMBER(FIND("R",AF4:AL4)))</f>
        <v>1</v>
      </c>
      <c r="BR4" s="57">
        <f t="shared" si="21"/>
        <v>31</v>
      </c>
      <c r="BS4" s="22"/>
      <c r="BT4" s="58">
        <v>10.0</v>
      </c>
      <c r="BU4" s="58">
        <f t="array" ref="BU4">SUMPRODUCT(1*ISNUMBER(FIND("P",K4:AL4)))-SUMPRODUCT(1*ISNUMBER(FIND("午P",K4:AL4)))</f>
        <v>0</v>
      </c>
    </row>
    <row r="5" ht="39.75" customHeight="1">
      <c r="A5" s="59"/>
      <c r="B5" s="60" t="s">
        <v>48</v>
      </c>
      <c r="C5" s="61" t="s">
        <v>49</v>
      </c>
      <c r="D5" s="69" t="s">
        <v>36</v>
      </c>
      <c r="E5" s="55" t="s">
        <v>40</v>
      </c>
      <c r="F5" s="55" t="s">
        <v>20</v>
      </c>
      <c r="G5" s="55" t="s">
        <v>35</v>
      </c>
      <c r="H5" s="70" t="s">
        <v>35</v>
      </c>
      <c r="I5" s="71" t="s">
        <v>40</v>
      </c>
      <c r="J5" s="55" t="s">
        <v>35</v>
      </c>
      <c r="K5" s="63" t="s">
        <v>20</v>
      </c>
      <c r="L5" s="64" t="s">
        <v>35</v>
      </c>
      <c r="M5" s="64" t="s">
        <v>36</v>
      </c>
      <c r="N5" s="64" t="s">
        <v>35</v>
      </c>
      <c r="O5" s="64" t="s">
        <v>39</v>
      </c>
      <c r="P5" s="64" t="s">
        <v>39</v>
      </c>
      <c r="Q5" s="63" t="s">
        <v>35</v>
      </c>
      <c r="R5" s="63" t="s">
        <v>36</v>
      </c>
      <c r="S5" s="64" t="s">
        <v>35</v>
      </c>
      <c r="T5" s="64" t="s">
        <v>20</v>
      </c>
      <c r="U5" s="65" t="s">
        <v>29</v>
      </c>
      <c r="V5" s="65" t="s">
        <v>29</v>
      </c>
      <c r="W5" s="64" t="s">
        <v>38</v>
      </c>
      <c r="X5" s="63" t="s">
        <v>37</v>
      </c>
      <c r="Y5" s="63" t="s">
        <v>20</v>
      </c>
      <c r="Z5" s="64" t="s">
        <v>39</v>
      </c>
      <c r="AA5" s="64" t="s">
        <v>35</v>
      </c>
      <c r="AB5" s="64" t="s">
        <v>36</v>
      </c>
      <c r="AC5" s="64" t="s">
        <v>35</v>
      </c>
      <c r="AD5" s="64" t="s">
        <v>45</v>
      </c>
      <c r="AE5" s="66" t="s">
        <v>29</v>
      </c>
      <c r="AF5" s="66" t="s">
        <v>29</v>
      </c>
      <c r="AG5" s="64" t="s">
        <v>20</v>
      </c>
      <c r="AH5" s="72" t="s">
        <v>28</v>
      </c>
      <c r="AI5" s="64" t="s">
        <v>40</v>
      </c>
      <c r="AJ5" s="64" t="s">
        <v>39</v>
      </c>
      <c r="AK5" s="64" t="s">
        <v>38</v>
      </c>
      <c r="AL5" s="68" t="s">
        <v>37</v>
      </c>
      <c r="AM5" s="54">
        <f t="shared" si="3"/>
        <v>10</v>
      </c>
      <c r="AN5" s="55">
        <v>2.0</v>
      </c>
      <c r="AO5" s="55">
        <v>2.0</v>
      </c>
      <c r="AP5" s="55">
        <v>4.0</v>
      </c>
      <c r="AQ5" s="55">
        <v>4.0</v>
      </c>
      <c r="AR5" s="56">
        <f t="shared" si="4"/>
        <v>2</v>
      </c>
      <c r="AS5" s="56">
        <f t="shared" si="5"/>
        <v>2</v>
      </c>
      <c r="AT5" s="56">
        <f t="shared" ref="AT5:AU5" si="22">8-AN5-AP5-AR5</f>
        <v>0</v>
      </c>
      <c r="AU5" s="56">
        <f t="shared" si="22"/>
        <v>0</v>
      </c>
      <c r="AV5" s="56">
        <f t="shared" si="7"/>
        <v>2</v>
      </c>
      <c r="AW5" s="56">
        <f t="shared" si="8"/>
        <v>2</v>
      </c>
      <c r="AX5" s="56">
        <f t="shared" si="9"/>
        <v>2</v>
      </c>
      <c r="AY5" s="56">
        <f t="shared" si="10"/>
        <v>2</v>
      </c>
      <c r="AZ5" s="57">
        <f t="shared" si="11"/>
        <v>0</v>
      </c>
      <c r="BA5" s="57">
        <f t="shared" si="12"/>
        <v>0</v>
      </c>
      <c r="BB5" s="57">
        <f t="shared" si="13"/>
        <v>1</v>
      </c>
      <c r="BC5" s="57">
        <f t="shared" si="14"/>
        <v>14</v>
      </c>
      <c r="BD5" s="57">
        <f t="shared" si="15"/>
        <v>0</v>
      </c>
      <c r="BE5" s="57">
        <f t="shared" si="16"/>
        <v>3</v>
      </c>
      <c r="BF5" s="57">
        <f t="shared" si="17"/>
        <v>0</v>
      </c>
      <c r="BG5" s="57">
        <f t="shared" si="18"/>
        <v>1</v>
      </c>
      <c r="BH5" s="57">
        <f t="shared" si="19"/>
        <v>4</v>
      </c>
      <c r="BI5" s="57">
        <f t="array" ref="BI5">SUMPRODUCT(1*ISNUMBER(FIND("R",G5:AK5)))</f>
        <v>4</v>
      </c>
      <c r="BJ5" s="57">
        <f t="array" ref="BJ5">SUMPRODUCT(1*ISNUMBER(FIND("r",G5:AK5)))</f>
        <v>4</v>
      </c>
      <c r="BK5" s="57">
        <f t="array" ref="BK5">SUMPRODUCT(1*ISNUMBER(FIND("P",G5:AK5)))-SUMPRODUCT(1*ISNUMBER(FIND("午P",G5:AK5)))</f>
        <v>0</v>
      </c>
      <c r="BL5" s="57">
        <f t="shared" si="20"/>
        <v>0</v>
      </c>
      <c r="BM5" s="57">
        <f t="array" ref="BM5">SUMPRODUCT(1*ISNUMBER(FIND("R",D5:J5)))</f>
        <v>1</v>
      </c>
      <c r="BN5" s="57">
        <f t="array" ref="BN5">SUMPRODUCT(1*ISNUMBER(FIND("R",K5:Q5)))</f>
        <v>1</v>
      </c>
      <c r="BO5" s="57">
        <f t="array" ref="BO5">SUMPRODUCT(1*ISNUMBER(FIND("R",R5:X5)))</f>
        <v>1</v>
      </c>
      <c r="BP5" s="57">
        <f t="array" ref="BP5">SUMPRODUCT(1*ISNUMBER(FIND("R",Y5:AE5)))</f>
        <v>1</v>
      </c>
      <c r="BQ5" s="57">
        <f t="array" ref="BQ5">SUMPRODUCT(1*ISNUMBER(FIND("R",AF5:AL5)))</f>
        <v>1</v>
      </c>
      <c r="BR5" s="57">
        <f t="shared" si="21"/>
        <v>31</v>
      </c>
      <c r="BS5" s="22"/>
      <c r="BT5" s="58">
        <v>10.0</v>
      </c>
      <c r="BU5" s="58">
        <f t="array" ref="BU5">SUMPRODUCT(1*ISNUMBER(FIND("P",K5:AL5)))-SUMPRODUCT(1*ISNUMBER(FIND("午P",K5:AL5)))</f>
        <v>0</v>
      </c>
    </row>
    <row r="6" ht="39.75" customHeight="1">
      <c r="A6" s="59"/>
      <c r="B6" s="60" t="s">
        <v>50</v>
      </c>
      <c r="C6" s="61" t="s">
        <v>51</v>
      </c>
      <c r="D6" s="69" t="s">
        <v>44</v>
      </c>
      <c r="E6" s="55" t="s">
        <v>20</v>
      </c>
      <c r="F6" s="55" t="s">
        <v>44</v>
      </c>
      <c r="G6" s="55" t="s">
        <v>43</v>
      </c>
      <c r="H6" s="70" t="s">
        <v>44</v>
      </c>
      <c r="I6" s="71" t="s">
        <v>43</v>
      </c>
      <c r="J6" s="55" t="s">
        <v>43</v>
      </c>
      <c r="K6" s="66" t="s">
        <v>39</v>
      </c>
      <c r="L6" s="73" t="s">
        <v>20</v>
      </c>
      <c r="M6" s="73" t="s">
        <v>29</v>
      </c>
      <c r="N6" s="73" t="s">
        <v>29</v>
      </c>
      <c r="O6" s="73" t="s">
        <v>29</v>
      </c>
      <c r="P6" s="64" t="s">
        <v>44</v>
      </c>
      <c r="Q6" s="63" t="s">
        <v>43</v>
      </c>
      <c r="R6" s="63" t="s">
        <v>44</v>
      </c>
      <c r="S6" s="64" t="s">
        <v>20</v>
      </c>
      <c r="T6" s="64" t="s">
        <v>43</v>
      </c>
      <c r="U6" s="64" t="s">
        <v>44</v>
      </c>
      <c r="V6" s="64" t="s">
        <v>38</v>
      </c>
      <c r="W6" s="64" t="s">
        <v>37</v>
      </c>
      <c r="X6" s="63" t="s">
        <v>39</v>
      </c>
      <c r="Y6" s="63" t="s">
        <v>20</v>
      </c>
      <c r="Z6" s="64" t="s">
        <v>43</v>
      </c>
      <c r="AA6" s="64" t="s">
        <v>44</v>
      </c>
      <c r="AB6" s="64" t="s">
        <v>37</v>
      </c>
      <c r="AC6" s="64" t="s">
        <v>38</v>
      </c>
      <c r="AD6" s="64" t="s">
        <v>39</v>
      </c>
      <c r="AE6" s="63" t="s">
        <v>39</v>
      </c>
      <c r="AF6" s="63" t="s">
        <v>44</v>
      </c>
      <c r="AG6" s="64" t="s">
        <v>43</v>
      </c>
      <c r="AH6" s="72" t="s">
        <v>28</v>
      </c>
      <c r="AI6" s="64" t="s">
        <v>20</v>
      </c>
      <c r="AJ6" s="64" t="s">
        <v>43</v>
      </c>
      <c r="AK6" s="64" t="s">
        <v>44</v>
      </c>
      <c r="AL6" s="68" t="s">
        <v>46</v>
      </c>
      <c r="AM6" s="54">
        <f t="shared" si="3"/>
        <v>9</v>
      </c>
      <c r="AN6" s="55">
        <v>2.0</v>
      </c>
      <c r="AO6" s="55">
        <v>2.0</v>
      </c>
      <c r="AP6" s="55">
        <v>4.0</v>
      </c>
      <c r="AQ6" s="55">
        <v>4.0</v>
      </c>
      <c r="AR6" s="56">
        <f t="shared" si="4"/>
        <v>2</v>
      </c>
      <c r="AS6" s="56">
        <f t="shared" si="5"/>
        <v>2</v>
      </c>
      <c r="AT6" s="56">
        <f t="shared" ref="AT6:AU6" si="23">8-AN6-AP6-AR6</f>
        <v>0</v>
      </c>
      <c r="AU6" s="56">
        <f t="shared" si="23"/>
        <v>0</v>
      </c>
      <c r="AV6" s="56">
        <f t="shared" si="7"/>
        <v>2</v>
      </c>
      <c r="AW6" s="56">
        <f t="shared" si="8"/>
        <v>2</v>
      </c>
      <c r="AX6" s="56">
        <f t="shared" si="9"/>
        <v>2</v>
      </c>
      <c r="AY6" s="56">
        <f t="shared" si="10"/>
        <v>2</v>
      </c>
      <c r="AZ6" s="57">
        <f t="shared" si="11"/>
        <v>15</v>
      </c>
      <c r="BA6" s="57">
        <f t="shared" si="12"/>
        <v>0</v>
      </c>
      <c r="BB6" s="57">
        <f t="shared" si="13"/>
        <v>0</v>
      </c>
      <c r="BC6" s="57">
        <f t="shared" si="14"/>
        <v>0</v>
      </c>
      <c r="BD6" s="57">
        <f t="shared" si="15"/>
        <v>0</v>
      </c>
      <c r="BE6" s="57">
        <f t="shared" si="16"/>
        <v>4</v>
      </c>
      <c r="BF6" s="57">
        <f t="shared" si="17"/>
        <v>0</v>
      </c>
      <c r="BG6" s="57">
        <f t="shared" si="18"/>
        <v>1</v>
      </c>
      <c r="BH6" s="57">
        <f t="shared" si="19"/>
        <v>3</v>
      </c>
      <c r="BI6" s="57">
        <f t="array" ref="BI6">SUMPRODUCT(1*ISNUMBER(FIND("R",G6:AK6)))</f>
        <v>4</v>
      </c>
      <c r="BJ6" s="57">
        <f t="array" ref="BJ6">SUMPRODUCT(1*ISNUMBER(FIND("r",G6:AK6)))</f>
        <v>4</v>
      </c>
      <c r="BK6" s="57">
        <f t="array" ref="BK6">SUMPRODUCT(1*ISNUMBER(FIND("P",G6:AK6)))-SUMPRODUCT(1*ISNUMBER(FIND("午P",G6:AK6)))</f>
        <v>0</v>
      </c>
      <c r="BL6" s="57">
        <f t="shared" si="20"/>
        <v>0</v>
      </c>
      <c r="BM6" s="57">
        <f t="array" ref="BM6">SUMPRODUCT(1*ISNUMBER(FIND("R",D6:J6)))</f>
        <v>1</v>
      </c>
      <c r="BN6" s="57">
        <f t="array" ref="BN6">SUMPRODUCT(1*ISNUMBER(FIND("R",K6:Q6)))</f>
        <v>1</v>
      </c>
      <c r="BO6" s="57">
        <f t="array" ref="BO6">SUMPRODUCT(1*ISNUMBER(FIND("R",R6:X6)))</f>
        <v>1</v>
      </c>
      <c r="BP6" s="57">
        <f t="array" ref="BP6">SUMPRODUCT(1*ISNUMBER(FIND("R",Y6:AE6)))</f>
        <v>1</v>
      </c>
      <c r="BQ6" s="57">
        <f t="array" ref="BQ6">SUMPRODUCT(1*ISNUMBER(FIND("R",AF6:AL6)))</f>
        <v>1</v>
      </c>
      <c r="BR6" s="57">
        <f t="shared" si="21"/>
        <v>31</v>
      </c>
      <c r="BS6" s="22"/>
      <c r="BT6" s="58">
        <v>9.0</v>
      </c>
      <c r="BU6" s="58">
        <f t="array" ref="BU6">SUMPRODUCT(1*ISNUMBER(FIND("P",K6:AL6)))-SUMPRODUCT(1*ISNUMBER(FIND("午P",K6:AL6)))</f>
        <v>0</v>
      </c>
    </row>
    <row r="7" ht="39.75" customHeight="1">
      <c r="A7" s="59"/>
      <c r="B7" s="60" t="s">
        <v>52</v>
      </c>
      <c r="C7" s="61" t="s">
        <v>53</v>
      </c>
      <c r="D7" s="69" t="s">
        <v>20</v>
      </c>
      <c r="E7" s="55" t="s">
        <v>30</v>
      </c>
      <c r="F7" s="55" t="s">
        <v>45</v>
      </c>
      <c r="G7" s="55" t="s">
        <v>46</v>
      </c>
      <c r="H7" s="70" t="s">
        <v>43</v>
      </c>
      <c r="I7" s="71" t="s">
        <v>44</v>
      </c>
      <c r="J7" s="55" t="s">
        <v>39</v>
      </c>
      <c r="K7" s="66" t="s">
        <v>20</v>
      </c>
      <c r="L7" s="73" t="s">
        <v>29</v>
      </c>
      <c r="M7" s="73" t="s">
        <v>29</v>
      </c>
      <c r="N7" s="73" t="s">
        <v>29</v>
      </c>
      <c r="O7" s="73" t="s">
        <v>29</v>
      </c>
      <c r="P7" s="73" t="s">
        <v>29</v>
      </c>
      <c r="Q7" s="66" t="s">
        <v>39</v>
      </c>
      <c r="R7" s="66" t="s">
        <v>20</v>
      </c>
      <c r="S7" s="73" t="s">
        <v>29</v>
      </c>
      <c r="T7" s="73" t="s">
        <v>29</v>
      </c>
      <c r="U7" s="73" t="s">
        <v>29</v>
      </c>
      <c r="V7" s="73" t="s">
        <v>29</v>
      </c>
      <c r="W7" s="73" t="s">
        <v>29</v>
      </c>
      <c r="X7" s="66" t="s">
        <v>39</v>
      </c>
      <c r="Y7" s="66" t="s">
        <v>20</v>
      </c>
      <c r="Z7" s="73" t="s">
        <v>29</v>
      </c>
      <c r="AA7" s="72" t="s">
        <v>28</v>
      </c>
      <c r="AB7" s="67" t="s">
        <v>54</v>
      </c>
      <c r="AC7" s="64" t="s">
        <v>45</v>
      </c>
      <c r="AD7" s="64" t="s">
        <v>39</v>
      </c>
      <c r="AE7" s="63" t="s">
        <v>44</v>
      </c>
      <c r="AF7" s="63" t="s">
        <v>43</v>
      </c>
      <c r="AG7" s="64" t="s">
        <v>37</v>
      </c>
      <c r="AH7" s="64" t="s">
        <v>38</v>
      </c>
      <c r="AI7" s="64" t="s">
        <v>37</v>
      </c>
      <c r="AJ7" s="64" t="s">
        <v>39</v>
      </c>
      <c r="AK7" s="64" t="s">
        <v>20</v>
      </c>
      <c r="AL7" s="68" t="s">
        <v>38</v>
      </c>
      <c r="AM7" s="54">
        <f t="shared" si="3"/>
        <v>11</v>
      </c>
      <c r="AN7" s="55">
        <v>2.0</v>
      </c>
      <c r="AO7" s="55">
        <v>2.0</v>
      </c>
      <c r="AP7" s="55">
        <v>4.0</v>
      </c>
      <c r="AQ7" s="55">
        <v>4.0</v>
      </c>
      <c r="AR7" s="56">
        <f t="shared" si="4"/>
        <v>2</v>
      </c>
      <c r="AS7" s="56">
        <f t="shared" si="5"/>
        <v>2</v>
      </c>
      <c r="AT7" s="56">
        <f t="shared" ref="AT7:AU7" si="24">8-AN7-AP7-AR7</f>
        <v>0</v>
      </c>
      <c r="AU7" s="56">
        <f t="shared" si="24"/>
        <v>0</v>
      </c>
      <c r="AV7" s="56">
        <f t="shared" si="7"/>
        <v>2</v>
      </c>
      <c r="AW7" s="56">
        <f t="shared" si="8"/>
        <v>2</v>
      </c>
      <c r="AX7" s="56">
        <f t="shared" si="9"/>
        <v>2</v>
      </c>
      <c r="AY7" s="56">
        <f t="shared" si="10"/>
        <v>2</v>
      </c>
      <c r="AZ7" s="57">
        <f t="shared" si="11"/>
        <v>6</v>
      </c>
      <c r="BA7" s="57">
        <f t="shared" si="12"/>
        <v>0</v>
      </c>
      <c r="BB7" s="57">
        <f t="shared" si="13"/>
        <v>1</v>
      </c>
      <c r="BC7" s="57">
        <f t="shared" si="14"/>
        <v>0</v>
      </c>
      <c r="BD7" s="57">
        <f t="shared" si="15"/>
        <v>0</v>
      </c>
      <c r="BE7" s="57">
        <f t="shared" si="16"/>
        <v>3</v>
      </c>
      <c r="BF7" s="57">
        <f t="shared" si="17"/>
        <v>0</v>
      </c>
      <c r="BG7" s="57">
        <f t="shared" si="18"/>
        <v>1</v>
      </c>
      <c r="BH7" s="57">
        <f t="shared" si="19"/>
        <v>11</v>
      </c>
      <c r="BI7" s="57">
        <f t="array" ref="BI7">SUMPRODUCT(1*ISNUMBER(FIND("R",G7:AK7)))</f>
        <v>4</v>
      </c>
      <c r="BJ7" s="57">
        <f t="array" ref="BJ7">SUMPRODUCT(1*ISNUMBER(FIND("r",G7:AK7)))</f>
        <v>5</v>
      </c>
      <c r="BK7" s="57">
        <f t="array" ref="BK7">SUMPRODUCT(1*ISNUMBER(FIND("P",G7:AK7)))-SUMPRODUCT(1*ISNUMBER(FIND("午P",G7:AK7)))</f>
        <v>0</v>
      </c>
      <c r="BL7" s="57">
        <f t="shared" si="20"/>
        <v>0</v>
      </c>
      <c r="BM7" s="57">
        <f t="array" ref="BM7">SUMPRODUCT(1*ISNUMBER(FIND("R",D7:J7)))</f>
        <v>1</v>
      </c>
      <c r="BN7" s="57">
        <f t="array" ref="BN7">SUMPRODUCT(1*ISNUMBER(FIND("R",K7:Q7)))</f>
        <v>1</v>
      </c>
      <c r="BO7" s="57">
        <f t="array" ref="BO7">SUMPRODUCT(1*ISNUMBER(FIND("R",R7:X7)))</f>
        <v>1</v>
      </c>
      <c r="BP7" s="57">
        <f t="array" ref="BP7">SUMPRODUCT(1*ISNUMBER(FIND("R",Y7:AE7)))</f>
        <v>1</v>
      </c>
      <c r="BQ7" s="57">
        <f t="array" ref="BQ7">SUMPRODUCT(1*ISNUMBER(FIND("R",AF7:AL7)))</f>
        <v>1</v>
      </c>
      <c r="BR7" s="57">
        <f t="shared" si="21"/>
        <v>31</v>
      </c>
      <c r="BS7" s="22"/>
      <c r="BT7" s="58">
        <v>11.0</v>
      </c>
      <c r="BU7" s="58">
        <f t="array" ref="BU7">SUMPRODUCT(1*ISNUMBER(FIND("P",K7:AL7)))-SUMPRODUCT(1*ISNUMBER(FIND("午P",K7:AL7)))</f>
        <v>0</v>
      </c>
    </row>
    <row r="8" ht="39.75" customHeight="1">
      <c r="A8" s="59"/>
      <c r="B8" s="60" t="s">
        <v>55</v>
      </c>
      <c r="C8" s="61" t="s">
        <v>56</v>
      </c>
      <c r="D8" s="69" t="s">
        <v>20</v>
      </c>
      <c r="E8" s="55" t="s">
        <v>39</v>
      </c>
      <c r="F8" s="55" t="s">
        <v>43</v>
      </c>
      <c r="G8" s="55" t="s">
        <v>44</v>
      </c>
      <c r="H8" s="70" t="s">
        <v>45</v>
      </c>
      <c r="I8" s="71" t="s">
        <v>39</v>
      </c>
      <c r="J8" s="55" t="s">
        <v>44</v>
      </c>
      <c r="K8" s="63" t="s">
        <v>44</v>
      </c>
      <c r="L8" s="64" t="s">
        <v>43</v>
      </c>
      <c r="M8" s="64" t="s">
        <v>44</v>
      </c>
      <c r="N8" s="64" t="s">
        <v>20</v>
      </c>
      <c r="O8" s="64" t="s">
        <v>43</v>
      </c>
      <c r="P8" s="64" t="s">
        <v>39</v>
      </c>
      <c r="Q8" s="63" t="s">
        <v>44</v>
      </c>
      <c r="R8" s="63" t="s">
        <v>43</v>
      </c>
      <c r="S8" s="64" t="s">
        <v>44</v>
      </c>
      <c r="T8" s="64" t="s">
        <v>38</v>
      </c>
      <c r="U8" s="64" t="s">
        <v>37</v>
      </c>
      <c r="V8" s="64" t="s">
        <v>20</v>
      </c>
      <c r="W8" s="64" t="s">
        <v>39</v>
      </c>
      <c r="X8" s="63" t="s">
        <v>44</v>
      </c>
      <c r="Y8" s="66" t="s">
        <v>20</v>
      </c>
      <c r="Z8" s="73" t="s">
        <v>39</v>
      </c>
      <c r="AA8" s="64" t="s">
        <v>43</v>
      </c>
      <c r="AB8" s="72" t="s">
        <v>28</v>
      </c>
      <c r="AC8" s="64" t="s">
        <v>43</v>
      </c>
      <c r="AD8" s="64" t="s">
        <v>44</v>
      </c>
      <c r="AE8" s="63" t="s">
        <v>43</v>
      </c>
      <c r="AF8" s="63" t="s">
        <v>20</v>
      </c>
      <c r="AG8" s="64" t="s">
        <v>44</v>
      </c>
      <c r="AH8" s="64" t="s">
        <v>43</v>
      </c>
      <c r="AI8" s="67" t="s">
        <v>57</v>
      </c>
      <c r="AJ8" s="64" t="s">
        <v>38</v>
      </c>
      <c r="AK8" s="64" t="s">
        <v>37</v>
      </c>
      <c r="AL8" s="68" t="s">
        <v>39</v>
      </c>
      <c r="AM8" s="54">
        <f t="shared" si="3"/>
        <v>9</v>
      </c>
      <c r="AN8" s="55">
        <v>2.0</v>
      </c>
      <c r="AO8" s="55">
        <v>2.0</v>
      </c>
      <c r="AP8" s="55">
        <v>4.0</v>
      </c>
      <c r="AQ8" s="55">
        <v>4.0</v>
      </c>
      <c r="AR8" s="56">
        <f t="shared" si="4"/>
        <v>2</v>
      </c>
      <c r="AS8" s="56">
        <f t="shared" si="5"/>
        <v>2</v>
      </c>
      <c r="AT8" s="56">
        <f t="shared" ref="AT8:AU8" si="25">8-AN8-AP8-AR8</f>
        <v>0</v>
      </c>
      <c r="AU8" s="56">
        <f t="shared" si="25"/>
        <v>0</v>
      </c>
      <c r="AV8" s="56">
        <f t="shared" si="7"/>
        <v>2</v>
      </c>
      <c r="AW8" s="56">
        <f t="shared" si="8"/>
        <v>2</v>
      </c>
      <c r="AX8" s="56">
        <f t="shared" si="9"/>
        <v>2</v>
      </c>
      <c r="AY8" s="56">
        <f t="shared" si="10"/>
        <v>2</v>
      </c>
      <c r="AZ8" s="57">
        <f t="shared" si="11"/>
        <v>17</v>
      </c>
      <c r="BA8" s="57">
        <f t="shared" si="12"/>
        <v>0</v>
      </c>
      <c r="BB8" s="57">
        <f t="shared" si="13"/>
        <v>1</v>
      </c>
      <c r="BC8" s="57">
        <f t="shared" si="14"/>
        <v>0</v>
      </c>
      <c r="BD8" s="57">
        <f t="shared" si="15"/>
        <v>0</v>
      </c>
      <c r="BE8" s="57">
        <f t="shared" si="16"/>
        <v>4</v>
      </c>
      <c r="BF8" s="57">
        <f t="shared" si="17"/>
        <v>0</v>
      </c>
      <c r="BG8" s="57">
        <f t="shared" si="18"/>
        <v>1</v>
      </c>
      <c r="BH8" s="57">
        <f t="shared" si="19"/>
        <v>0</v>
      </c>
      <c r="BI8" s="57">
        <f t="array" ref="BI8">SUMPRODUCT(1*ISNUMBER(FIND("R",G8:AK8)))</f>
        <v>4</v>
      </c>
      <c r="BJ8" s="57">
        <f t="array" ref="BJ8">SUMPRODUCT(1*ISNUMBER(FIND("r",G8:AK8)))</f>
        <v>4</v>
      </c>
      <c r="BK8" s="57">
        <f t="array" ref="BK8">SUMPRODUCT(1*ISNUMBER(FIND("P",G8:AK8)))-SUMPRODUCT(1*ISNUMBER(FIND("午P",G8:AK8)))</f>
        <v>0</v>
      </c>
      <c r="BL8" s="57">
        <f t="shared" si="20"/>
        <v>0</v>
      </c>
      <c r="BM8" s="57">
        <f t="array" ref="BM8">SUMPRODUCT(1*ISNUMBER(FIND("R",D8:J8)))</f>
        <v>1</v>
      </c>
      <c r="BN8" s="57">
        <f t="array" ref="BN8">SUMPRODUCT(1*ISNUMBER(FIND("R",K8:Q8)))</f>
        <v>1</v>
      </c>
      <c r="BO8" s="57">
        <f t="array" ref="BO8">SUMPRODUCT(1*ISNUMBER(FIND("R",R8:X8)))</f>
        <v>1</v>
      </c>
      <c r="BP8" s="57">
        <f t="array" ref="BP8">SUMPRODUCT(1*ISNUMBER(FIND("R",Y8:AE8)))</f>
        <v>1</v>
      </c>
      <c r="BQ8" s="57">
        <f t="array" ref="BQ8">SUMPRODUCT(1*ISNUMBER(FIND("R",AF8:AL8)))</f>
        <v>1</v>
      </c>
      <c r="BR8" s="57">
        <f t="shared" si="21"/>
        <v>31</v>
      </c>
      <c r="BS8" s="22"/>
      <c r="BT8" s="58">
        <v>9.0</v>
      </c>
      <c r="BU8" s="58">
        <f t="array" ref="BU8">SUMPRODUCT(1*ISNUMBER(FIND("P",K8:AL8)))-SUMPRODUCT(1*ISNUMBER(FIND("午P",K8:AL8)))</f>
        <v>0</v>
      </c>
    </row>
    <row r="9" ht="39.75" customHeight="1">
      <c r="A9" s="59"/>
      <c r="B9" s="60" t="s">
        <v>58</v>
      </c>
      <c r="C9" s="61" t="s">
        <v>59</v>
      </c>
      <c r="D9" s="69" t="s">
        <v>38</v>
      </c>
      <c r="E9" s="55" t="s">
        <v>37</v>
      </c>
      <c r="F9" s="55" t="s">
        <v>38</v>
      </c>
      <c r="G9" s="55" t="s">
        <v>20</v>
      </c>
      <c r="H9" s="70" t="s">
        <v>37</v>
      </c>
      <c r="I9" s="71" t="s">
        <v>38</v>
      </c>
      <c r="J9" s="55" t="s">
        <v>37</v>
      </c>
      <c r="K9" s="63" t="s">
        <v>37</v>
      </c>
      <c r="L9" s="64" t="s">
        <v>38</v>
      </c>
      <c r="M9" s="64" t="s">
        <v>37</v>
      </c>
      <c r="N9" s="64" t="s">
        <v>20</v>
      </c>
      <c r="O9" s="64" t="s">
        <v>39</v>
      </c>
      <c r="P9" s="64" t="s">
        <v>39</v>
      </c>
      <c r="Q9" s="63" t="s">
        <v>38</v>
      </c>
      <c r="R9" s="63" t="s">
        <v>37</v>
      </c>
      <c r="S9" s="64" t="s">
        <v>38</v>
      </c>
      <c r="T9" s="64" t="s">
        <v>37</v>
      </c>
      <c r="U9" s="64" t="s">
        <v>38</v>
      </c>
      <c r="V9" s="64" t="s">
        <v>37</v>
      </c>
      <c r="W9" s="64" t="s">
        <v>20</v>
      </c>
      <c r="X9" s="63" t="s">
        <v>38</v>
      </c>
      <c r="Y9" s="63" t="s">
        <v>37</v>
      </c>
      <c r="Z9" s="64" t="s">
        <v>38</v>
      </c>
      <c r="AA9" s="64" t="s">
        <v>37</v>
      </c>
      <c r="AB9" s="64" t="s">
        <v>38</v>
      </c>
      <c r="AC9" s="64" t="s">
        <v>20</v>
      </c>
      <c r="AD9" s="64" t="s">
        <v>37</v>
      </c>
      <c r="AE9" s="63" t="s">
        <v>38</v>
      </c>
      <c r="AF9" s="63" t="s">
        <v>37</v>
      </c>
      <c r="AG9" s="64" t="s">
        <v>20</v>
      </c>
      <c r="AH9" s="64" t="s">
        <v>37</v>
      </c>
      <c r="AI9" s="64" t="s">
        <v>38</v>
      </c>
      <c r="AJ9" s="64" t="s">
        <v>37</v>
      </c>
      <c r="AK9" s="64" t="s">
        <v>39</v>
      </c>
      <c r="AL9" s="68" t="s">
        <v>39</v>
      </c>
      <c r="AM9" s="54">
        <f t="shared" si="3"/>
        <v>10</v>
      </c>
      <c r="AN9" s="55">
        <v>2.0</v>
      </c>
      <c r="AO9" s="55">
        <v>2.0</v>
      </c>
      <c r="AP9" s="55">
        <v>4.0</v>
      </c>
      <c r="AQ9" s="55">
        <v>4.0</v>
      </c>
      <c r="AR9" s="56">
        <f t="shared" si="4"/>
        <v>2</v>
      </c>
      <c r="AS9" s="56">
        <f t="shared" si="5"/>
        <v>2</v>
      </c>
      <c r="AT9" s="56">
        <f t="shared" ref="AT9:AU9" si="26">8-AN9-AP9-AR9</f>
        <v>0</v>
      </c>
      <c r="AU9" s="56">
        <f t="shared" si="26"/>
        <v>0</v>
      </c>
      <c r="AV9" s="56">
        <f t="shared" si="7"/>
        <v>2</v>
      </c>
      <c r="AW9" s="56">
        <f t="shared" si="8"/>
        <v>2</v>
      </c>
      <c r="AX9" s="56">
        <f t="shared" si="9"/>
        <v>2</v>
      </c>
      <c r="AY9" s="56">
        <f t="shared" si="10"/>
        <v>2</v>
      </c>
      <c r="AZ9" s="57">
        <f t="shared" si="11"/>
        <v>0</v>
      </c>
      <c r="BA9" s="57">
        <f t="shared" si="12"/>
        <v>0</v>
      </c>
      <c r="BB9" s="57">
        <f t="shared" si="13"/>
        <v>0</v>
      </c>
      <c r="BC9" s="57">
        <f t="shared" si="14"/>
        <v>0</v>
      </c>
      <c r="BD9" s="57">
        <f t="shared" si="15"/>
        <v>0</v>
      </c>
      <c r="BE9" s="57">
        <f t="shared" si="16"/>
        <v>23</v>
      </c>
      <c r="BF9" s="57">
        <f t="shared" si="17"/>
        <v>0</v>
      </c>
      <c r="BG9" s="57">
        <f t="shared" si="18"/>
        <v>0</v>
      </c>
      <c r="BH9" s="57">
        <f t="shared" si="19"/>
        <v>0</v>
      </c>
      <c r="BI9" s="57">
        <f t="array" ref="BI9">SUMPRODUCT(1*ISNUMBER(FIND("R",G9:AK9)))</f>
        <v>5</v>
      </c>
      <c r="BJ9" s="57">
        <f t="array" ref="BJ9">SUMPRODUCT(1*ISNUMBER(FIND("r",G9:AK9)))</f>
        <v>3</v>
      </c>
      <c r="BK9" s="57">
        <f t="array" ref="BK9">SUMPRODUCT(1*ISNUMBER(FIND("P",G9:AK9)))-SUMPRODUCT(1*ISNUMBER(FIND("午P",G9:AK9)))</f>
        <v>0</v>
      </c>
      <c r="BL9" s="57">
        <f t="shared" si="20"/>
        <v>0</v>
      </c>
      <c r="BM9" s="57">
        <f t="array" ref="BM9">SUMPRODUCT(1*ISNUMBER(FIND("R",D9:J9)))</f>
        <v>1</v>
      </c>
      <c r="BN9" s="57">
        <f t="array" ref="BN9">SUMPRODUCT(1*ISNUMBER(FIND("R",K9:Q9)))</f>
        <v>1</v>
      </c>
      <c r="BO9" s="57">
        <f t="array" ref="BO9">SUMPRODUCT(1*ISNUMBER(FIND("R",R9:X9)))</f>
        <v>1</v>
      </c>
      <c r="BP9" s="57">
        <f t="array" ref="BP9">SUMPRODUCT(1*ISNUMBER(FIND("R",Y9:AE9)))</f>
        <v>1</v>
      </c>
      <c r="BQ9" s="57">
        <f t="array" ref="BQ9">SUMPRODUCT(1*ISNUMBER(FIND("R",AF9:AL9)))</f>
        <v>1</v>
      </c>
      <c r="BR9" s="57">
        <f t="shared" si="21"/>
        <v>31</v>
      </c>
      <c r="BS9" s="22"/>
      <c r="BT9" s="58">
        <v>10.0</v>
      </c>
      <c r="BU9" s="58">
        <f t="array" ref="BU9">SUMPRODUCT(1*ISNUMBER(FIND("P",K9:AL9)))-SUMPRODUCT(1*ISNUMBER(FIND("午P",K9:AL9)))</f>
        <v>0</v>
      </c>
    </row>
    <row r="10" ht="39.75" customHeight="1">
      <c r="A10" s="59"/>
      <c r="B10" s="60" t="s">
        <v>60</v>
      </c>
      <c r="C10" s="61" t="s">
        <v>61</v>
      </c>
      <c r="D10" s="69" t="s">
        <v>40</v>
      </c>
      <c r="E10" s="55" t="s">
        <v>35</v>
      </c>
      <c r="F10" s="55" t="s">
        <v>35</v>
      </c>
      <c r="G10" s="55" t="s">
        <v>39</v>
      </c>
      <c r="H10" s="70" t="s">
        <v>20</v>
      </c>
      <c r="I10" s="71" t="s">
        <v>36</v>
      </c>
      <c r="J10" s="55" t="s">
        <v>40</v>
      </c>
      <c r="K10" s="63" t="s">
        <v>36</v>
      </c>
      <c r="L10" s="64" t="s">
        <v>20</v>
      </c>
      <c r="M10" s="64" t="s">
        <v>38</v>
      </c>
      <c r="N10" s="64" t="s">
        <v>37</v>
      </c>
      <c r="O10" s="64" t="s">
        <v>38</v>
      </c>
      <c r="P10" s="64" t="s">
        <v>37</v>
      </c>
      <c r="Q10" s="63" t="s">
        <v>39</v>
      </c>
      <c r="R10" s="63" t="s">
        <v>20</v>
      </c>
      <c r="S10" s="64" t="s">
        <v>36</v>
      </c>
      <c r="T10" s="64" t="s">
        <v>35</v>
      </c>
      <c r="U10" s="64" t="s">
        <v>39</v>
      </c>
      <c r="V10" s="64" t="s">
        <v>40</v>
      </c>
      <c r="W10" s="64" t="s">
        <v>36</v>
      </c>
      <c r="X10" s="63" t="s">
        <v>35</v>
      </c>
      <c r="Y10" s="63" t="s">
        <v>36</v>
      </c>
      <c r="Z10" s="64" t="s">
        <v>39</v>
      </c>
      <c r="AA10" s="72" t="s">
        <v>28</v>
      </c>
      <c r="AB10" s="64" t="s">
        <v>35</v>
      </c>
      <c r="AC10" s="73" t="s">
        <v>20</v>
      </c>
      <c r="AD10" s="73" t="s">
        <v>29</v>
      </c>
      <c r="AE10" s="66" t="s">
        <v>29</v>
      </c>
      <c r="AF10" s="66" t="s">
        <v>39</v>
      </c>
      <c r="AG10" s="64" t="s">
        <v>36</v>
      </c>
      <c r="AH10" s="64" t="s">
        <v>35</v>
      </c>
      <c r="AI10" s="64" t="s">
        <v>45</v>
      </c>
      <c r="AJ10" s="64" t="s">
        <v>35</v>
      </c>
      <c r="AK10" s="64" t="s">
        <v>36</v>
      </c>
      <c r="AL10" s="68" t="s">
        <v>20</v>
      </c>
      <c r="AM10" s="54">
        <f t="shared" si="3"/>
        <v>9</v>
      </c>
      <c r="AN10" s="55">
        <v>2.0</v>
      </c>
      <c r="AO10" s="55">
        <v>2.0</v>
      </c>
      <c r="AP10" s="55">
        <v>4.0</v>
      </c>
      <c r="AQ10" s="55">
        <v>4.0</v>
      </c>
      <c r="AR10" s="56">
        <f t="shared" si="4"/>
        <v>2</v>
      </c>
      <c r="AS10" s="56">
        <f t="shared" si="5"/>
        <v>2</v>
      </c>
      <c r="AT10" s="56">
        <f t="shared" ref="AT10:AU10" si="27">8-AN10-AP10-AR10</f>
        <v>0</v>
      </c>
      <c r="AU10" s="56">
        <f t="shared" si="27"/>
        <v>0</v>
      </c>
      <c r="AV10" s="56">
        <f t="shared" si="7"/>
        <v>2</v>
      </c>
      <c r="AW10" s="56">
        <f t="shared" si="8"/>
        <v>2</v>
      </c>
      <c r="AX10" s="56">
        <f t="shared" si="9"/>
        <v>2</v>
      </c>
      <c r="AY10" s="56">
        <f t="shared" si="10"/>
        <v>2</v>
      </c>
      <c r="AZ10" s="57">
        <f t="shared" si="11"/>
        <v>0</v>
      </c>
      <c r="BA10" s="57">
        <f t="shared" si="12"/>
        <v>0</v>
      </c>
      <c r="BB10" s="57">
        <f t="shared" si="13"/>
        <v>1</v>
      </c>
      <c r="BC10" s="57">
        <f t="shared" si="14"/>
        <v>14</v>
      </c>
      <c r="BD10" s="57">
        <f t="shared" si="15"/>
        <v>0</v>
      </c>
      <c r="BE10" s="57">
        <f t="shared" si="16"/>
        <v>4</v>
      </c>
      <c r="BF10" s="57">
        <f t="shared" si="17"/>
        <v>0</v>
      </c>
      <c r="BG10" s="57">
        <f t="shared" si="18"/>
        <v>1</v>
      </c>
      <c r="BH10" s="57">
        <f t="shared" si="19"/>
        <v>2</v>
      </c>
      <c r="BI10" s="57">
        <f t="array" ref="BI10">SUMPRODUCT(1*ISNUMBER(FIND("R",G10:AK10)))</f>
        <v>4</v>
      </c>
      <c r="BJ10" s="57">
        <f t="array" ref="BJ10">SUMPRODUCT(1*ISNUMBER(FIND("r",G10:AK10)))</f>
        <v>5</v>
      </c>
      <c r="BK10" s="57">
        <f t="array" ref="BK10">SUMPRODUCT(1*ISNUMBER(FIND("P",G10:AK10)))-SUMPRODUCT(1*ISNUMBER(FIND("午P",G10:AK10)))</f>
        <v>0</v>
      </c>
      <c r="BL10" s="57">
        <f t="shared" si="20"/>
        <v>0</v>
      </c>
      <c r="BM10" s="57">
        <f t="array" ref="BM10">SUMPRODUCT(1*ISNUMBER(FIND("R",D10:J10)))</f>
        <v>1</v>
      </c>
      <c r="BN10" s="57">
        <f t="array" ref="BN10">SUMPRODUCT(1*ISNUMBER(FIND("R",K10:Q10)))</f>
        <v>1</v>
      </c>
      <c r="BO10" s="57">
        <f t="array" ref="BO10">SUMPRODUCT(1*ISNUMBER(FIND("R",R10:X10)))</f>
        <v>1</v>
      </c>
      <c r="BP10" s="57">
        <f t="array" ref="BP10">SUMPRODUCT(1*ISNUMBER(FIND("R",Y10:AE10)))</f>
        <v>1</v>
      </c>
      <c r="BQ10" s="57">
        <f t="array" ref="BQ10">SUMPRODUCT(1*ISNUMBER(FIND("R",AF10:AL10)))</f>
        <v>1</v>
      </c>
      <c r="BR10" s="57">
        <f t="shared" si="21"/>
        <v>31</v>
      </c>
      <c r="BS10" s="22"/>
      <c r="BT10" s="58">
        <v>9.0</v>
      </c>
      <c r="BU10" s="58">
        <f t="array" ref="BU10">SUMPRODUCT(1*ISNUMBER(FIND("P",K10:AL10)))-SUMPRODUCT(1*ISNUMBER(FIND("午P",K10:AL10)))</f>
        <v>0</v>
      </c>
    </row>
    <row r="11" ht="39.75" customHeight="1">
      <c r="A11" s="59"/>
      <c r="B11" s="60" t="s">
        <v>62</v>
      </c>
      <c r="C11" s="61" t="s">
        <v>63</v>
      </c>
      <c r="D11" s="74" t="s">
        <v>37</v>
      </c>
      <c r="E11" s="75" t="s">
        <v>38</v>
      </c>
      <c r="F11" s="75" t="s">
        <v>37</v>
      </c>
      <c r="G11" s="48" t="s">
        <v>38</v>
      </c>
      <c r="H11" s="47" t="s">
        <v>20</v>
      </c>
      <c r="I11" s="47" t="s">
        <v>30</v>
      </c>
      <c r="J11" s="76" t="s">
        <v>39</v>
      </c>
      <c r="K11" s="63" t="s">
        <v>35</v>
      </c>
      <c r="L11" s="64" t="s">
        <v>36</v>
      </c>
      <c r="M11" s="64" t="s">
        <v>20</v>
      </c>
      <c r="N11" s="64" t="s">
        <v>38</v>
      </c>
      <c r="O11" s="64" t="s">
        <v>37</v>
      </c>
      <c r="P11" s="64" t="s">
        <v>38</v>
      </c>
      <c r="Q11" s="63" t="s">
        <v>37</v>
      </c>
      <c r="R11" s="63" t="s">
        <v>39</v>
      </c>
      <c r="S11" s="64" t="s">
        <v>39</v>
      </c>
      <c r="T11" s="64" t="s">
        <v>45</v>
      </c>
      <c r="U11" s="64" t="s">
        <v>36</v>
      </c>
      <c r="V11" s="64" t="s">
        <v>35</v>
      </c>
      <c r="W11" s="64" t="s">
        <v>20</v>
      </c>
      <c r="X11" s="63" t="s">
        <v>40</v>
      </c>
      <c r="Y11" s="63" t="s">
        <v>35</v>
      </c>
      <c r="Z11" s="64" t="s">
        <v>36</v>
      </c>
      <c r="AA11" s="64" t="s">
        <v>39</v>
      </c>
      <c r="AB11" s="72" t="s">
        <v>28</v>
      </c>
      <c r="AC11" s="73" t="s">
        <v>20</v>
      </c>
      <c r="AD11" s="73" t="s">
        <v>29</v>
      </c>
      <c r="AE11" s="66" t="s">
        <v>29</v>
      </c>
      <c r="AF11" s="66" t="s">
        <v>39</v>
      </c>
      <c r="AG11" s="64" t="s">
        <v>35</v>
      </c>
      <c r="AH11" s="64" t="s">
        <v>36</v>
      </c>
      <c r="AI11" s="64" t="s">
        <v>35</v>
      </c>
      <c r="AJ11" s="64" t="s">
        <v>36</v>
      </c>
      <c r="AK11" s="64" t="s">
        <v>40</v>
      </c>
      <c r="AL11" s="68" t="s">
        <v>20</v>
      </c>
      <c r="AM11" s="54">
        <f t="shared" si="3"/>
        <v>10</v>
      </c>
      <c r="AN11" s="55">
        <v>2.0</v>
      </c>
      <c r="AO11" s="55">
        <v>2.0</v>
      </c>
      <c r="AP11" s="55">
        <v>4.0</v>
      </c>
      <c r="AQ11" s="55">
        <v>4.0</v>
      </c>
      <c r="AR11" s="56">
        <f t="shared" si="4"/>
        <v>2</v>
      </c>
      <c r="AS11" s="56">
        <f t="shared" si="5"/>
        <v>2</v>
      </c>
      <c r="AT11" s="56">
        <f t="shared" ref="AT11:AU11" si="28">8-AN11-AP11-AR11</f>
        <v>0</v>
      </c>
      <c r="AU11" s="56">
        <f t="shared" si="28"/>
        <v>0</v>
      </c>
      <c r="AV11" s="56">
        <f t="shared" si="7"/>
        <v>2</v>
      </c>
      <c r="AW11" s="56">
        <f t="shared" si="8"/>
        <v>2</v>
      </c>
      <c r="AX11" s="56">
        <f t="shared" si="9"/>
        <v>2</v>
      </c>
      <c r="AY11" s="56">
        <f t="shared" si="10"/>
        <v>2</v>
      </c>
      <c r="AZ11" s="57">
        <f t="shared" si="11"/>
        <v>0</v>
      </c>
      <c r="BA11" s="57">
        <f t="shared" si="12"/>
        <v>0</v>
      </c>
      <c r="BB11" s="57">
        <f t="shared" si="13"/>
        <v>1</v>
      </c>
      <c r="BC11" s="57">
        <f t="shared" si="14"/>
        <v>12</v>
      </c>
      <c r="BD11" s="57">
        <f t="shared" si="15"/>
        <v>0</v>
      </c>
      <c r="BE11" s="57">
        <f t="shared" si="16"/>
        <v>5</v>
      </c>
      <c r="BF11" s="57">
        <f t="shared" si="17"/>
        <v>0</v>
      </c>
      <c r="BG11" s="57">
        <f t="shared" si="18"/>
        <v>1</v>
      </c>
      <c r="BH11" s="57">
        <f t="shared" si="19"/>
        <v>2</v>
      </c>
      <c r="BI11" s="57">
        <f t="array" ref="BI11">SUMPRODUCT(1*ISNUMBER(FIND("R",G11:AK11)))</f>
        <v>4</v>
      </c>
      <c r="BJ11" s="57">
        <f t="array" ref="BJ11">SUMPRODUCT(1*ISNUMBER(FIND("r",G11:AK11)))</f>
        <v>5</v>
      </c>
      <c r="BK11" s="57">
        <f t="array" ref="BK11">SUMPRODUCT(1*ISNUMBER(FIND("P",G11:AK11)))-SUMPRODUCT(1*ISNUMBER(FIND("午P",G11:AK11)))</f>
        <v>1</v>
      </c>
      <c r="BL11" s="57">
        <f t="shared" si="20"/>
        <v>0</v>
      </c>
      <c r="BM11" s="57">
        <f t="array" ref="BM11">SUMPRODUCT(1*ISNUMBER(FIND("R",D11:J11)))</f>
        <v>1</v>
      </c>
      <c r="BN11" s="57">
        <f t="array" ref="BN11">SUMPRODUCT(1*ISNUMBER(FIND("R",K11:Q11)))</f>
        <v>1</v>
      </c>
      <c r="BO11" s="57">
        <f t="array" ref="BO11">SUMPRODUCT(1*ISNUMBER(FIND("R",R11:X11)))</f>
        <v>1</v>
      </c>
      <c r="BP11" s="57">
        <f t="array" ref="BP11">SUMPRODUCT(1*ISNUMBER(FIND("R",Y11:AE11)))</f>
        <v>1</v>
      </c>
      <c r="BQ11" s="57">
        <f t="array" ref="BQ11">SUMPRODUCT(1*ISNUMBER(FIND("R",AF11:AL11)))</f>
        <v>1</v>
      </c>
      <c r="BR11" s="57">
        <f t="shared" si="21"/>
        <v>31</v>
      </c>
      <c r="BS11" s="22"/>
      <c r="BT11" s="58">
        <v>10.0</v>
      </c>
      <c r="BU11" s="58">
        <f t="array" ref="BU11">SUMPRODUCT(1*ISNUMBER(FIND("P",K11:AL11)))-SUMPRODUCT(1*ISNUMBER(FIND("午P",K11:AL11)))</f>
        <v>0</v>
      </c>
    </row>
    <row r="12" ht="39.75" customHeight="1">
      <c r="A12" s="59"/>
      <c r="B12" s="60" t="s">
        <v>64</v>
      </c>
      <c r="C12" s="61" t="s">
        <v>65</v>
      </c>
      <c r="D12" s="77" t="s">
        <v>66</v>
      </c>
      <c r="E12" s="78" t="s">
        <v>67</v>
      </c>
      <c r="F12" s="47" t="s">
        <v>35</v>
      </c>
      <c r="G12" s="47" t="s">
        <v>36</v>
      </c>
      <c r="H12" s="47" t="s">
        <v>36</v>
      </c>
      <c r="I12" s="62" t="s">
        <v>20</v>
      </c>
      <c r="J12" s="76" t="s">
        <v>68</v>
      </c>
      <c r="K12" s="63" t="s">
        <v>38</v>
      </c>
      <c r="L12" s="64" t="s">
        <v>37</v>
      </c>
      <c r="M12" s="64" t="s">
        <v>39</v>
      </c>
      <c r="N12" s="64" t="s">
        <v>39</v>
      </c>
      <c r="O12" s="64" t="s">
        <v>36</v>
      </c>
      <c r="P12" s="64" t="s">
        <v>35</v>
      </c>
      <c r="Q12" s="66" t="s">
        <v>20</v>
      </c>
      <c r="R12" s="66" t="s">
        <v>20</v>
      </c>
      <c r="S12" s="73" t="s">
        <v>39</v>
      </c>
      <c r="T12" s="64" t="s">
        <v>44</v>
      </c>
      <c r="U12" s="64" t="s">
        <v>69</v>
      </c>
      <c r="V12" s="64" t="s">
        <v>43</v>
      </c>
      <c r="W12" s="64" t="s">
        <v>69</v>
      </c>
      <c r="X12" s="63" t="s">
        <v>45</v>
      </c>
      <c r="Y12" s="63" t="s">
        <v>43</v>
      </c>
      <c r="Z12" s="64" t="s">
        <v>20</v>
      </c>
      <c r="AA12" s="64" t="s">
        <v>39</v>
      </c>
      <c r="AB12" s="67" t="s">
        <v>70</v>
      </c>
      <c r="AC12" s="64" t="s">
        <v>44</v>
      </c>
      <c r="AD12" s="64" t="s">
        <v>43</v>
      </c>
      <c r="AE12" s="63" t="s">
        <v>37</v>
      </c>
      <c r="AF12" s="63" t="s">
        <v>38</v>
      </c>
      <c r="AG12" s="64" t="s">
        <v>39</v>
      </c>
      <c r="AH12" s="64" t="s">
        <v>20</v>
      </c>
      <c r="AI12" s="64" t="s">
        <v>36</v>
      </c>
      <c r="AJ12" s="64" t="s">
        <v>40</v>
      </c>
      <c r="AK12" s="64" t="s">
        <v>35</v>
      </c>
      <c r="AL12" s="68" t="s">
        <v>36</v>
      </c>
      <c r="AM12" s="54">
        <f t="shared" si="3"/>
        <v>10</v>
      </c>
      <c r="AN12" s="55">
        <v>2.0</v>
      </c>
      <c r="AO12" s="55">
        <v>2.0</v>
      </c>
      <c r="AP12" s="79">
        <v>3.0</v>
      </c>
      <c r="AQ12" s="55">
        <v>4.0</v>
      </c>
      <c r="AR12" s="56">
        <f t="shared" si="4"/>
        <v>3</v>
      </c>
      <c r="AS12" s="56">
        <f t="shared" si="5"/>
        <v>2</v>
      </c>
      <c r="AT12" s="56">
        <f t="shared" ref="AT12:AU12" si="29">8-AN12-AP12-AR12</f>
        <v>0</v>
      </c>
      <c r="AU12" s="56">
        <f t="shared" si="29"/>
        <v>0</v>
      </c>
      <c r="AV12" s="56">
        <f t="shared" si="7"/>
        <v>2</v>
      </c>
      <c r="AW12" s="56">
        <f t="shared" si="8"/>
        <v>2</v>
      </c>
      <c r="AX12" s="56">
        <f t="shared" si="9"/>
        <v>2</v>
      </c>
      <c r="AY12" s="56">
        <f t="shared" si="10"/>
        <v>2</v>
      </c>
      <c r="AZ12" s="57">
        <f t="shared" si="11"/>
        <v>8</v>
      </c>
      <c r="BA12" s="57">
        <f t="shared" si="12"/>
        <v>0</v>
      </c>
      <c r="BB12" s="57">
        <f t="shared" si="13"/>
        <v>1</v>
      </c>
      <c r="BC12" s="57">
        <f t="shared" si="14"/>
        <v>8</v>
      </c>
      <c r="BD12" s="57">
        <f t="shared" si="15"/>
        <v>0</v>
      </c>
      <c r="BE12" s="57">
        <f t="shared" si="16"/>
        <v>4</v>
      </c>
      <c r="BF12" s="57">
        <f t="shared" si="17"/>
        <v>0</v>
      </c>
      <c r="BG12" s="57">
        <f t="shared" si="18"/>
        <v>0</v>
      </c>
      <c r="BH12" s="57">
        <f t="shared" si="19"/>
        <v>0</v>
      </c>
      <c r="BI12" s="57">
        <f t="array" ref="BI12">SUMPRODUCT(1*ISNUMBER(FIND("R",G12:AK12)))</f>
        <v>5</v>
      </c>
      <c r="BJ12" s="57">
        <f t="array" ref="BJ12">SUMPRODUCT(1*ISNUMBER(FIND("r",G12:AK12)))</f>
        <v>5</v>
      </c>
      <c r="BK12" s="57">
        <f t="array" ref="BK12">SUMPRODUCT(1*ISNUMBER(FIND("P",G12:AK12)))-SUMPRODUCT(1*ISNUMBER(FIND("午P",G12:AK12)))</f>
        <v>0</v>
      </c>
      <c r="BL12" s="57">
        <f t="shared" si="20"/>
        <v>0</v>
      </c>
      <c r="BM12" s="57">
        <f t="array" ref="BM12">SUMPRODUCT(1*ISNUMBER(FIND("R",D12:J12)))</f>
        <v>1</v>
      </c>
      <c r="BN12" s="57">
        <f t="array" ref="BN12">SUMPRODUCT(1*ISNUMBER(FIND("R",K12:Q12)))</f>
        <v>1</v>
      </c>
      <c r="BO12" s="57">
        <f t="array" ref="BO12">SUMPRODUCT(1*ISNUMBER(FIND("R",R12:X12)))</f>
        <v>1</v>
      </c>
      <c r="BP12" s="57">
        <f t="array" ref="BP12">SUMPRODUCT(1*ISNUMBER(FIND("R",Y12:AE12)))</f>
        <v>1</v>
      </c>
      <c r="BQ12" s="57">
        <f t="array" ref="BQ12">SUMPRODUCT(1*ISNUMBER(FIND("R",AF12:AL12)))</f>
        <v>1</v>
      </c>
      <c r="BR12" s="57">
        <f t="shared" si="21"/>
        <v>31</v>
      </c>
      <c r="BS12" s="22"/>
      <c r="BT12" s="80">
        <v>10.0</v>
      </c>
      <c r="BU12" s="58">
        <f t="array" ref="BU12">SUMPRODUCT(1*ISNUMBER(FIND("P",K12:AL12)))-SUMPRODUCT(1*ISNUMBER(FIND("午P",K12:AL12)))</f>
        <v>0</v>
      </c>
    </row>
    <row r="13" ht="39.75" customHeight="1">
      <c r="A13" s="59"/>
      <c r="B13" s="81" t="s">
        <v>71</v>
      </c>
      <c r="C13" s="82" t="s">
        <v>72</v>
      </c>
      <c r="D13" s="83" t="s">
        <v>36</v>
      </c>
      <c r="E13" s="84" t="s">
        <v>40</v>
      </c>
      <c r="F13" s="47" t="s">
        <v>39</v>
      </c>
      <c r="G13" s="85" t="s">
        <v>20</v>
      </c>
      <c r="H13" s="47" t="s">
        <v>39</v>
      </c>
      <c r="I13" s="86" t="s">
        <v>67</v>
      </c>
      <c r="J13" s="87" t="s">
        <v>69</v>
      </c>
      <c r="K13" s="88" t="s">
        <v>43</v>
      </c>
      <c r="L13" s="89" t="s">
        <v>39</v>
      </c>
      <c r="M13" s="89" t="s">
        <v>43</v>
      </c>
      <c r="N13" s="89" t="s">
        <v>44</v>
      </c>
      <c r="O13" s="89" t="s">
        <v>35</v>
      </c>
      <c r="P13" s="89" t="s">
        <v>36</v>
      </c>
      <c r="Q13" s="90" t="s">
        <v>20</v>
      </c>
      <c r="R13" s="90" t="s">
        <v>20</v>
      </c>
      <c r="S13" s="89" t="s">
        <v>43</v>
      </c>
      <c r="T13" s="89" t="s">
        <v>39</v>
      </c>
      <c r="U13" s="89" t="s">
        <v>43</v>
      </c>
      <c r="V13" s="89" t="s">
        <v>44</v>
      </c>
      <c r="W13" s="89" t="s">
        <v>43</v>
      </c>
      <c r="X13" s="88" t="s">
        <v>39</v>
      </c>
      <c r="Y13" s="88" t="s">
        <v>38</v>
      </c>
      <c r="Z13" s="89" t="s">
        <v>37</v>
      </c>
      <c r="AA13" s="89" t="s">
        <v>38</v>
      </c>
      <c r="AB13" s="89" t="s">
        <v>39</v>
      </c>
      <c r="AC13" s="89" t="s">
        <v>20</v>
      </c>
      <c r="AD13" s="89" t="s">
        <v>36</v>
      </c>
      <c r="AE13" s="88" t="s">
        <v>35</v>
      </c>
      <c r="AF13" s="88" t="s">
        <v>36</v>
      </c>
      <c r="AG13" s="89" t="s">
        <v>38</v>
      </c>
      <c r="AH13" s="89" t="s">
        <v>39</v>
      </c>
      <c r="AI13" s="89" t="s">
        <v>20</v>
      </c>
      <c r="AJ13" s="89" t="s">
        <v>44</v>
      </c>
      <c r="AK13" s="89" t="s">
        <v>45</v>
      </c>
      <c r="AL13" s="91" t="s">
        <v>43</v>
      </c>
      <c r="AM13" s="54">
        <f t="shared" si="3"/>
        <v>10</v>
      </c>
      <c r="AN13" s="55">
        <v>2.0</v>
      </c>
      <c r="AO13" s="55">
        <v>2.0</v>
      </c>
      <c r="AP13" s="79">
        <v>3.0</v>
      </c>
      <c r="AQ13" s="55">
        <v>4.0</v>
      </c>
      <c r="AR13" s="56">
        <f t="shared" si="4"/>
        <v>3</v>
      </c>
      <c r="AS13" s="56">
        <f t="shared" si="5"/>
        <v>2</v>
      </c>
      <c r="AT13" s="56">
        <f t="shared" ref="AT13:AU13" si="30">8-AN13-AP13-AR13</f>
        <v>0</v>
      </c>
      <c r="AU13" s="56">
        <f t="shared" si="30"/>
        <v>0</v>
      </c>
      <c r="AV13" s="56">
        <f t="shared" si="7"/>
        <v>2</v>
      </c>
      <c r="AW13" s="56">
        <f t="shared" si="8"/>
        <v>2</v>
      </c>
      <c r="AX13" s="56">
        <f t="shared" si="9"/>
        <v>2</v>
      </c>
      <c r="AY13" s="56">
        <f t="shared" si="10"/>
        <v>2</v>
      </c>
      <c r="AZ13" s="57">
        <f t="shared" si="11"/>
        <v>10</v>
      </c>
      <c r="BA13" s="57">
        <f t="shared" si="12"/>
        <v>0</v>
      </c>
      <c r="BB13" s="57">
        <f t="shared" si="13"/>
        <v>1</v>
      </c>
      <c r="BC13" s="57">
        <f t="shared" si="14"/>
        <v>5</v>
      </c>
      <c r="BD13" s="57">
        <f t="shared" si="15"/>
        <v>0</v>
      </c>
      <c r="BE13" s="57">
        <f t="shared" si="16"/>
        <v>4</v>
      </c>
      <c r="BF13" s="57">
        <f t="shared" si="17"/>
        <v>0</v>
      </c>
      <c r="BG13" s="57">
        <f t="shared" si="18"/>
        <v>0</v>
      </c>
      <c r="BH13" s="57">
        <f t="shared" si="19"/>
        <v>0</v>
      </c>
      <c r="BI13" s="57">
        <f t="array" ref="BI13">SUMPRODUCT(1*ISNUMBER(FIND("R",G13:AK13)))</f>
        <v>5</v>
      </c>
      <c r="BJ13" s="57">
        <f t="array" ref="BJ13">SUMPRODUCT(1*ISNUMBER(FIND("r",G13:AK13)))</f>
        <v>6</v>
      </c>
      <c r="BK13" s="57">
        <f t="array" ref="BK13">SUMPRODUCT(1*ISNUMBER(FIND("P",G13:AK13)))-SUMPRODUCT(1*ISNUMBER(FIND("午P",G13:AK13)))</f>
        <v>0</v>
      </c>
      <c r="BL13" s="57">
        <f t="shared" si="20"/>
        <v>0</v>
      </c>
      <c r="BM13" s="57">
        <f t="array" ref="BM13">SUMPRODUCT(1*ISNUMBER(FIND("R",D13:J13)))</f>
        <v>1</v>
      </c>
      <c r="BN13" s="57">
        <f t="array" ref="BN13">SUMPRODUCT(1*ISNUMBER(FIND("R",K13:Q13)))</f>
        <v>1</v>
      </c>
      <c r="BO13" s="57">
        <f t="array" ref="BO13">SUMPRODUCT(1*ISNUMBER(FIND("R",R13:X13)))</f>
        <v>1</v>
      </c>
      <c r="BP13" s="57">
        <f t="array" ref="BP13">SUMPRODUCT(1*ISNUMBER(FIND("R",Y13:AE13)))</f>
        <v>1</v>
      </c>
      <c r="BQ13" s="57">
        <f t="array" ref="BQ13">SUMPRODUCT(1*ISNUMBER(FIND("R",AF13:AL13)))</f>
        <v>1</v>
      </c>
      <c r="BR13" s="57">
        <f t="shared" si="21"/>
        <v>31</v>
      </c>
      <c r="BS13" s="22"/>
      <c r="BT13" s="80">
        <v>10.0</v>
      </c>
      <c r="BU13" s="58">
        <f t="array" ref="BU13">SUMPRODUCT(1*ISNUMBER(FIND("P",K13:AL13)))-SUMPRODUCT(1*ISNUMBER(FIND("午P",K13:AL13)))</f>
        <v>0</v>
      </c>
    </row>
    <row r="14" ht="39.75" customHeight="1">
      <c r="A14" s="59"/>
      <c r="B14" s="92" t="s">
        <v>73</v>
      </c>
      <c r="C14" s="93" t="s">
        <v>74</v>
      </c>
      <c r="D14" s="94" t="s">
        <v>69</v>
      </c>
      <c r="E14" s="33" t="s">
        <v>39</v>
      </c>
      <c r="F14" s="33" t="s">
        <v>29</v>
      </c>
      <c r="G14" s="33" t="s">
        <v>20</v>
      </c>
      <c r="H14" s="95" t="s">
        <v>46</v>
      </c>
      <c r="I14" s="96" t="s">
        <v>46</v>
      </c>
      <c r="J14" s="97" t="s">
        <v>39</v>
      </c>
      <c r="K14" s="98" t="s">
        <v>69</v>
      </c>
      <c r="L14" s="99" t="s">
        <v>46</v>
      </c>
      <c r="M14" s="99" t="s">
        <v>69</v>
      </c>
      <c r="N14" s="100" t="s">
        <v>46</v>
      </c>
      <c r="O14" s="100" t="s">
        <v>69</v>
      </c>
      <c r="P14" s="101" t="s">
        <v>29</v>
      </c>
      <c r="Q14" s="102" t="s">
        <v>20</v>
      </c>
      <c r="R14" s="102" t="s">
        <v>20</v>
      </c>
      <c r="S14" s="99" t="s">
        <v>46</v>
      </c>
      <c r="T14" s="99" t="s">
        <v>68</v>
      </c>
      <c r="U14" s="100" t="s">
        <v>40</v>
      </c>
      <c r="V14" s="99" t="s">
        <v>45</v>
      </c>
      <c r="W14" s="99" t="s">
        <v>39</v>
      </c>
      <c r="X14" s="103" t="s">
        <v>39</v>
      </c>
      <c r="Y14" s="103" t="s">
        <v>40</v>
      </c>
      <c r="Z14" s="99" t="s">
        <v>20</v>
      </c>
      <c r="AA14" s="99" t="s">
        <v>40</v>
      </c>
      <c r="AB14" s="104" t="s">
        <v>28</v>
      </c>
      <c r="AC14" s="99" t="s">
        <v>39</v>
      </c>
      <c r="AD14" s="99" t="s">
        <v>39</v>
      </c>
      <c r="AE14" s="103" t="s">
        <v>68</v>
      </c>
      <c r="AF14" s="100" t="s">
        <v>40</v>
      </c>
      <c r="AG14" s="99" t="s">
        <v>45</v>
      </c>
      <c r="AH14" s="99" t="s">
        <v>20</v>
      </c>
      <c r="AI14" s="105" t="s">
        <v>75</v>
      </c>
      <c r="AJ14" s="100" t="s">
        <v>69</v>
      </c>
      <c r="AK14" s="99" t="s">
        <v>30</v>
      </c>
      <c r="AL14" s="106" t="s">
        <v>68</v>
      </c>
      <c r="AM14" s="54">
        <f t="shared" si="3"/>
        <v>9</v>
      </c>
      <c r="AN14" s="55">
        <v>2.0</v>
      </c>
      <c r="AO14" s="55">
        <v>2.0</v>
      </c>
      <c r="AP14" s="55">
        <v>4.0</v>
      </c>
      <c r="AQ14" s="55">
        <v>4.0</v>
      </c>
      <c r="AR14" s="56">
        <f t="shared" si="4"/>
        <v>2</v>
      </c>
      <c r="AS14" s="56">
        <f t="shared" si="5"/>
        <v>2</v>
      </c>
      <c r="AT14" s="56">
        <f t="shared" ref="AT14:AU14" si="31">8-AN14-AP14-AR14</f>
        <v>0</v>
      </c>
      <c r="AU14" s="56">
        <f t="shared" si="31"/>
        <v>0</v>
      </c>
      <c r="AV14" s="56">
        <f t="shared" si="7"/>
        <v>2</v>
      </c>
      <c r="AW14" s="56">
        <f t="shared" si="8"/>
        <v>2</v>
      </c>
      <c r="AX14" s="56">
        <f t="shared" si="9"/>
        <v>2</v>
      </c>
      <c r="AY14" s="56">
        <f t="shared" si="10"/>
        <v>2</v>
      </c>
      <c r="AZ14" s="57">
        <f t="shared" si="11"/>
        <v>10</v>
      </c>
      <c r="BA14" s="57">
        <f t="shared" si="12"/>
        <v>0</v>
      </c>
      <c r="BB14" s="57">
        <f t="shared" si="13"/>
        <v>2</v>
      </c>
      <c r="BC14" s="57">
        <f t="shared" si="14"/>
        <v>6</v>
      </c>
      <c r="BD14" s="57">
        <f t="shared" si="15"/>
        <v>0</v>
      </c>
      <c r="BE14" s="57">
        <f t="shared" si="16"/>
        <v>0</v>
      </c>
      <c r="BF14" s="57">
        <f t="shared" si="17"/>
        <v>0</v>
      </c>
      <c r="BG14" s="57">
        <f t="shared" si="18"/>
        <v>1</v>
      </c>
      <c r="BH14" s="57">
        <f t="shared" si="19"/>
        <v>1</v>
      </c>
      <c r="BI14" s="57">
        <f t="array" ref="BI14">SUMPRODUCT(1*ISNUMBER(FIND("R",G14:AK14)))</f>
        <v>5</v>
      </c>
      <c r="BJ14" s="57">
        <f t="array" ref="BJ14">SUMPRODUCT(1*ISNUMBER(FIND("r",G14:AK14)))</f>
        <v>5</v>
      </c>
      <c r="BK14" s="57">
        <f t="array" ref="BK14">SUMPRODUCT(1*ISNUMBER(FIND("P",G14:AK14)))-SUMPRODUCT(1*ISNUMBER(FIND("午P",G14:AK14)))</f>
        <v>1</v>
      </c>
      <c r="BL14" s="57">
        <f t="shared" si="20"/>
        <v>0</v>
      </c>
      <c r="BM14" s="57">
        <f t="array" ref="BM14">SUMPRODUCT(1*ISNUMBER(FIND("R",D14:J14)))</f>
        <v>1</v>
      </c>
      <c r="BN14" s="57">
        <f t="array" ref="BN14">SUMPRODUCT(1*ISNUMBER(FIND("R",K14:Q14)))</f>
        <v>1</v>
      </c>
      <c r="BO14" s="57">
        <f t="array" ref="BO14">SUMPRODUCT(1*ISNUMBER(FIND("R",R14:X14)))</f>
        <v>1</v>
      </c>
      <c r="BP14" s="57">
        <f t="array" ref="BP14">SUMPRODUCT(1*ISNUMBER(FIND("R",Y14:AE14)))</f>
        <v>1</v>
      </c>
      <c r="BQ14" s="57">
        <f t="array" ref="BQ14">SUMPRODUCT(1*ISNUMBER(FIND("R",AF14:AL14)))</f>
        <v>1</v>
      </c>
      <c r="BR14" s="57">
        <f t="shared" si="21"/>
        <v>31</v>
      </c>
      <c r="BS14" s="22"/>
      <c r="BT14" s="107">
        <v>8.0</v>
      </c>
      <c r="BU14" s="58">
        <f t="array" ref="BU14">SUMPRODUCT(1*ISNUMBER(FIND("P",K14:AL14)))-SUMPRODUCT(1*ISNUMBER(FIND("午P",K14:AL14)))</f>
        <v>1</v>
      </c>
    </row>
    <row r="15" ht="39.75" customHeight="1">
      <c r="A15" s="59"/>
      <c r="B15" s="60" t="s">
        <v>76</v>
      </c>
      <c r="C15" s="61" t="s">
        <v>77</v>
      </c>
      <c r="D15" s="69" t="s">
        <v>40</v>
      </c>
      <c r="E15" s="55" t="s">
        <v>68</v>
      </c>
      <c r="F15" s="55" t="s">
        <v>20</v>
      </c>
      <c r="G15" s="55" t="s">
        <v>46</v>
      </c>
      <c r="H15" s="70" t="s">
        <v>69</v>
      </c>
      <c r="I15" s="71" t="s">
        <v>45</v>
      </c>
      <c r="J15" s="108" t="s">
        <v>39</v>
      </c>
      <c r="K15" s="66" t="s">
        <v>39</v>
      </c>
      <c r="L15" s="73" t="s">
        <v>20</v>
      </c>
      <c r="M15" s="73" t="s">
        <v>30</v>
      </c>
      <c r="N15" s="73" t="s">
        <v>30</v>
      </c>
      <c r="O15" s="73" t="s">
        <v>30</v>
      </c>
      <c r="P15" s="73" t="s">
        <v>30</v>
      </c>
      <c r="Q15" s="66" t="s">
        <v>39</v>
      </c>
      <c r="R15" s="66" t="s">
        <v>20</v>
      </c>
      <c r="S15" s="64" t="s">
        <v>69</v>
      </c>
      <c r="T15" s="98" t="s">
        <v>46</v>
      </c>
      <c r="U15" s="98" t="s">
        <v>69</v>
      </c>
      <c r="V15" s="98" t="s">
        <v>46</v>
      </c>
      <c r="W15" s="64" t="s">
        <v>45</v>
      </c>
      <c r="X15" s="98" t="s">
        <v>46</v>
      </c>
      <c r="Y15" s="63" t="s">
        <v>20</v>
      </c>
      <c r="Z15" s="98" t="s">
        <v>69</v>
      </c>
      <c r="AA15" s="98" t="s">
        <v>46</v>
      </c>
      <c r="AB15" s="67" t="s">
        <v>78</v>
      </c>
      <c r="AC15" s="72" t="s">
        <v>28</v>
      </c>
      <c r="AD15" s="64" t="s">
        <v>39</v>
      </c>
      <c r="AE15" s="63" t="s">
        <v>39</v>
      </c>
      <c r="AF15" s="63" t="s">
        <v>46</v>
      </c>
      <c r="AG15" s="64" t="s">
        <v>69</v>
      </c>
      <c r="AH15" s="64" t="s">
        <v>46</v>
      </c>
      <c r="AI15" s="109" t="s">
        <v>75</v>
      </c>
      <c r="AJ15" s="98" t="s">
        <v>46</v>
      </c>
      <c r="AK15" s="64" t="s">
        <v>20</v>
      </c>
      <c r="AL15" s="110" t="s">
        <v>69</v>
      </c>
      <c r="AM15" s="54">
        <f t="shared" si="3"/>
        <v>10</v>
      </c>
      <c r="AN15" s="55">
        <v>2.0</v>
      </c>
      <c r="AO15" s="55">
        <v>2.0</v>
      </c>
      <c r="AP15" s="55">
        <v>4.0</v>
      </c>
      <c r="AQ15" s="55">
        <v>4.0</v>
      </c>
      <c r="AR15" s="56">
        <f t="shared" si="4"/>
        <v>2</v>
      </c>
      <c r="AS15" s="56">
        <f t="shared" si="5"/>
        <v>2</v>
      </c>
      <c r="AT15" s="56">
        <f t="shared" ref="AT15:AU15" si="32">8-AN15-AP15-AR15</f>
        <v>0</v>
      </c>
      <c r="AU15" s="56">
        <f t="shared" si="32"/>
        <v>0</v>
      </c>
      <c r="AV15" s="56">
        <f t="shared" si="7"/>
        <v>2</v>
      </c>
      <c r="AW15" s="56">
        <f t="shared" si="8"/>
        <v>2</v>
      </c>
      <c r="AX15" s="56">
        <f t="shared" si="9"/>
        <v>2</v>
      </c>
      <c r="AY15" s="56">
        <f t="shared" si="10"/>
        <v>2</v>
      </c>
      <c r="AZ15" s="57">
        <f t="shared" si="11"/>
        <v>15</v>
      </c>
      <c r="BA15" s="57">
        <f t="shared" si="12"/>
        <v>0</v>
      </c>
      <c r="BB15" s="57">
        <f t="shared" si="13"/>
        <v>2</v>
      </c>
      <c r="BC15" s="57">
        <f t="shared" si="14"/>
        <v>0</v>
      </c>
      <c r="BD15" s="57">
        <f t="shared" si="15"/>
        <v>0</v>
      </c>
      <c r="BE15" s="57">
        <f t="shared" si="16"/>
        <v>0</v>
      </c>
      <c r="BF15" s="57">
        <f t="shared" si="17"/>
        <v>0</v>
      </c>
      <c r="BG15" s="57">
        <f t="shared" si="18"/>
        <v>1</v>
      </c>
      <c r="BH15" s="57">
        <f t="shared" si="19"/>
        <v>0</v>
      </c>
      <c r="BI15" s="57">
        <f t="array" ref="BI15">SUMPRODUCT(1*ISNUMBER(FIND("R",G15:AK15)))</f>
        <v>4</v>
      </c>
      <c r="BJ15" s="57">
        <f t="array" ref="BJ15">SUMPRODUCT(1*ISNUMBER(FIND("r",G15:AK15)))</f>
        <v>5</v>
      </c>
      <c r="BK15" s="57">
        <f t="array" ref="BK15">SUMPRODUCT(1*ISNUMBER(FIND("P",G15:AK15)))-SUMPRODUCT(1*ISNUMBER(FIND("午P",G15:AK15)))</f>
        <v>4</v>
      </c>
      <c r="BL15" s="57">
        <f t="shared" si="20"/>
        <v>0</v>
      </c>
      <c r="BM15" s="57">
        <f t="array" ref="BM15">SUMPRODUCT(1*ISNUMBER(FIND("R",D15:J15)))</f>
        <v>1</v>
      </c>
      <c r="BN15" s="57">
        <f t="array" ref="BN15">SUMPRODUCT(1*ISNUMBER(FIND("R",K15:Q15)))</f>
        <v>1</v>
      </c>
      <c r="BO15" s="57">
        <f t="array" ref="BO15">SUMPRODUCT(1*ISNUMBER(FIND("R",R15:X15)))</f>
        <v>1</v>
      </c>
      <c r="BP15" s="57">
        <f t="array" ref="BP15">SUMPRODUCT(1*ISNUMBER(FIND("R",Y15:AE15)))</f>
        <v>1</v>
      </c>
      <c r="BQ15" s="57">
        <f t="array" ref="BQ15">SUMPRODUCT(1*ISNUMBER(FIND("R",AF15:AL15)))</f>
        <v>1</v>
      </c>
      <c r="BR15" s="57">
        <f t="shared" si="21"/>
        <v>31</v>
      </c>
      <c r="BS15" s="22"/>
      <c r="BT15" s="58">
        <v>6.0</v>
      </c>
      <c r="BU15" s="58">
        <f t="array" ref="BU15">SUMPRODUCT(1*ISNUMBER(FIND("P",K15:AL15)))-SUMPRODUCT(1*ISNUMBER(FIND("午P",K15:AL15)))</f>
        <v>4</v>
      </c>
    </row>
    <row r="16" ht="39.75" customHeight="1">
      <c r="A16" s="59"/>
      <c r="B16" s="60" t="s">
        <v>79</v>
      </c>
      <c r="C16" s="61" t="s">
        <v>80</v>
      </c>
      <c r="D16" s="69" t="s">
        <v>20</v>
      </c>
      <c r="E16" s="55" t="s">
        <v>39</v>
      </c>
      <c r="F16" s="55" t="s">
        <v>40</v>
      </c>
      <c r="G16" s="55" t="s">
        <v>68</v>
      </c>
      <c r="H16" s="70" t="s">
        <v>40</v>
      </c>
      <c r="I16" s="71" t="s">
        <v>68</v>
      </c>
      <c r="J16" s="111" t="s">
        <v>40</v>
      </c>
      <c r="K16" s="63" t="s">
        <v>20</v>
      </c>
      <c r="L16" s="64" t="s">
        <v>39</v>
      </c>
      <c r="M16" s="98" t="s">
        <v>46</v>
      </c>
      <c r="N16" s="98" t="s">
        <v>69</v>
      </c>
      <c r="O16" s="64" t="s">
        <v>46</v>
      </c>
      <c r="P16" s="98" t="s">
        <v>69</v>
      </c>
      <c r="Q16" s="98" t="s">
        <v>46</v>
      </c>
      <c r="R16" s="66" t="s">
        <v>20</v>
      </c>
      <c r="S16" s="73" t="s">
        <v>29</v>
      </c>
      <c r="T16" s="64" t="s">
        <v>46</v>
      </c>
      <c r="U16" s="64" t="s">
        <v>45</v>
      </c>
      <c r="V16" s="64" t="s">
        <v>46</v>
      </c>
      <c r="W16" s="64" t="s">
        <v>39</v>
      </c>
      <c r="X16" s="63" t="s">
        <v>46</v>
      </c>
      <c r="Y16" s="63" t="s">
        <v>20</v>
      </c>
      <c r="Z16" s="64" t="s">
        <v>39</v>
      </c>
      <c r="AA16" s="98" t="s">
        <v>69</v>
      </c>
      <c r="AB16" s="72" t="s">
        <v>28</v>
      </c>
      <c r="AC16" s="64" t="s">
        <v>46</v>
      </c>
      <c r="AD16" s="98" t="s">
        <v>46</v>
      </c>
      <c r="AE16" s="98" t="s">
        <v>69</v>
      </c>
      <c r="AF16" s="63" t="s">
        <v>20</v>
      </c>
      <c r="AG16" s="64" t="s">
        <v>29</v>
      </c>
      <c r="AH16" s="98" t="s">
        <v>46</v>
      </c>
      <c r="AI16" s="64" t="s">
        <v>39</v>
      </c>
      <c r="AJ16" s="64" t="s">
        <v>46</v>
      </c>
      <c r="AK16" s="64" t="s">
        <v>69</v>
      </c>
      <c r="AL16" s="112" t="s">
        <v>46</v>
      </c>
      <c r="AM16" s="54">
        <f t="shared" si="3"/>
        <v>9</v>
      </c>
      <c r="AN16" s="55">
        <v>2.0</v>
      </c>
      <c r="AO16" s="55">
        <v>2.0</v>
      </c>
      <c r="AP16" s="55">
        <v>4.0</v>
      </c>
      <c r="AQ16" s="55">
        <v>4.0</v>
      </c>
      <c r="AR16" s="56">
        <f t="shared" si="4"/>
        <v>2</v>
      </c>
      <c r="AS16" s="56">
        <f t="shared" si="5"/>
        <v>2</v>
      </c>
      <c r="AT16" s="56">
        <f t="shared" ref="AT16:AU16" si="33">8-AN16-AP16-AR16</f>
        <v>0</v>
      </c>
      <c r="AU16" s="56">
        <f t="shared" si="33"/>
        <v>0</v>
      </c>
      <c r="AV16" s="56">
        <f t="shared" si="7"/>
        <v>2</v>
      </c>
      <c r="AW16" s="56">
        <f t="shared" si="8"/>
        <v>2</v>
      </c>
      <c r="AX16" s="56">
        <f t="shared" si="9"/>
        <v>2</v>
      </c>
      <c r="AY16" s="56">
        <f t="shared" si="10"/>
        <v>2</v>
      </c>
      <c r="AZ16" s="57">
        <f t="shared" si="11"/>
        <v>15</v>
      </c>
      <c r="BA16" s="57">
        <f t="shared" si="12"/>
        <v>0</v>
      </c>
      <c r="BB16" s="57">
        <f t="shared" si="13"/>
        <v>1</v>
      </c>
      <c r="BC16" s="57">
        <f t="shared" si="14"/>
        <v>4</v>
      </c>
      <c r="BD16" s="57">
        <f t="shared" si="15"/>
        <v>0</v>
      </c>
      <c r="BE16" s="57">
        <f t="shared" si="16"/>
        <v>0</v>
      </c>
      <c r="BF16" s="57">
        <f t="shared" si="17"/>
        <v>0</v>
      </c>
      <c r="BG16" s="57">
        <f t="shared" si="18"/>
        <v>1</v>
      </c>
      <c r="BH16" s="57">
        <f t="shared" si="19"/>
        <v>2</v>
      </c>
      <c r="BI16" s="57">
        <f t="array" ref="BI16">SUMPRODUCT(1*ISNUMBER(FIND("R",G16:AK16)))</f>
        <v>4</v>
      </c>
      <c r="BJ16" s="57">
        <f t="array" ref="BJ16">SUMPRODUCT(1*ISNUMBER(FIND("r",G16:AK16)))</f>
        <v>4</v>
      </c>
      <c r="BK16" s="57">
        <f t="array" ref="BK16">SUMPRODUCT(1*ISNUMBER(FIND("P",G16:AK16)))-SUMPRODUCT(1*ISNUMBER(FIND("午P",G16:AK16)))</f>
        <v>0</v>
      </c>
      <c r="BL16" s="57">
        <f t="shared" si="20"/>
        <v>0</v>
      </c>
      <c r="BM16" s="57">
        <f t="array" ref="BM16">SUMPRODUCT(1*ISNUMBER(FIND("R",D16:J16)))</f>
        <v>1</v>
      </c>
      <c r="BN16" s="57">
        <f t="array" ref="BN16">SUMPRODUCT(1*ISNUMBER(FIND("R",K16:Q16)))</f>
        <v>1</v>
      </c>
      <c r="BO16" s="57">
        <f t="array" ref="BO16">SUMPRODUCT(1*ISNUMBER(FIND("R",R16:X16)))</f>
        <v>1</v>
      </c>
      <c r="BP16" s="57">
        <f t="array" ref="BP16">SUMPRODUCT(1*ISNUMBER(FIND("R",Y16:AE16)))</f>
        <v>1</v>
      </c>
      <c r="BQ16" s="57">
        <f t="array" ref="BQ16">SUMPRODUCT(1*ISNUMBER(FIND("R",AF16:AL16)))</f>
        <v>1</v>
      </c>
      <c r="BR16" s="57">
        <f t="shared" si="21"/>
        <v>31</v>
      </c>
      <c r="BS16" s="22"/>
      <c r="BT16" s="58">
        <v>9.0</v>
      </c>
      <c r="BU16" s="58">
        <f t="array" ref="BU16">SUMPRODUCT(1*ISNUMBER(FIND("P",K16:AL16)))-SUMPRODUCT(1*ISNUMBER(FIND("午P",K16:AL16)))</f>
        <v>0</v>
      </c>
    </row>
    <row r="17" ht="39.75" customHeight="1">
      <c r="A17" s="59"/>
      <c r="B17" s="60" t="s">
        <v>81</v>
      </c>
      <c r="C17" s="61" t="s">
        <v>82</v>
      </c>
      <c r="D17" s="69" t="s">
        <v>20</v>
      </c>
      <c r="E17" s="55" t="s">
        <v>30</v>
      </c>
      <c r="F17" s="55" t="s">
        <v>39</v>
      </c>
      <c r="G17" s="55" t="s">
        <v>69</v>
      </c>
      <c r="H17" s="70" t="s">
        <v>46</v>
      </c>
      <c r="I17" s="71" t="s">
        <v>46</v>
      </c>
      <c r="J17" s="111" t="s">
        <v>39</v>
      </c>
      <c r="K17" s="63" t="s">
        <v>46</v>
      </c>
      <c r="L17" s="64" t="s">
        <v>69</v>
      </c>
      <c r="M17" s="64" t="s">
        <v>46</v>
      </c>
      <c r="N17" s="64" t="s">
        <v>69</v>
      </c>
      <c r="O17" s="98" t="s">
        <v>46</v>
      </c>
      <c r="P17" s="64" t="s">
        <v>20</v>
      </c>
      <c r="Q17" s="63" t="s">
        <v>46</v>
      </c>
      <c r="R17" s="98" t="s">
        <v>69</v>
      </c>
      <c r="S17" s="98" t="s">
        <v>46</v>
      </c>
      <c r="T17" s="64" t="s">
        <v>69</v>
      </c>
      <c r="U17" s="64" t="s">
        <v>39</v>
      </c>
      <c r="V17" s="64" t="s">
        <v>20</v>
      </c>
      <c r="W17" s="98" t="s">
        <v>69</v>
      </c>
      <c r="X17" s="63" t="s">
        <v>39</v>
      </c>
      <c r="Y17" s="63" t="s">
        <v>46</v>
      </c>
      <c r="Z17" s="64" t="s">
        <v>39</v>
      </c>
      <c r="AA17" s="64" t="s">
        <v>39</v>
      </c>
      <c r="AB17" s="109" t="s">
        <v>78</v>
      </c>
      <c r="AC17" s="98" t="s">
        <v>69</v>
      </c>
      <c r="AD17" s="64" t="s">
        <v>46</v>
      </c>
      <c r="AE17" s="63" t="s">
        <v>20</v>
      </c>
      <c r="AF17" s="63" t="s">
        <v>29</v>
      </c>
      <c r="AG17" s="64" t="s">
        <v>20</v>
      </c>
      <c r="AH17" s="64" t="s">
        <v>69</v>
      </c>
      <c r="AI17" s="109" t="s">
        <v>83</v>
      </c>
      <c r="AJ17" s="72" t="s">
        <v>28</v>
      </c>
      <c r="AK17" s="98" t="s">
        <v>69</v>
      </c>
      <c r="AL17" s="110" t="s">
        <v>29</v>
      </c>
      <c r="AM17" s="54">
        <f t="shared" si="3"/>
        <v>10</v>
      </c>
      <c r="AN17" s="55">
        <v>2.0</v>
      </c>
      <c r="AO17" s="55">
        <v>2.0</v>
      </c>
      <c r="AP17" s="55">
        <v>4.0</v>
      </c>
      <c r="AQ17" s="55">
        <v>4.0</v>
      </c>
      <c r="AR17" s="56">
        <f t="shared" si="4"/>
        <v>2</v>
      </c>
      <c r="AS17" s="56">
        <f t="shared" si="5"/>
        <v>2</v>
      </c>
      <c r="AT17" s="56">
        <f t="shared" ref="AT17:AU17" si="34">8-AN17-AP17-AR17</f>
        <v>0</v>
      </c>
      <c r="AU17" s="56">
        <f t="shared" si="34"/>
        <v>0</v>
      </c>
      <c r="AV17" s="56">
        <f t="shared" si="7"/>
        <v>2</v>
      </c>
      <c r="AW17" s="56">
        <f t="shared" si="8"/>
        <v>2</v>
      </c>
      <c r="AX17" s="56">
        <f t="shared" si="9"/>
        <v>2</v>
      </c>
      <c r="AY17" s="56">
        <f t="shared" si="10"/>
        <v>2</v>
      </c>
      <c r="AZ17" s="57">
        <f t="shared" si="11"/>
        <v>20</v>
      </c>
      <c r="BA17" s="57">
        <f t="shared" si="12"/>
        <v>0</v>
      </c>
      <c r="BB17" s="57">
        <f t="shared" si="13"/>
        <v>0</v>
      </c>
      <c r="BC17" s="57">
        <f t="shared" si="14"/>
        <v>0</v>
      </c>
      <c r="BD17" s="57">
        <f t="shared" si="15"/>
        <v>0</v>
      </c>
      <c r="BE17" s="57">
        <f t="shared" si="16"/>
        <v>0</v>
      </c>
      <c r="BF17" s="57">
        <f t="shared" si="17"/>
        <v>0</v>
      </c>
      <c r="BG17" s="57">
        <f t="shared" si="18"/>
        <v>1</v>
      </c>
      <c r="BH17" s="57">
        <f t="shared" si="19"/>
        <v>1</v>
      </c>
      <c r="BI17" s="57">
        <f t="array" ref="BI17">SUMPRODUCT(1*ISNUMBER(FIND("R",G17:AK17)))</f>
        <v>4</v>
      </c>
      <c r="BJ17" s="57">
        <f t="array" ref="BJ17">SUMPRODUCT(1*ISNUMBER(FIND("r",G17:AK17)))</f>
        <v>5</v>
      </c>
      <c r="BK17" s="57">
        <f t="array" ref="BK17">SUMPRODUCT(1*ISNUMBER(FIND("P",G17:AK17)))-SUMPRODUCT(1*ISNUMBER(FIND("午P",G17:AK17)))</f>
        <v>0</v>
      </c>
      <c r="BL17" s="57">
        <f t="shared" si="20"/>
        <v>0</v>
      </c>
      <c r="BM17" s="57">
        <f t="array" ref="BM17">SUMPRODUCT(1*ISNUMBER(FIND("R",D17:J17)))</f>
        <v>1</v>
      </c>
      <c r="BN17" s="57">
        <f t="array" ref="BN17">SUMPRODUCT(1*ISNUMBER(FIND("R",K17:Q17)))</f>
        <v>1</v>
      </c>
      <c r="BO17" s="57">
        <f t="array" ref="BO17">SUMPRODUCT(1*ISNUMBER(FIND("R",R17:X17)))</f>
        <v>1</v>
      </c>
      <c r="BP17" s="57">
        <f t="array" ref="BP17">SUMPRODUCT(1*ISNUMBER(FIND("R",Y17:AE17)))</f>
        <v>1</v>
      </c>
      <c r="BQ17" s="57">
        <f t="array" ref="BQ17">SUMPRODUCT(1*ISNUMBER(FIND("R",AF17:AL17)))</f>
        <v>1</v>
      </c>
      <c r="BR17" s="57">
        <f t="shared" si="21"/>
        <v>31</v>
      </c>
      <c r="BS17" s="22"/>
      <c r="BT17" s="58">
        <v>10.0</v>
      </c>
      <c r="BU17" s="58">
        <f t="array" ref="BU17">SUMPRODUCT(1*ISNUMBER(FIND("P",K17:AL17)))-SUMPRODUCT(1*ISNUMBER(FIND("午P",K17:AL17)))</f>
        <v>0</v>
      </c>
    </row>
    <row r="18" ht="39.75" customHeight="1">
      <c r="A18" s="59"/>
      <c r="B18" s="60" t="s">
        <v>84</v>
      </c>
      <c r="C18" s="61" t="s">
        <v>85</v>
      </c>
      <c r="D18" s="69" t="s">
        <v>46</v>
      </c>
      <c r="E18" s="55" t="s">
        <v>46</v>
      </c>
      <c r="F18" s="55" t="s">
        <v>68</v>
      </c>
      <c r="G18" s="55" t="s">
        <v>68</v>
      </c>
      <c r="H18" s="70" t="s">
        <v>40</v>
      </c>
      <c r="I18" s="71" t="s">
        <v>20</v>
      </c>
      <c r="J18" s="108" t="s">
        <v>39</v>
      </c>
      <c r="K18" s="66" t="s">
        <v>39</v>
      </c>
      <c r="L18" s="73" t="s">
        <v>20</v>
      </c>
      <c r="M18" s="64" t="s">
        <v>68</v>
      </c>
      <c r="N18" s="64" t="s">
        <v>40</v>
      </c>
      <c r="O18" s="98" t="s">
        <v>68</v>
      </c>
      <c r="P18" s="73" t="s">
        <v>39</v>
      </c>
      <c r="Q18" s="63" t="s">
        <v>30</v>
      </c>
      <c r="R18" s="66" t="s">
        <v>20</v>
      </c>
      <c r="S18" s="64" t="s">
        <v>40</v>
      </c>
      <c r="T18" s="98" t="s">
        <v>68</v>
      </c>
      <c r="U18" s="64" t="s">
        <v>40</v>
      </c>
      <c r="V18" s="64" t="s">
        <v>68</v>
      </c>
      <c r="W18" s="98" t="s">
        <v>40</v>
      </c>
      <c r="X18" s="98" t="s">
        <v>68</v>
      </c>
      <c r="Y18" s="63" t="s">
        <v>20</v>
      </c>
      <c r="Z18" s="64" t="s">
        <v>68</v>
      </c>
      <c r="AA18" s="98" t="s">
        <v>40</v>
      </c>
      <c r="AB18" s="98" t="s">
        <v>68</v>
      </c>
      <c r="AC18" s="64" t="s">
        <v>40</v>
      </c>
      <c r="AD18" s="98" t="s">
        <v>68</v>
      </c>
      <c r="AE18" s="63" t="s">
        <v>40</v>
      </c>
      <c r="AF18" s="63" t="s">
        <v>39</v>
      </c>
      <c r="AG18" s="72" t="s">
        <v>28</v>
      </c>
      <c r="AH18" s="98" t="s">
        <v>40</v>
      </c>
      <c r="AI18" s="64" t="s">
        <v>68</v>
      </c>
      <c r="AJ18" s="64" t="s">
        <v>45</v>
      </c>
      <c r="AK18" s="64" t="s">
        <v>20</v>
      </c>
      <c r="AL18" s="110" t="s">
        <v>39</v>
      </c>
      <c r="AM18" s="54">
        <f t="shared" si="3"/>
        <v>10</v>
      </c>
      <c r="AN18" s="55">
        <v>2.0</v>
      </c>
      <c r="AO18" s="55">
        <v>2.0</v>
      </c>
      <c r="AP18" s="55">
        <v>4.0</v>
      </c>
      <c r="AQ18" s="55">
        <v>4.0</v>
      </c>
      <c r="AR18" s="56">
        <f t="shared" si="4"/>
        <v>2</v>
      </c>
      <c r="AS18" s="56">
        <f t="shared" si="5"/>
        <v>2</v>
      </c>
      <c r="AT18" s="56">
        <f t="shared" ref="AT18:AU18" si="35">8-AN18-AP18-AR18</f>
        <v>0</v>
      </c>
      <c r="AU18" s="56">
        <f t="shared" si="35"/>
        <v>0</v>
      </c>
      <c r="AV18" s="56">
        <f t="shared" si="7"/>
        <v>2</v>
      </c>
      <c r="AW18" s="56">
        <f t="shared" si="8"/>
        <v>2</v>
      </c>
      <c r="AX18" s="56">
        <f t="shared" si="9"/>
        <v>2</v>
      </c>
      <c r="AY18" s="56">
        <f t="shared" si="10"/>
        <v>2</v>
      </c>
      <c r="AZ18" s="57">
        <f t="shared" si="11"/>
        <v>0</v>
      </c>
      <c r="BA18" s="57">
        <f t="shared" si="12"/>
        <v>0</v>
      </c>
      <c r="BB18" s="57">
        <f t="shared" si="13"/>
        <v>1</v>
      </c>
      <c r="BC18" s="57">
        <f t="shared" si="14"/>
        <v>19</v>
      </c>
      <c r="BD18" s="57">
        <f t="shared" si="15"/>
        <v>0</v>
      </c>
      <c r="BE18" s="57">
        <f t="shared" si="16"/>
        <v>0</v>
      </c>
      <c r="BF18" s="57">
        <f t="shared" si="17"/>
        <v>0</v>
      </c>
      <c r="BG18" s="57">
        <f t="shared" si="18"/>
        <v>1</v>
      </c>
      <c r="BH18" s="57">
        <f t="shared" si="19"/>
        <v>0</v>
      </c>
      <c r="BI18" s="57">
        <f t="array" ref="BI18">SUMPRODUCT(1*ISNUMBER(FIND("R",G18:AK18)))</f>
        <v>5</v>
      </c>
      <c r="BJ18" s="57">
        <f t="array" ref="BJ18">SUMPRODUCT(1*ISNUMBER(FIND("r",G18:AK18)))</f>
        <v>4</v>
      </c>
      <c r="BK18" s="57">
        <f t="array" ref="BK18">SUMPRODUCT(1*ISNUMBER(FIND("P",G18:AK18)))-SUMPRODUCT(1*ISNUMBER(FIND("午P",G18:AK18)))</f>
        <v>1</v>
      </c>
      <c r="BL18" s="57">
        <f t="shared" si="20"/>
        <v>0</v>
      </c>
      <c r="BM18" s="57">
        <f t="array" ref="BM18">SUMPRODUCT(1*ISNUMBER(FIND("R",D18:J18)))</f>
        <v>1</v>
      </c>
      <c r="BN18" s="57">
        <f t="array" ref="BN18">SUMPRODUCT(1*ISNUMBER(FIND("R",K18:Q18)))</f>
        <v>1</v>
      </c>
      <c r="BO18" s="57">
        <f t="array" ref="BO18">SUMPRODUCT(1*ISNUMBER(FIND("R",R18:X18)))</f>
        <v>1</v>
      </c>
      <c r="BP18" s="57">
        <f t="array" ref="BP18">SUMPRODUCT(1*ISNUMBER(FIND("R",Y18:AE18)))</f>
        <v>1</v>
      </c>
      <c r="BQ18" s="57">
        <f t="array" ref="BQ18">SUMPRODUCT(1*ISNUMBER(FIND("R",AF18:AL18)))</f>
        <v>1</v>
      </c>
      <c r="BR18" s="57">
        <f t="shared" si="21"/>
        <v>31</v>
      </c>
      <c r="BS18" s="22"/>
      <c r="BT18" s="58">
        <v>9.0</v>
      </c>
      <c r="BU18" s="58">
        <f t="array" ref="BU18">SUMPRODUCT(1*ISNUMBER(FIND("P",K18:AL18)))-SUMPRODUCT(1*ISNUMBER(FIND("午P",K18:AL18)))</f>
        <v>1</v>
      </c>
    </row>
    <row r="19" ht="39.75" customHeight="1">
      <c r="A19" s="59"/>
      <c r="B19" s="60" t="s">
        <v>86</v>
      </c>
      <c r="C19" s="61" t="s">
        <v>87</v>
      </c>
      <c r="D19" s="69" t="s">
        <v>46</v>
      </c>
      <c r="E19" s="55" t="s">
        <v>69</v>
      </c>
      <c r="F19" s="55" t="s">
        <v>46</v>
      </c>
      <c r="G19" s="55" t="s">
        <v>45</v>
      </c>
      <c r="H19" s="70" t="s">
        <v>39</v>
      </c>
      <c r="I19" s="71" t="s">
        <v>20</v>
      </c>
      <c r="J19" s="111" t="s">
        <v>69</v>
      </c>
      <c r="K19" s="98" t="s">
        <v>46</v>
      </c>
      <c r="L19" s="98" t="s">
        <v>69</v>
      </c>
      <c r="M19" s="64" t="s">
        <v>20</v>
      </c>
      <c r="N19" s="64" t="s">
        <v>39</v>
      </c>
      <c r="O19" s="64" t="s">
        <v>69</v>
      </c>
      <c r="P19" s="64" t="s">
        <v>46</v>
      </c>
      <c r="Q19" s="63" t="s">
        <v>69</v>
      </c>
      <c r="R19" s="63" t="s">
        <v>46</v>
      </c>
      <c r="S19" s="98" t="s">
        <v>69</v>
      </c>
      <c r="T19" s="64" t="s">
        <v>20</v>
      </c>
      <c r="U19" s="64" t="s">
        <v>39</v>
      </c>
      <c r="V19" s="98" t="s">
        <v>69</v>
      </c>
      <c r="W19" s="64" t="s">
        <v>46</v>
      </c>
      <c r="X19" s="63" t="s">
        <v>69</v>
      </c>
      <c r="Y19" s="98" t="s">
        <v>46</v>
      </c>
      <c r="Z19" s="64" t="s">
        <v>20</v>
      </c>
      <c r="AA19" s="73" t="s">
        <v>88</v>
      </c>
      <c r="AB19" s="67" t="s">
        <v>89</v>
      </c>
      <c r="AC19" s="98" t="s">
        <v>46</v>
      </c>
      <c r="AD19" s="64" t="s">
        <v>69</v>
      </c>
      <c r="AE19" s="98" t="s">
        <v>46</v>
      </c>
      <c r="AF19" s="63" t="s">
        <v>20</v>
      </c>
      <c r="AG19" s="64" t="s">
        <v>39</v>
      </c>
      <c r="AH19" s="98" t="s">
        <v>69</v>
      </c>
      <c r="AI19" s="64" t="s">
        <v>39</v>
      </c>
      <c r="AJ19" s="64" t="s">
        <v>69</v>
      </c>
      <c r="AK19" s="98" t="s">
        <v>46</v>
      </c>
      <c r="AL19" s="113" t="s">
        <v>28</v>
      </c>
      <c r="AM19" s="54">
        <f t="shared" si="3"/>
        <v>10</v>
      </c>
      <c r="AN19" s="55">
        <v>2.0</v>
      </c>
      <c r="AO19" s="55">
        <v>2.0</v>
      </c>
      <c r="AP19" s="55">
        <v>4.0</v>
      </c>
      <c r="AQ19" s="55">
        <v>4.0</v>
      </c>
      <c r="AR19" s="56">
        <f t="shared" si="4"/>
        <v>2</v>
      </c>
      <c r="AS19" s="56">
        <f t="shared" si="5"/>
        <v>2</v>
      </c>
      <c r="AT19" s="56">
        <f t="shared" ref="AT19:AU19" si="36">8-AN19-AP19-AR19</f>
        <v>0</v>
      </c>
      <c r="AU19" s="56">
        <f t="shared" si="36"/>
        <v>0</v>
      </c>
      <c r="AV19" s="56">
        <f t="shared" si="7"/>
        <v>2</v>
      </c>
      <c r="AW19" s="56">
        <f t="shared" si="8"/>
        <v>2</v>
      </c>
      <c r="AX19" s="56">
        <f t="shared" si="9"/>
        <v>2</v>
      </c>
      <c r="AY19" s="56">
        <f t="shared" si="10"/>
        <v>2</v>
      </c>
      <c r="AZ19" s="57">
        <f t="shared" si="11"/>
        <v>19</v>
      </c>
      <c r="BA19" s="57">
        <f t="shared" si="12"/>
        <v>0</v>
      </c>
      <c r="BB19" s="57">
        <f t="shared" si="13"/>
        <v>2</v>
      </c>
      <c r="BC19" s="57">
        <f t="shared" si="14"/>
        <v>0</v>
      </c>
      <c r="BD19" s="57">
        <f t="shared" si="15"/>
        <v>0</v>
      </c>
      <c r="BE19" s="57">
        <f t="shared" si="16"/>
        <v>0</v>
      </c>
      <c r="BF19" s="57">
        <f t="shared" si="17"/>
        <v>0</v>
      </c>
      <c r="BG19" s="57">
        <f t="shared" si="18"/>
        <v>0</v>
      </c>
      <c r="BH19" s="57">
        <f t="shared" si="19"/>
        <v>0</v>
      </c>
      <c r="BI19" s="57">
        <f t="array" ref="BI19">SUMPRODUCT(1*ISNUMBER(FIND("R",G19:AK19)))</f>
        <v>5</v>
      </c>
      <c r="BJ19" s="57">
        <f t="array" ref="BJ19">SUMPRODUCT(1*ISNUMBER(FIND("r",G19:AK19)))</f>
        <v>5</v>
      </c>
      <c r="BK19" s="57">
        <f t="array" ref="BK19">SUMPRODUCT(1*ISNUMBER(FIND("P",G19:AK19)))-SUMPRODUCT(1*ISNUMBER(FIND("午P",G19:AK19)))</f>
        <v>0</v>
      </c>
      <c r="BL19" s="57">
        <f t="shared" si="20"/>
        <v>0</v>
      </c>
      <c r="BM19" s="57">
        <f t="array" ref="BM19">SUMPRODUCT(1*ISNUMBER(FIND("R",D19:J19)))</f>
        <v>1</v>
      </c>
      <c r="BN19" s="57">
        <f t="array" ref="BN19">SUMPRODUCT(1*ISNUMBER(FIND("R",K19:Q19)))</f>
        <v>1</v>
      </c>
      <c r="BO19" s="57">
        <f t="array" ref="BO19">SUMPRODUCT(1*ISNUMBER(FIND("R",R19:X19)))</f>
        <v>1</v>
      </c>
      <c r="BP19" s="57">
        <f t="array" ref="BP19">SUMPRODUCT(1*ISNUMBER(FIND("R",Y19:AE19)))</f>
        <v>1</v>
      </c>
      <c r="BQ19" s="57">
        <f t="array" ref="BQ19">SUMPRODUCT(1*ISNUMBER(FIND("R",AF19:AL19)))</f>
        <v>1</v>
      </c>
      <c r="BR19" s="57">
        <f t="shared" si="21"/>
        <v>31</v>
      </c>
      <c r="BS19" s="22"/>
      <c r="BT19" s="58">
        <v>10.0</v>
      </c>
      <c r="BU19" s="58">
        <f t="array" ref="BU19">SUMPRODUCT(1*ISNUMBER(FIND("P",K19:AL19)))-SUMPRODUCT(1*ISNUMBER(FIND("午P",K19:AL19)))</f>
        <v>0</v>
      </c>
    </row>
    <row r="20" ht="39.75" customHeight="1">
      <c r="A20" s="59"/>
      <c r="B20" s="60" t="s">
        <v>90</v>
      </c>
      <c r="C20" s="61" t="s">
        <v>91</v>
      </c>
      <c r="D20" s="69" t="s">
        <v>30</v>
      </c>
      <c r="E20" s="55" t="s">
        <v>69</v>
      </c>
      <c r="F20" s="55" t="s">
        <v>46</v>
      </c>
      <c r="G20" s="55" t="s">
        <v>39</v>
      </c>
      <c r="H20" s="70" t="s">
        <v>20</v>
      </c>
      <c r="I20" s="71" t="s">
        <v>69</v>
      </c>
      <c r="J20" s="111" t="s">
        <v>46</v>
      </c>
      <c r="K20" s="63" t="s">
        <v>69</v>
      </c>
      <c r="L20" s="64" t="s">
        <v>39</v>
      </c>
      <c r="M20" s="73" t="s">
        <v>29</v>
      </c>
      <c r="N20" s="64" t="s">
        <v>46</v>
      </c>
      <c r="O20" s="64" t="s">
        <v>20</v>
      </c>
      <c r="P20" s="98" t="s">
        <v>46</v>
      </c>
      <c r="Q20" s="98" t="s">
        <v>69</v>
      </c>
      <c r="R20" s="98" t="s">
        <v>46</v>
      </c>
      <c r="S20" s="64" t="s">
        <v>39</v>
      </c>
      <c r="T20" s="64" t="s">
        <v>20</v>
      </c>
      <c r="U20" s="98" t="s">
        <v>46</v>
      </c>
      <c r="V20" s="64" t="s">
        <v>39</v>
      </c>
      <c r="W20" s="73" t="s">
        <v>29</v>
      </c>
      <c r="X20" s="66" t="s">
        <v>29</v>
      </c>
      <c r="Y20" s="66" t="s">
        <v>29</v>
      </c>
      <c r="Z20" s="64" t="s">
        <v>46</v>
      </c>
      <c r="AA20" s="64" t="s">
        <v>39</v>
      </c>
      <c r="AB20" s="109" t="s">
        <v>89</v>
      </c>
      <c r="AC20" s="64" t="s">
        <v>20</v>
      </c>
      <c r="AD20" s="64" t="s">
        <v>39</v>
      </c>
      <c r="AE20" s="63" t="s">
        <v>69</v>
      </c>
      <c r="AF20" s="98" t="s">
        <v>46</v>
      </c>
      <c r="AG20" s="98" t="s">
        <v>69</v>
      </c>
      <c r="AH20" s="64" t="s">
        <v>20</v>
      </c>
      <c r="AI20" s="67" t="s">
        <v>83</v>
      </c>
      <c r="AJ20" s="72" t="s">
        <v>28</v>
      </c>
      <c r="AK20" s="64" t="s">
        <v>46</v>
      </c>
      <c r="AL20" s="112" t="s">
        <v>69</v>
      </c>
      <c r="AM20" s="54">
        <f t="shared" si="3"/>
        <v>10</v>
      </c>
      <c r="AN20" s="55">
        <v>1.0</v>
      </c>
      <c r="AO20" s="55">
        <v>2.0</v>
      </c>
      <c r="AP20" s="55">
        <v>4.0</v>
      </c>
      <c r="AQ20" s="55">
        <v>4.0</v>
      </c>
      <c r="AR20" s="56">
        <f t="shared" si="4"/>
        <v>3</v>
      </c>
      <c r="AS20" s="56">
        <f t="shared" si="5"/>
        <v>2</v>
      </c>
      <c r="AT20" s="56">
        <f t="shared" ref="AT20:AU20" si="37">8-AN20-AP20-AR20</f>
        <v>0</v>
      </c>
      <c r="AU20" s="56">
        <f t="shared" si="37"/>
        <v>0</v>
      </c>
      <c r="AV20" s="56">
        <f t="shared" si="7"/>
        <v>2</v>
      </c>
      <c r="AW20" s="56">
        <f t="shared" si="8"/>
        <v>2</v>
      </c>
      <c r="AX20" s="56">
        <f t="shared" si="9"/>
        <v>2</v>
      </c>
      <c r="AY20" s="56">
        <f t="shared" si="10"/>
        <v>2</v>
      </c>
      <c r="AZ20" s="57">
        <f t="shared" si="11"/>
        <v>15</v>
      </c>
      <c r="BA20" s="57">
        <f t="shared" si="12"/>
        <v>0</v>
      </c>
      <c r="BB20" s="57">
        <f t="shared" si="13"/>
        <v>0</v>
      </c>
      <c r="BC20" s="57">
        <f t="shared" si="14"/>
        <v>0</v>
      </c>
      <c r="BD20" s="57">
        <f t="shared" si="15"/>
        <v>0</v>
      </c>
      <c r="BE20" s="57">
        <f t="shared" si="16"/>
        <v>0</v>
      </c>
      <c r="BF20" s="57">
        <f t="shared" si="17"/>
        <v>0</v>
      </c>
      <c r="BG20" s="57">
        <f t="shared" si="18"/>
        <v>1</v>
      </c>
      <c r="BH20" s="57">
        <f t="shared" si="19"/>
        <v>4</v>
      </c>
      <c r="BI20" s="57">
        <f t="array" ref="BI20">SUMPRODUCT(1*ISNUMBER(FIND("R",G20:AK20)))</f>
        <v>5</v>
      </c>
      <c r="BJ20" s="57">
        <f t="array" ref="BJ20">SUMPRODUCT(1*ISNUMBER(FIND("r",G20:AK20)))</f>
        <v>6</v>
      </c>
      <c r="BK20" s="57">
        <f t="array" ref="BK20">SUMPRODUCT(1*ISNUMBER(FIND("P",G20:AK20)))-SUMPRODUCT(1*ISNUMBER(FIND("午P",G20:AK20)))</f>
        <v>0</v>
      </c>
      <c r="BL20" s="57">
        <f t="shared" si="20"/>
        <v>0</v>
      </c>
      <c r="BM20" s="57">
        <f t="array" ref="BM20">SUMPRODUCT(1*ISNUMBER(FIND("R",D20:J20)))</f>
        <v>1</v>
      </c>
      <c r="BN20" s="57">
        <f t="array" ref="BN20">SUMPRODUCT(1*ISNUMBER(FIND("R",K20:Q20)))</f>
        <v>1</v>
      </c>
      <c r="BO20" s="57">
        <f t="array" ref="BO20">SUMPRODUCT(1*ISNUMBER(FIND("R",R20:X20)))</f>
        <v>1</v>
      </c>
      <c r="BP20" s="57">
        <f t="array" ref="BP20">SUMPRODUCT(1*ISNUMBER(FIND("R",Y20:AE20)))</f>
        <v>1</v>
      </c>
      <c r="BQ20" s="57">
        <f t="array" ref="BQ20">SUMPRODUCT(1*ISNUMBER(FIND("R",AF20:AL20)))</f>
        <v>1</v>
      </c>
      <c r="BR20" s="57">
        <f t="shared" si="21"/>
        <v>31</v>
      </c>
      <c r="BS20" s="22"/>
      <c r="BT20" s="58">
        <v>10.0</v>
      </c>
      <c r="BU20" s="58">
        <f t="array" ref="BU20">SUMPRODUCT(1*ISNUMBER(FIND("P",K20:AL20)))-SUMPRODUCT(1*ISNUMBER(FIND("午P",K20:AL20)))</f>
        <v>0</v>
      </c>
    </row>
    <row r="21" ht="39.75" customHeight="1">
      <c r="A21" s="59"/>
      <c r="B21" s="60" t="s">
        <v>92</v>
      </c>
      <c r="C21" s="61" t="s">
        <v>93</v>
      </c>
      <c r="D21" s="69" t="s">
        <v>45</v>
      </c>
      <c r="E21" s="55" t="s">
        <v>40</v>
      </c>
      <c r="F21" s="55" t="s">
        <v>40</v>
      </c>
      <c r="G21" s="55" t="s">
        <v>39</v>
      </c>
      <c r="H21" s="70" t="s">
        <v>68</v>
      </c>
      <c r="I21" s="71" t="s">
        <v>40</v>
      </c>
      <c r="J21" s="111" t="s">
        <v>20</v>
      </c>
      <c r="K21" s="66" t="s">
        <v>20</v>
      </c>
      <c r="L21" s="73" t="s">
        <v>39</v>
      </c>
      <c r="M21" s="73" t="s">
        <v>29</v>
      </c>
      <c r="N21" s="73" t="s">
        <v>29</v>
      </c>
      <c r="O21" s="73" t="s">
        <v>30</v>
      </c>
      <c r="P21" s="73" t="s">
        <v>39</v>
      </c>
      <c r="Q21" s="98" t="s">
        <v>68</v>
      </c>
      <c r="R21" s="63" t="s">
        <v>40</v>
      </c>
      <c r="S21" s="64" t="s">
        <v>68</v>
      </c>
      <c r="T21" s="98" t="s">
        <v>40</v>
      </c>
      <c r="U21" s="98" t="s">
        <v>68</v>
      </c>
      <c r="V21" s="64" t="s">
        <v>20</v>
      </c>
      <c r="W21" s="98" t="s">
        <v>68</v>
      </c>
      <c r="X21" s="98" t="s">
        <v>40</v>
      </c>
      <c r="Y21" s="98" t="s">
        <v>68</v>
      </c>
      <c r="Z21" s="64" t="s">
        <v>20</v>
      </c>
      <c r="AA21" s="64" t="s">
        <v>46</v>
      </c>
      <c r="AB21" s="64" t="s">
        <v>68</v>
      </c>
      <c r="AC21" s="98" t="s">
        <v>40</v>
      </c>
      <c r="AD21" s="64" t="s">
        <v>68</v>
      </c>
      <c r="AE21" s="98" t="s">
        <v>40</v>
      </c>
      <c r="AF21" s="63" t="s">
        <v>39</v>
      </c>
      <c r="AG21" s="72" t="s">
        <v>28</v>
      </c>
      <c r="AH21" s="64" t="s">
        <v>68</v>
      </c>
      <c r="AI21" s="64" t="s">
        <v>39</v>
      </c>
      <c r="AJ21" s="98" t="s">
        <v>68</v>
      </c>
      <c r="AK21" s="98" t="s">
        <v>40</v>
      </c>
      <c r="AL21" s="110" t="s">
        <v>20</v>
      </c>
      <c r="AM21" s="54">
        <f t="shared" si="3"/>
        <v>10</v>
      </c>
      <c r="AN21" s="55">
        <v>2.0</v>
      </c>
      <c r="AO21" s="55">
        <v>2.0</v>
      </c>
      <c r="AP21" s="55">
        <v>4.0</v>
      </c>
      <c r="AQ21" s="55">
        <v>4.0</v>
      </c>
      <c r="AR21" s="56">
        <f t="shared" si="4"/>
        <v>2</v>
      </c>
      <c r="AS21" s="56">
        <f t="shared" si="5"/>
        <v>2</v>
      </c>
      <c r="AT21" s="56">
        <f t="shared" ref="AT21:AU21" si="38">8-AN21-AP21-AR21</f>
        <v>0</v>
      </c>
      <c r="AU21" s="56">
        <f t="shared" si="38"/>
        <v>0</v>
      </c>
      <c r="AV21" s="56">
        <f t="shared" si="7"/>
        <v>2</v>
      </c>
      <c r="AW21" s="56">
        <f t="shared" si="8"/>
        <v>2</v>
      </c>
      <c r="AX21" s="56">
        <f t="shared" si="9"/>
        <v>2</v>
      </c>
      <c r="AY21" s="56">
        <f t="shared" si="10"/>
        <v>2</v>
      </c>
      <c r="AZ21" s="57">
        <f t="shared" si="11"/>
        <v>1</v>
      </c>
      <c r="BA21" s="57">
        <f t="shared" si="12"/>
        <v>0</v>
      </c>
      <c r="BB21" s="57">
        <f t="shared" si="13"/>
        <v>0</v>
      </c>
      <c r="BC21" s="57">
        <f t="shared" si="14"/>
        <v>17</v>
      </c>
      <c r="BD21" s="57">
        <f t="shared" si="15"/>
        <v>0</v>
      </c>
      <c r="BE21" s="57">
        <f t="shared" si="16"/>
        <v>0</v>
      </c>
      <c r="BF21" s="57">
        <f t="shared" si="17"/>
        <v>0</v>
      </c>
      <c r="BG21" s="57">
        <f t="shared" si="18"/>
        <v>1</v>
      </c>
      <c r="BH21" s="57">
        <f t="shared" si="19"/>
        <v>2</v>
      </c>
      <c r="BI21" s="57">
        <f t="array" ref="BI21">SUMPRODUCT(1*ISNUMBER(FIND("R",G21:AK21)))</f>
        <v>4</v>
      </c>
      <c r="BJ21" s="57">
        <f t="array" ref="BJ21">SUMPRODUCT(1*ISNUMBER(FIND("r",G21:AK21)))</f>
        <v>5</v>
      </c>
      <c r="BK21" s="57">
        <f t="array" ref="BK21">SUMPRODUCT(1*ISNUMBER(FIND("P",G21:AK21)))-SUMPRODUCT(1*ISNUMBER(FIND("午P",G21:AK21)))</f>
        <v>1</v>
      </c>
      <c r="BL21" s="57">
        <f t="shared" si="20"/>
        <v>0</v>
      </c>
      <c r="BM21" s="57">
        <f t="array" ref="BM21">SUMPRODUCT(1*ISNUMBER(FIND("R",D21:J21)))</f>
        <v>1</v>
      </c>
      <c r="BN21" s="57">
        <f t="array" ref="BN21">SUMPRODUCT(1*ISNUMBER(FIND("R",K21:Q21)))</f>
        <v>1</v>
      </c>
      <c r="BO21" s="57">
        <f t="array" ref="BO21">SUMPRODUCT(1*ISNUMBER(FIND("R",R21:X21)))</f>
        <v>1</v>
      </c>
      <c r="BP21" s="57">
        <f t="array" ref="BP21">SUMPRODUCT(1*ISNUMBER(FIND("R",Y21:AE21)))</f>
        <v>1</v>
      </c>
      <c r="BQ21" s="57">
        <f t="array" ref="BQ21">SUMPRODUCT(1*ISNUMBER(FIND("R",AF21:AL21)))</f>
        <v>1</v>
      </c>
      <c r="BR21" s="57">
        <f t="shared" si="21"/>
        <v>31</v>
      </c>
      <c r="BS21" s="22"/>
      <c r="BT21" s="58">
        <v>9.0</v>
      </c>
      <c r="BU21" s="58">
        <f t="array" ref="BU21">SUMPRODUCT(1*ISNUMBER(FIND("P",K21:AL21)))-SUMPRODUCT(1*ISNUMBER(FIND("午P",K21:AL21)))</f>
        <v>1</v>
      </c>
    </row>
    <row r="22" ht="39.75" customHeight="1">
      <c r="A22" s="59"/>
      <c r="B22" s="60" t="s">
        <v>94</v>
      </c>
      <c r="C22" s="61" t="s">
        <v>95</v>
      </c>
      <c r="D22" s="69" t="s">
        <v>68</v>
      </c>
      <c r="E22" s="55" t="s">
        <v>45</v>
      </c>
      <c r="F22" s="55" t="s">
        <v>20</v>
      </c>
      <c r="G22" s="55" t="s">
        <v>40</v>
      </c>
      <c r="H22" s="70" t="s">
        <v>68</v>
      </c>
      <c r="I22" s="71" t="s">
        <v>39</v>
      </c>
      <c r="J22" s="111" t="s">
        <v>68</v>
      </c>
      <c r="K22" s="63" t="s">
        <v>40</v>
      </c>
      <c r="L22" s="98" t="s">
        <v>68</v>
      </c>
      <c r="M22" s="98" t="s">
        <v>40</v>
      </c>
      <c r="N22" s="64" t="s">
        <v>20</v>
      </c>
      <c r="O22" s="64" t="s">
        <v>68</v>
      </c>
      <c r="P22" s="98" t="s">
        <v>40</v>
      </c>
      <c r="Q22" s="63" t="s">
        <v>68</v>
      </c>
      <c r="R22" s="98" t="s">
        <v>40</v>
      </c>
      <c r="S22" s="64" t="s">
        <v>45</v>
      </c>
      <c r="T22" s="64" t="s">
        <v>39</v>
      </c>
      <c r="U22" s="73" t="s">
        <v>20</v>
      </c>
      <c r="V22" s="98" t="s">
        <v>68</v>
      </c>
      <c r="W22" s="64" t="s">
        <v>39</v>
      </c>
      <c r="X22" s="63" t="s">
        <v>68</v>
      </c>
      <c r="Y22" s="98" t="s">
        <v>40</v>
      </c>
      <c r="Z22" s="98" t="s">
        <v>68</v>
      </c>
      <c r="AA22" s="64" t="s">
        <v>20</v>
      </c>
      <c r="AB22" s="64" t="s">
        <v>40</v>
      </c>
      <c r="AC22" s="64" t="s">
        <v>68</v>
      </c>
      <c r="AD22" s="98" t="s">
        <v>40</v>
      </c>
      <c r="AE22" s="66" t="s">
        <v>39</v>
      </c>
      <c r="AF22" s="66" t="s">
        <v>39</v>
      </c>
      <c r="AG22" s="98" t="s">
        <v>68</v>
      </c>
      <c r="AH22" s="64" t="s">
        <v>40</v>
      </c>
      <c r="AI22" s="64" t="s">
        <v>30</v>
      </c>
      <c r="AJ22" s="64" t="s">
        <v>68</v>
      </c>
      <c r="AK22" s="73" t="s">
        <v>20</v>
      </c>
      <c r="AL22" s="113" t="s">
        <v>28</v>
      </c>
      <c r="AM22" s="54">
        <f t="shared" si="3"/>
        <v>9</v>
      </c>
      <c r="AN22" s="55">
        <v>2.0</v>
      </c>
      <c r="AO22" s="55">
        <v>2.0</v>
      </c>
      <c r="AP22" s="55">
        <v>4.0</v>
      </c>
      <c r="AQ22" s="55">
        <v>4.0</v>
      </c>
      <c r="AR22" s="56">
        <f t="shared" si="4"/>
        <v>2</v>
      </c>
      <c r="AS22" s="56">
        <f t="shared" si="5"/>
        <v>2</v>
      </c>
      <c r="AT22" s="56">
        <f t="shared" ref="AT22:AU22" si="39">8-AN22-AP22-AR22</f>
        <v>0</v>
      </c>
      <c r="AU22" s="56">
        <f t="shared" si="39"/>
        <v>0</v>
      </c>
      <c r="AV22" s="56">
        <f t="shared" si="7"/>
        <v>2</v>
      </c>
      <c r="AW22" s="56">
        <f t="shared" si="8"/>
        <v>2</v>
      </c>
      <c r="AX22" s="56">
        <f t="shared" si="9"/>
        <v>2</v>
      </c>
      <c r="AY22" s="56">
        <f t="shared" si="10"/>
        <v>2</v>
      </c>
      <c r="AZ22" s="57">
        <f t="shared" si="11"/>
        <v>0</v>
      </c>
      <c r="BA22" s="57">
        <f t="shared" si="12"/>
        <v>0</v>
      </c>
      <c r="BB22" s="57">
        <f t="shared" si="13"/>
        <v>1</v>
      </c>
      <c r="BC22" s="57">
        <f t="shared" si="14"/>
        <v>20</v>
      </c>
      <c r="BD22" s="57">
        <f t="shared" si="15"/>
        <v>0</v>
      </c>
      <c r="BE22" s="57">
        <f t="shared" si="16"/>
        <v>0</v>
      </c>
      <c r="BF22" s="57">
        <f t="shared" si="17"/>
        <v>0</v>
      </c>
      <c r="BG22" s="57">
        <f t="shared" si="18"/>
        <v>0</v>
      </c>
      <c r="BH22" s="57">
        <f t="shared" si="19"/>
        <v>0</v>
      </c>
      <c r="BI22" s="57">
        <f t="array" ref="BI22">SUMPRODUCT(1*ISNUMBER(FIND("R",G22:AK22)))</f>
        <v>4</v>
      </c>
      <c r="BJ22" s="57">
        <f t="array" ref="BJ22">SUMPRODUCT(1*ISNUMBER(FIND("r",G22:AK22)))</f>
        <v>5</v>
      </c>
      <c r="BK22" s="57">
        <f t="array" ref="BK22">SUMPRODUCT(1*ISNUMBER(FIND("P",G22:AK22)))-SUMPRODUCT(1*ISNUMBER(FIND("午P",G22:AK22)))</f>
        <v>1</v>
      </c>
      <c r="BL22" s="57">
        <f t="shared" si="20"/>
        <v>0</v>
      </c>
      <c r="BM22" s="57">
        <f t="array" ref="BM22">SUMPRODUCT(1*ISNUMBER(FIND("R",D22:J22)))</f>
        <v>1</v>
      </c>
      <c r="BN22" s="57">
        <f t="array" ref="BN22">SUMPRODUCT(1*ISNUMBER(FIND("R",K22:Q22)))</f>
        <v>1</v>
      </c>
      <c r="BO22" s="57">
        <f t="array" ref="BO22">SUMPRODUCT(1*ISNUMBER(FIND("R",R22:X22)))</f>
        <v>1</v>
      </c>
      <c r="BP22" s="57">
        <f t="array" ref="BP22">SUMPRODUCT(1*ISNUMBER(FIND("R",Y22:AE22)))</f>
        <v>1</v>
      </c>
      <c r="BQ22" s="57">
        <f t="array" ref="BQ22">SUMPRODUCT(1*ISNUMBER(FIND("R",AF22:AL22)))</f>
        <v>1</v>
      </c>
      <c r="BR22" s="57">
        <f t="shared" si="21"/>
        <v>31</v>
      </c>
      <c r="BS22" s="22"/>
      <c r="BT22" s="58">
        <v>8.0</v>
      </c>
      <c r="BU22" s="58">
        <f t="array" ref="BU22">SUMPRODUCT(1*ISNUMBER(FIND("P",K22:AL22)))-SUMPRODUCT(1*ISNUMBER(FIND("午P",K22:AL22)))</f>
        <v>1</v>
      </c>
    </row>
    <row r="23" ht="39.75" customHeight="1">
      <c r="A23" s="59"/>
      <c r="B23" s="60" t="s">
        <v>96</v>
      </c>
      <c r="C23" s="61" t="s">
        <v>97</v>
      </c>
      <c r="D23" s="77" t="s">
        <v>98</v>
      </c>
      <c r="E23" s="78" t="s">
        <v>99</v>
      </c>
      <c r="F23" s="47" t="s">
        <v>20</v>
      </c>
      <c r="G23" s="47" t="s">
        <v>39</v>
      </c>
      <c r="H23" s="47" t="s">
        <v>40</v>
      </c>
      <c r="I23" s="47" t="s">
        <v>68</v>
      </c>
      <c r="J23" s="76" t="s">
        <v>40</v>
      </c>
      <c r="K23" s="63" t="s">
        <v>68</v>
      </c>
      <c r="L23" s="64" t="s">
        <v>40</v>
      </c>
      <c r="M23" s="64" t="s">
        <v>39</v>
      </c>
      <c r="N23" s="98" t="s">
        <v>68</v>
      </c>
      <c r="O23" s="98" t="s">
        <v>40</v>
      </c>
      <c r="P23" s="98" t="s">
        <v>68</v>
      </c>
      <c r="Q23" s="66" t="s">
        <v>20</v>
      </c>
      <c r="R23" s="63" t="s">
        <v>69</v>
      </c>
      <c r="S23" s="98" t="s">
        <v>40</v>
      </c>
      <c r="T23" s="64" t="s">
        <v>40</v>
      </c>
      <c r="U23" s="64" t="s">
        <v>39</v>
      </c>
      <c r="V23" s="64" t="s">
        <v>39</v>
      </c>
      <c r="W23" s="64" t="s">
        <v>68</v>
      </c>
      <c r="X23" s="66" t="s">
        <v>20</v>
      </c>
      <c r="Y23" s="63" t="s">
        <v>68</v>
      </c>
      <c r="Z23" s="98" t="s">
        <v>40</v>
      </c>
      <c r="AA23" s="98" t="s">
        <v>68</v>
      </c>
      <c r="AB23" s="73" t="s">
        <v>20</v>
      </c>
      <c r="AC23" s="64" t="s">
        <v>39</v>
      </c>
      <c r="AD23" s="64" t="s">
        <v>40</v>
      </c>
      <c r="AE23" s="98" t="s">
        <v>68</v>
      </c>
      <c r="AF23" s="63" t="s">
        <v>40</v>
      </c>
      <c r="AG23" s="64" t="s">
        <v>68</v>
      </c>
      <c r="AH23" s="64" t="s">
        <v>39</v>
      </c>
      <c r="AI23" s="72" t="s">
        <v>28</v>
      </c>
      <c r="AJ23" s="98" t="s">
        <v>40</v>
      </c>
      <c r="AK23" s="73" t="s">
        <v>20</v>
      </c>
      <c r="AL23" s="110" t="s">
        <v>45</v>
      </c>
      <c r="AM23" s="54">
        <f t="shared" si="3"/>
        <v>10</v>
      </c>
      <c r="AN23" s="55">
        <v>2.0</v>
      </c>
      <c r="AO23" s="55">
        <v>2.0</v>
      </c>
      <c r="AP23" s="79">
        <v>3.0</v>
      </c>
      <c r="AQ23" s="55">
        <v>4.0</v>
      </c>
      <c r="AR23" s="56">
        <f t="shared" si="4"/>
        <v>3</v>
      </c>
      <c r="AS23" s="56">
        <f t="shared" si="5"/>
        <v>2</v>
      </c>
      <c r="AT23" s="56">
        <f t="shared" ref="AT23:AU23" si="40">8-AN23-AP23-AR23</f>
        <v>0</v>
      </c>
      <c r="AU23" s="56">
        <f t="shared" si="40"/>
        <v>0</v>
      </c>
      <c r="AV23" s="56">
        <f t="shared" si="7"/>
        <v>2</v>
      </c>
      <c r="AW23" s="56">
        <f t="shared" si="8"/>
        <v>2</v>
      </c>
      <c r="AX23" s="56">
        <f t="shared" si="9"/>
        <v>2</v>
      </c>
      <c r="AY23" s="56">
        <f t="shared" si="10"/>
        <v>2</v>
      </c>
      <c r="AZ23" s="57">
        <f t="shared" si="11"/>
        <v>1</v>
      </c>
      <c r="BA23" s="57">
        <f t="shared" si="12"/>
        <v>0</v>
      </c>
      <c r="BB23" s="57">
        <f t="shared" si="13"/>
        <v>0</v>
      </c>
      <c r="BC23" s="57">
        <f t="shared" si="14"/>
        <v>19</v>
      </c>
      <c r="BD23" s="57">
        <f t="shared" si="15"/>
        <v>0</v>
      </c>
      <c r="BE23" s="57">
        <f t="shared" si="16"/>
        <v>0</v>
      </c>
      <c r="BF23" s="57">
        <f t="shared" si="17"/>
        <v>0</v>
      </c>
      <c r="BG23" s="57">
        <f t="shared" si="18"/>
        <v>1</v>
      </c>
      <c r="BH23" s="57">
        <f t="shared" si="19"/>
        <v>0</v>
      </c>
      <c r="BI23" s="57">
        <f t="array" ref="BI23">SUMPRODUCT(1*ISNUMBER(FIND("R",G23:AK23)))</f>
        <v>4</v>
      </c>
      <c r="BJ23" s="57">
        <f t="array" ref="BJ23">SUMPRODUCT(1*ISNUMBER(FIND("r",G23:AK23)))</f>
        <v>6</v>
      </c>
      <c r="BK23" s="57">
        <f t="array" ref="BK23">SUMPRODUCT(1*ISNUMBER(FIND("P",G23:AK23)))-SUMPRODUCT(1*ISNUMBER(FIND("午P",G23:AK23)))</f>
        <v>0</v>
      </c>
      <c r="BL23" s="57">
        <f t="shared" si="20"/>
        <v>0</v>
      </c>
      <c r="BM23" s="57">
        <f t="array" ref="BM23">SUMPRODUCT(1*ISNUMBER(FIND("R",D23:J23)))</f>
        <v>1</v>
      </c>
      <c r="BN23" s="57">
        <f t="array" ref="BN23">SUMPRODUCT(1*ISNUMBER(FIND("R",K23:Q23)))</f>
        <v>1</v>
      </c>
      <c r="BO23" s="57">
        <f t="array" ref="BO23">SUMPRODUCT(1*ISNUMBER(FIND("R",R23:X23)))</f>
        <v>1</v>
      </c>
      <c r="BP23" s="57">
        <f t="array" ref="BP23">SUMPRODUCT(1*ISNUMBER(FIND("R",Y23:AE23)))</f>
        <v>1</v>
      </c>
      <c r="BQ23" s="57">
        <f t="array" ref="BQ23">SUMPRODUCT(1*ISNUMBER(FIND("R",AF23:AL23)))</f>
        <v>1</v>
      </c>
      <c r="BR23" s="57">
        <f t="shared" si="21"/>
        <v>31</v>
      </c>
      <c r="BS23" s="22"/>
      <c r="BT23" s="80">
        <v>10.0</v>
      </c>
      <c r="BU23" s="58">
        <f t="array" ref="BU23">SUMPRODUCT(1*ISNUMBER(FIND("P",K23:AL23)))-SUMPRODUCT(1*ISNUMBER(FIND("午P",K23:AL23)))</f>
        <v>0</v>
      </c>
    </row>
    <row r="24" ht="39.75" customHeight="1">
      <c r="A24" s="59"/>
      <c r="B24" s="60" t="s">
        <v>100</v>
      </c>
      <c r="C24" s="61" t="s">
        <v>101</v>
      </c>
      <c r="D24" s="77" t="s">
        <v>67</v>
      </c>
      <c r="E24" s="47" t="s">
        <v>69</v>
      </c>
      <c r="F24" s="47" t="s">
        <v>46</v>
      </c>
      <c r="G24" s="47" t="s">
        <v>69</v>
      </c>
      <c r="H24" s="47" t="s">
        <v>39</v>
      </c>
      <c r="I24" s="47" t="s">
        <v>20</v>
      </c>
      <c r="J24" s="76" t="s">
        <v>46</v>
      </c>
      <c r="K24" s="98" t="s">
        <v>68</v>
      </c>
      <c r="L24" s="98" t="s">
        <v>40</v>
      </c>
      <c r="M24" s="98" t="s">
        <v>68</v>
      </c>
      <c r="N24" s="64" t="s">
        <v>20</v>
      </c>
      <c r="O24" s="64" t="s">
        <v>45</v>
      </c>
      <c r="P24" s="64" t="s">
        <v>69</v>
      </c>
      <c r="Q24" s="63" t="s">
        <v>40</v>
      </c>
      <c r="R24" s="98" t="s">
        <v>68</v>
      </c>
      <c r="S24" s="73" t="s">
        <v>20</v>
      </c>
      <c r="T24" s="73" t="s">
        <v>39</v>
      </c>
      <c r="U24" s="64" t="s">
        <v>68</v>
      </c>
      <c r="V24" s="98" t="s">
        <v>40</v>
      </c>
      <c r="W24" s="64" t="s">
        <v>39</v>
      </c>
      <c r="X24" s="63" t="s">
        <v>39</v>
      </c>
      <c r="Y24" s="63" t="s">
        <v>69</v>
      </c>
      <c r="Z24" s="98" t="s">
        <v>46</v>
      </c>
      <c r="AA24" s="64" t="s">
        <v>69</v>
      </c>
      <c r="AB24" s="72" t="s">
        <v>28</v>
      </c>
      <c r="AC24" s="98" t="s">
        <v>68</v>
      </c>
      <c r="AD24" s="64" t="s">
        <v>20</v>
      </c>
      <c r="AE24" s="66" t="s">
        <v>39</v>
      </c>
      <c r="AF24" s="66" t="s">
        <v>20</v>
      </c>
      <c r="AG24" s="98" t="s">
        <v>46</v>
      </c>
      <c r="AH24" s="98" t="s">
        <v>68</v>
      </c>
      <c r="AI24" s="98" t="s">
        <v>40</v>
      </c>
      <c r="AJ24" s="64" t="s">
        <v>39</v>
      </c>
      <c r="AK24" s="64" t="s">
        <v>68</v>
      </c>
      <c r="AL24" s="112" t="s">
        <v>40</v>
      </c>
      <c r="AM24" s="54">
        <f t="shared" si="3"/>
        <v>10</v>
      </c>
      <c r="AN24" s="55">
        <v>2.0</v>
      </c>
      <c r="AO24" s="55">
        <v>2.0</v>
      </c>
      <c r="AP24" s="79">
        <v>3.0</v>
      </c>
      <c r="AQ24" s="55">
        <v>4.0</v>
      </c>
      <c r="AR24" s="56">
        <f t="shared" si="4"/>
        <v>3</v>
      </c>
      <c r="AS24" s="56">
        <f t="shared" si="5"/>
        <v>2</v>
      </c>
      <c r="AT24" s="56">
        <f t="shared" ref="AT24:AU24" si="41">8-AN24-AP24-AR24</f>
        <v>0</v>
      </c>
      <c r="AU24" s="56">
        <f t="shared" si="41"/>
        <v>0</v>
      </c>
      <c r="AV24" s="56">
        <f t="shared" si="7"/>
        <v>2</v>
      </c>
      <c r="AW24" s="56">
        <f t="shared" si="8"/>
        <v>2</v>
      </c>
      <c r="AX24" s="56">
        <f t="shared" si="9"/>
        <v>2</v>
      </c>
      <c r="AY24" s="56">
        <f t="shared" si="10"/>
        <v>2</v>
      </c>
      <c r="AZ24" s="57">
        <f t="shared" si="11"/>
        <v>7</v>
      </c>
      <c r="BA24" s="57">
        <f t="shared" si="12"/>
        <v>0</v>
      </c>
      <c r="BB24" s="57">
        <f t="shared" si="13"/>
        <v>1</v>
      </c>
      <c r="BC24" s="57">
        <f t="shared" si="14"/>
        <v>11</v>
      </c>
      <c r="BD24" s="57">
        <f t="shared" si="15"/>
        <v>0</v>
      </c>
      <c r="BE24" s="57">
        <f t="shared" si="16"/>
        <v>0</v>
      </c>
      <c r="BF24" s="57">
        <f t="shared" si="17"/>
        <v>0</v>
      </c>
      <c r="BG24" s="57">
        <f t="shared" si="18"/>
        <v>1</v>
      </c>
      <c r="BH24" s="57">
        <f t="shared" si="19"/>
        <v>0</v>
      </c>
      <c r="BI24" s="57">
        <f t="array" ref="BI24">SUMPRODUCT(1*ISNUMBER(FIND("R",G24:AK24)))</f>
        <v>5</v>
      </c>
      <c r="BJ24" s="57">
        <f t="array" ref="BJ24">SUMPRODUCT(1*ISNUMBER(FIND("r",G24:AK24)))</f>
        <v>6</v>
      </c>
      <c r="BK24" s="57">
        <f t="array" ref="BK24">SUMPRODUCT(1*ISNUMBER(FIND("P",G24:AK24)))-SUMPRODUCT(1*ISNUMBER(FIND("午P",G24:AK24)))</f>
        <v>0</v>
      </c>
      <c r="BL24" s="57">
        <f t="shared" si="20"/>
        <v>0</v>
      </c>
      <c r="BM24" s="57">
        <f t="array" ref="BM24">SUMPRODUCT(1*ISNUMBER(FIND("R",D24:J24)))</f>
        <v>1</v>
      </c>
      <c r="BN24" s="57">
        <f t="array" ref="BN24">SUMPRODUCT(1*ISNUMBER(FIND("R",K24:Q24)))</f>
        <v>1</v>
      </c>
      <c r="BO24" s="57">
        <f t="array" ref="BO24">SUMPRODUCT(1*ISNUMBER(FIND("R",R24:X24)))</f>
        <v>1</v>
      </c>
      <c r="BP24" s="57">
        <f t="array" ref="BP24">SUMPRODUCT(1*ISNUMBER(FIND("R",Y24:AE24)))</f>
        <v>1</v>
      </c>
      <c r="BQ24" s="57">
        <f t="array" ref="BQ24">SUMPRODUCT(1*ISNUMBER(FIND("R",AF24:AL24)))</f>
        <v>1</v>
      </c>
      <c r="BR24" s="57">
        <f t="shared" si="21"/>
        <v>31</v>
      </c>
      <c r="BS24" s="22"/>
      <c r="BT24" s="80">
        <v>10.0</v>
      </c>
      <c r="BU24" s="58">
        <f t="array" ref="BU24">SUMPRODUCT(1*ISNUMBER(FIND("P",K24:AL24)))-SUMPRODUCT(1*ISNUMBER(FIND("午P",K24:AL24)))</f>
        <v>0</v>
      </c>
    </row>
    <row r="25" ht="39.75" customHeight="1">
      <c r="A25" s="59"/>
      <c r="B25" s="60" t="s">
        <v>102</v>
      </c>
      <c r="C25" s="61" t="s">
        <v>103</v>
      </c>
      <c r="D25" s="77" t="s">
        <v>66</v>
      </c>
      <c r="E25" s="78" t="s">
        <v>67</v>
      </c>
      <c r="F25" s="47" t="s">
        <v>69</v>
      </c>
      <c r="G25" s="47" t="s">
        <v>39</v>
      </c>
      <c r="H25" s="47" t="s">
        <v>46</v>
      </c>
      <c r="I25" s="47" t="s">
        <v>69</v>
      </c>
      <c r="J25" s="76" t="s">
        <v>20</v>
      </c>
      <c r="K25" s="66" t="s">
        <v>20</v>
      </c>
      <c r="L25" s="98" t="s">
        <v>46</v>
      </c>
      <c r="M25" s="98" t="s">
        <v>69</v>
      </c>
      <c r="N25" s="98" t="s">
        <v>40</v>
      </c>
      <c r="O25" s="64" t="s">
        <v>39</v>
      </c>
      <c r="P25" s="64" t="s">
        <v>68</v>
      </c>
      <c r="Q25" s="98" t="s">
        <v>40</v>
      </c>
      <c r="R25" s="63" t="s">
        <v>68</v>
      </c>
      <c r="S25" s="98" t="s">
        <v>68</v>
      </c>
      <c r="T25" s="64" t="s">
        <v>39</v>
      </c>
      <c r="U25" s="64" t="s">
        <v>39</v>
      </c>
      <c r="V25" s="64" t="s">
        <v>69</v>
      </c>
      <c r="W25" s="64" t="s">
        <v>40</v>
      </c>
      <c r="X25" s="66" t="s">
        <v>20</v>
      </c>
      <c r="Y25" s="98" t="s">
        <v>69</v>
      </c>
      <c r="Z25" s="64" t="s">
        <v>40</v>
      </c>
      <c r="AA25" s="64" t="s">
        <v>68</v>
      </c>
      <c r="AB25" s="73" t="s">
        <v>20</v>
      </c>
      <c r="AC25" s="64" t="s">
        <v>69</v>
      </c>
      <c r="AD25" s="72" t="s">
        <v>28</v>
      </c>
      <c r="AE25" s="63" t="s">
        <v>39</v>
      </c>
      <c r="AF25" s="98" t="s">
        <v>68</v>
      </c>
      <c r="AG25" s="98" t="s">
        <v>40</v>
      </c>
      <c r="AH25" s="64" t="s">
        <v>45</v>
      </c>
      <c r="AI25" s="73" t="s">
        <v>20</v>
      </c>
      <c r="AJ25" s="64" t="s">
        <v>39</v>
      </c>
      <c r="AK25" s="98" t="s">
        <v>68</v>
      </c>
      <c r="AL25" s="110" t="s">
        <v>40</v>
      </c>
      <c r="AM25" s="54">
        <f t="shared" si="3"/>
        <v>10</v>
      </c>
      <c r="AN25" s="55">
        <v>2.0</v>
      </c>
      <c r="AO25" s="55">
        <v>2.0</v>
      </c>
      <c r="AP25" s="79">
        <v>3.0</v>
      </c>
      <c r="AQ25" s="55">
        <v>4.0</v>
      </c>
      <c r="AR25" s="56">
        <f t="shared" si="4"/>
        <v>3</v>
      </c>
      <c r="AS25" s="56">
        <f t="shared" si="5"/>
        <v>2</v>
      </c>
      <c r="AT25" s="56">
        <f t="shared" ref="AT25:AU25" si="42">8-AN25-AP25-AR25</f>
        <v>0</v>
      </c>
      <c r="AU25" s="56">
        <f t="shared" si="42"/>
        <v>0</v>
      </c>
      <c r="AV25" s="56">
        <f t="shared" si="7"/>
        <v>2</v>
      </c>
      <c r="AW25" s="56">
        <f t="shared" si="8"/>
        <v>2</v>
      </c>
      <c r="AX25" s="56">
        <f t="shared" si="9"/>
        <v>2</v>
      </c>
      <c r="AY25" s="56">
        <f t="shared" si="10"/>
        <v>2</v>
      </c>
      <c r="AZ25" s="57">
        <f t="shared" si="11"/>
        <v>7</v>
      </c>
      <c r="BA25" s="57">
        <f t="shared" si="12"/>
        <v>0</v>
      </c>
      <c r="BB25" s="57">
        <f t="shared" si="13"/>
        <v>1</v>
      </c>
      <c r="BC25" s="57">
        <f t="shared" si="14"/>
        <v>11</v>
      </c>
      <c r="BD25" s="57">
        <f t="shared" si="15"/>
        <v>0</v>
      </c>
      <c r="BE25" s="57">
        <f t="shared" si="16"/>
        <v>0</v>
      </c>
      <c r="BF25" s="57">
        <f t="shared" si="17"/>
        <v>0</v>
      </c>
      <c r="BG25" s="57">
        <f t="shared" si="18"/>
        <v>1</v>
      </c>
      <c r="BH25" s="57">
        <f t="shared" si="19"/>
        <v>0</v>
      </c>
      <c r="BI25" s="57">
        <f t="array" ref="BI25">SUMPRODUCT(1*ISNUMBER(FIND("R",G25:AK25)))</f>
        <v>5</v>
      </c>
      <c r="BJ25" s="57">
        <f t="array" ref="BJ25">SUMPRODUCT(1*ISNUMBER(FIND("r",G25:AK25)))</f>
        <v>6</v>
      </c>
      <c r="BK25" s="57">
        <f t="array" ref="BK25">SUMPRODUCT(1*ISNUMBER(FIND("P",G25:AK25)))-SUMPRODUCT(1*ISNUMBER(FIND("午P",G25:AK25)))</f>
        <v>0</v>
      </c>
      <c r="BL25" s="57">
        <f t="shared" si="20"/>
        <v>0</v>
      </c>
      <c r="BM25" s="57">
        <f t="array" ref="BM25">SUMPRODUCT(1*ISNUMBER(FIND("R",D25:J25)))</f>
        <v>1</v>
      </c>
      <c r="BN25" s="57">
        <f t="array" ref="BN25">SUMPRODUCT(1*ISNUMBER(FIND("R",K25:Q25)))</f>
        <v>1</v>
      </c>
      <c r="BO25" s="57">
        <f t="array" ref="BO25">SUMPRODUCT(1*ISNUMBER(FIND("R",R25:X25)))</f>
        <v>1</v>
      </c>
      <c r="BP25" s="57">
        <f t="array" ref="BP25">SUMPRODUCT(1*ISNUMBER(FIND("R",Y25:AE25)))</f>
        <v>1</v>
      </c>
      <c r="BQ25" s="57">
        <f t="array" ref="BQ25">SUMPRODUCT(1*ISNUMBER(FIND("R",AF25:AL25)))</f>
        <v>1</v>
      </c>
      <c r="BR25" s="57">
        <f t="shared" si="21"/>
        <v>31</v>
      </c>
      <c r="BS25" s="22"/>
      <c r="BT25" s="80">
        <v>10.0</v>
      </c>
      <c r="BU25" s="58">
        <f t="array" ref="BU25">SUMPRODUCT(1*ISNUMBER(FIND("P",K25:AL25)))-SUMPRODUCT(1*ISNUMBER(FIND("午P",K25:AL25)))</f>
        <v>0</v>
      </c>
    </row>
    <row r="26" ht="39.75" customHeight="1">
      <c r="A26" s="114"/>
      <c r="B26" s="115" t="s">
        <v>104</v>
      </c>
      <c r="C26" s="116" t="s">
        <v>105</v>
      </c>
      <c r="D26" s="47" t="s">
        <v>39</v>
      </c>
      <c r="E26" s="47" t="s">
        <v>39</v>
      </c>
      <c r="F26" s="117" t="s">
        <v>99</v>
      </c>
      <c r="G26" s="117" t="s">
        <v>98</v>
      </c>
      <c r="H26" s="118" t="s">
        <v>68</v>
      </c>
      <c r="I26" s="118" t="s">
        <v>40</v>
      </c>
      <c r="J26" s="119" t="s">
        <v>20</v>
      </c>
      <c r="K26" s="98" t="s">
        <v>40</v>
      </c>
      <c r="L26" s="120" t="s">
        <v>68</v>
      </c>
      <c r="M26" s="120" t="s">
        <v>40</v>
      </c>
      <c r="N26" s="120" t="s">
        <v>68</v>
      </c>
      <c r="O26" s="120" t="s">
        <v>40</v>
      </c>
      <c r="P26" s="121" t="s">
        <v>39</v>
      </c>
      <c r="Q26" s="122" t="s">
        <v>20</v>
      </c>
      <c r="R26" s="122" t="s">
        <v>20</v>
      </c>
      <c r="S26" s="121" t="s">
        <v>39</v>
      </c>
      <c r="T26" s="123" t="s">
        <v>69</v>
      </c>
      <c r="U26" s="120" t="s">
        <v>46</v>
      </c>
      <c r="V26" s="120" t="s">
        <v>39</v>
      </c>
      <c r="W26" s="123" t="s">
        <v>46</v>
      </c>
      <c r="X26" s="123" t="s">
        <v>69</v>
      </c>
      <c r="Y26" s="124" t="s">
        <v>45</v>
      </c>
      <c r="Z26" s="120" t="s">
        <v>69</v>
      </c>
      <c r="AA26" s="120" t="s">
        <v>20</v>
      </c>
      <c r="AB26" s="123" t="s">
        <v>40</v>
      </c>
      <c r="AC26" s="120" t="s">
        <v>20</v>
      </c>
      <c r="AD26" s="123" t="s">
        <v>69</v>
      </c>
      <c r="AE26" s="124" t="s">
        <v>46</v>
      </c>
      <c r="AF26" s="123" t="s">
        <v>69</v>
      </c>
      <c r="AG26" s="120" t="s">
        <v>40</v>
      </c>
      <c r="AH26" s="120" t="s">
        <v>39</v>
      </c>
      <c r="AI26" s="123" t="s">
        <v>68</v>
      </c>
      <c r="AJ26" s="120" t="s">
        <v>39</v>
      </c>
      <c r="AK26" s="125" t="s">
        <v>28</v>
      </c>
      <c r="AL26" s="126" t="s">
        <v>68</v>
      </c>
      <c r="AM26" s="54">
        <f t="shared" si="3"/>
        <v>10</v>
      </c>
      <c r="AN26" s="55">
        <v>2.0</v>
      </c>
      <c r="AO26" s="55">
        <v>2.0</v>
      </c>
      <c r="AP26" s="79">
        <v>3.0</v>
      </c>
      <c r="AQ26" s="55">
        <v>4.0</v>
      </c>
      <c r="AR26" s="56">
        <f t="shared" si="4"/>
        <v>3</v>
      </c>
      <c r="AS26" s="56">
        <f t="shared" si="5"/>
        <v>2</v>
      </c>
      <c r="AT26" s="56">
        <f t="shared" ref="AT26:AU26" si="43">8-AN26-AP26-AR26</f>
        <v>0</v>
      </c>
      <c r="AU26" s="56">
        <f t="shared" si="43"/>
        <v>0</v>
      </c>
      <c r="AV26" s="56">
        <f t="shared" si="7"/>
        <v>2</v>
      </c>
      <c r="AW26" s="56">
        <f t="shared" si="8"/>
        <v>2</v>
      </c>
      <c r="AX26" s="56">
        <f t="shared" si="9"/>
        <v>2</v>
      </c>
      <c r="AY26" s="56">
        <f t="shared" si="10"/>
        <v>2</v>
      </c>
      <c r="AZ26" s="57">
        <f t="shared" si="11"/>
        <v>8</v>
      </c>
      <c r="BA26" s="57">
        <f t="shared" si="12"/>
        <v>0</v>
      </c>
      <c r="BB26" s="57">
        <f t="shared" si="13"/>
        <v>1</v>
      </c>
      <c r="BC26" s="57">
        <f t="shared" si="14"/>
        <v>11</v>
      </c>
      <c r="BD26" s="57">
        <f t="shared" si="15"/>
        <v>0</v>
      </c>
      <c r="BE26" s="57">
        <f t="shared" si="16"/>
        <v>0</v>
      </c>
      <c r="BF26" s="57">
        <f t="shared" si="17"/>
        <v>0</v>
      </c>
      <c r="BG26" s="57">
        <f t="shared" si="18"/>
        <v>1</v>
      </c>
      <c r="BH26" s="57">
        <f t="shared" si="19"/>
        <v>0</v>
      </c>
      <c r="BI26" s="57">
        <f t="array" ref="BI26">SUMPRODUCT(1*ISNUMBER(FIND("R",G26:AK26)))</f>
        <v>5</v>
      </c>
      <c r="BJ26" s="57">
        <f t="array" ref="BJ26">SUMPRODUCT(1*ISNUMBER(FIND("r",G26:AK26)))</f>
        <v>5</v>
      </c>
      <c r="BK26" s="57">
        <f t="array" ref="BK26">SUMPRODUCT(1*ISNUMBER(FIND("P",G26:AK26)))-SUMPRODUCT(1*ISNUMBER(FIND("午P",G26:AK26)))</f>
        <v>0</v>
      </c>
      <c r="BL26" s="57">
        <f t="shared" si="20"/>
        <v>0</v>
      </c>
      <c r="BM26" s="57">
        <f t="array" ref="BM26">SUMPRODUCT(1*ISNUMBER(FIND("R",D26:J26)))</f>
        <v>1</v>
      </c>
      <c r="BN26" s="57">
        <f t="array" ref="BN26">SUMPRODUCT(1*ISNUMBER(FIND("R",K26:Q26)))</f>
        <v>1</v>
      </c>
      <c r="BO26" s="57">
        <f t="array" ref="BO26">SUMPRODUCT(1*ISNUMBER(FIND("R",R26:X26)))</f>
        <v>1</v>
      </c>
      <c r="BP26" s="57">
        <f t="array" ref="BP26">SUMPRODUCT(1*ISNUMBER(FIND("R",Y26:AE26)))</f>
        <v>2</v>
      </c>
      <c r="BQ26" s="57">
        <f t="array" ref="BQ26">SUMPRODUCT(1*ISNUMBER(FIND("R",AF26:AL26)))</f>
        <v>0</v>
      </c>
      <c r="BR26" s="57">
        <f t="shared" si="21"/>
        <v>31</v>
      </c>
      <c r="BS26" s="22"/>
      <c r="BT26" s="80">
        <v>10.0</v>
      </c>
      <c r="BU26" s="58">
        <f t="array" ref="BU26">SUMPRODUCT(1*ISNUMBER(FIND("P",K26:AL26)))-SUMPRODUCT(1*ISNUMBER(FIND("午P",K26:AL26)))</f>
        <v>0</v>
      </c>
    </row>
    <row r="27" ht="171.0" customHeight="1">
      <c r="A27" s="127"/>
      <c r="B27" s="128"/>
      <c r="C27" s="129" t="s">
        <v>106</v>
      </c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1"/>
      <c r="AH27" s="131"/>
      <c r="AI27" s="131"/>
      <c r="AJ27" s="131"/>
      <c r="AK27" s="131"/>
      <c r="AL27" s="131"/>
      <c r="AM27" s="13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22"/>
      <c r="BN27" s="22"/>
      <c r="BO27" s="22"/>
      <c r="BP27" s="22"/>
      <c r="BQ27" s="22"/>
      <c r="BR27" s="22"/>
      <c r="BS27" s="22"/>
      <c r="BT27" s="22"/>
      <c r="BU27" s="22"/>
    </row>
    <row r="28" ht="31.5" customHeight="1">
      <c r="A28" s="134" t="s">
        <v>107</v>
      </c>
      <c r="B28" s="135"/>
      <c r="C28" s="135"/>
      <c r="D28" s="136"/>
      <c r="E28" s="136"/>
      <c r="F28" s="136"/>
      <c r="G28" s="137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8"/>
      <c r="Z28" s="139"/>
      <c r="AA28" s="139"/>
      <c r="AB28" s="139"/>
      <c r="AC28" s="140"/>
      <c r="AD28" s="140"/>
      <c r="AE28" s="140"/>
      <c r="AF28" s="140"/>
      <c r="AG28" s="139"/>
      <c r="AH28" s="139"/>
      <c r="AI28" s="139"/>
      <c r="AJ28" s="139"/>
      <c r="AK28" s="139"/>
      <c r="AL28" s="139"/>
      <c r="AM28" s="133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22"/>
      <c r="BN28" s="22"/>
      <c r="BO28" s="22"/>
      <c r="BP28" s="22"/>
      <c r="BQ28" s="22"/>
      <c r="BR28" s="22"/>
      <c r="BS28" s="22"/>
      <c r="BT28" s="22"/>
      <c r="BU28" s="22"/>
    </row>
    <row r="29" ht="16.5" customHeight="1">
      <c r="A29" s="141"/>
      <c r="D29" s="142"/>
      <c r="E29" s="142"/>
      <c r="F29" s="142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4"/>
      <c r="X29" s="145"/>
      <c r="Y29" s="145"/>
      <c r="Z29" s="146"/>
      <c r="AA29" s="146"/>
      <c r="AB29" s="146"/>
      <c r="AC29" s="133"/>
      <c r="AD29" s="133"/>
      <c r="AE29" s="133"/>
      <c r="AF29" s="133"/>
      <c r="AG29" s="146"/>
      <c r="AH29" s="146"/>
      <c r="AI29" s="146"/>
      <c r="AJ29" s="146"/>
      <c r="AK29" s="146"/>
      <c r="AL29" s="146"/>
      <c r="AM29" s="133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22"/>
      <c r="BN29" s="22"/>
      <c r="BO29" s="22"/>
      <c r="BP29" s="22"/>
      <c r="BQ29" s="22"/>
      <c r="BR29" s="22"/>
      <c r="BS29" s="22"/>
      <c r="BT29" s="22"/>
      <c r="BU29" s="22"/>
    </row>
    <row r="30" ht="16.5" customHeight="1">
      <c r="A30" s="141"/>
      <c r="D30" s="142"/>
      <c r="E30" s="142"/>
      <c r="F30" s="142"/>
      <c r="G30" s="143"/>
      <c r="H30" s="143"/>
      <c r="I30" s="143"/>
      <c r="J30" s="143"/>
      <c r="K30" s="143"/>
      <c r="L30" s="143"/>
      <c r="N30" s="145"/>
      <c r="O30" s="147"/>
      <c r="P30" s="144"/>
      <c r="Q30" s="145"/>
      <c r="R30" s="145"/>
      <c r="S30" s="145"/>
      <c r="T30" s="145"/>
      <c r="U30" s="145"/>
      <c r="V30" s="145"/>
      <c r="W30" s="144"/>
      <c r="X30" s="145"/>
      <c r="Y30" s="145"/>
      <c r="Z30" s="146"/>
      <c r="AA30" s="146"/>
      <c r="AB30" s="146"/>
      <c r="AC30" s="133"/>
      <c r="AD30" s="133"/>
      <c r="AE30" s="133"/>
      <c r="AF30" s="133"/>
      <c r="AG30" s="146"/>
      <c r="AH30" s="146"/>
      <c r="AI30" s="146"/>
      <c r="AJ30" s="146"/>
      <c r="AK30" s="146"/>
      <c r="AL30" s="146"/>
      <c r="AM30" s="133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22"/>
      <c r="BN30" s="22"/>
      <c r="BO30" s="22"/>
      <c r="BP30" s="22"/>
      <c r="BQ30" s="22"/>
      <c r="BR30" s="22"/>
      <c r="BS30" s="22"/>
      <c r="BT30" s="22"/>
      <c r="BU30" s="22"/>
    </row>
    <row r="31" ht="16.5" customHeight="1">
      <c r="A31" s="141"/>
      <c r="D31" s="142"/>
      <c r="E31" s="142"/>
      <c r="F31" s="142"/>
      <c r="G31" s="148"/>
      <c r="H31" s="148"/>
      <c r="I31" s="148"/>
      <c r="J31" s="148"/>
      <c r="K31" s="148"/>
      <c r="L31" s="148"/>
      <c r="M31" s="145"/>
      <c r="N31" s="145"/>
      <c r="O31" s="147"/>
      <c r="P31" s="144"/>
      <c r="Q31" s="145"/>
      <c r="R31" s="145"/>
      <c r="S31" s="145"/>
      <c r="T31" s="145"/>
      <c r="U31" s="145"/>
      <c r="V31" s="145"/>
      <c r="W31" s="144"/>
      <c r="X31" s="145"/>
      <c r="Y31" s="145"/>
      <c r="Z31" s="146"/>
      <c r="AA31" s="146"/>
      <c r="AB31" s="146"/>
      <c r="AC31" s="133"/>
      <c r="AD31" s="133"/>
      <c r="AE31" s="133"/>
      <c r="AF31" s="133"/>
      <c r="AG31" s="146"/>
      <c r="AH31" s="146"/>
      <c r="AI31" s="146"/>
      <c r="AJ31" s="146"/>
      <c r="AK31" s="146"/>
      <c r="AL31" s="146"/>
      <c r="AM31" s="133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22"/>
      <c r="BN31" s="22"/>
      <c r="BO31" s="22"/>
      <c r="BP31" s="22"/>
      <c r="BQ31" s="22"/>
      <c r="BR31" s="22"/>
      <c r="BS31" s="22"/>
      <c r="BT31" s="22"/>
      <c r="BU31" s="22"/>
    </row>
    <row r="32" ht="24.75" customHeight="1">
      <c r="A32" s="149"/>
      <c r="B32" s="150"/>
      <c r="C32" s="150"/>
      <c r="D32" s="151"/>
      <c r="E32" s="151"/>
      <c r="F32" s="151"/>
      <c r="G32" s="152"/>
      <c r="H32" s="152"/>
      <c r="I32" s="152"/>
      <c r="J32" s="152"/>
      <c r="K32" s="152"/>
      <c r="L32" s="152"/>
      <c r="M32" s="152"/>
      <c r="N32" s="152"/>
      <c r="O32" s="153"/>
      <c r="P32" s="154"/>
      <c r="Q32" s="152"/>
      <c r="R32" s="152"/>
      <c r="S32" s="152"/>
      <c r="T32" s="152"/>
      <c r="U32" s="152"/>
      <c r="V32" s="152"/>
      <c r="W32" s="154"/>
      <c r="X32" s="152"/>
      <c r="Y32" s="152"/>
      <c r="Z32" s="155"/>
      <c r="AA32" s="155"/>
      <c r="AB32" s="155"/>
      <c r="AC32" s="156"/>
      <c r="AD32" s="156"/>
      <c r="AE32" s="156"/>
      <c r="AF32" s="156"/>
      <c r="AG32" s="155"/>
      <c r="AH32" s="155"/>
      <c r="AI32" s="155"/>
      <c r="AJ32" s="155"/>
      <c r="AK32" s="155"/>
      <c r="AL32" s="155"/>
      <c r="AM32" s="133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22"/>
      <c r="BN32" s="22"/>
      <c r="BO32" s="22"/>
      <c r="BP32" s="22"/>
      <c r="BQ32" s="22"/>
      <c r="BR32" s="22"/>
      <c r="BS32" s="22"/>
      <c r="BT32" s="22"/>
      <c r="BU32" s="22"/>
    </row>
    <row r="33" ht="24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46"/>
      <c r="AA33" s="146"/>
      <c r="AB33" s="146"/>
      <c r="AC33" s="133"/>
      <c r="AD33" s="133"/>
      <c r="AE33" s="133"/>
      <c r="AF33" s="133"/>
      <c r="AG33" s="146"/>
      <c r="AH33" s="146"/>
      <c r="AI33" s="146"/>
      <c r="AJ33" s="146"/>
      <c r="AK33" s="146"/>
      <c r="AL33" s="146"/>
      <c r="AM33" s="133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133"/>
      <c r="BA33" s="133"/>
      <c r="BB33" s="133"/>
      <c r="BC33" s="133"/>
      <c r="BD33" s="133"/>
      <c r="BE33" s="133"/>
      <c r="BF33" s="133"/>
      <c r="BG33" s="133"/>
      <c r="BH33" s="133"/>
      <c r="BI33" s="133"/>
      <c r="BJ33" s="133"/>
      <c r="BK33" s="133"/>
      <c r="BL33" s="22"/>
      <c r="BM33" s="22"/>
      <c r="BN33" s="22"/>
      <c r="BO33" s="22"/>
      <c r="BP33" s="22"/>
      <c r="BQ33" s="22"/>
      <c r="BR33" s="22"/>
      <c r="BS33" s="22"/>
      <c r="BT33" s="22"/>
      <c r="BU33" s="22"/>
    </row>
    <row r="34" ht="63.75" customHeight="1">
      <c r="A34" s="1"/>
      <c r="B34" s="2" t="s">
        <v>0</v>
      </c>
      <c r="C34" s="157" t="s">
        <v>1</v>
      </c>
      <c r="D34" s="158">
        <f t="shared" ref="D34:AL34" si="44">D1</f>
        <v>46201</v>
      </c>
      <c r="E34" s="158">
        <f t="shared" si="44"/>
        <v>46202</v>
      </c>
      <c r="F34" s="158">
        <f t="shared" si="44"/>
        <v>46203</v>
      </c>
      <c r="G34" s="158">
        <f t="shared" si="44"/>
        <v>46204</v>
      </c>
      <c r="H34" s="158">
        <f t="shared" si="44"/>
        <v>46205</v>
      </c>
      <c r="I34" s="158">
        <f t="shared" si="44"/>
        <v>46206</v>
      </c>
      <c r="J34" s="158">
        <f t="shared" si="44"/>
        <v>46207</v>
      </c>
      <c r="K34" s="158">
        <f t="shared" si="44"/>
        <v>46208</v>
      </c>
      <c r="L34" s="158">
        <f t="shared" si="44"/>
        <v>46209</v>
      </c>
      <c r="M34" s="158">
        <f t="shared" si="44"/>
        <v>46210</v>
      </c>
      <c r="N34" s="158">
        <f t="shared" si="44"/>
        <v>46211</v>
      </c>
      <c r="O34" s="158">
        <f t="shared" si="44"/>
        <v>46212</v>
      </c>
      <c r="P34" s="158">
        <f t="shared" si="44"/>
        <v>46213</v>
      </c>
      <c r="Q34" s="158">
        <f t="shared" si="44"/>
        <v>46214</v>
      </c>
      <c r="R34" s="158">
        <f t="shared" si="44"/>
        <v>46215</v>
      </c>
      <c r="S34" s="158">
        <f t="shared" si="44"/>
        <v>46216</v>
      </c>
      <c r="T34" s="158">
        <f t="shared" si="44"/>
        <v>46217</v>
      </c>
      <c r="U34" s="158">
        <f t="shared" si="44"/>
        <v>46218</v>
      </c>
      <c r="V34" s="158">
        <f t="shared" si="44"/>
        <v>46219</v>
      </c>
      <c r="W34" s="158">
        <f t="shared" si="44"/>
        <v>46220</v>
      </c>
      <c r="X34" s="158">
        <f t="shared" si="44"/>
        <v>46221</v>
      </c>
      <c r="Y34" s="158">
        <f t="shared" si="44"/>
        <v>46222</v>
      </c>
      <c r="Z34" s="158">
        <f t="shared" si="44"/>
        <v>46223</v>
      </c>
      <c r="AA34" s="158">
        <f t="shared" si="44"/>
        <v>46224</v>
      </c>
      <c r="AB34" s="158">
        <f t="shared" si="44"/>
        <v>46225</v>
      </c>
      <c r="AC34" s="158">
        <f t="shared" si="44"/>
        <v>46226</v>
      </c>
      <c r="AD34" s="158">
        <f t="shared" si="44"/>
        <v>46227</v>
      </c>
      <c r="AE34" s="158">
        <f t="shared" si="44"/>
        <v>46228</v>
      </c>
      <c r="AF34" s="158">
        <f t="shared" si="44"/>
        <v>46229</v>
      </c>
      <c r="AG34" s="158">
        <f t="shared" si="44"/>
        <v>46230</v>
      </c>
      <c r="AH34" s="158">
        <f t="shared" si="44"/>
        <v>46231</v>
      </c>
      <c r="AI34" s="158">
        <f t="shared" si="44"/>
        <v>46232</v>
      </c>
      <c r="AJ34" s="158">
        <f t="shared" si="44"/>
        <v>46233</v>
      </c>
      <c r="AK34" s="158">
        <f t="shared" si="44"/>
        <v>46234</v>
      </c>
      <c r="AL34" s="158">
        <f t="shared" si="44"/>
        <v>46235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</row>
    <row r="35" ht="43.5" customHeight="1">
      <c r="A35" s="159"/>
      <c r="B35" s="160"/>
      <c r="C35" s="161"/>
      <c r="D35" s="162" t="str">
        <f t="shared" ref="D35:AL35" si="45">D2</f>
        <v>a</v>
      </c>
      <c r="E35" s="162" t="str">
        <f t="shared" si="45"/>
        <v>a</v>
      </c>
      <c r="F35" s="162" t="str">
        <f t="shared" si="45"/>
        <v>a</v>
      </c>
      <c r="G35" s="162" t="str">
        <f t="shared" si="45"/>
        <v>a</v>
      </c>
      <c r="H35" s="162" t="str">
        <f t="shared" si="45"/>
        <v>a</v>
      </c>
      <c r="I35" s="162" t="str">
        <f t="shared" si="45"/>
        <v>a</v>
      </c>
      <c r="J35" s="162" t="str">
        <f t="shared" si="45"/>
        <v>a</v>
      </c>
      <c r="K35" s="162" t="str">
        <f t="shared" si="45"/>
        <v>a</v>
      </c>
      <c r="L35" s="162" t="str">
        <f t="shared" si="45"/>
        <v>a</v>
      </c>
      <c r="M35" s="162" t="str">
        <f t="shared" si="45"/>
        <v>a</v>
      </c>
      <c r="N35" s="162" t="str">
        <f t="shared" si="45"/>
        <v>a</v>
      </c>
      <c r="O35" s="162" t="str">
        <f t="shared" si="45"/>
        <v>a</v>
      </c>
      <c r="P35" s="162" t="str">
        <f t="shared" si="45"/>
        <v>a</v>
      </c>
      <c r="Q35" s="162" t="str">
        <f t="shared" si="45"/>
        <v>a</v>
      </c>
      <c r="R35" s="162" t="str">
        <f t="shared" si="45"/>
        <v>a</v>
      </c>
      <c r="S35" s="162" t="str">
        <f t="shared" si="45"/>
        <v>a</v>
      </c>
      <c r="T35" s="162" t="str">
        <f t="shared" si="45"/>
        <v>a</v>
      </c>
      <c r="U35" s="162" t="str">
        <f t="shared" si="45"/>
        <v>a</v>
      </c>
      <c r="V35" s="162" t="str">
        <f t="shared" si="45"/>
        <v>a</v>
      </c>
      <c r="W35" s="162" t="str">
        <f t="shared" si="45"/>
        <v>a</v>
      </c>
      <c r="X35" s="162" t="str">
        <f t="shared" si="45"/>
        <v>a</v>
      </c>
      <c r="Y35" s="162" t="str">
        <f t="shared" si="45"/>
        <v>a</v>
      </c>
      <c r="Z35" s="162" t="str">
        <f t="shared" si="45"/>
        <v>a</v>
      </c>
      <c r="AA35" s="162" t="str">
        <f t="shared" si="45"/>
        <v>a</v>
      </c>
      <c r="AB35" s="162" t="str">
        <f t="shared" si="45"/>
        <v>a</v>
      </c>
      <c r="AC35" s="162" t="str">
        <f t="shared" si="45"/>
        <v>a</v>
      </c>
      <c r="AD35" s="162" t="str">
        <f t="shared" si="45"/>
        <v>a</v>
      </c>
      <c r="AE35" s="162" t="str">
        <f t="shared" si="45"/>
        <v>a</v>
      </c>
      <c r="AF35" s="162" t="str">
        <f t="shared" si="45"/>
        <v>a</v>
      </c>
      <c r="AG35" s="162" t="str">
        <f t="shared" si="45"/>
        <v>a</v>
      </c>
      <c r="AH35" s="162" t="str">
        <f t="shared" si="45"/>
        <v>a</v>
      </c>
      <c r="AI35" s="162" t="str">
        <f t="shared" si="45"/>
        <v>a</v>
      </c>
      <c r="AJ35" s="162" t="str">
        <f t="shared" si="45"/>
        <v>a</v>
      </c>
      <c r="AK35" s="162" t="str">
        <f t="shared" si="45"/>
        <v>a</v>
      </c>
      <c r="AL35" s="162" t="str">
        <f t="shared" si="45"/>
        <v>a</v>
      </c>
      <c r="AM35" s="163" t="s">
        <v>108</v>
      </c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164"/>
      <c r="BU35" s="22"/>
    </row>
    <row r="36" ht="32.25" customHeight="1">
      <c r="A36" s="165"/>
      <c r="B36" s="165"/>
      <c r="C36" s="166" t="s">
        <v>109</v>
      </c>
      <c r="D36" s="167">
        <f t="shared" ref="D36:P36" si="46">COUNTIF(D$3:D$26,"41早")</f>
        <v>0</v>
      </c>
      <c r="E36" s="167">
        <f t="shared" si="46"/>
        <v>0</v>
      </c>
      <c r="F36" s="167">
        <f t="shared" si="46"/>
        <v>0</v>
      </c>
      <c r="G36" s="167">
        <f t="shared" si="46"/>
        <v>0</v>
      </c>
      <c r="H36" s="167">
        <f t="shared" si="46"/>
        <v>0</v>
      </c>
      <c r="I36" s="167">
        <f t="shared" si="46"/>
        <v>0</v>
      </c>
      <c r="J36" s="167">
        <f t="shared" si="46"/>
        <v>0</v>
      </c>
      <c r="K36" s="167">
        <f t="shared" si="46"/>
        <v>0</v>
      </c>
      <c r="L36" s="167">
        <f t="shared" si="46"/>
        <v>0</v>
      </c>
      <c r="M36" s="167">
        <f t="shared" si="46"/>
        <v>0</v>
      </c>
      <c r="N36" s="167">
        <f t="shared" si="46"/>
        <v>0</v>
      </c>
      <c r="O36" s="167">
        <f t="shared" si="46"/>
        <v>0</v>
      </c>
      <c r="P36" s="167">
        <f t="shared" si="46"/>
        <v>0</v>
      </c>
      <c r="Q36" s="167">
        <f>COUNTIF(Q$3:Q$26,"41早*")</f>
        <v>0</v>
      </c>
      <c r="R36" s="167">
        <f t="shared" ref="R36:AL36" si="47">COUNTIF(R$3:R$26,"41早")</f>
        <v>0</v>
      </c>
      <c r="S36" s="167">
        <f t="shared" si="47"/>
        <v>0</v>
      </c>
      <c r="T36" s="167">
        <f t="shared" si="47"/>
        <v>0</v>
      </c>
      <c r="U36" s="167">
        <f t="shared" si="47"/>
        <v>0</v>
      </c>
      <c r="V36" s="167">
        <f t="shared" si="47"/>
        <v>0</v>
      </c>
      <c r="W36" s="167">
        <f t="shared" si="47"/>
        <v>0</v>
      </c>
      <c r="X36" s="167">
        <f t="shared" si="47"/>
        <v>0</v>
      </c>
      <c r="Y36" s="167">
        <f t="shared" si="47"/>
        <v>0</v>
      </c>
      <c r="Z36" s="167">
        <f t="shared" si="47"/>
        <v>0</v>
      </c>
      <c r="AA36" s="167">
        <f t="shared" si="47"/>
        <v>0</v>
      </c>
      <c r="AB36" s="167">
        <f t="shared" si="47"/>
        <v>0</v>
      </c>
      <c r="AC36" s="167">
        <f t="shared" si="47"/>
        <v>0</v>
      </c>
      <c r="AD36" s="167">
        <f t="shared" si="47"/>
        <v>0</v>
      </c>
      <c r="AE36" s="167">
        <f t="shared" si="47"/>
        <v>0</v>
      </c>
      <c r="AF36" s="167">
        <f t="shared" si="47"/>
        <v>0</v>
      </c>
      <c r="AG36" s="167">
        <f t="shared" si="47"/>
        <v>0</v>
      </c>
      <c r="AH36" s="167">
        <f t="shared" si="47"/>
        <v>0</v>
      </c>
      <c r="AI36" s="167">
        <f t="shared" si="47"/>
        <v>0</v>
      </c>
      <c r="AJ36" s="167">
        <f t="shared" si="47"/>
        <v>0</v>
      </c>
      <c r="AK36" s="167">
        <f t="shared" si="47"/>
        <v>0</v>
      </c>
      <c r="AL36" s="167">
        <f t="shared" si="47"/>
        <v>0</v>
      </c>
      <c r="AM36" s="143"/>
      <c r="AN36" s="164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5"/>
      <c r="BA36" s="165"/>
      <c r="BB36" s="165"/>
      <c r="BC36" s="165"/>
      <c r="BD36" s="165"/>
      <c r="BE36" s="165"/>
      <c r="BF36" s="165"/>
      <c r="BG36" s="165"/>
      <c r="BH36" s="165"/>
      <c r="BI36" s="165"/>
      <c r="BJ36" s="165"/>
      <c r="BK36" s="165"/>
      <c r="BL36" s="164"/>
      <c r="BM36" s="164"/>
      <c r="BN36" s="164"/>
      <c r="BO36" s="164"/>
      <c r="BP36" s="164"/>
      <c r="BQ36" s="164"/>
      <c r="BR36" s="164"/>
      <c r="BS36" s="164"/>
      <c r="BT36" s="164"/>
      <c r="BU36" s="164"/>
    </row>
    <row r="37" ht="32.25" customHeight="1">
      <c r="A37" s="165"/>
      <c r="B37" s="165"/>
      <c r="C37" s="166" t="s">
        <v>110</v>
      </c>
      <c r="D37" s="57">
        <f t="shared" ref="D37:K37" si="48">COUNTIF(D$3:D$26,"41午")</f>
        <v>0</v>
      </c>
      <c r="E37" s="57">
        <f t="shared" si="48"/>
        <v>0</v>
      </c>
      <c r="F37" s="57">
        <f t="shared" si="48"/>
        <v>0</v>
      </c>
      <c r="G37" s="57">
        <f t="shared" si="48"/>
        <v>0</v>
      </c>
      <c r="H37" s="57">
        <f t="shared" si="48"/>
        <v>0</v>
      </c>
      <c r="I37" s="57">
        <f t="shared" si="48"/>
        <v>0</v>
      </c>
      <c r="J37" s="57">
        <f t="shared" si="48"/>
        <v>0</v>
      </c>
      <c r="K37" s="57">
        <f t="shared" si="48"/>
        <v>0</v>
      </c>
      <c r="L37" s="57">
        <f>COUNTIF(L$3:L$26,"41午*")</f>
        <v>0</v>
      </c>
      <c r="M37" s="57">
        <f t="shared" ref="M37:AL37" si="49">COUNTIF(M$3:M$26,"41午")</f>
        <v>0</v>
      </c>
      <c r="N37" s="57">
        <f t="shared" si="49"/>
        <v>0</v>
      </c>
      <c r="O37" s="57">
        <f t="shared" si="49"/>
        <v>0</v>
      </c>
      <c r="P37" s="57">
        <f t="shared" si="49"/>
        <v>0</v>
      </c>
      <c r="Q37" s="57">
        <f t="shared" si="49"/>
        <v>0</v>
      </c>
      <c r="R37" s="57">
        <f t="shared" si="49"/>
        <v>0</v>
      </c>
      <c r="S37" s="57">
        <f t="shared" si="49"/>
        <v>0</v>
      </c>
      <c r="T37" s="57">
        <f t="shared" si="49"/>
        <v>0</v>
      </c>
      <c r="U37" s="57">
        <f t="shared" si="49"/>
        <v>0</v>
      </c>
      <c r="V37" s="57">
        <f t="shared" si="49"/>
        <v>0</v>
      </c>
      <c r="W37" s="57">
        <f t="shared" si="49"/>
        <v>0</v>
      </c>
      <c r="X37" s="57">
        <f t="shared" si="49"/>
        <v>0</v>
      </c>
      <c r="Y37" s="57">
        <f t="shared" si="49"/>
        <v>0</v>
      </c>
      <c r="Z37" s="57">
        <f t="shared" si="49"/>
        <v>0</v>
      </c>
      <c r="AA37" s="57">
        <f t="shared" si="49"/>
        <v>0</v>
      </c>
      <c r="AB37" s="57">
        <f t="shared" si="49"/>
        <v>0</v>
      </c>
      <c r="AC37" s="57">
        <f t="shared" si="49"/>
        <v>0</v>
      </c>
      <c r="AD37" s="57">
        <f t="shared" si="49"/>
        <v>0</v>
      </c>
      <c r="AE37" s="57">
        <f t="shared" si="49"/>
        <v>0</v>
      </c>
      <c r="AF37" s="57">
        <f t="shared" si="49"/>
        <v>0</v>
      </c>
      <c r="AG37" s="57">
        <f t="shared" si="49"/>
        <v>0</v>
      </c>
      <c r="AH37" s="57">
        <f t="shared" si="49"/>
        <v>0</v>
      </c>
      <c r="AI37" s="57">
        <f t="shared" si="49"/>
        <v>0</v>
      </c>
      <c r="AJ37" s="57">
        <f t="shared" si="49"/>
        <v>0</v>
      </c>
      <c r="AK37" s="57">
        <f t="shared" si="49"/>
        <v>0</v>
      </c>
      <c r="AL37" s="57">
        <f t="shared" si="49"/>
        <v>0</v>
      </c>
      <c r="AM37" s="143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4"/>
      <c r="BM37" s="164"/>
      <c r="BN37" s="164"/>
      <c r="BO37" s="164"/>
      <c r="BP37" s="164"/>
      <c r="BQ37" s="164"/>
      <c r="BR37" s="164"/>
      <c r="BS37" s="164"/>
      <c r="BT37" s="164"/>
      <c r="BU37" s="164"/>
    </row>
    <row r="38" ht="32.25" customHeight="1">
      <c r="A38" s="165"/>
      <c r="B38" s="165"/>
      <c r="C38" s="168" t="s">
        <v>111</v>
      </c>
      <c r="D38" s="169">
        <f t="shared" ref="D38:AL38" si="50">COUNTIF(D$3:D$26,"41夜*")</f>
        <v>0</v>
      </c>
      <c r="E38" s="169">
        <f t="shared" si="50"/>
        <v>0</v>
      </c>
      <c r="F38" s="169">
        <f t="shared" si="50"/>
        <v>0</v>
      </c>
      <c r="G38" s="169">
        <f t="shared" si="50"/>
        <v>0</v>
      </c>
      <c r="H38" s="169">
        <f t="shared" si="50"/>
        <v>0</v>
      </c>
      <c r="I38" s="169">
        <f t="shared" si="50"/>
        <v>0</v>
      </c>
      <c r="J38" s="169">
        <f t="shared" si="50"/>
        <v>0</v>
      </c>
      <c r="K38" s="169">
        <f t="shared" si="50"/>
        <v>0</v>
      </c>
      <c r="L38" s="169">
        <f t="shared" si="50"/>
        <v>0</v>
      </c>
      <c r="M38" s="169">
        <f t="shared" si="50"/>
        <v>0</v>
      </c>
      <c r="N38" s="169">
        <f t="shared" si="50"/>
        <v>0</v>
      </c>
      <c r="O38" s="169">
        <f t="shared" si="50"/>
        <v>0</v>
      </c>
      <c r="P38" s="169">
        <f t="shared" si="50"/>
        <v>0</v>
      </c>
      <c r="Q38" s="169">
        <f t="shared" si="50"/>
        <v>0</v>
      </c>
      <c r="R38" s="169">
        <f t="shared" si="50"/>
        <v>0</v>
      </c>
      <c r="S38" s="169">
        <f t="shared" si="50"/>
        <v>0</v>
      </c>
      <c r="T38" s="169">
        <f t="shared" si="50"/>
        <v>0</v>
      </c>
      <c r="U38" s="169">
        <f t="shared" si="50"/>
        <v>0</v>
      </c>
      <c r="V38" s="169">
        <f t="shared" si="50"/>
        <v>0</v>
      </c>
      <c r="W38" s="169">
        <f t="shared" si="50"/>
        <v>0</v>
      </c>
      <c r="X38" s="169">
        <f t="shared" si="50"/>
        <v>0</v>
      </c>
      <c r="Y38" s="169">
        <f t="shared" si="50"/>
        <v>0</v>
      </c>
      <c r="Z38" s="169">
        <f t="shared" si="50"/>
        <v>0</v>
      </c>
      <c r="AA38" s="169">
        <f t="shared" si="50"/>
        <v>0</v>
      </c>
      <c r="AB38" s="169">
        <f t="shared" si="50"/>
        <v>0</v>
      </c>
      <c r="AC38" s="169">
        <f t="shared" si="50"/>
        <v>0</v>
      </c>
      <c r="AD38" s="169">
        <f t="shared" si="50"/>
        <v>0</v>
      </c>
      <c r="AE38" s="169">
        <f t="shared" si="50"/>
        <v>0</v>
      </c>
      <c r="AF38" s="169">
        <f t="shared" si="50"/>
        <v>0</v>
      </c>
      <c r="AG38" s="169">
        <f t="shared" si="50"/>
        <v>0</v>
      </c>
      <c r="AH38" s="169">
        <f t="shared" si="50"/>
        <v>0</v>
      </c>
      <c r="AI38" s="169">
        <f t="shared" si="50"/>
        <v>0</v>
      </c>
      <c r="AJ38" s="169">
        <f t="shared" si="50"/>
        <v>0</v>
      </c>
      <c r="AK38" s="169">
        <f t="shared" si="50"/>
        <v>0</v>
      </c>
      <c r="AL38" s="169">
        <f t="shared" si="50"/>
        <v>0</v>
      </c>
      <c r="AM38" s="143"/>
      <c r="AN38" s="164"/>
      <c r="AO38" s="164"/>
      <c r="AP38" s="164"/>
      <c r="AQ38" s="164"/>
      <c r="AR38" s="164"/>
      <c r="AS38" s="164"/>
      <c r="AT38" s="164"/>
      <c r="AU38" s="164"/>
      <c r="AV38" s="164"/>
      <c r="AW38" s="164"/>
      <c r="AX38" s="164"/>
      <c r="AY38" s="164"/>
      <c r="AZ38" s="165"/>
      <c r="BA38" s="165"/>
      <c r="BB38" s="165"/>
      <c r="BC38" s="165"/>
      <c r="BD38" s="165"/>
      <c r="BE38" s="165"/>
      <c r="BF38" s="165"/>
      <c r="BG38" s="165"/>
      <c r="BH38" s="165"/>
      <c r="BI38" s="165"/>
      <c r="BJ38" s="165"/>
      <c r="BK38" s="165"/>
      <c r="BL38" s="164"/>
      <c r="BM38" s="164"/>
      <c r="BN38" s="164"/>
      <c r="BO38" s="164"/>
      <c r="BP38" s="164"/>
      <c r="BQ38" s="164"/>
      <c r="BR38" s="164"/>
      <c r="BS38" s="164"/>
      <c r="BT38" s="164"/>
      <c r="BU38" s="164"/>
    </row>
    <row r="39" ht="32.25" customHeight="1">
      <c r="A39" s="165"/>
      <c r="B39" s="166"/>
      <c r="C39" s="166" t="s">
        <v>112</v>
      </c>
      <c r="D39" s="167">
        <f t="shared" ref="D39:AL39" si="51">COUNTIF(D$3:D$26,"01早*")</f>
        <v>8</v>
      </c>
      <c r="E39" s="167">
        <f t="shared" si="51"/>
        <v>7</v>
      </c>
      <c r="F39" s="167">
        <f t="shared" si="51"/>
        <v>6</v>
      </c>
      <c r="G39" s="167">
        <f t="shared" si="51"/>
        <v>6</v>
      </c>
      <c r="H39" s="167">
        <f t="shared" si="51"/>
        <v>6</v>
      </c>
      <c r="I39" s="167">
        <f t="shared" si="51"/>
        <v>7</v>
      </c>
      <c r="J39" s="167">
        <f t="shared" si="51"/>
        <v>6</v>
      </c>
      <c r="K39" s="167">
        <f t="shared" si="51"/>
        <v>6</v>
      </c>
      <c r="L39" s="167">
        <f t="shared" si="51"/>
        <v>6</v>
      </c>
      <c r="M39" s="167">
        <f t="shared" si="51"/>
        <v>6</v>
      </c>
      <c r="N39" s="167">
        <f t="shared" si="51"/>
        <v>6</v>
      </c>
      <c r="O39" s="167">
        <f t="shared" si="51"/>
        <v>6</v>
      </c>
      <c r="P39" s="167">
        <f t="shared" si="51"/>
        <v>6</v>
      </c>
      <c r="Q39" s="167">
        <f t="shared" si="51"/>
        <v>6</v>
      </c>
      <c r="R39" s="167">
        <f t="shared" si="51"/>
        <v>6</v>
      </c>
      <c r="S39" s="167">
        <f t="shared" si="51"/>
        <v>6</v>
      </c>
      <c r="T39" s="167">
        <f t="shared" si="51"/>
        <v>6</v>
      </c>
      <c r="U39" s="167">
        <f t="shared" si="51"/>
        <v>6</v>
      </c>
      <c r="V39" s="167">
        <f t="shared" si="51"/>
        <v>6</v>
      </c>
      <c r="W39" s="167">
        <f t="shared" si="51"/>
        <v>6</v>
      </c>
      <c r="X39" s="167">
        <f t="shared" si="51"/>
        <v>6</v>
      </c>
      <c r="Y39" s="167">
        <f t="shared" si="51"/>
        <v>6</v>
      </c>
      <c r="Z39" s="167">
        <f t="shared" si="51"/>
        <v>6</v>
      </c>
      <c r="AA39" s="167">
        <f t="shared" si="51"/>
        <v>6</v>
      </c>
      <c r="AB39" s="167">
        <f t="shared" si="51"/>
        <v>6</v>
      </c>
      <c r="AC39" s="167">
        <f t="shared" si="51"/>
        <v>6</v>
      </c>
      <c r="AD39" s="167">
        <f t="shared" si="51"/>
        <v>6</v>
      </c>
      <c r="AE39" s="167">
        <f t="shared" si="51"/>
        <v>6</v>
      </c>
      <c r="AF39" s="167">
        <f t="shared" si="51"/>
        <v>5</v>
      </c>
      <c r="AG39" s="167">
        <f t="shared" si="51"/>
        <v>6</v>
      </c>
      <c r="AH39" s="167">
        <f t="shared" si="51"/>
        <v>6</v>
      </c>
      <c r="AI39" s="167">
        <f t="shared" si="51"/>
        <v>6</v>
      </c>
      <c r="AJ39" s="167">
        <f t="shared" si="51"/>
        <v>6</v>
      </c>
      <c r="AK39" s="167">
        <f t="shared" si="51"/>
        <v>6</v>
      </c>
      <c r="AL39" s="167">
        <f t="shared" si="51"/>
        <v>6</v>
      </c>
      <c r="AM39" s="143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5"/>
      <c r="BA39" s="165"/>
      <c r="BB39" s="165"/>
      <c r="BC39" s="165"/>
      <c r="BD39" s="165"/>
      <c r="BE39" s="165"/>
      <c r="BF39" s="165"/>
      <c r="BG39" s="165"/>
      <c r="BH39" s="165"/>
      <c r="BI39" s="165"/>
      <c r="BJ39" s="165"/>
      <c r="BK39" s="165"/>
      <c r="BL39" s="164"/>
      <c r="BM39" s="164"/>
      <c r="BN39" s="164"/>
      <c r="BO39" s="164"/>
      <c r="BP39" s="164"/>
      <c r="BQ39" s="164"/>
      <c r="BR39" s="164"/>
      <c r="BS39" s="164"/>
      <c r="BT39" s="164"/>
      <c r="BU39" s="164"/>
    </row>
    <row r="40" ht="32.25" customHeight="1">
      <c r="A40" s="165"/>
      <c r="C40" s="166" t="s">
        <v>113</v>
      </c>
      <c r="D40" s="57">
        <f t="shared" ref="D40:AL40" si="52">COUNTIF(D$3:D$26,"01中A*")</f>
        <v>1</v>
      </c>
      <c r="E40" s="57">
        <f t="shared" si="52"/>
        <v>1</v>
      </c>
      <c r="F40" s="57">
        <f t="shared" si="52"/>
        <v>1</v>
      </c>
      <c r="G40" s="57">
        <f t="shared" si="52"/>
        <v>1</v>
      </c>
      <c r="H40" s="57">
        <f t="shared" si="52"/>
        <v>1</v>
      </c>
      <c r="I40" s="57">
        <f t="shared" si="52"/>
        <v>1</v>
      </c>
      <c r="J40" s="57">
        <f t="shared" si="52"/>
        <v>0</v>
      </c>
      <c r="K40" s="57">
        <f t="shared" si="52"/>
        <v>0</v>
      </c>
      <c r="L40" s="57">
        <f t="shared" si="52"/>
        <v>0</v>
      </c>
      <c r="M40" s="57">
        <f t="shared" si="52"/>
        <v>0</v>
      </c>
      <c r="N40" s="57">
        <f t="shared" si="52"/>
        <v>0</v>
      </c>
      <c r="O40" s="57">
        <f t="shared" si="52"/>
        <v>1</v>
      </c>
      <c r="P40" s="57">
        <f t="shared" si="52"/>
        <v>0</v>
      </c>
      <c r="Q40" s="57">
        <f t="shared" si="52"/>
        <v>0</v>
      </c>
      <c r="R40" s="57">
        <f t="shared" si="52"/>
        <v>0</v>
      </c>
      <c r="S40" s="57">
        <f t="shared" si="52"/>
        <v>1</v>
      </c>
      <c r="T40" s="57">
        <f t="shared" si="52"/>
        <v>1</v>
      </c>
      <c r="U40" s="57">
        <f t="shared" si="52"/>
        <v>1</v>
      </c>
      <c r="V40" s="57">
        <f t="shared" si="52"/>
        <v>1</v>
      </c>
      <c r="W40" s="57">
        <f t="shared" si="52"/>
        <v>1</v>
      </c>
      <c r="X40" s="57">
        <f t="shared" si="52"/>
        <v>1</v>
      </c>
      <c r="Y40" s="57">
        <f t="shared" si="52"/>
        <v>1</v>
      </c>
      <c r="Z40" s="57">
        <f t="shared" si="52"/>
        <v>0</v>
      </c>
      <c r="AA40" s="57">
        <f t="shared" si="52"/>
        <v>1</v>
      </c>
      <c r="AB40" s="57">
        <f t="shared" si="52"/>
        <v>1</v>
      </c>
      <c r="AC40" s="57">
        <f t="shared" si="52"/>
        <v>1</v>
      </c>
      <c r="AD40" s="57">
        <f t="shared" si="52"/>
        <v>1</v>
      </c>
      <c r="AE40" s="57">
        <f t="shared" si="52"/>
        <v>0</v>
      </c>
      <c r="AF40" s="57">
        <f t="shared" si="52"/>
        <v>0</v>
      </c>
      <c r="AG40" s="57">
        <f t="shared" si="52"/>
        <v>1</v>
      </c>
      <c r="AH40" s="57">
        <f t="shared" si="52"/>
        <v>1</v>
      </c>
      <c r="AI40" s="57">
        <f t="shared" si="52"/>
        <v>1</v>
      </c>
      <c r="AJ40" s="57">
        <f t="shared" si="52"/>
        <v>1</v>
      </c>
      <c r="AK40" s="57">
        <f t="shared" si="52"/>
        <v>1</v>
      </c>
      <c r="AL40" s="57">
        <f t="shared" si="52"/>
        <v>1</v>
      </c>
      <c r="AM40" s="143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5"/>
      <c r="BA40" s="165"/>
      <c r="BB40" s="165"/>
      <c r="BC40" s="165"/>
      <c r="BD40" s="165"/>
      <c r="BE40" s="165"/>
      <c r="BF40" s="165"/>
      <c r="BG40" s="165"/>
      <c r="BH40" s="165"/>
      <c r="BI40" s="165"/>
      <c r="BJ40" s="165"/>
      <c r="BK40" s="165"/>
      <c r="BL40" s="164"/>
      <c r="BM40" s="164"/>
      <c r="BN40" s="164"/>
      <c r="BO40" s="164"/>
      <c r="BP40" s="164"/>
      <c r="BQ40" s="164"/>
      <c r="BR40" s="164"/>
      <c r="BS40" s="164"/>
      <c r="BT40" s="164"/>
      <c r="BU40" s="164"/>
    </row>
    <row r="41" ht="32.25" customHeight="1">
      <c r="A41" s="165"/>
      <c r="C41" s="166" t="s">
        <v>114</v>
      </c>
      <c r="D41" s="57">
        <f t="shared" ref="D41:AL41" si="53">COUNTIF(D$3:D$26,"01午*")</f>
        <v>7</v>
      </c>
      <c r="E41" s="57">
        <f t="shared" si="53"/>
        <v>7</v>
      </c>
      <c r="F41" s="57">
        <f t="shared" si="53"/>
        <v>7</v>
      </c>
      <c r="G41" s="57">
        <f t="shared" si="53"/>
        <v>6</v>
      </c>
      <c r="H41" s="57">
        <f t="shared" si="53"/>
        <v>8</v>
      </c>
      <c r="I41" s="57">
        <f t="shared" si="53"/>
        <v>7</v>
      </c>
      <c r="J41" s="57">
        <f t="shared" si="53"/>
        <v>7</v>
      </c>
      <c r="K41" s="57">
        <f t="shared" si="53"/>
        <v>6</v>
      </c>
      <c r="L41" s="57">
        <f t="shared" si="53"/>
        <v>6</v>
      </c>
      <c r="M41" s="57">
        <f t="shared" si="53"/>
        <v>6</v>
      </c>
      <c r="N41" s="57">
        <f t="shared" si="53"/>
        <v>6</v>
      </c>
      <c r="O41" s="57">
        <f t="shared" si="53"/>
        <v>6</v>
      </c>
      <c r="P41" s="57">
        <f t="shared" si="53"/>
        <v>6</v>
      </c>
      <c r="Q41" s="57">
        <f t="shared" si="53"/>
        <v>6</v>
      </c>
      <c r="R41" s="57">
        <f t="shared" si="53"/>
        <v>6</v>
      </c>
      <c r="S41" s="57">
        <f t="shared" si="53"/>
        <v>6</v>
      </c>
      <c r="T41" s="57">
        <f t="shared" si="53"/>
        <v>6</v>
      </c>
      <c r="U41" s="57">
        <f t="shared" si="53"/>
        <v>6</v>
      </c>
      <c r="V41" s="57">
        <f t="shared" si="53"/>
        <v>6</v>
      </c>
      <c r="W41" s="57">
        <f t="shared" si="53"/>
        <v>6</v>
      </c>
      <c r="X41" s="57">
        <f t="shared" si="53"/>
        <v>6</v>
      </c>
      <c r="Y41" s="57">
        <f t="shared" si="53"/>
        <v>6</v>
      </c>
      <c r="Z41" s="57">
        <f t="shared" si="53"/>
        <v>6</v>
      </c>
      <c r="AA41" s="57">
        <f t="shared" si="53"/>
        <v>6</v>
      </c>
      <c r="AB41" s="57">
        <f t="shared" si="53"/>
        <v>6</v>
      </c>
      <c r="AC41" s="57">
        <f t="shared" si="53"/>
        <v>6</v>
      </c>
      <c r="AD41" s="57">
        <f t="shared" si="53"/>
        <v>6</v>
      </c>
      <c r="AE41" s="57">
        <f t="shared" si="53"/>
        <v>6</v>
      </c>
      <c r="AF41" s="57">
        <f t="shared" si="53"/>
        <v>5</v>
      </c>
      <c r="AG41" s="57">
        <f t="shared" si="53"/>
        <v>6</v>
      </c>
      <c r="AH41" s="57">
        <f t="shared" si="53"/>
        <v>6</v>
      </c>
      <c r="AI41" s="57">
        <f t="shared" si="53"/>
        <v>6</v>
      </c>
      <c r="AJ41" s="57">
        <f t="shared" si="53"/>
        <v>6</v>
      </c>
      <c r="AK41" s="57">
        <f t="shared" si="53"/>
        <v>6</v>
      </c>
      <c r="AL41" s="57">
        <f t="shared" si="53"/>
        <v>6</v>
      </c>
      <c r="AM41" s="143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5"/>
      <c r="BA41" s="165"/>
      <c r="BB41" s="165"/>
      <c r="BC41" s="165"/>
      <c r="BD41" s="165"/>
      <c r="BE41" s="165"/>
      <c r="BF41" s="165"/>
      <c r="BG41" s="165"/>
      <c r="BH41" s="165"/>
      <c r="BI41" s="165"/>
      <c r="BJ41" s="165"/>
      <c r="BK41" s="165"/>
      <c r="BL41" s="164"/>
      <c r="BM41" s="164"/>
      <c r="BN41" s="164"/>
      <c r="BO41" s="164"/>
      <c r="BP41" s="164"/>
      <c r="BQ41" s="164"/>
      <c r="BR41" s="164"/>
      <c r="BS41" s="164"/>
      <c r="BT41" s="164"/>
      <c r="BU41" s="164"/>
    </row>
    <row r="42" ht="32.25" customHeight="1">
      <c r="A42" s="165"/>
      <c r="C42" s="168" t="s">
        <v>115</v>
      </c>
      <c r="D42" s="169">
        <f t="shared" ref="D42:AL42" si="54">COUNTIF(D$3:D$26,"01夜*")</f>
        <v>2</v>
      </c>
      <c r="E42" s="169">
        <f t="shared" si="54"/>
        <v>2</v>
      </c>
      <c r="F42" s="169">
        <f t="shared" si="54"/>
        <v>2</v>
      </c>
      <c r="G42" s="169">
        <f t="shared" si="54"/>
        <v>2</v>
      </c>
      <c r="H42" s="169">
        <f t="shared" si="54"/>
        <v>2</v>
      </c>
      <c r="I42" s="169">
        <f t="shared" si="54"/>
        <v>2</v>
      </c>
      <c r="J42" s="169">
        <f t="shared" si="54"/>
        <v>2</v>
      </c>
      <c r="K42" s="169">
        <f t="shared" si="54"/>
        <v>2</v>
      </c>
      <c r="L42" s="169">
        <f t="shared" si="54"/>
        <v>2</v>
      </c>
      <c r="M42" s="169">
        <f t="shared" si="54"/>
        <v>2</v>
      </c>
      <c r="N42" s="169">
        <f t="shared" si="54"/>
        <v>2</v>
      </c>
      <c r="O42" s="169">
        <f t="shared" si="54"/>
        <v>2</v>
      </c>
      <c r="P42" s="169">
        <f t="shared" si="54"/>
        <v>2</v>
      </c>
      <c r="Q42" s="169">
        <f t="shared" si="54"/>
        <v>2</v>
      </c>
      <c r="R42" s="169">
        <f t="shared" si="54"/>
        <v>2</v>
      </c>
      <c r="S42" s="169">
        <f t="shared" si="54"/>
        <v>2</v>
      </c>
      <c r="T42" s="169">
        <f t="shared" si="54"/>
        <v>2</v>
      </c>
      <c r="U42" s="169">
        <f t="shared" si="54"/>
        <v>2</v>
      </c>
      <c r="V42" s="169">
        <f t="shared" si="54"/>
        <v>2</v>
      </c>
      <c r="W42" s="169">
        <f t="shared" si="54"/>
        <v>2</v>
      </c>
      <c r="X42" s="169">
        <f t="shared" si="54"/>
        <v>2</v>
      </c>
      <c r="Y42" s="169">
        <f t="shared" si="54"/>
        <v>2</v>
      </c>
      <c r="Z42" s="169">
        <f t="shared" si="54"/>
        <v>2</v>
      </c>
      <c r="AA42" s="169">
        <f t="shared" si="54"/>
        <v>2</v>
      </c>
      <c r="AB42" s="169">
        <f t="shared" si="54"/>
        <v>2</v>
      </c>
      <c r="AC42" s="169">
        <f t="shared" si="54"/>
        <v>2</v>
      </c>
      <c r="AD42" s="169">
        <f t="shared" si="54"/>
        <v>2</v>
      </c>
      <c r="AE42" s="169">
        <f t="shared" si="54"/>
        <v>2</v>
      </c>
      <c r="AF42" s="169">
        <f t="shared" si="54"/>
        <v>2</v>
      </c>
      <c r="AG42" s="169">
        <f t="shared" si="54"/>
        <v>2</v>
      </c>
      <c r="AH42" s="169">
        <f t="shared" si="54"/>
        <v>2</v>
      </c>
      <c r="AI42" s="169">
        <f t="shared" si="54"/>
        <v>2</v>
      </c>
      <c r="AJ42" s="169">
        <f t="shared" si="54"/>
        <v>2</v>
      </c>
      <c r="AK42" s="169">
        <f t="shared" si="54"/>
        <v>2</v>
      </c>
      <c r="AL42" s="169">
        <f t="shared" si="54"/>
        <v>2</v>
      </c>
      <c r="AM42" s="143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5"/>
      <c r="BA42" s="165"/>
      <c r="BB42" s="165"/>
      <c r="BC42" s="165"/>
      <c r="BD42" s="165"/>
      <c r="BE42" s="165"/>
      <c r="BF42" s="165"/>
      <c r="BG42" s="165"/>
      <c r="BH42" s="165"/>
      <c r="BI42" s="165"/>
      <c r="BJ42" s="165"/>
      <c r="BK42" s="165"/>
      <c r="BL42" s="164"/>
      <c r="BM42" s="164"/>
      <c r="BN42" s="164"/>
      <c r="BO42" s="164"/>
      <c r="BP42" s="164"/>
      <c r="BQ42" s="164"/>
      <c r="BR42" s="164"/>
      <c r="BS42" s="164"/>
      <c r="BT42" s="164"/>
      <c r="BU42" s="164"/>
    </row>
    <row r="43" ht="32.25" customHeight="1">
      <c r="A43" s="165"/>
      <c r="B43" s="165"/>
      <c r="C43" s="170" t="s">
        <v>116</v>
      </c>
      <c r="D43" s="167">
        <f t="shared" ref="D43:AL43" si="55">COUNTIF(D$3:D$26,"**02早*")</f>
        <v>0</v>
      </c>
      <c r="E43" s="167">
        <f t="shared" si="55"/>
        <v>0</v>
      </c>
      <c r="F43" s="167">
        <f t="shared" si="55"/>
        <v>0</v>
      </c>
      <c r="G43" s="167">
        <f t="shared" si="55"/>
        <v>0</v>
      </c>
      <c r="H43" s="167">
        <f t="shared" si="55"/>
        <v>0</v>
      </c>
      <c r="I43" s="167">
        <f t="shared" si="55"/>
        <v>0</v>
      </c>
      <c r="J43" s="167">
        <f t="shared" si="55"/>
        <v>0</v>
      </c>
      <c r="K43" s="167">
        <f t="shared" si="55"/>
        <v>0</v>
      </c>
      <c r="L43" s="167">
        <f t="shared" si="55"/>
        <v>0</v>
      </c>
      <c r="M43" s="167">
        <f t="shared" si="55"/>
        <v>0</v>
      </c>
      <c r="N43" s="167">
        <f t="shared" si="55"/>
        <v>0</v>
      </c>
      <c r="O43" s="167">
        <f t="shared" si="55"/>
        <v>0</v>
      </c>
      <c r="P43" s="167">
        <f t="shared" si="55"/>
        <v>0</v>
      </c>
      <c r="Q43" s="167">
        <f t="shared" si="55"/>
        <v>0</v>
      </c>
      <c r="R43" s="167">
        <f t="shared" si="55"/>
        <v>0</v>
      </c>
      <c r="S43" s="167">
        <f t="shared" si="55"/>
        <v>0</v>
      </c>
      <c r="T43" s="167">
        <f t="shared" si="55"/>
        <v>0</v>
      </c>
      <c r="U43" s="167">
        <f t="shared" si="55"/>
        <v>0</v>
      </c>
      <c r="V43" s="167">
        <f t="shared" si="55"/>
        <v>0</v>
      </c>
      <c r="W43" s="167">
        <f t="shared" si="55"/>
        <v>0</v>
      </c>
      <c r="X43" s="167">
        <f t="shared" si="55"/>
        <v>0</v>
      </c>
      <c r="Y43" s="167">
        <f t="shared" si="55"/>
        <v>0</v>
      </c>
      <c r="Z43" s="167">
        <f t="shared" si="55"/>
        <v>0</v>
      </c>
      <c r="AA43" s="167">
        <f t="shared" si="55"/>
        <v>0</v>
      </c>
      <c r="AB43" s="167">
        <f t="shared" si="55"/>
        <v>0</v>
      </c>
      <c r="AC43" s="167">
        <f t="shared" si="55"/>
        <v>0</v>
      </c>
      <c r="AD43" s="167">
        <f t="shared" si="55"/>
        <v>0</v>
      </c>
      <c r="AE43" s="167">
        <f t="shared" si="55"/>
        <v>0</v>
      </c>
      <c r="AF43" s="167">
        <f t="shared" si="55"/>
        <v>0</v>
      </c>
      <c r="AG43" s="167">
        <f t="shared" si="55"/>
        <v>0</v>
      </c>
      <c r="AH43" s="167">
        <f t="shared" si="55"/>
        <v>0</v>
      </c>
      <c r="AI43" s="167">
        <f t="shared" si="55"/>
        <v>0</v>
      </c>
      <c r="AJ43" s="167">
        <f t="shared" si="55"/>
        <v>0</v>
      </c>
      <c r="AK43" s="167">
        <f t="shared" si="55"/>
        <v>0</v>
      </c>
      <c r="AL43" s="167">
        <f t="shared" si="55"/>
        <v>0</v>
      </c>
      <c r="AM43" s="143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5"/>
      <c r="BA43" s="165"/>
      <c r="BB43" s="165"/>
      <c r="BC43" s="165"/>
      <c r="BD43" s="165"/>
      <c r="BE43" s="165"/>
      <c r="BF43" s="165"/>
      <c r="BG43" s="165"/>
      <c r="BH43" s="165"/>
      <c r="BI43" s="165"/>
      <c r="BJ43" s="165"/>
      <c r="BK43" s="165"/>
      <c r="BL43" s="164"/>
      <c r="BM43" s="164"/>
      <c r="BN43" s="164"/>
      <c r="BO43" s="164"/>
      <c r="BP43" s="164"/>
      <c r="BQ43" s="164"/>
      <c r="BR43" s="164"/>
      <c r="BS43" s="164"/>
      <c r="BT43" s="164"/>
      <c r="BU43" s="164"/>
    </row>
    <row r="44" ht="32.25" customHeight="1">
      <c r="A44" s="165"/>
      <c r="B44" s="165"/>
      <c r="C44" s="166" t="s">
        <v>117</v>
      </c>
      <c r="D44" s="57">
        <f t="shared" ref="D44:AL44" si="56">COUNTIF(D$3:D$26,"02中A*")</f>
        <v>0</v>
      </c>
      <c r="E44" s="57">
        <f t="shared" si="56"/>
        <v>0</v>
      </c>
      <c r="F44" s="57">
        <f t="shared" si="56"/>
        <v>0</v>
      </c>
      <c r="G44" s="57">
        <f t="shared" si="56"/>
        <v>0</v>
      </c>
      <c r="H44" s="57">
        <f t="shared" si="56"/>
        <v>0</v>
      </c>
      <c r="I44" s="57">
        <f t="shared" si="56"/>
        <v>0</v>
      </c>
      <c r="J44" s="57">
        <f t="shared" si="56"/>
        <v>0</v>
      </c>
      <c r="K44" s="57">
        <f t="shared" si="56"/>
        <v>0</v>
      </c>
      <c r="L44" s="57">
        <f t="shared" si="56"/>
        <v>0</v>
      </c>
      <c r="M44" s="57">
        <f t="shared" si="56"/>
        <v>0</v>
      </c>
      <c r="N44" s="57">
        <f t="shared" si="56"/>
        <v>0</v>
      </c>
      <c r="O44" s="57">
        <f t="shared" si="56"/>
        <v>0</v>
      </c>
      <c r="P44" s="57">
        <f t="shared" si="56"/>
        <v>0</v>
      </c>
      <c r="Q44" s="57">
        <f t="shared" si="56"/>
        <v>0</v>
      </c>
      <c r="R44" s="57">
        <f t="shared" si="56"/>
        <v>0</v>
      </c>
      <c r="S44" s="57">
        <f t="shared" si="56"/>
        <v>0</v>
      </c>
      <c r="T44" s="57">
        <f t="shared" si="56"/>
        <v>0</v>
      </c>
      <c r="U44" s="57">
        <f t="shared" si="56"/>
        <v>0</v>
      </c>
      <c r="V44" s="57">
        <f t="shared" si="56"/>
        <v>0</v>
      </c>
      <c r="W44" s="57">
        <f t="shared" si="56"/>
        <v>0</v>
      </c>
      <c r="X44" s="57">
        <f t="shared" si="56"/>
        <v>0</v>
      </c>
      <c r="Y44" s="57">
        <f t="shared" si="56"/>
        <v>0</v>
      </c>
      <c r="Z44" s="57">
        <f t="shared" si="56"/>
        <v>0</v>
      </c>
      <c r="AA44" s="57">
        <f t="shared" si="56"/>
        <v>0</v>
      </c>
      <c r="AB44" s="57">
        <f t="shared" si="56"/>
        <v>0</v>
      </c>
      <c r="AC44" s="57">
        <f t="shared" si="56"/>
        <v>0</v>
      </c>
      <c r="AD44" s="57">
        <f t="shared" si="56"/>
        <v>0</v>
      </c>
      <c r="AE44" s="57">
        <f t="shared" si="56"/>
        <v>0</v>
      </c>
      <c r="AF44" s="57">
        <f t="shared" si="56"/>
        <v>0</v>
      </c>
      <c r="AG44" s="57">
        <f t="shared" si="56"/>
        <v>0</v>
      </c>
      <c r="AH44" s="57">
        <f t="shared" si="56"/>
        <v>0</v>
      </c>
      <c r="AI44" s="57">
        <f t="shared" si="56"/>
        <v>0</v>
      </c>
      <c r="AJ44" s="57">
        <f t="shared" si="56"/>
        <v>0</v>
      </c>
      <c r="AK44" s="57">
        <f t="shared" si="56"/>
        <v>0</v>
      </c>
      <c r="AL44" s="57">
        <f t="shared" si="56"/>
        <v>0</v>
      </c>
      <c r="AM44" s="143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5"/>
      <c r="BA44" s="165"/>
      <c r="BB44" s="165"/>
      <c r="BC44" s="165"/>
      <c r="BD44" s="165"/>
      <c r="BE44" s="165"/>
      <c r="BF44" s="165"/>
      <c r="BG44" s="165"/>
      <c r="BH44" s="165"/>
      <c r="BI44" s="165"/>
      <c r="BJ44" s="165"/>
      <c r="BK44" s="165"/>
      <c r="BL44" s="164"/>
      <c r="BM44" s="164"/>
      <c r="BN44" s="164"/>
      <c r="BO44" s="164"/>
      <c r="BP44" s="164"/>
      <c r="BQ44" s="164"/>
      <c r="BR44" s="164"/>
      <c r="BS44" s="164"/>
      <c r="BT44" s="164"/>
      <c r="BU44" s="164"/>
    </row>
    <row r="45" ht="32.25" customHeight="1">
      <c r="A45" s="165"/>
      <c r="B45" s="165"/>
      <c r="C45" s="166" t="s">
        <v>118</v>
      </c>
      <c r="D45" s="57">
        <f t="shared" ref="D45:AL45" si="57">COUNTIF(D$3:D$26,"*02午*")</f>
        <v>0</v>
      </c>
      <c r="E45" s="57">
        <f t="shared" si="57"/>
        <v>0</v>
      </c>
      <c r="F45" s="57">
        <f t="shared" si="57"/>
        <v>0</v>
      </c>
      <c r="G45" s="57">
        <f t="shared" si="57"/>
        <v>0</v>
      </c>
      <c r="H45" s="57">
        <f t="shared" si="57"/>
        <v>0</v>
      </c>
      <c r="I45" s="57">
        <f t="shared" si="57"/>
        <v>0</v>
      </c>
      <c r="J45" s="57">
        <f t="shared" si="57"/>
        <v>0</v>
      </c>
      <c r="K45" s="57">
        <f t="shared" si="57"/>
        <v>0</v>
      </c>
      <c r="L45" s="57">
        <f t="shared" si="57"/>
        <v>0</v>
      </c>
      <c r="M45" s="57">
        <f t="shared" si="57"/>
        <v>0</v>
      </c>
      <c r="N45" s="57">
        <f t="shared" si="57"/>
        <v>0</v>
      </c>
      <c r="O45" s="57">
        <f t="shared" si="57"/>
        <v>0</v>
      </c>
      <c r="P45" s="57">
        <f t="shared" si="57"/>
        <v>0</v>
      </c>
      <c r="Q45" s="57">
        <f t="shared" si="57"/>
        <v>0</v>
      </c>
      <c r="R45" s="57">
        <f t="shared" si="57"/>
        <v>0</v>
      </c>
      <c r="S45" s="57">
        <f t="shared" si="57"/>
        <v>0</v>
      </c>
      <c r="T45" s="57">
        <f t="shared" si="57"/>
        <v>0</v>
      </c>
      <c r="U45" s="57">
        <f t="shared" si="57"/>
        <v>0</v>
      </c>
      <c r="V45" s="57">
        <f t="shared" si="57"/>
        <v>0</v>
      </c>
      <c r="W45" s="57">
        <f t="shared" si="57"/>
        <v>0</v>
      </c>
      <c r="X45" s="57">
        <f t="shared" si="57"/>
        <v>0</v>
      </c>
      <c r="Y45" s="57">
        <f t="shared" si="57"/>
        <v>0</v>
      </c>
      <c r="Z45" s="57">
        <f t="shared" si="57"/>
        <v>0</v>
      </c>
      <c r="AA45" s="57">
        <f t="shared" si="57"/>
        <v>0</v>
      </c>
      <c r="AB45" s="57">
        <f t="shared" si="57"/>
        <v>0</v>
      </c>
      <c r="AC45" s="57">
        <f t="shared" si="57"/>
        <v>0</v>
      </c>
      <c r="AD45" s="57">
        <f t="shared" si="57"/>
        <v>0</v>
      </c>
      <c r="AE45" s="57">
        <f t="shared" si="57"/>
        <v>0</v>
      </c>
      <c r="AF45" s="57">
        <f t="shared" si="57"/>
        <v>0</v>
      </c>
      <c r="AG45" s="57">
        <f t="shared" si="57"/>
        <v>0</v>
      </c>
      <c r="AH45" s="57">
        <f t="shared" si="57"/>
        <v>0</v>
      </c>
      <c r="AI45" s="57">
        <f t="shared" si="57"/>
        <v>0</v>
      </c>
      <c r="AJ45" s="57">
        <f t="shared" si="57"/>
        <v>0</v>
      </c>
      <c r="AK45" s="57">
        <f t="shared" si="57"/>
        <v>0</v>
      </c>
      <c r="AL45" s="57">
        <f t="shared" si="57"/>
        <v>0</v>
      </c>
      <c r="AM45" s="143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5"/>
      <c r="BA45" s="165"/>
      <c r="BB45" s="165"/>
      <c r="BC45" s="165"/>
      <c r="BD45" s="165"/>
      <c r="BE45" s="165"/>
      <c r="BF45" s="165"/>
      <c r="BG45" s="165"/>
      <c r="BH45" s="165"/>
      <c r="BI45" s="165"/>
      <c r="BJ45" s="165"/>
      <c r="BK45" s="165"/>
      <c r="BL45" s="164"/>
      <c r="BM45" s="164"/>
      <c r="BN45" s="164"/>
      <c r="BO45" s="164"/>
      <c r="BP45" s="164"/>
      <c r="BQ45" s="164"/>
      <c r="BR45" s="164"/>
      <c r="BS45" s="164"/>
      <c r="BT45" s="164"/>
      <c r="BU45" s="164"/>
    </row>
    <row r="46" ht="32.25" customHeight="1">
      <c r="A46" s="165"/>
      <c r="B46" s="165"/>
      <c r="C46" s="168" t="s">
        <v>119</v>
      </c>
      <c r="D46" s="169">
        <f t="shared" ref="D46:AL46" si="58">COUNTIF(D$3:D$26,"02夜*")</f>
        <v>0</v>
      </c>
      <c r="E46" s="169">
        <f t="shared" si="58"/>
        <v>0</v>
      </c>
      <c r="F46" s="169">
        <f t="shared" si="58"/>
        <v>0</v>
      </c>
      <c r="G46" s="169">
        <f t="shared" si="58"/>
        <v>0</v>
      </c>
      <c r="H46" s="169">
        <f t="shared" si="58"/>
        <v>0</v>
      </c>
      <c r="I46" s="169">
        <f t="shared" si="58"/>
        <v>0</v>
      </c>
      <c r="J46" s="169">
        <f t="shared" si="58"/>
        <v>0</v>
      </c>
      <c r="K46" s="169">
        <f t="shared" si="58"/>
        <v>0</v>
      </c>
      <c r="L46" s="169">
        <f t="shared" si="58"/>
        <v>0</v>
      </c>
      <c r="M46" s="169">
        <f t="shared" si="58"/>
        <v>0</v>
      </c>
      <c r="N46" s="169">
        <f t="shared" si="58"/>
        <v>0</v>
      </c>
      <c r="O46" s="169">
        <f t="shared" si="58"/>
        <v>0</v>
      </c>
      <c r="P46" s="169">
        <f t="shared" si="58"/>
        <v>0</v>
      </c>
      <c r="Q46" s="169">
        <f t="shared" si="58"/>
        <v>0</v>
      </c>
      <c r="R46" s="169">
        <f t="shared" si="58"/>
        <v>0</v>
      </c>
      <c r="S46" s="169">
        <f t="shared" si="58"/>
        <v>0</v>
      </c>
      <c r="T46" s="169">
        <f t="shared" si="58"/>
        <v>0</v>
      </c>
      <c r="U46" s="169">
        <f t="shared" si="58"/>
        <v>0</v>
      </c>
      <c r="V46" s="169">
        <f t="shared" si="58"/>
        <v>0</v>
      </c>
      <c r="W46" s="169">
        <f t="shared" si="58"/>
        <v>0</v>
      </c>
      <c r="X46" s="169">
        <f t="shared" si="58"/>
        <v>0</v>
      </c>
      <c r="Y46" s="169">
        <f t="shared" si="58"/>
        <v>0</v>
      </c>
      <c r="Z46" s="169">
        <f t="shared" si="58"/>
        <v>0</v>
      </c>
      <c r="AA46" s="169">
        <f t="shared" si="58"/>
        <v>0</v>
      </c>
      <c r="AB46" s="169">
        <f t="shared" si="58"/>
        <v>0</v>
      </c>
      <c r="AC46" s="169">
        <f t="shared" si="58"/>
        <v>0</v>
      </c>
      <c r="AD46" s="169">
        <f t="shared" si="58"/>
        <v>0</v>
      </c>
      <c r="AE46" s="169">
        <f t="shared" si="58"/>
        <v>0</v>
      </c>
      <c r="AF46" s="169">
        <f t="shared" si="58"/>
        <v>0</v>
      </c>
      <c r="AG46" s="169">
        <f t="shared" si="58"/>
        <v>0</v>
      </c>
      <c r="AH46" s="169">
        <f t="shared" si="58"/>
        <v>0</v>
      </c>
      <c r="AI46" s="169">
        <f t="shared" si="58"/>
        <v>0</v>
      </c>
      <c r="AJ46" s="169">
        <f t="shared" si="58"/>
        <v>0</v>
      </c>
      <c r="AK46" s="169">
        <f t="shared" si="58"/>
        <v>0</v>
      </c>
      <c r="AL46" s="169">
        <f t="shared" si="58"/>
        <v>0</v>
      </c>
      <c r="AM46" s="143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5"/>
      <c r="BA46" s="165"/>
      <c r="BB46" s="165"/>
      <c r="BC46" s="165"/>
      <c r="BD46" s="165"/>
      <c r="BE46" s="165"/>
      <c r="BF46" s="165"/>
      <c r="BG46" s="165"/>
      <c r="BH46" s="165"/>
      <c r="BI46" s="165"/>
      <c r="BJ46" s="165"/>
      <c r="BK46" s="165"/>
      <c r="BL46" s="164"/>
      <c r="BM46" s="164"/>
      <c r="BN46" s="164"/>
      <c r="BO46" s="164"/>
      <c r="BP46" s="164"/>
      <c r="BQ46" s="164"/>
      <c r="BR46" s="164"/>
      <c r="BS46" s="164"/>
      <c r="BT46" s="164"/>
      <c r="BU46" s="164"/>
    </row>
    <row r="47" ht="32.25" customHeight="1">
      <c r="A47" s="165"/>
      <c r="B47" s="165"/>
      <c r="C47" s="166" t="s">
        <v>120</v>
      </c>
      <c r="D47" s="167">
        <f t="shared" ref="D47:AL47" si="59">COUNTIF(D$3:D$26,"*03早*")-D48</f>
        <v>0</v>
      </c>
      <c r="E47" s="167">
        <f t="shared" si="59"/>
        <v>0</v>
      </c>
      <c r="F47" s="167">
        <f t="shared" si="59"/>
        <v>0</v>
      </c>
      <c r="G47" s="167">
        <f t="shared" si="59"/>
        <v>0</v>
      </c>
      <c r="H47" s="167">
        <f t="shared" si="59"/>
        <v>0</v>
      </c>
      <c r="I47" s="167">
        <f t="shared" si="59"/>
        <v>0</v>
      </c>
      <c r="J47" s="167">
        <f t="shared" si="59"/>
        <v>0</v>
      </c>
      <c r="K47" s="167">
        <f t="shared" si="59"/>
        <v>0</v>
      </c>
      <c r="L47" s="167">
        <f t="shared" si="59"/>
        <v>0</v>
      </c>
      <c r="M47" s="167">
        <f t="shared" si="59"/>
        <v>0</v>
      </c>
      <c r="N47" s="167">
        <f t="shared" si="59"/>
        <v>0</v>
      </c>
      <c r="O47" s="167">
        <f t="shared" si="59"/>
        <v>0</v>
      </c>
      <c r="P47" s="167">
        <f t="shared" si="59"/>
        <v>0</v>
      </c>
      <c r="Q47" s="167">
        <f t="shared" si="59"/>
        <v>0</v>
      </c>
      <c r="R47" s="167">
        <f t="shared" si="59"/>
        <v>0</v>
      </c>
      <c r="S47" s="167">
        <f t="shared" si="59"/>
        <v>0</v>
      </c>
      <c r="T47" s="167">
        <f t="shared" si="59"/>
        <v>0</v>
      </c>
      <c r="U47" s="167">
        <f t="shared" si="59"/>
        <v>0</v>
      </c>
      <c r="V47" s="167">
        <f t="shared" si="59"/>
        <v>0</v>
      </c>
      <c r="W47" s="167">
        <f t="shared" si="59"/>
        <v>0</v>
      </c>
      <c r="X47" s="167">
        <f t="shared" si="59"/>
        <v>0</v>
      </c>
      <c r="Y47" s="167">
        <f t="shared" si="59"/>
        <v>0</v>
      </c>
      <c r="Z47" s="167">
        <f t="shared" si="59"/>
        <v>0</v>
      </c>
      <c r="AA47" s="167">
        <f t="shared" si="59"/>
        <v>0</v>
      </c>
      <c r="AB47" s="167">
        <f t="shared" si="59"/>
        <v>0</v>
      </c>
      <c r="AC47" s="167">
        <f t="shared" si="59"/>
        <v>0</v>
      </c>
      <c r="AD47" s="167">
        <f t="shared" si="59"/>
        <v>0</v>
      </c>
      <c r="AE47" s="167">
        <f t="shared" si="59"/>
        <v>0</v>
      </c>
      <c r="AF47" s="167">
        <f t="shared" si="59"/>
        <v>0</v>
      </c>
      <c r="AG47" s="167">
        <f t="shared" si="59"/>
        <v>0</v>
      </c>
      <c r="AH47" s="167">
        <f t="shared" si="59"/>
        <v>0</v>
      </c>
      <c r="AI47" s="167">
        <f t="shared" si="59"/>
        <v>0</v>
      </c>
      <c r="AJ47" s="167">
        <f t="shared" si="59"/>
        <v>0</v>
      </c>
      <c r="AK47" s="167">
        <f t="shared" si="59"/>
        <v>0</v>
      </c>
      <c r="AL47" s="167">
        <f t="shared" si="59"/>
        <v>0</v>
      </c>
      <c r="AM47" s="143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5"/>
      <c r="BA47" s="165"/>
      <c r="BB47" s="165"/>
      <c r="BC47" s="165"/>
      <c r="BD47" s="165"/>
      <c r="BE47" s="165"/>
      <c r="BF47" s="165"/>
      <c r="BG47" s="165"/>
      <c r="BH47" s="165"/>
      <c r="BI47" s="165"/>
      <c r="BJ47" s="165"/>
      <c r="BK47" s="165"/>
      <c r="BL47" s="164"/>
      <c r="BM47" s="164"/>
      <c r="BN47" s="164"/>
      <c r="BO47" s="164"/>
      <c r="BP47" s="164"/>
      <c r="BQ47" s="164"/>
      <c r="BR47" s="164"/>
      <c r="BS47" s="164"/>
      <c r="BT47" s="164"/>
      <c r="BU47" s="164"/>
    </row>
    <row r="48" ht="32.25" customHeight="1">
      <c r="A48" s="165"/>
      <c r="B48" s="165"/>
      <c r="C48" s="166" t="s">
        <v>121</v>
      </c>
      <c r="D48" s="171">
        <f t="shared" ref="D48:AL48" si="60">COUNTIF(D$3:D$26,"*03早A*")</f>
        <v>0</v>
      </c>
      <c r="E48" s="171">
        <f t="shared" si="60"/>
        <v>0</v>
      </c>
      <c r="F48" s="171">
        <f t="shared" si="60"/>
        <v>0</v>
      </c>
      <c r="G48" s="171">
        <f t="shared" si="60"/>
        <v>0</v>
      </c>
      <c r="H48" s="171">
        <f t="shared" si="60"/>
        <v>0</v>
      </c>
      <c r="I48" s="171">
        <f t="shared" si="60"/>
        <v>0</v>
      </c>
      <c r="J48" s="171">
        <f t="shared" si="60"/>
        <v>0</v>
      </c>
      <c r="K48" s="171">
        <f t="shared" si="60"/>
        <v>0</v>
      </c>
      <c r="L48" s="171">
        <f t="shared" si="60"/>
        <v>0</v>
      </c>
      <c r="M48" s="171">
        <f t="shared" si="60"/>
        <v>0</v>
      </c>
      <c r="N48" s="171">
        <f t="shared" si="60"/>
        <v>0</v>
      </c>
      <c r="O48" s="171">
        <f t="shared" si="60"/>
        <v>0</v>
      </c>
      <c r="P48" s="171">
        <f t="shared" si="60"/>
        <v>0</v>
      </c>
      <c r="Q48" s="171">
        <f t="shared" si="60"/>
        <v>0</v>
      </c>
      <c r="R48" s="171">
        <f t="shared" si="60"/>
        <v>0</v>
      </c>
      <c r="S48" s="171">
        <f t="shared" si="60"/>
        <v>0</v>
      </c>
      <c r="T48" s="171">
        <f t="shared" si="60"/>
        <v>0</v>
      </c>
      <c r="U48" s="171">
        <f t="shared" si="60"/>
        <v>0</v>
      </c>
      <c r="V48" s="171">
        <f t="shared" si="60"/>
        <v>0</v>
      </c>
      <c r="W48" s="171">
        <f t="shared" si="60"/>
        <v>0</v>
      </c>
      <c r="X48" s="171">
        <f t="shared" si="60"/>
        <v>0</v>
      </c>
      <c r="Y48" s="171">
        <f t="shared" si="60"/>
        <v>0</v>
      </c>
      <c r="Z48" s="171">
        <f t="shared" si="60"/>
        <v>0</v>
      </c>
      <c r="AA48" s="171">
        <f t="shared" si="60"/>
        <v>0</v>
      </c>
      <c r="AB48" s="171">
        <f t="shared" si="60"/>
        <v>0</v>
      </c>
      <c r="AC48" s="171">
        <f t="shared" si="60"/>
        <v>0</v>
      </c>
      <c r="AD48" s="171">
        <f t="shared" si="60"/>
        <v>0</v>
      </c>
      <c r="AE48" s="171">
        <f t="shared" si="60"/>
        <v>0</v>
      </c>
      <c r="AF48" s="171">
        <f t="shared" si="60"/>
        <v>0</v>
      </c>
      <c r="AG48" s="171">
        <f t="shared" si="60"/>
        <v>0</v>
      </c>
      <c r="AH48" s="171">
        <f t="shared" si="60"/>
        <v>0</v>
      </c>
      <c r="AI48" s="171">
        <f t="shared" si="60"/>
        <v>0</v>
      </c>
      <c r="AJ48" s="171">
        <f t="shared" si="60"/>
        <v>0</v>
      </c>
      <c r="AK48" s="171">
        <f t="shared" si="60"/>
        <v>0</v>
      </c>
      <c r="AL48" s="171">
        <f t="shared" si="60"/>
        <v>0</v>
      </c>
      <c r="AM48" s="143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5"/>
      <c r="BA48" s="165"/>
      <c r="BB48" s="165"/>
      <c r="BC48" s="165"/>
      <c r="BD48" s="165"/>
      <c r="BE48" s="165"/>
      <c r="BF48" s="165"/>
      <c r="BG48" s="165"/>
      <c r="BH48" s="165"/>
      <c r="BI48" s="165"/>
      <c r="BJ48" s="165"/>
      <c r="BK48" s="165"/>
      <c r="BL48" s="164"/>
      <c r="BM48" s="164"/>
      <c r="BN48" s="164"/>
      <c r="BO48" s="164"/>
      <c r="BP48" s="164"/>
      <c r="BQ48" s="164"/>
      <c r="BR48" s="164"/>
      <c r="BS48" s="164"/>
      <c r="BT48" s="164"/>
      <c r="BU48" s="164"/>
    </row>
    <row r="49" ht="32.25" customHeight="1">
      <c r="A49" s="165"/>
      <c r="B49" s="165"/>
      <c r="C49" s="166" t="s">
        <v>122</v>
      </c>
      <c r="D49" s="57">
        <f t="shared" ref="D49:AL49" si="61">COUNTIF(D$3:D$26,"03中A*")</f>
        <v>0</v>
      </c>
      <c r="E49" s="57">
        <f t="shared" si="61"/>
        <v>0</v>
      </c>
      <c r="F49" s="57">
        <f t="shared" si="61"/>
        <v>0</v>
      </c>
      <c r="G49" s="57">
        <f t="shared" si="61"/>
        <v>0</v>
      </c>
      <c r="H49" s="57">
        <f t="shared" si="61"/>
        <v>0</v>
      </c>
      <c r="I49" s="57">
        <f t="shared" si="61"/>
        <v>0</v>
      </c>
      <c r="J49" s="57">
        <f t="shared" si="61"/>
        <v>0</v>
      </c>
      <c r="K49" s="57">
        <f t="shared" si="61"/>
        <v>0</v>
      </c>
      <c r="L49" s="57">
        <f t="shared" si="61"/>
        <v>0</v>
      </c>
      <c r="M49" s="57">
        <f t="shared" si="61"/>
        <v>0</v>
      </c>
      <c r="N49" s="57">
        <f t="shared" si="61"/>
        <v>0</v>
      </c>
      <c r="O49" s="57">
        <f t="shared" si="61"/>
        <v>0</v>
      </c>
      <c r="P49" s="57">
        <f t="shared" si="61"/>
        <v>0</v>
      </c>
      <c r="Q49" s="57">
        <f t="shared" si="61"/>
        <v>0</v>
      </c>
      <c r="R49" s="57">
        <f t="shared" si="61"/>
        <v>0</v>
      </c>
      <c r="S49" s="57">
        <f t="shared" si="61"/>
        <v>0</v>
      </c>
      <c r="T49" s="57">
        <f t="shared" si="61"/>
        <v>0</v>
      </c>
      <c r="U49" s="57">
        <f t="shared" si="61"/>
        <v>0</v>
      </c>
      <c r="V49" s="57">
        <f t="shared" si="61"/>
        <v>0</v>
      </c>
      <c r="W49" s="57">
        <f t="shared" si="61"/>
        <v>0</v>
      </c>
      <c r="X49" s="57">
        <f t="shared" si="61"/>
        <v>0</v>
      </c>
      <c r="Y49" s="57">
        <f t="shared" si="61"/>
        <v>0</v>
      </c>
      <c r="Z49" s="57">
        <f t="shared" si="61"/>
        <v>0</v>
      </c>
      <c r="AA49" s="57">
        <f t="shared" si="61"/>
        <v>0</v>
      </c>
      <c r="AB49" s="57">
        <f t="shared" si="61"/>
        <v>0</v>
      </c>
      <c r="AC49" s="57">
        <f t="shared" si="61"/>
        <v>0</v>
      </c>
      <c r="AD49" s="57">
        <f t="shared" si="61"/>
        <v>0</v>
      </c>
      <c r="AE49" s="57">
        <f t="shared" si="61"/>
        <v>0</v>
      </c>
      <c r="AF49" s="57">
        <f t="shared" si="61"/>
        <v>0</v>
      </c>
      <c r="AG49" s="57">
        <f t="shared" si="61"/>
        <v>0</v>
      </c>
      <c r="AH49" s="57">
        <f t="shared" si="61"/>
        <v>0</v>
      </c>
      <c r="AI49" s="57">
        <f t="shared" si="61"/>
        <v>0</v>
      </c>
      <c r="AJ49" s="57">
        <f t="shared" si="61"/>
        <v>0</v>
      </c>
      <c r="AK49" s="57">
        <f t="shared" si="61"/>
        <v>0</v>
      </c>
      <c r="AL49" s="57">
        <f t="shared" si="61"/>
        <v>0</v>
      </c>
      <c r="AM49" s="143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5"/>
      <c r="BA49" s="165"/>
      <c r="BB49" s="165"/>
      <c r="BC49" s="165"/>
      <c r="BD49" s="165"/>
      <c r="BE49" s="165"/>
      <c r="BF49" s="165"/>
      <c r="BG49" s="165"/>
      <c r="BH49" s="165"/>
      <c r="BI49" s="165"/>
      <c r="BJ49" s="165"/>
      <c r="BK49" s="165"/>
      <c r="BL49" s="164"/>
      <c r="BM49" s="164"/>
      <c r="BN49" s="164"/>
      <c r="BO49" s="164"/>
      <c r="BP49" s="164"/>
      <c r="BQ49" s="164"/>
      <c r="BR49" s="164"/>
      <c r="BS49" s="164"/>
      <c r="BT49" s="164"/>
      <c r="BU49" s="164"/>
    </row>
    <row r="50" ht="32.25" customHeight="1">
      <c r="A50" s="165"/>
      <c r="B50" s="165"/>
      <c r="C50" s="166" t="s">
        <v>123</v>
      </c>
      <c r="D50" s="57">
        <f t="shared" ref="D50:AL50" si="62">COUNTIF(D$3:D$26,"*03午*")-D51</f>
        <v>0</v>
      </c>
      <c r="E50" s="57">
        <f t="shared" si="62"/>
        <v>0</v>
      </c>
      <c r="F50" s="57">
        <f t="shared" si="62"/>
        <v>0</v>
      </c>
      <c r="G50" s="57">
        <f t="shared" si="62"/>
        <v>0</v>
      </c>
      <c r="H50" s="57">
        <f t="shared" si="62"/>
        <v>0</v>
      </c>
      <c r="I50" s="57">
        <f t="shared" si="62"/>
        <v>0</v>
      </c>
      <c r="J50" s="57">
        <f t="shared" si="62"/>
        <v>0</v>
      </c>
      <c r="K50" s="57">
        <f t="shared" si="62"/>
        <v>0</v>
      </c>
      <c r="L50" s="57">
        <f t="shared" si="62"/>
        <v>0</v>
      </c>
      <c r="M50" s="57">
        <f t="shared" si="62"/>
        <v>0</v>
      </c>
      <c r="N50" s="57">
        <f t="shared" si="62"/>
        <v>0</v>
      </c>
      <c r="O50" s="57">
        <f t="shared" si="62"/>
        <v>0</v>
      </c>
      <c r="P50" s="57">
        <f t="shared" si="62"/>
        <v>0</v>
      </c>
      <c r="Q50" s="57">
        <f t="shared" si="62"/>
        <v>0</v>
      </c>
      <c r="R50" s="57">
        <f t="shared" si="62"/>
        <v>0</v>
      </c>
      <c r="S50" s="57">
        <f t="shared" si="62"/>
        <v>0</v>
      </c>
      <c r="T50" s="57">
        <f t="shared" si="62"/>
        <v>0</v>
      </c>
      <c r="U50" s="57">
        <f t="shared" si="62"/>
        <v>0</v>
      </c>
      <c r="V50" s="57">
        <f t="shared" si="62"/>
        <v>0</v>
      </c>
      <c r="W50" s="57">
        <f t="shared" si="62"/>
        <v>0</v>
      </c>
      <c r="X50" s="57">
        <f t="shared" si="62"/>
        <v>0</v>
      </c>
      <c r="Y50" s="57">
        <f t="shared" si="62"/>
        <v>0</v>
      </c>
      <c r="Z50" s="57">
        <f t="shared" si="62"/>
        <v>0</v>
      </c>
      <c r="AA50" s="57">
        <f t="shared" si="62"/>
        <v>0</v>
      </c>
      <c r="AB50" s="57">
        <f t="shared" si="62"/>
        <v>0</v>
      </c>
      <c r="AC50" s="57">
        <f t="shared" si="62"/>
        <v>0</v>
      </c>
      <c r="AD50" s="57">
        <f t="shared" si="62"/>
        <v>0</v>
      </c>
      <c r="AE50" s="57">
        <f t="shared" si="62"/>
        <v>0</v>
      </c>
      <c r="AF50" s="57">
        <f t="shared" si="62"/>
        <v>0</v>
      </c>
      <c r="AG50" s="57">
        <f t="shared" si="62"/>
        <v>0</v>
      </c>
      <c r="AH50" s="57">
        <f t="shared" si="62"/>
        <v>0</v>
      </c>
      <c r="AI50" s="57">
        <f t="shared" si="62"/>
        <v>0</v>
      </c>
      <c r="AJ50" s="57">
        <f t="shared" si="62"/>
        <v>0</v>
      </c>
      <c r="AK50" s="57">
        <f t="shared" si="62"/>
        <v>0</v>
      </c>
      <c r="AL50" s="57">
        <f t="shared" si="62"/>
        <v>0</v>
      </c>
      <c r="AM50" s="143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5"/>
      <c r="BA50" s="165"/>
      <c r="BB50" s="165"/>
      <c r="BC50" s="165"/>
      <c r="BD50" s="165"/>
      <c r="BE50" s="165"/>
      <c r="BF50" s="165"/>
      <c r="BG50" s="165"/>
      <c r="BH50" s="165"/>
      <c r="BI50" s="165"/>
      <c r="BJ50" s="165"/>
      <c r="BK50" s="165"/>
      <c r="BL50" s="164"/>
      <c r="BM50" s="164"/>
      <c r="BN50" s="164"/>
      <c r="BO50" s="164"/>
      <c r="BP50" s="164"/>
      <c r="BQ50" s="164"/>
      <c r="BR50" s="164"/>
      <c r="BS50" s="164"/>
      <c r="BT50" s="164"/>
      <c r="BU50" s="164"/>
    </row>
    <row r="51" ht="32.25" customHeight="1">
      <c r="A51" s="165"/>
      <c r="B51" s="165"/>
      <c r="C51" s="166" t="s">
        <v>124</v>
      </c>
      <c r="D51" s="57">
        <f t="shared" ref="D51:AL51" si="63">COUNTIF(D$3:D$26,"*03午F*")</f>
        <v>0</v>
      </c>
      <c r="E51" s="57">
        <f t="shared" si="63"/>
        <v>0</v>
      </c>
      <c r="F51" s="57">
        <f t="shared" si="63"/>
        <v>0</v>
      </c>
      <c r="G51" s="57">
        <f t="shared" si="63"/>
        <v>0</v>
      </c>
      <c r="H51" s="57">
        <f t="shared" si="63"/>
        <v>0</v>
      </c>
      <c r="I51" s="57">
        <f t="shared" si="63"/>
        <v>0</v>
      </c>
      <c r="J51" s="57">
        <f t="shared" si="63"/>
        <v>0</v>
      </c>
      <c r="K51" s="57">
        <f t="shared" si="63"/>
        <v>0</v>
      </c>
      <c r="L51" s="57">
        <f t="shared" si="63"/>
        <v>0</v>
      </c>
      <c r="M51" s="57">
        <f t="shared" si="63"/>
        <v>0</v>
      </c>
      <c r="N51" s="57">
        <f t="shared" si="63"/>
        <v>0</v>
      </c>
      <c r="O51" s="57">
        <f t="shared" si="63"/>
        <v>0</v>
      </c>
      <c r="P51" s="57">
        <f t="shared" si="63"/>
        <v>0</v>
      </c>
      <c r="Q51" s="57">
        <f t="shared" si="63"/>
        <v>0</v>
      </c>
      <c r="R51" s="57">
        <f t="shared" si="63"/>
        <v>0</v>
      </c>
      <c r="S51" s="57">
        <f t="shared" si="63"/>
        <v>0</v>
      </c>
      <c r="T51" s="57">
        <f t="shared" si="63"/>
        <v>0</v>
      </c>
      <c r="U51" s="57">
        <f t="shared" si="63"/>
        <v>0</v>
      </c>
      <c r="V51" s="57">
        <f t="shared" si="63"/>
        <v>0</v>
      </c>
      <c r="W51" s="57">
        <f t="shared" si="63"/>
        <v>0</v>
      </c>
      <c r="X51" s="57">
        <f t="shared" si="63"/>
        <v>0</v>
      </c>
      <c r="Y51" s="57">
        <f t="shared" si="63"/>
        <v>0</v>
      </c>
      <c r="Z51" s="57">
        <f t="shared" si="63"/>
        <v>0</v>
      </c>
      <c r="AA51" s="57">
        <f t="shared" si="63"/>
        <v>0</v>
      </c>
      <c r="AB51" s="57">
        <f t="shared" si="63"/>
        <v>0</v>
      </c>
      <c r="AC51" s="57">
        <f t="shared" si="63"/>
        <v>0</v>
      </c>
      <c r="AD51" s="57">
        <f t="shared" si="63"/>
        <v>0</v>
      </c>
      <c r="AE51" s="57">
        <f t="shared" si="63"/>
        <v>0</v>
      </c>
      <c r="AF51" s="57">
        <f t="shared" si="63"/>
        <v>0</v>
      </c>
      <c r="AG51" s="57">
        <f t="shared" si="63"/>
        <v>0</v>
      </c>
      <c r="AH51" s="57">
        <f t="shared" si="63"/>
        <v>0</v>
      </c>
      <c r="AI51" s="57">
        <f t="shared" si="63"/>
        <v>0</v>
      </c>
      <c r="AJ51" s="57">
        <f t="shared" si="63"/>
        <v>0</v>
      </c>
      <c r="AK51" s="57">
        <f t="shared" si="63"/>
        <v>0</v>
      </c>
      <c r="AL51" s="57">
        <f t="shared" si="63"/>
        <v>0</v>
      </c>
      <c r="AM51" s="143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5"/>
      <c r="BA51" s="165"/>
      <c r="BB51" s="165"/>
      <c r="BC51" s="165"/>
      <c r="BD51" s="165"/>
      <c r="BE51" s="165"/>
      <c r="BF51" s="165"/>
      <c r="BG51" s="165"/>
      <c r="BH51" s="165"/>
      <c r="BI51" s="165"/>
      <c r="BJ51" s="165"/>
      <c r="BK51" s="165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</row>
    <row r="52" ht="32.25" customHeight="1">
      <c r="A52" s="165"/>
      <c r="B52" s="165"/>
      <c r="C52" s="168" t="s">
        <v>125</v>
      </c>
      <c r="D52" s="169">
        <f t="shared" ref="D52:AL52" si="64">COUNTIF(D$3:D$26,"03夜")</f>
        <v>0</v>
      </c>
      <c r="E52" s="169">
        <f t="shared" si="64"/>
        <v>0</v>
      </c>
      <c r="F52" s="169">
        <f t="shared" si="64"/>
        <v>0</v>
      </c>
      <c r="G52" s="169">
        <f t="shared" si="64"/>
        <v>0</v>
      </c>
      <c r="H52" s="169">
        <f t="shared" si="64"/>
        <v>0</v>
      </c>
      <c r="I52" s="169">
        <f t="shared" si="64"/>
        <v>0</v>
      </c>
      <c r="J52" s="169">
        <f t="shared" si="64"/>
        <v>0</v>
      </c>
      <c r="K52" s="169">
        <f t="shared" si="64"/>
        <v>0</v>
      </c>
      <c r="L52" s="169">
        <f t="shared" si="64"/>
        <v>0</v>
      </c>
      <c r="M52" s="169">
        <f t="shared" si="64"/>
        <v>0</v>
      </c>
      <c r="N52" s="169">
        <f t="shared" si="64"/>
        <v>0</v>
      </c>
      <c r="O52" s="169">
        <f t="shared" si="64"/>
        <v>0</v>
      </c>
      <c r="P52" s="169">
        <f t="shared" si="64"/>
        <v>0</v>
      </c>
      <c r="Q52" s="169">
        <f t="shared" si="64"/>
        <v>0</v>
      </c>
      <c r="R52" s="169">
        <f t="shared" si="64"/>
        <v>0</v>
      </c>
      <c r="S52" s="169">
        <f t="shared" si="64"/>
        <v>0</v>
      </c>
      <c r="T52" s="169">
        <f t="shared" si="64"/>
        <v>0</v>
      </c>
      <c r="U52" s="169">
        <f t="shared" si="64"/>
        <v>0</v>
      </c>
      <c r="V52" s="169">
        <f t="shared" si="64"/>
        <v>0</v>
      </c>
      <c r="W52" s="169">
        <f t="shared" si="64"/>
        <v>0</v>
      </c>
      <c r="X52" s="169">
        <f t="shared" si="64"/>
        <v>0</v>
      </c>
      <c r="Y52" s="169">
        <f t="shared" si="64"/>
        <v>0</v>
      </c>
      <c r="Z52" s="169">
        <f t="shared" si="64"/>
        <v>0</v>
      </c>
      <c r="AA52" s="169">
        <f t="shared" si="64"/>
        <v>0</v>
      </c>
      <c r="AB52" s="169">
        <f t="shared" si="64"/>
        <v>0</v>
      </c>
      <c r="AC52" s="169">
        <f t="shared" si="64"/>
        <v>0</v>
      </c>
      <c r="AD52" s="169">
        <f t="shared" si="64"/>
        <v>0</v>
      </c>
      <c r="AE52" s="169">
        <f t="shared" si="64"/>
        <v>0</v>
      </c>
      <c r="AF52" s="169">
        <f t="shared" si="64"/>
        <v>0</v>
      </c>
      <c r="AG52" s="169">
        <f t="shared" si="64"/>
        <v>0</v>
      </c>
      <c r="AH52" s="169">
        <f t="shared" si="64"/>
        <v>0</v>
      </c>
      <c r="AI52" s="169">
        <f t="shared" si="64"/>
        <v>0</v>
      </c>
      <c r="AJ52" s="169">
        <f t="shared" si="64"/>
        <v>0</v>
      </c>
      <c r="AK52" s="169">
        <f t="shared" si="64"/>
        <v>0</v>
      </c>
      <c r="AL52" s="169">
        <f t="shared" si="64"/>
        <v>0</v>
      </c>
      <c r="AM52" s="143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5"/>
      <c r="BA52" s="165"/>
      <c r="BB52" s="165"/>
      <c r="BC52" s="165"/>
      <c r="BD52" s="165"/>
      <c r="BE52" s="165"/>
      <c r="BF52" s="165"/>
      <c r="BG52" s="165"/>
      <c r="BH52" s="165"/>
      <c r="BI52" s="165"/>
      <c r="BJ52" s="165"/>
      <c r="BK52" s="165"/>
      <c r="BL52" s="164"/>
      <c r="BM52" s="164"/>
      <c r="BN52" s="164"/>
      <c r="BO52" s="164"/>
      <c r="BP52" s="164"/>
      <c r="BQ52" s="164"/>
      <c r="BR52" s="164"/>
      <c r="BS52" s="164"/>
      <c r="BT52" s="164"/>
      <c r="BU52" s="164"/>
    </row>
    <row r="53" ht="32.25" customHeight="1">
      <c r="A53" s="165"/>
      <c r="B53" s="165"/>
      <c r="C53" s="166" t="s">
        <v>126</v>
      </c>
      <c r="D53" s="167">
        <f t="shared" ref="D53:AL53" si="65">COUNTIF(D$3:D$26,"*04早*")</f>
        <v>0</v>
      </c>
      <c r="E53" s="167">
        <f t="shared" si="65"/>
        <v>0</v>
      </c>
      <c r="F53" s="167">
        <f t="shared" si="65"/>
        <v>0</v>
      </c>
      <c r="G53" s="167">
        <f t="shared" si="65"/>
        <v>0</v>
      </c>
      <c r="H53" s="167">
        <f t="shared" si="65"/>
        <v>0</v>
      </c>
      <c r="I53" s="167">
        <f t="shared" si="65"/>
        <v>0</v>
      </c>
      <c r="J53" s="167">
        <f t="shared" si="65"/>
        <v>0</v>
      </c>
      <c r="K53" s="167">
        <f t="shared" si="65"/>
        <v>0</v>
      </c>
      <c r="L53" s="167">
        <f t="shared" si="65"/>
        <v>0</v>
      </c>
      <c r="M53" s="167">
        <f t="shared" si="65"/>
        <v>0</v>
      </c>
      <c r="N53" s="167">
        <f t="shared" si="65"/>
        <v>0</v>
      </c>
      <c r="O53" s="167">
        <f t="shared" si="65"/>
        <v>0</v>
      </c>
      <c r="P53" s="167">
        <f t="shared" si="65"/>
        <v>0</v>
      </c>
      <c r="Q53" s="167">
        <f t="shared" si="65"/>
        <v>0</v>
      </c>
      <c r="R53" s="167">
        <f t="shared" si="65"/>
        <v>0</v>
      </c>
      <c r="S53" s="167">
        <f t="shared" si="65"/>
        <v>0</v>
      </c>
      <c r="T53" s="167">
        <f t="shared" si="65"/>
        <v>0</v>
      </c>
      <c r="U53" s="167">
        <f t="shared" si="65"/>
        <v>0</v>
      </c>
      <c r="V53" s="167">
        <f t="shared" si="65"/>
        <v>0</v>
      </c>
      <c r="W53" s="167">
        <f t="shared" si="65"/>
        <v>0</v>
      </c>
      <c r="X53" s="167">
        <f t="shared" si="65"/>
        <v>0</v>
      </c>
      <c r="Y53" s="167">
        <f t="shared" si="65"/>
        <v>0</v>
      </c>
      <c r="Z53" s="167">
        <f t="shared" si="65"/>
        <v>0</v>
      </c>
      <c r="AA53" s="167">
        <f t="shared" si="65"/>
        <v>0</v>
      </c>
      <c r="AB53" s="167">
        <f t="shared" si="65"/>
        <v>0</v>
      </c>
      <c r="AC53" s="167">
        <f t="shared" si="65"/>
        <v>0</v>
      </c>
      <c r="AD53" s="167">
        <f t="shared" si="65"/>
        <v>0</v>
      </c>
      <c r="AE53" s="167">
        <f t="shared" si="65"/>
        <v>0</v>
      </c>
      <c r="AF53" s="167">
        <f t="shared" si="65"/>
        <v>0</v>
      </c>
      <c r="AG53" s="167">
        <f t="shared" si="65"/>
        <v>0</v>
      </c>
      <c r="AH53" s="167">
        <f t="shared" si="65"/>
        <v>0</v>
      </c>
      <c r="AI53" s="167">
        <f t="shared" si="65"/>
        <v>0</v>
      </c>
      <c r="AJ53" s="167">
        <f t="shared" si="65"/>
        <v>0</v>
      </c>
      <c r="AK53" s="167">
        <f t="shared" si="65"/>
        <v>0</v>
      </c>
      <c r="AL53" s="167">
        <f t="shared" si="65"/>
        <v>0</v>
      </c>
      <c r="AM53" s="143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5"/>
      <c r="BA53" s="165"/>
      <c r="BB53" s="165"/>
      <c r="BC53" s="165"/>
      <c r="BD53" s="165"/>
      <c r="BE53" s="165"/>
      <c r="BF53" s="165"/>
      <c r="BG53" s="165"/>
      <c r="BH53" s="165"/>
      <c r="BI53" s="165"/>
      <c r="BJ53" s="165"/>
      <c r="BK53" s="165"/>
      <c r="BL53" s="164"/>
      <c r="BM53" s="164"/>
      <c r="BN53" s="164"/>
      <c r="BO53" s="164"/>
      <c r="BP53" s="164"/>
      <c r="BQ53" s="164"/>
      <c r="BR53" s="164"/>
      <c r="BS53" s="164"/>
      <c r="BT53" s="164"/>
      <c r="BU53" s="164"/>
    </row>
    <row r="54" ht="32.25" customHeight="1">
      <c r="A54" s="165"/>
      <c r="B54" s="165"/>
      <c r="C54" s="166" t="s">
        <v>127</v>
      </c>
      <c r="D54" s="57">
        <f t="shared" ref="D54:AL54" si="66">COUNTIF(D$3:D$26,"*04中A*")</f>
        <v>0</v>
      </c>
      <c r="E54" s="57">
        <f t="shared" si="66"/>
        <v>0</v>
      </c>
      <c r="F54" s="57">
        <f t="shared" si="66"/>
        <v>0</v>
      </c>
      <c r="G54" s="57">
        <f t="shared" si="66"/>
        <v>0</v>
      </c>
      <c r="H54" s="57">
        <f t="shared" si="66"/>
        <v>0</v>
      </c>
      <c r="I54" s="57">
        <f t="shared" si="66"/>
        <v>0</v>
      </c>
      <c r="J54" s="57">
        <f t="shared" si="66"/>
        <v>0</v>
      </c>
      <c r="K54" s="57">
        <f t="shared" si="66"/>
        <v>0</v>
      </c>
      <c r="L54" s="57">
        <f t="shared" si="66"/>
        <v>0</v>
      </c>
      <c r="M54" s="57">
        <f t="shared" si="66"/>
        <v>0</v>
      </c>
      <c r="N54" s="57">
        <f t="shared" si="66"/>
        <v>0</v>
      </c>
      <c r="O54" s="57">
        <f t="shared" si="66"/>
        <v>0</v>
      </c>
      <c r="P54" s="57">
        <f t="shared" si="66"/>
        <v>0</v>
      </c>
      <c r="Q54" s="57">
        <f t="shared" si="66"/>
        <v>0</v>
      </c>
      <c r="R54" s="57">
        <f t="shared" si="66"/>
        <v>0</v>
      </c>
      <c r="S54" s="57">
        <f t="shared" si="66"/>
        <v>0</v>
      </c>
      <c r="T54" s="57">
        <f t="shared" si="66"/>
        <v>0</v>
      </c>
      <c r="U54" s="57">
        <f t="shared" si="66"/>
        <v>0</v>
      </c>
      <c r="V54" s="57">
        <f t="shared" si="66"/>
        <v>0</v>
      </c>
      <c r="W54" s="57">
        <f t="shared" si="66"/>
        <v>0</v>
      </c>
      <c r="X54" s="57">
        <f t="shared" si="66"/>
        <v>0</v>
      </c>
      <c r="Y54" s="57">
        <f t="shared" si="66"/>
        <v>0</v>
      </c>
      <c r="Z54" s="57">
        <f t="shared" si="66"/>
        <v>0</v>
      </c>
      <c r="AA54" s="57">
        <f t="shared" si="66"/>
        <v>0</v>
      </c>
      <c r="AB54" s="57">
        <f t="shared" si="66"/>
        <v>0</v>
      </c>
      <c r="AC54" s="57">
        <f t="shared" si="66"/>
        <v>0</v>
      </c>
      <c r="AD54" s="57">
        <f t="shared" si="66"/>
        <v>0</v>
      </c>
      <c r="AE54" s="57">
        <f t="shared" si="66"/>
        <v>0</v>
      </c>
      <c r="AF54" s="57">
        <f t="shared" si="66"/>
        <v>0</v>
      </c>
      <c r="AG54" s="57">
        <f t="shared" si="66"/>
        <v>0</v>
      </c>
      <c r="AH54" s="57">
        <f t="shared" si="66"/>
        <v>0</v>
      </c>
      <c r="AI54" s="57">
        <f t="shared" si="66"/>
        <v>0</v>
      </c>
      <c r="AJ54" s="57">
        <f t="shared" si="66"/>
        <v>0</v>
      </c>
      <c r="AK54" s="57">
        <f t="shared" si="66"/>
        <v>0</v>
      </c>
      <c r="AL54" s="57">
        <f t="shared" si="66"/>
        <v>0</v>
      </c>
      <c r="AM54" s="143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5"/>
      <c r="BA54" s="165"/>
      <c r="BB54" s="165"/>
      <c r="BC54" s="165"/>
      <c r="BD54" s="165"/>
      <c r="BE54" s="165"/>
      <c r="BF54" s="165"/>
      <c r="BG54" s="165"/>
      <c r="BH54" s="165"/>
      <c r="BI54" s="165"/>
      <c r="BJ54" s="165"/>
      <c r="BK54" s="165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</row>
    <row r="55" ht="32.25" customHeight="1">
      <c r="A55" s="165"/>
      <c r="B55" s="165"/>
      <c r="C55" s="166" t="s">
        <v>128</v>
      </c>
      <c r="D55" s="57">
        <f t="shared" ref="D55:AL55" si="67">COUNTIF(D$3:D$26,"*04午*")</f>
        <v>0</v>
      </c>
      <c r="E55" s="57">
        <f t="shared" si="67"/>
        <v>0</v>
      </c>
      <c r="F55" s="57">
        <f t="shared" si="67"/>
        <v>0</v>
      </c>
      <c r="G55" s="57">
        <f t="shared" si="67"/>
        <v>0</v>
      </c>
      <c r="H55" s="57">
        <f t="shared" si="67"/>
        <v>0</v>
      </c>
      <c r="I55" s="57">
        <f t="shared" si="67"/>
        <v>0</v>
      </c>
      <c r="J55" s="57">
        <f t="shared" si="67"/>
        <v>0</v>
      </c>
      <c r="K55" s="57">
        <f t="shared" si="67"/>
        <v>0</v>
      </c>
      <c r="L55" s="57">
        <f t="shared" si="67"/>
        <v>0</v>
      </c>
      <c r="M55" s="57">
        <f t="shared" si="67"/>
        <v>0</v>
      </c>
      <c r="N55" s="57">
        <f t="shared" si="67"/>
        <v>0</v>
      </c>
      <c r="O55" s="57">
        <f t="shared" si="67"/>
        <v>0</v>
      </c>
      <c r="P55" s="57">
        <f t="shared" si="67"/>
        <v>0</v>
      </c>
      <c r="Q55" s="57">
        <f t="shared" si="67"/>
        <v>0</v>
      </c>
      <c r="R55" s="57">
        <f t="shared" si="67"/>
        <v>0</v>
      </c>
      <c r="S55" s="57">
        <f t="shared" si="67"/>
        <v>0</v>
      </c>
      <c r="T55" s="57">
        <f t="shared" si="67"/>
        <v>0</v>
      </c>
      <c r="U55" s="57">
        <f t="shared" si="67"/>
        <v>0</v>
      </c>
      <c r="V55" s="57">
        <f t="shared" si="67"/>
        <v>0</v>
      </c>
      <c r="W55" s="57">
        <f t="shared" si="67"/>
        <v>0</v>
      </c>
      <c r="X55" s="57">
        <f t="shared" si="67"/>
        <v>0</v>
      </c>
      <c r="Y55" s="57">
        <f t="shared" si="67"/>
        <v>0</v>
      </c>
      <c r="Z55" s="57">
        <f t="shared" si="67"/>
        <v>0</v>
      </c>
      <c r="AA55" s="57">
        <f t="shared" si="67"/>
        <v>0</v>
      </c>
      <c r="AB55" s="57">
        <f t="shared" si="67"/>
        <v>0</v>
      </c>
      <c r="AC55" s="57">
        <f t="shared" si="67"/>
        <v>0</v>
      </c>
      <c r="AD55" s="57">
        <f t="shared" si="67"/>
        <v>0</v>
      </c>
      <c r="AE55" s="57">
        <f t="shared" si="67"/>
        <v>0</v>
      </c>
      <c r="AF55" s="57">
        <f t="shared" si="67"/>
        <v>0</v>
      </c>
      <c r="AG55" s="57">
        <f t="shared" si="67"/>
        <v>0</v>
      </c>
      <c r="AH55" s="57">
        <f t="shared" si="67"/>
        <v>0</v>
      </c>
      <c r="AI55" s="57">
        <f t="shared" si="67"/>
        <v>0</v>
      </c>
      <c r="AJ55" s="57">
        <f t="shared" si="67"/>
        <v>0</v>
      </c>
      <c r="AK55" s="57">
        <f t="shared" si="67"/>
        <v>0</v>
      </c>
      <c r="AL55" s="57">
        <f t="shared" si="67"/>
        <v>0</v>
      </c>
      <c r="AM55" s="143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5"/>
      <c r="BA55" s="165"/>
      <c r="BB55" s="165"/>
      <c r="BC55" s="165"/>
      <c r="BD55" s="165"/>
      <c r="BE55" s="165"/>
      <c r="BF55" s="165"/>
      <c r="BG55" s="165"/>
      <c r="BH55" s="165"/>
      <c r="BI55" s="165"/>
      <c r="BJ55" s="165"/>
      <c r="BK55" s="165"/>
      <c r="BL55" s="164"/>
      <c r="BM55" s="164"/>
      <c r="BN55" s="164"/>
      <c r="BO55" s="164"/>
      <c r="BP55" s="164"/>
      <c r="BQ55" s="164"/>
      <c r="BR55" s="164"/>
      <c r="BS55" s="164"/>
      <c r="BT55" s="164"/>
      <c r="BU55" s="164"/>
    </row>
    <row r="56" ht="32.25" customHeight="1">
      <c r="A56" s="165"/>
      <c r="B56" s="165"/>
      <c r="C56" s="168" t="s">
        <v>129</v>
      </c>
      <c r="D56" s="169">
        <f t="shared" ref="D56:AL56" si="68">COUNTIF(D$3:D$26,"*04夜*")</f>
        <v>0</v>
      </c>
      <c r="E56" s="169">
        <f t="shared" si="68"/>
        <v>0</v>
      </c>
      <c r="F56" s="169">
        <f t="shared" si="68"/>
        <v>0</v>
      </c>
      <c r="G56" s="169">
        <f t="shared" si="68"/>
        <v>0</v>
      </c>
      <c r="H56" s="169">
        <f t="shared" si="68"/>
        <v>0</v>
      </c>
      <c r="I56" s="169">
        <f t="shared" si="68"/>
        <v>0</v>
      </c>
      <c r="J56" s="169">
        <f t="shared" si="68"/>
        <v>0</v>
      </c>
      <c r="K56" s="169">
        <f t="shared" si="68"/>
        <v>0</v>
      </c>
      <c r="L56" s="169">
        <f t="shared" si="68"/>
        <v>0</v>
      </c>
      <c r="M56" s="169">
        <f t="shared" si="68"/>
        <v>0</v>
      </c>
      <c r="N56" s="169">
        <f t="shared" si="68"/>
        <v>0</v>
      </c>
      <c r="O56" s="169">
        <f t="shared" si="68"/>
        <v>0</v>
      </c>
      <c r="P56" s="169">
        <f t="shared" si="68"/>
        <v>0</v>
      </c>
      <c r="Q56" s="169">
        <f t="shared" si="68"/>
        <v>0</v>
      </c>
      <c r="R56" s="169">
        <f t="shared" si="68"/>
        <v>0</v>
      </c>
      <c r="S56" s="169">
        <f t="shared" si="68"/>
        <v>0</v>
      </c>
      <c r="T56" s="169">
        <f t="shared" si="68"/>
        <v>0</v>
      </c>
      <c r="U56" s="169">
        <f t="shared" si="68"/>
        <v>0</v>
      </c>
      <c r="V56" s="169">
        <f t="shared" si="68"/>
        <v>0</v>
      </c>
      <c r="W56" s="169">
        <f t="shared" si="68"/>
        <v>0</v>
      </c>
      <c r="X56" s="169">
        <f t="shared" si="68"/>
        <v>0</v>
      </c>
      <c r="Y56" s="169">
        <f t="shared" si="68"/>
        <v>0</v>
      </c>
      <c r="Z56" s="169">
        <f t="shared" si="68"/>
        <v>0</v>
      </c>
      <c r="AA56" s="169">
        <f t="shared" si="68"/>
        <v>0</v>
      </c>
      <c r="AB56" s="169">
        <f t="shared" si="68"/>
        <v>0</v>
      </c>
      <c r="AC56" s="169">
        <f t="shared" si="68"/>
        <v>0</v>
      </c>
      <c r="AD56" s="169">
        <f t="shared" si="68"/>
        <v>0</v>
      </c>
      <c r="AE56" s="169">
        <f t="shared" si="68"/>
        <v>0</v>
      </c>
      <c r="AF56" s="169">
        <f t="shared" si="68"/>
        <v>0</v>
      </c>
      <c r="AG56" s="169">
        <f t="shared" si="68"/>
        <v>0</v>
      </c>
      <c r="AH56" s="169">
        <f t="shared" si="68"/>
        <v>0</v>
      </c>
      <c r="AI56" s="169">
        <f t="shared" si="68"/>
        <v>0</v>
      </c>
      <c r="AJ56" s="169">
        <f t="shared" si="68"/>
        <v>0</v>
      </c>
      <c r="AK56" s="169">
        <f t="shared" si="68"/>
        <v>0</v>
      </c>
      <c r="AL56" s="169">
        <f t="shared" si="68"/>
        <v>0</v>
      </c>
      <c r="AM56" s="143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5"/>
      <c r="BA56" s="165"/>
      <c r="BB56" s="165"/>
      <c r="BC56" s="165"/>
      <c r="BD56" s="165"/>
      <c r="BE56" s="165"/>
      <c r="BF56" s="165"/>
      <c r="BG56" s="165"/>
      <c r="BH56" s="165"/>
      <c r="BI56" s="165"/>
      <c r="BJ56" s="165"/>
      <c r="BK56" s="165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</row>
    <row r="57" ht="32.25" customHeight="1">
      <c r="A57" s="165"/>
      <c r="B57" s="165"/>
      <c r="C57" s="166" t="s">
        <v>130</v>
      </c>
      <c r="D57" s="167">
        <f t="shared" ref="D57:U57" si="69">COUNTIF(D$3:D$26,"*05早*")</f>
        <v>0</v>
      </c>
      <c r="E57" s="167">
        <f t="shared" si="69"/>
        <v>0</v>
      </c>
      <c r="F57" s="167">
        <f t="shared" si="69"/>
        <v>0</v>
      </c>
      <c r="G57" s="167">
        <f t="shared" si="69"/>
        <v>0</v>
      </c>
      <c r="H57" s="167">
        <f t="shared" si="69"/>
        <v>0</v>
      </c>
      <c r="I57" s="167">
        <f t="shared" si="69"/>
        <v>0</v>
      </c>
      <c r="J57" s="167">
        <f t="shared" si="69"/>
        <v>0</v>
      </c>
      <c r="K57" s="167">
        <f t="shared" si="69"/>
        <v>0</v>
      </c>
      <c r="L57" s="167">
        <f t="shared" si="69"/>
        <v>0</v>
      </c>
      <c r="M57" s="167">
        <f t="shared" si="69"/>
        <v>0</v>
      </c>
      <c r="N57" s="167">
        <f t="shared" si="69"/>
        <v>0</v>
      </c>
      <c r="O57" s="167">
        <f t="shared" si="69"/>
        <v>0</v>
      </c>
      <c r="P57" s="167">
        <f t="shared" si="69"/>
        <v>0</v>
      </c>
      <c r="Q57" s="167">
        <f t="shared" si="69"/>
        <v>0</v>
      </c>
      <c r="R57" s="167">
        <f t="shared" si="69"/>
        <v>0</v>
      </c>
      <c r="S57" s="167">
        <f t="shared" si="69"/>
        <v>0</v>
      </c>
      <c r="T57" s="167">
        <f t="shared" si="69"/>
        <v>0</v>
      </c>
      <c r="U57" s="167">
        <f t="shared" si="69"/>
        <v>0</v>
      </c>
      <c r="V57" s="167">
        <f>COUNTIF(V$3:V$26,"*05早")</f>
        <v>0</v>
      </c>
      <c r="W57" s="167">
        <f t="shared" ref="W57:AL57" si="70">COUNTIF(W$3:W$26,"*05早*")</f>
        <v>0</v>
      </c>
      <c r="X57" s="167">
        <f t="shared" si="70"/>
        <v>0</v>
      </c>
      <c r="Y57" s="167">
        <f t="shared" si="70"/>
        <v>0</v>
      </c>
      <c r="Z57" s="167">
        <f t="shared" si="70"/>
        <v>0</v>
      </c>
      <c r="AA57" s="167">
        <f t="shared" si="70"/>
        <v>0</v>
      </c>
      <c r="AB57" s="167">
        <f t="shared" si="70"/>
        <v>0</v>
      </c>
      <c r="AC57" s="167">
        <f t="shared" si="70"/>
        <v>0</v>
      </c>
      <c r="AD57" s="167">
        <f t="shared" si="70"/>
        <v>0</v>
      </c>
      <c r="AE57" s="167">
        <f t="shared" si="70"/>
        <v>0</v>
      </c>
      <c r="AF57" s="167">
        <f t="shared" si="70"/>
        <v>0</v>
      </c>
      <c r="AG57" s="167">
        <f t="shared" si="70"/>
        <v>0</v>
      </c>
      <c r="AH57" s="167">
        <f t="shared" si="70"/>
        <v>0</v>
      </c>
      <c r="AI57" s="167">
        <f t="shared" si="70"/>
        <v>0</v>
      </c>
      <c r="AJ57" s="167">
        <f t="shared" si="70"/>
        <v>0</v>
      </c>
      <c r="AK57" s="167">
        <f t="shared" si="70"/>
        <v>0</v>
      </c>
      <c r="AL57" s="167">
        <f t="shared" si="70"/>
        <v>0</v>
      </c>
      <c r="AM57" s="143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5"/>
      <c r="BA57" s="165"/>
      <c r="BB57" s="165"/>
      <c r="BC57" s="165"/>
      <c r="BD57" s="165"/>
      <c r="BE57" s="165"/>
      <c r="BF57" s="165"/>
      <c r="BG57" s="165"/>
      <c r="BH57" s="165"/>
      <c r="BI57" s="165"/>
      <c r="BJ57" s="165"/>
      <c r="BK57" s="165"/>
      <c r="BL57" s="164"/>
      <c r="BM57" s="164"/>
      <c r="BN57" s="164"/>
      <c r="BO57" s="164"/>
      <c r="BP57" s="164"/>
      <c r="BQ57" s="164"/>
      <c r="BR57" s="164"/>
      <c r="BS57" s="164"/>
      <c r="BT57" s="164"/>
      <c r="BU57" s="164"/>
    </row>
    <row r="58" ht="32.25" customHeight="1">
      <c r="A58" s="165"/>
      <c r="B58" s="165"/>
      <c r="C58" s="166" t="s">
        <v>131</v>
      </c>
      <c r="D58" s="57">
        <f t="shared" ref="D58:AL58" si="71">COUNTIF(D$3:D$26,"05中A*")</f>
        <v>0</v>
      </c>
      <c r="E58" s="57">
        <f t="shared" si="71"/>
        <v>0</v>
      </c>
      <c r="F58" s="57">
        <f t="shared" si="71"/>
        <v>0</v>
      </c>
      <c r="G58" s="57">
        <f t="shared" si="71"/>
        <v>0</v>
      </c>
      <c r="H58" s="57">
        <f t="shared" si="71"/>
        <v>0</v>
      </c>
      <c r="I58" s="57">
        <f t="shared" si="71"/>
        <v>0</v>
      </c>
      <c r="J58" s="57">
        <f t="shared" si="71"/>
        <v>0</v>
      </c>
      <c r="K58" s="57">
        <f t="shared" si="71"/>
        <v>0</v>
      </c>
      <c r="L58" s="57">
        <f t="shared" si="71"/>
        <v>0</v>
      </c>
      <c r="M58" s="57">
        <f t="shared" si="71"/>
        <v>0</v>
      </c>
      <c r="N58" s="57">
        <f t="shared" si="71"/>
        <v>0</v>
      </c>
      <c r="O58" s="57">
        <f t="shared" si="71"/>
        <v>0</v>
      </c>
      <c r="P58" s="57">
        <f t="shared" si="71"/>
        <v>0</v>
      </c>
      <c r="Q58" s="57">
        <f t="shared" si="71"/>
        <v>0</v>
      </c>
      <c r="R58" s="57">
        <f t="shared" si="71"/>
        <v>0</v>
      </c>
      <c r="S58" s="57">
        <f t="shared" si="71"/>
        <v>0</v>
      </c>
      <c r="T58" s="57">
        <f t="shared" si="71"/>
        <v>0</v>
      </c>
      <c r="U58" s="57">
        <f t="shared" si="71"/>
        <v>0</v>
      </c>
      <c r="V58" s="57">
        <f t="shared" si="71"/>
        <v>0</v>
      </c>
      <c r="W58" s="57">
        <f t="shared" si="71"/>
        <v>0</v>
      </c>
      <c r="X58" s="57">
        <f t="shared" si="71"/>
        <v>0</v>
      </c>
      <c r="Y58" s="57">
        <f t="shared" si="71"/>
        <v>0</v>
      </c>
      <c r="Z58" s="57">
        <f t="shared" si="71"/>
        <v>0</v>
      </c>
      <c r="AA58" s="57">
        <f t="shared" si="71"/>
        <v>0</v>
      </c>
      <c r="AB58" s="57">
        <f t="shared" si="71"/>
        <v>0</v>
      </c>
      <c r="AC58" s="57">
        <f t="shared" si="71"/>
        <v>0</v>
      </c>
      <c r="AD58" s="57">
        <f t="shared" si="71"/>
        <v>0</v>
      </c>
      <c r="AE58" s="57">
        <f t="shared" si="71"/>
        <v>0</v>
      </c>
      <c r="AF58" s="57">
        <f t="shared" si="71"/>
        <v>0</v>
      </c>
      <c r="AG58" s="57">
        <f t="shared" si="71"/>
        <v>0</v>
      </c>
      <c r="AH58" s="57">
        <f t="shared" si="71"/>
        <v>0</v>
      </c>
      <c r="AI58" s="57">
        <f t="shared" si="71"/>
        <v>0</v>
      </c>
      <c r="AJ58" s="57">
        <f t="shared" si="71"/>
        <v>0</v>
      </c>
      <c r="AK58" s="57">
        <f t="shared" si="71"/>
        <v>0</v>
      </c>
      <c r="AL58" s="57">
        <f t="shared" si="71"/>
        <v>0</v>
      </c>
      <c r="AM58" s="143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5"/>
      <c r="BA58" s="165"/>
      <c r="BB58" s="165"/>
      <c r="BC58" s="165"/>
      <c r="BD58" s="165"/>
      <c r="BE58" s="165"/>
      <c r="BF58" s="165"/>
      <c r="BG58" s="165"/>
      <c r="BH58" s="165"/>
      <c r="BI58" s="165"/>
      <c r="BJ58" s="165"/>
      <c r="BK58" s="165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</row>
    <row r="59" ht="32.25" customHeight="1">
      <c r="A59" s="165"/>
      <c r="B59" s="165"/>
      <c r="C59" s="166" t="s">
        <v>132</v>
      </c>
      <c r="D59" s="57">
        <f t="shared" ref="D59:AL59" si="72">COUNTIF(D$3:D$26,"*05午*")</f>
        <v>0</v>
      </c>
      <c r="E59" s="57">
        <f t="shared" si="72"/>
        <v>0</v>
      </c>
      <c r="F59" s="57">
        <f t="shared" si="72"/>
        <v>0</v>
      </c>
      <c r="G59" s="57">
        <f t="shared" si="72"/>
        <v>0</v>
      </c>
      <c r="H59" s="57">
        <f t="shared" si="72"/>
        <v>0</v>
      </c>
      <c r="I59" s="57">
        <f t="shared" si="72"/>
        <v>0</v>
      </c>
      <c r="J59" s="57">
        <f t="shared" si="72"/>
        <v>0</v>
      </c>
      <c r="K59" s="57">
        <f t="shared" si="72"/>
        <v>0</v>
      </c>
      <c r="L59" s="57">
        <f t="shared" si="72"/>
        <v>0</v>
      </c>
      <c r="M59" s="57">
        <f t="shared" si="72"/>
        <v>0</v>
      </c>
      <c r="N59" s="57">
        <f t="shared" si="72"/>
        <v>0</v>
      </c>
      <c r="O59" s="57">
        <f t="shared" si="72"/>
        <v>0</v>
      </c>
      <c r="P59" s="57">
        <f t="shared" si="72"/>
        <v>0</v>
      </c>
      <c r="Q59" s="57">
        <f t="shared" si="72"/>
        <v>0</v>
      </c>
      <c r="R59" s="57">
        <f t="shared" si="72"/>
        <v>0</v>
      </c>
      <c r="S59" s="57">
        <f t="shared" si="72"/>
        <v>0</v>
      </c>
      <c r="T59" s="57">
        <f t="shared" si="72"/>
        <v>0</v>
      </c>
      <c r="U59" s="57">
        <f t="shared" si="72"/>
        <v>0</v>
      </c>
      <c r="V59" s="57">
        <f t="shared" si="72"/>
        <v>0</v>
      </c>
      <c r="W59" s="57">
        <f t="shared" si="72"/>
        <v>0</v>
      </c>
      <c r="X59" s="57">
        <f t="shared" si="72"/>
        <v>0</v>
      </c>
      <c r="Y59" s="57">
        <f t="shared" si="72"/>
        <v>0</v>
      </c>
      <c r="Z59" s="57">
        <f t="shared" si="72"/>
        <v>0</v>
      </c>
      <c r="AA59" s="57">
        <f t="shared" si="72"/>
        <v>0</v>
      </c>
      <c r="AB59" s="57">
        <f t="shared" si="72"/>
        <v>0</v>
      </c>
      <c r="AC59" s="57">
        <f t="shared" si="72"/>
        <v>0</v>
      </c>
      <c r="AD59" s="57">
        <f t="shared" si="72"/>
        <v>0</v>
      </c>
      <c r="AE59" s="57">
        <f t="shared" si="72"/>
        <v>0</v>
      </c>
      <c r="AF59" s="57">
        <f t="shared" si="72"/>
        <v>0</v>
      </c>
      <c r="AG59" s="57">
        <f t="shared" si="72"/>
        <v>0</v>
      </c>
      <c r="AH59" s="57">
        <f t="shared" si="72"/>
        <v>0</v>
      </c>
      <c r="AI59" s="57">
        <f t="shared" si="72"/>
        <v>0</v>
      </c>
      <c r="AJ59" s="57">
        <f t="shared" si="72"/>
        <v>0</v>
      </c>
      <c r="AK59" s="57">
        <f t="shared" si="72"/>
        <v>0</v>
      </c>
      <c r="AL59" s="57">
        <f t="shared" si="72"/>
        <v>0</v>
      </c>
      <c r="AM59" s="143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5"/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</row>
    <row r="60" ht="32.25" customHeight="1">
      <c r="A60" s="165"/>
      <c r="B60" s="165"/>
      <c r="C60" s="168" t="s">
        <v>133</v>
      </c>
      <c r="D60" s="169">
        <f t="shared" ref="D60:AL60" si="73">COUNTIF(D$3:D$26,"05夜*")</f>
        <v>0</v>
      </c>
      <c r="E60" s="169">
        <f t="shared" si="73"/>
        <v>0</v>
      </c>
      <c r="F60" s="169">
        <f t="shared" si="73"/>
        <v>0</v>
      </c>
      <c r="G60" s="169">
        <f t="shared" si="73"/>
        <v>0</v>
      </c>
      <c r="H60" s="169">
        <f t="shared" si="73"/>
        <v>0</v>
      </c>
      <c r="I60" s="169">
        <f t="shared" si="73"/>
        <v>0</v>
      </c>
      <c r="J60" s="169">
        <f t="shared" si="73"/>
        <v>0</v>
      </c>
      <c r="K60" s="169">
        <f t="shared" si="73"/>
        <v>0</v>
      </c>
      <c r="L60" s="169">
        <f t="shared" si="73"/>
        <v>0</v>
      </c>
      <c r="M60" s="169">
        <f t="shared" si="73"/>
        <v>0</v>
      </c>
      <c r="N60" s="169">
        <f t="shared" si="73"/>
        <v>0</v>
      </c>
      <c r="O60" s="169">
        <f t="shared" si="73"/>
        <v>0</v>
      </c>
      <c r="P60" s="169">
        <f t="shared" si="73"/>
        <v>0</v>
      </c>
      <c r="Q60" s="169">
        <f t="shared" si="73"/>
        <v>0</v>
      </c>
      <c r="R60" s="169">
        <f t="shared" si="73"/>
        <v>0</v>
      </c>
      <c r="S60" s="169">
        <f t="shared" si="73"/>
        <v>0</v>
      </c>
      <c r="T60" s="169">
        <f t="shared" si="73"/>
        <v>0</v>
      </c>
      <c r="U60" s="169">
        <f t="shared" si="73"/>
        <v>0</v>
      </c>
      <c r="V60" s="169">
        <f t="shared" si="73"/>
        <v>0</v>
      </c>
      <c r="W60" s="169">
        <f t="shared" si="73"/>
        <v>0</v>
      </c>
      <c r="X60" s="169">
        <f t="shared" si="73"/>
        <v>0</v>
      </c>
      <c r="Y60" s="169">
        <f t="shared" si="73"/>
        <v>0</v>
      </c>
      <c r="Z60" s="169">
        <f t="shared" si="73"/>
        <v>0</v>
      </c>
      <c r="AA60" s="169">
        <f t="shared" si="73"/>
        <v>0</v>
      </c>
      <c r="AB60" s="169">
        <f t="shared" si="73"/>
        <v>0</v>
      </c>
      <c r="AC60" s="169">
        <f t="shared" si="73"/>
        <v>0</v>
      </c>
      <c r="AD60" s="169">
        <f t="shared" si="73"/>
        <v>0</v>
      </c>
      <c r="AE60" s="169">
        <f t="shared" si="73"/>
        <v>0</v>
      </c>
      <c r="AF60" s="169">
        <f t="shared" si="73"/>
        <v>0</v>
      </c>
      <c r="AG60" s="169">
        <f t="shared" si="73"/>
        <v>0</v>
      </c>
      <c r="AH60" s="169">
        <f t="shared" si="73"/>
        <v>0</v>
      </c>
      <c r="AI60" s="169">
        <f t="shared" si="73"/>
        <v>0</v>
      </c>
      <c r="AJ60" s="169">
        <f t="shared" si="73"/>
        <v>0</v>
      </c>
      <c r="AK60" s="169">
        <f t="shared" si="73"/>
        <v>0</v>
      </c>
      <c r="AL60" s="169">
        <f t="shared" si="73"/>
        <v>0</v>
      </c>
      <c r="AM60" s="143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5"/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</row>
    <row r="61" ht="32.25" customHeight="1">
      <c r="A61" s="165"/>
      <c r="B61" s="165"/>
      <c r="C61" s="166" t="s">
        <v>134</v>
      </c>
      <c r="D61" s="167">
        <f t="shared" ref="D61:AL61" si="74">COUNTIF(D$3:D$26,"*06早*")</f>
        <v>0</v>
      </c>
      <c r="E61" s="167">
        <f t="shared" si="74"/>
        <v>0</v>
      </c>
      <c r="F61" s="167">
        <f t="shared" si="74"/>
        <v>0</v>
      </c>
      <c r="G61" s="167">
        <f t="shared" si="74"/>
        <v>0</v>
      </c>
      <c r="H61" s="167">
        <f t="shared" si="74"/>
        <v>0</v>
      </c>
      <c r="I61" s="167">
        <f t="shared" si="74"/>
        <v>0</v>
      </c>
      <c r="J61" s="167">
        <f t="shared" si="74"/>
        <v>0</v>
      </c>
      <c r="K61" s="167">
        <f t="shared" si="74"/>
        <v>0</v>
      </c>
      <c r="L61" s="167">
        <f t="shared" si="74"/>
        <v>0</v>
      </c>
      <c r="M61" s="167">
        <f t="shared" si="74"/>
        <v>0</v>
      </c>
      <c r="N61" s="167">
        <f t="shared" si="74"/>
        <v>0</v>
      </c>
      <c r="O61" s="167">
        <f t="shared" si="74"/>
        <v>0</v>
      </c>
      <c r="P61" s="167">
        <f t="shared" si="74"/>
        <v>0</v>
      </c>
      <c r="Q61" s="167">
        <f t="shared" si="74"/>
        <v>0</v>
      </c>
      <c r="R61" s="167">
        <f t="shared" si="74"/>
        <v>0</v>
      </c>
      <c r="S61" s="167">
        <f t="shared" si="74"/>
        <v>0</v>
      </c>
      <c r="T61" s="167">
        <f t="shared" si="74"/>
        <v>0</v>
      </c>
      <c r="U61" s="167">
        <f t="shared" si="74"/>
        <v>0</v>
      </c>
      <c r="V61" s="167">
        <f t="shared" si="74"/>
        <v>0</v>
      </c>
      <c r="W61" s="167">
        <f t="shared" si="74"/>
        <v>0</v>
      </c>
      <c r="X61" s="167">
        <f t="shared" si="74"/>
        <v>0</v>
      </c>
      <c r="Y61" s="167">
        <f t="shared" si="74"/>
        <v>0</v>
      </c>
      <c r="Z61" s="167">
        <f t="shared" si="74"/>
        <v>0</v>
      </c>
      <c r="AA61" s="167">
        <f t="shared" si="74"/>
        <v>0</v>
      </c>
      <c r="AB61" s="167">
        <f t="shared" si="74"/>
        <v>0</v>
      </c>
      <c r="AC61" s="167">
        <f t="shared" si="74"/>
        <v>0</v>
      </c>
      <c r="AD61" s="167">
        <f t="shared" si="74"/>
        <v>0</v>
      </c>
      <c r="AE61" s="167">
        <f t="shared" si="74"/>
        <v>0</v>
      </c>
      <c r="AF61" s="167">
        <f t="shared" si="74"/>
        <v>0</v>
      </c>
      <c r="AG61" s="167">
        <f t="shared" si="74"/>
        <v>0</v>
      </c>
      <c r="AH61" s="167">
        <f t="shared" si="74"/>
        <v>0</v>
      </c>
      <c r="AI61" s="167">
        <f t="shared" si="74"/>
        <v>0</v>
      </c>
      <c r="AJ61" s="167">
        <f t="shared" si="74"/>
        <v>0</v>
      </c>
      <c r="AK61" s="167">
        <f t="shared" si="74"/>
        <v>0</v>
      </c>
      <c r="AL61" s="167">
        <f t="shared" si="74"/>
        <v>0</v>
      </c>
      <c r="AM61" s="143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5"/>
      <c r="BA61" s="165"/>
      <c r="BB61" s="165"/>
      <c r="BC61" s="165"/>
      <c r="BD61" s="165"/>
      <c r="BE61" s="165"/>
      <c r="BF61" s="165"/>
      <c r="BG61" s="165"/>
      <c r="BH61" s="165"/>
      <c r="BI61" s="165"/>
      <c r="BJ61" s="165"/>
      <c r="BK61" s="165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</row>
    <row r="62" ht="32.25" customHeight="1">
      <c r="A62" s="165"/>
      <c r="B62" s="165"/>
      <c r="C62" s="166" t="s">
        <v>135</v>
      </c>
      <c r="D62" s="57">
        <f t="shared" ref="D62:AL62" si="75">COUNTIF(D$3:D$26,"*06中A*")</f>
        <v>0</v>
      </c>
      <c r="E62" s="57">
        <f t="shared" si="75"/>
        <v>0</v>
      </c>
      <c r="F62" s="57">
        <f t="shared" si="75"/>
        <v>0</v>
      </c>
      <c r="G62" s="57">
        <f t="shared" si="75"/>
        <v>0</v>
      </c>
      <c r="H62" s="57">
        <f t="shared" si="75"/>
        <v>0</v>
      </c>
      <c r="I62" s="57">
        <f t="shared" si="75"/>
        <v>0</v>
      </c>
      <c r="J62" s="57">
        <f t="shared" si="75"/>
        <v>0</v>
      </c>
      <c r="K62" s="57">
        <f t="shared" si="75"/>
        <v>0</v>
      </c>
      <c r="L62" s="57">
        <f t="shared" si="75"/>
        <v>0</v>
      </c>
      <c r="M62" s="57">
        <f t="shared" si="75"/>
        <v>0</v>
      </c>
      <c r="N62" s="57">
        <f t="shared" si="75"/>
        <v>0</v>
      </c>
      <c r="O62" s="57">
        <f t="shared" si="75"/>
        <v>0</v>
      </c>
      <c r="P62" s="57">
        <f t="shared" si="75"/>
        <v>0</v>
      </c>
      <c r="Q62" s="57">
        <f t="shared" si="75"/>
        <v>0</v>
      </c>
      <c r="R62" s="57">
        <f t="shared" si="75"/>
        <v>0</v>
      </c>
      <c r="S62" s="57">
        <f t="shared" si="75"/>
        <v>0</v>
      </c>
      <c r="T62" s="57">
        <f t="shared" si="75"/>
        <v>0</v>
      </c>
      <c r="U62" s="57">
        <f t="shared" si="75"/>
        <v>0</v>
      </c>
      <c r="V62" s="57">
        <f t="shared" si="75"/>
        <v>0</v>
      </c>
      <c r="W62" s="57">
        <f t="shared" si="75"/>
        <v>0</v>
      </c>
      <c r="X62" s="57">
        <f t="shared" si="75"/>
        <v>0</v>
      </c>
      <c r="Y62" s="57">
        <f t="shared" si="75"/>
        <v>0</v>
      </c>
      <c r="Z62" s="57">
        <f t="shared" si="75"/>
        <v>0</v>
      </c>
      <c r="AA62" s="57">
        <f t="shared" si="75"/>
        <v>0</v>
      </c>
      <c r="AB62" s="57">
        <f t="shared" si="75"/>
        <v>0</v>
      </c>
      <c r="AC62" s="57">
        <f t="shared" si="75"/>
        <v>0</v>
      </c>
      <c r="AD62" s="57">
        <f t="shared" si="75"/>
        <v>0</v>
      </c>
      <c r="AE62" s="57">
        <f t="shared" si="75"/>
        <v>0</v>
      </c>
      <c r="AF62" s="57">
        <f t="shared" si="75"/>
        <v>0</v>
      </c>
      <c r="AG62" s="57">
        <f t="shared" si="75"/>
        <v>0</v>
      </c>
      <c r="AH62" s="57">
        <f t="shared" si="75"/>
        <v>0</v>
      </c>
      <c r="AI62" s="57">
        <f t="shared" si="75"/>
        <v>0</v>
      </c>
      <c r="AJ62" s="57">
        <f t="shared" si="75"/>
        <v>0</v>
      </c>
      <c r="AK62" s="57">
        <f t="shared" si="75"/>
        <v>0</v>
      </c>
      <c r="AL62" s="57">
        <f t="shared" si="75"/>
        <v>0</v>
      </c>
      <c r="AM62" s="143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5"/>
      <c r="BA62" s="165"/>
      <c r="BB62" s="165"/>
      <c r="BC62" s="165"/>
      <c r="BD62" s="165"/>
      <c r="BE62" s="165"/>
      <c r="BF62" s="165"/>
      <c r="BG62" s="165"/>
      <c r="BH62" s="165"/>
      <c r="BI62" s="165"/>
      <c r="BJ62" s="165"/>
      <c r="BK62" s="165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</row>
    <row r="63" ht="32.25" customHeight="1">
      <c r="A63" s="165"/>
      <c r="B63" s="165"/>
      <c r="C63" s="166" t="s">
        <v>136</v>
      </c>
      <c r="D63" s="57">
        <f t="shared" ref="D63:AL63" si="76">COUNTIF(D$3:D$26,"*06午*")</f>
        <v>0</v>
      </c>
      <c r="E63" s="57">
        <f t="shared" si="76"/>
        <v>0</v>
      </c>
      <c r="F63" s="57">
        <f t="shared" si="76"/>
        <v>0</v>
      </c>
      <c r="G63" s="57">
        <f t="shared" si="76"/>
        <v>0</v>
      </c>
      <c r="H63" s="57">
        <f t="shared" si="76"/>
        <v>0</v>
      </c>
      <c r="I63" s="57">
        <f t="shared" si="76"/>
        <v>0</v>
      </c>
      <c r="J63" s="57">
        <f t="shared" si="76"/>
        <v>0</v>
      </c>
      <c r="K63" s="57">
        <f t="shared" si="76"/>
        <v>0</v>
      </c>
      <c r="L63" s="57">
        <f t="shared" si="76"/>
        <v>0</v>
      </c>
      <c r="M63" s="57">
        <f t="shared" si="76"/>
        <v>0</v>
      </c>
      <c r="N63" s="57">
        <f t="shared" si="76"/>
        <v>0</v>
      </c>
      <c r="O63" s="57">
        <f t="shared" si="76"/>
        <v>0</v>
      </c>
      <c r="P63" s="57">
        <f t="shared" si="76"/>
        <v>0</v>
      </c>
      <c r="Q63" s="57">
        <f t="shared" si="76"/>
        <v>0</v>
      </c>
      <c r="R63" s="57">
        <f t="shared" si="76"/>
        <v>0</v>
      </c>
      <c r="S63" s="57">
        <f t="shared" si="76"/>
        <v>0</v>
      </c>
      <c r="T63" s="57">
        <f t="shared" si="76"/>
        <v>0</v>
      </c>
      <c r="U63" s="57">
        <f t="shared" si="76"/>
        <v>0</v>
      </c>
      <c r="V63" s="57">
        <f t="shared" si="76"/>
        <v>0</v>
      </c>
      <c r="W63" s="57">
        <f t="shared" si="76"/>
        <v>0</v>
      </c>
      <c r="X63" s="57">
        <f t="shared" si="76"/>
        <v>0</v>
      </c>
      <c r="Y63" s="57">
        <f t="shared" si="76"/>
        <v>0</v>
      </c>
      <c r="Z63" s="57">
        <f t="shared" si="76"/>
        <v>0</v>
      </c>
      <c r="AA63" s="57">
        <f t="shared" si="76"/>
        <v>0</v>
      </c>
      <c r="AB63" s="57">
        <f t="shared" si="76"/>
        <v>0</v>
      </c>
      <c r="AC63" s="57">
        <f t="shared" si="76"/>
        <v>0</v>
      </c>
      <c r="AD63" s="57">
        <f t="shared" si="76"/>
        <v>0</v>
      </c>
      <c r="AE63" s="57">
        <f t="shared" si="76"/>
        <v>0</v>
      </c>
      <c r="AF63" s="57">
        <f t="shared" si="76"/>
        <v>0</v>
      </c>
      <c r="AG63" s="57">
        <f t="shared" si="76"/>
        <v>0</v>
      </c>
      <c r="AH63" s="57">
        <f t="shared" si="76"/>
        <v>0</v>
      </c>
      <c r="AI63" s="57">
        <f t="shared" si="76"/>
        <v>0</v>
      </c>
      <c r="AJ63" s="57">
        <f t="shared" si="76"/>
        <v>0</v>
      </c>
      <c r="AK63" s="57">
        <f t="shared" si="76"/>
        <v>0</v>
      </c>
      <c r="AL63" s="57">
        <f t="shared" si="76"/>
        <v>0</v>
      </c>
      <c r="AM63" s="143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5"/>
      <c r="BA63" s="165"/>
      <c r="BB63" s="165"/>
      <c r="BC63" s="165"/>
      <c r="BD63" s="165"/>
      <c r="BE63" s="165"/>
      <c r="BF63" s="165"/>
      <c r="BG63" s="165"/>
      <c r="BH63" s="165"/>
      <c r="BI63" s="165"/>
      <c r="BJ63" s="165"/>
      <c r="BK63" s="165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</row>
    <row r="64" ht="36.0" customHeight="1">
      <c r="A64" s="165"/>
      <c r="B64" s="165"/>
      <c r="C64" s="168" t="s">
        <v>137</v>
      </c>
      <c r="D64" s="169">
        <f t="shared" ref="D64:AL64" si="77">COUNTIF(D$3:D$26,"*06夜*")</f>
        <v>0</v>
      </c>
      <c r="E64" s="169">
        <f t="shared" si="77"/>
        <v>0</v>
      </c>
      <c r="F64" s="169">
        <f t="shared" si="77"/>
        <v>0</v>
      </c>
      <c r="G64" s="169">
        <f t="shared" si="77"/>
        <v>0</v>
      </c>
      <c r="H64" s="169">
        <f t="shared" si="77"/>
        <v>0</v>
      </c>
      <c r="I64" s="169">
        <f t="shared" si="77"/>
        <v>0</v>
      </c>
      <c r="J64" s="169">
        <f t="shared" si="77"/>
        <v>0</v>
      </c>
      <c r="K64" s="169">
        <f t="shared" si="77"/>
        <v>0</v>
      </c>
      <c r="L64" s="169">
        <f t="shared" si="77"/>
        <v>0</v>
      </c>
      <c r="M64" s="169">
        <f t="shared" si="77"/>
        <v>0</v>
      </c>
      <c r="N64" s="169">
        <f t="shared" si="77"/>
        <v>0</v>
      </c>
      <c r="O64" s="169">
        <f t="shared" si="77"/>
        <v>0</v>
      </c>
      <c r="P64" s="169">
        <f t="shared" si="77"/>
        <v>0</v>
      </c>
      <c r="Q64" s="169">
        <f t="shared" si="77"/>
        <v>0</v>
      </c>
      <c r="R64" s="169">
        <f t="shared" si="77"/>
        <v>0</v>
      </c>
      <c r="S64" s="169">
        <f t="shared" si="77"/>
        <v>0</v>
      </c>
      <c r="T64" s="169">
        <f t="shared" si="77"/>
        <v>0</v>
      </c>
      <c r="U64" s="169">
        <f t="shared" si="77"/>
        <v>0</v>
      </c>
      <c r="V64" s="169">
        <f t="shared" si="77"/>
        <v>0</v>
      </c>
      <c r="W64" s="169">
        <f t="shared" si="77"/>
        <v>0</v>
      </c>
      <c r="X64" s="169">
        <f t="shared" si="77"/>
        <v>0</v>
      </c>
      <c r="Y64" s="169">
        <f t="shared" si="77"/>
        <v>0</v>
      </c>
      <c r="Z64" s="169">
        <f t="shared" si="77"/>
        <v>0</v>
      </c>
      <c r="AA64" s="169">
        <f t="shared" si="77"/>
        <v>0</v>
      </c>
      <c r="AB64" s="169">
        <f t="shared" si="77"/>
        <v>0</v>
      </c>
      <c r="AC64" s="169">
        <f t="shared" si="77"/>
        <v>0</v>
      </c>
      <c r="AD64" s="169">
        <f t="shared" si="77"/>
        <v>0</v>
      </c>
      <c r="AE64" s="169">
        <f t="shared" si="77"/>
        <v>0</v>
      </c>
      <c r="AF64" s="169">
        <f t="shared" si="77"/>
        <v>0</v>
      </c>
      <c r="AG64" s="169">
        <f t="shared" si="77"/>
        <v>0</v>
      </c>
      <c r="AH64" s="169">
        <f t="shared" si="77"/>
        <v>0</v>
      </c>
      <c r="AI64" s="169">
        <f t="shared" si="77"/>
        <v>0</v>
      </c>
      <c r="AJ64" s="169">
        <f t="shared" si="77"/>
        <v>0</v>
      </c>
      <c r="AK64" s="169">
        <f t="shared" si="77"/>
        <v>0</v>
      </c>
      <c r="AL64" s="169">
        <f t="shared" si="77"/>
        <v>0</v>
      </c>
      <c r="AM64" s="143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5"/>
      <c r="BA64" s="165"/>
      <c r="BB64" s="165"/>
      <c r="BC64" s="165"/>
      <c r="BD64" s="165"/>
      <c r="BE64" s="165"/>
      <c r="BF64" s="165"/>
      <c r="BG64" s="165"/>
      <c r="BH64" s="165"/>
      <c r="BI64" s="165"/>
      <c r="BJ64" s="165"/>
      <c r="BK64" s="165"/>
      <c r="BL64" s="164"/>
      <c r="BM64" s="164"/>
      <c r="BN64" s="164"/>
      <c r="BO64" s="164"/>
      <c r="BP64" s="164"/>
      <c r="BQ64" s="164"/>
      <c r="BR64" s="164"/>
      <c r="BS64" s="164"/>
      <c r="BT64" s="22"/>
      <c r="BU64" s="164"/>
    </row>
    <row r="65" ht="16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172"/>
      <c r="AA65" s="172"/>
      <c r="AB65" s="172"/>
      <c r="AC65" s="22"/>
      <c r="AD65" s="22"/>
      <c r="AE65" s="22"/>
      <c r="AF65" s="22"/>
      <c r="AG65" s="172"/>
      <c r="AH65" s="172"/>
      <c r="AI65" s="172"/>
      <c r="AJ65" s="172"/>
      <c r="AK65" s="172"/>
      <c r="AL65" s="17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</row>
    <row r="66" ht="16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172"/>
      <c r="AA66" s="172"/>
      <c r="AB66" s="172"/>
      <c r="AC66" s="22"/>
      <c r="AD66" s="22"/>
      <c r="AE66" s="22"/>
      <c r="AF66" s="22"/>
      <c r="AG66" s="172"/>
      <c r="AH66" s="172"/>
      <c r="AI66" s="172"/>
      <c r="AJ66" s="172"/>
      <c r="AK66" s="172"/>
      <c r="AL66" s="17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</row>
    <row r="67" ht="16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172"/>
      <c r="AA67" s="172"/>
      <c r="AB67" s="172"/>
      <c r="AC67" s="22"/>
      <c r="AD67" s="22"/>
      <c r="AE67" s="22"/>
      <c r="AF67" s="22"/>
      <c r="AG67" s="172"/>
      <c r="AH67" s="172"/>
      <c r="AI67" s="172"/>
      <c r="AJ67" s="172"/>
      <c r="AK67" s="172"/>
      <c r="AL67" s="17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</row>
    <row r="68" ht="16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172"/>
      <c r="AA68" s="172"/>
      <c r="AB68" s="172"/>
      <c r="AC68" s="22"/>
      <c r="AD68" s="22"/>
      <c r="AE68" s="22"/>
      <c r="AF68" s="22"/>
      <c r="AG68" s="172"/>
      <c r="AH68" s="172"/>
      <c r="AI68" s="172"/>
      <c r="AJ68" s="172"/>
      <c r="AK68" s="172"/>
      <c r="AL68" s="17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</row>
    <row r="69" ht="16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172"/>
      <c r="AA69" s="172"/>
      <c r="AB69" s="172"/>
      <c r="AC69" s="22"/>
      <c r="AD69" s="22"/>
      <c r="AE69" s="22"/>
      <c r="AF69" s="22"/>
      <c r="AG69" s="172"/>
      <c r="AH69" s="172"/>
      <c r="AI69" s="172"/>
      <c r="AJ69" s="172"/>
      <c r="AK69" s="172"/>
      <c r="AL69" s="17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</row>
    <row r="70" ht="16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172"/>
      <c r="AA70" s="172"/>
      <c r="AB70" s="172"/>
      <c r="AC70" s="22"/>
      <c r="AD70" s="22"/>
      <c r="AE70" s="22"/>
      <c r="AF70" s="22"/>
      <c r="AG70" s="172"/>
      <c r="AH70" s="172"/>
      <c r="AI70" s="172"/>
      <c r="AJ70" s="172"/>
      <c r="AK70" s="172"/>
      <c r="AL70" s="17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</row>
    <row r="71" ht="16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172"/>
      <c r="AA71" s="172"/>
      <c r="AB71" s="172"/>
      <c r="AC71" s="22"/>
      <c r="AD71" s="22"/>
      <c r="AE71" s="22"/>
      <c r="AF71" s="22"/>
      <c r="AG71" s="172"/>
      <c r="AH71" s="172"/>
      <c r="AI71" s="172"/>
      <c r="AJ71" s="172"/>
      <c r="AK71" s="172"/>
      <c r="AL71" s="17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</row>
    <row r="72" ht="16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172"/>
      <c r="AA72" s="172"/>
      <c r="AB72" s="172"/>
      <c r="AC72" s="22"/>
      <c r="AD72" s="22"/>
      <c r="AE72" s="22"/>
      <c r="AF72" s="22"/>
      <c r="AG72" s="172"/>
      <c r="AH72" s="172"/>
      <c r="AI72" s="172"/>
      <c r="AJ72" s="172"/>
      <c r="AK72" s="172"/>
      <c r="AL72" s="17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</row>
    <row r="73" ht="16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172"/>
      <c r="AA73" s="172"/>
      <c r="AB73" s="172"/>
      <c r="AC73" s="22"/>
      <c r="AD73" s="22"/>
      <c r="AE73" s="22"/>
      <c r="AF73" s="22"/>
      <c r="AG73" s="172"/>
      <c r="AH73" s="172"/>
      <c r="AI73" s="172"/>
      <c r="AJ73" s="172"/>
      <c r="AK73" s="172"/>
      <c r="AL73" s="17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</row>
    <row r="74" ht="16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172"/>
      <c r="AA74" s="172"/>
      <c r="AB74" s="172"/>
      <c r="AC74" s="22"/>
      <c r="AD74" s="22"/>
      <c r="AE74" s="22"/>
      <c r="AF74" s="22"/>
      <c r="AG74" s="172"/>
      <c r="AH74" s="172"/>
      <c r="AI74" s="172"/>
      <c r="AJ74" s="172"/>
      <c r="AK74" s="172"/>
      <c r="AL74" s="17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</row>
    <row r="75" ht="16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172"/>
      <c r="AA75" s="172"/>
      <c r="AB75" s="172"/>
      <c r="AC75" s="22"/>
      <c r="AD75" s="22"/>
      <c r="AE75" s="22"/>
      <c r="AF75" s="22"/>
      <c r="AG75" s="172"/>
      <c r="AH75" s="172"/>
      <c r="AI75" s="172"/>
      <c r="AJ75" s="172"/>
      <c r="AK75" s="172"/>
      <c r="AL75" s="17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</row>
    <row r="76" ht="16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172"/>
      <c r="AA76" s="172"/>
      <c r="AB76" s="172"/>
      <c r="AC76" s="22"/>
      <c r="AD76" s="22"/>
      <c r="AE76" s="22"/>
      <c r="AF76" s="22"/>
      <c r="AG76" s="172"/>
      <c r="AH76" s="172"/>
      <c r="AI76" s="172"/>
      <c r="AJ76" s="172"/>
      <c r="AK76" s="172"/>
      <c r="AL76" s="17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</row>
    <row r="77" ht="16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172"/>
      <c r="AA77" s="172"/>
      <c r="AB77" s="172"/>
      <c r="AC77" s="22"/>
      <c r="AD77" s="22"/>
      <c r="AE77" s="22"/>
      <c r="AF77" s="22"/>
      <c r="AG77" s="172"/>
      <c r="AH77" s="172"/>
      <c r="AI77" s="172"/>
      <c r="AJ77" s="172"/>
      <c r="AK77" s="172"/>
      <c r="AL77" s="17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</row>
    <row r="78" ht="16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172"/>
      <c r="AA78" s="172"/>
      <c r="AB78" s="172"/>
      <c r="AC78" s="22"/>
      <c r="AD78" s="22"/>
      <c r="AE78" s="22"/>
      <c r="AF78" s="22"/>
      <c r="AG78" s="172"/>
      <c r="AH78" s="172"/>
      <c r="AI78" s="172"/>
      <c r="AJ78" s="172"/>
      <c r="AK78" s="172"/>
      <c r="AL78" s="17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</row>
    <row r="79" ht="16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172"/>
      <c r="AA79" s="172"/>
      <c r="AB79" s="172"/>
      <c r="AC79" s="22"/>
      <c r="AD79" s="22"/>
      <c r="AE79" s="22"/>
      <c r="AF79" s="22"/>
      <c r="AG79" s="172"/>
      <c r="AH79" s="172"/>
      <c r="AI79" s="172"/>
      <c r="AJ79" s="172"/>
      <c r="AK79" s="172"/>
      <c r="AL79" s="17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</row>
    <row r="80" ht="16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172"/>
      <c r="AA80" s="172"/>
      <c r="AB80" s="172"/>
      <c r="AC80" s="22"/>
      <c r="AD80" s="22"/>
      <c r="AE80" s="22"/>
      <c r="AF80" s="22"/>
      <c r="AG80" s="172"/>
      <c r="AH80" s="172"/>
      <c r="AI80" s="172"/>
      <c r="AJ80" s="172"/>
      <c r="AK80" s="172"/>
      <c r="AL80" s="17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</row>
    <row r="81" ht="16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172"/>
      <c r="AA81" s="172"/>
      <c r="AB81" s="172"/>
      <c r="AC81" s="22"/>
      <c r="AD81" s="22"/>
      <c r="AE81" s="22"/>
      <c r="AF81" s="22"/>
      <c r="AG81" s="172"/>
      <c r="AH81" s="172"/>
      <c r="AI81" s="172"/>
      <c r="AJ81" s="172"/>
      <c r="AK81" s="172"/>
      <c r="AL81" s="17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</row>
    <row r="82" ht="16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172"/>
      <c r="AA82" s="172"/>
      <c r="AB82" s="172"/>
      <c r="AC82" s="22"/>
      <c r="AD82" s="22"/>
      <c r="AE82" s="22"/>
      <c r="AF82" s="22"/>
      <c r="AG82" s="172"/>
      <c r="AH82" s="172"/>
      <c r="AI82" s="172"/>
      <c r="AJ82" s="172"/>
      <c r="AK82" s="172"/>
      <c r="AL82" s="17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</row>
    <row r="83" ht="16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172"/>
      <c r="AA83" s="172"/>
      <c r="AB83" s="172"/>
      <c r="AC83" s="22"/>
      <c r="AD83" s="22"/>
      <c r="AE83" s="22"/>
      <c r="AF83" s="22"/>
      <c r="AG83" s="172"/>
      <c r="AH83" s="172"/>
      <c r="AI83" s="172"/>
      <c r="AJ83" s="172"/>
      <c r="AK83" s="172"/>
      <c r="AL83" s="17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</row>
    <row r="84" ht="16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172"/>
      <c r="AA84" s="172"/>
      <c r="AB84" s="172"/>
      <c r="AC84" s="22"/>
      <c r="AD84" s="22"/>
      <c r="AE84" s="22"/>
      <c r="AF84" s="22"/>
      <c r="AG84" s="172"/>
      <c r="AH84" s="172"/>
      <c r="AI84" s="172"/>
      <c r="AJ84" s="172"/>
      <c r="AK84" s="172"/>
      <c r="AL84" s="17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</row>
    <row r="85" ht="16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172"/>
      <c r="AA85" s="172"/>
      <c r="AB85" s="172"/>
      <c r="AC85" s="22"/>
      <c r="AD85" s="22"/>
      <c r="AE85" s="22"/>
      <c r="AF85" s="22"/>
      <c r="AG85" s="172"/>
      <c r="AH85" s="172"/>
      <c r="AI85" s="172"/>
      <c r="AJ85" s="172"/>
      <c r="AK85" s="172"/>
      <c r="AL85" s="17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</row>
    <row r="86" ht="16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172"/>
      <c r="AA86" s="172"/>
      <c r="AB86" s="172"/>
      <c r="AC86" s="22"/>
      <c r="AD86" s="22"/>
      <c r="AE86" s="22"/>
      <c r="AF86" s="22"/>
      <c r="AG86" s="172"/>
      <c r="AH86" s="172"/>
      <c r="AI86" s="172"/>
      <c r="AJ86" s="172"/>
      <c r="AK86" s="172"/>
      <c r="AL86" s="17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</row>
    <row r="87" ht="16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172"/>
      <c r="AA87" s="172"/>
      <c r="AB87" s="172"/>
      <c r="AC87" s="22"/>
      <c r="AD87" s="22"/>
      <c r="AE87" s="22"/>
      <c r="AF87" s="22"/>
      <c r="AG87" s="172"/>
      <c r="AH87" s="172"/>
      <c r="AI87" s="172"/>
      <c r="AJ87" s="172"/>
      <c r="AK87" s="172"/>
      <c r="AL87" s="17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</row>
    <row r="88" ht="16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172"/>
      <c r="AA88" s="172"/>
      <c r="AB88" s="172"/>
      <c r="AC88" s="22"/>
      <c r="AD88" s="22"/>
      <c r="AE88" s="22"/>
      <c r="AF88" s="22"/>
      <c r="AG88" s="172"/>
      <c r="AH88" s="172"/>
      <c r="AI88" s="172"/>
      <c r="AJ88" s="172"/>
      <c r="AK88" s="172"/>
      <c r="AL88" s="17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</row>
    <row r="89" ht="16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172"/>
      <c r="AA89" s="172"/>
      <c r="AB89" s="172"/>
      <c r="AC89" s="22"/>
      <c r="AD89" s="22"/>
      <c r="AE89" s="22"/>
      <c r="AF89" s="22"/>
      <c r="AG89" s="172"/>
      <c r="AH89" s="172"/>
      <c r="AI89" s="172"/>
      <c r="AJ89" s="172"/>
      <c r="AK89" s="172"/>
      <c r="AL89" s="17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</row>
    <row r="90" ht="16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172"/>
      <c r="AA90" s="172"/>
      <c r="AB90" s="172"/>
      <c r="AC90" s="22"/>
      <c r="AD90" s="22"/>
      <c r="AE90" s="22"/>
      <c r="AF90" s="22"/>
      <c r="AG90" s="172"/>
      <c r="AH90" s="172"/>
      <c r="AI90" s="172"/>
      <c r="AJ90" s="172"/>
      <c r="AK90" s="172"/>
      <c r="AL90" s="17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</row>
    <row r="91" ht="16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172"/>
      <c r="AA91" s="172"/>
      <c r="AB91" s="172"/>
      <c r="AC91" s="22"/>
      <c r="AD91" s="22"/>
      <c r="AE91" s="22"/>
      <c r="AF91" s="22"/>
      <c r="AG91" s="172"/>
      <c r="AH91" s="172"/>
      <c r="AI91" s="172"/>
      <c r="AJ91" s="172"/>
      <c r="AK91" s="172"/>
      <c r="AL91" s="17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</row>
    <row r="92" ht="16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172"/>
      <c r="AA92" s="172"/>
      <c r="AB92" s="172"/>
      <c r="AC92" s="22"/>
      <c r="AD92" s="22"/>
      <c r="AE92" s="22"/>
      <c r="AF92" s="22"/>
      <c r="AG92" s="172"/>
      <c r="AH92" s="172"/>
      <c r="AI92" s="172"/>
      <c r="AJ92" s="172"/>
      <c r="AK92" s="172"/>
      <c r="AL92" s="17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</row>
    <row r="93" ht="16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172"/>
      <c r="AA93" s="172"/>
      <c r="AB93" s="172"/>
      <c r="AC93" s="22"/>
      <c r="AD93" s="22"/>
      <c r="AE93" s="22"/>
      <c r="AF93" s="22"/>
      <c r="AG93" s="172"/>
      <c r="AH93" s="172"/>
      <c r="AI93" s="172"/>
      <c r="AJ93" s="172"/>
      <c r="AK93" s="172"/>
      <c r="AL93" s="17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</row>
    <row r="94" ht="16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172"/>
      <c r="AA94" s="172"/>
      <c r="AB94" s="172"/>
      <c r="AC94" s="22"/>
      <c r="AD94" s="22"/>
      <c r="AE94" s="22"/>
      <c r="AF94" s="22"/>
      <c r="AG94" s="172"/>
      <c r="AH94" s="172"/>
      <c r="AI94" s="172"/>
      <c r="AJ94" s="172"/>
      <c r="AK94" s="172"/>
      <c r="AL94" s="17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</row>
    <row r="95" ht="16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172"/>
      <c r="AA95" s="172"/>
      <c r="AB95" s="172"/>
      <c r="AC95" s="22"/>
      <c r="AD95" s="22"/>
      <c r="AE95" s="22"/>
      <c r="AF95" s="22"/>
      <c r="AG95" s="172"/>
      <c r="AH95" s="172"/>
      <c r="AI95" s="172"/>
      <c r="AJ95" s="172"/>
      <c r="AK95" s="172"/>
      <c r="AL95" s="17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</row>
    <row r="96" ht="16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172"/>
      <c r="AA96" s="172"/>
      <c r="AB96" s="172"/>
      <c r="AC96" s="22"/>
      <c r="AD96" s="22"/>
      <c r="AE96" s="22"/>
      <c r="AF96" s="22"/>
      <c r="AG96" s="172"/>
      <c r="AH96" s="172"/>
      <c r="AI96" s="172"/>
      <c r="AJ96" s="172"/>
      <c r="AK96" s="172"/>
      <c r="AL96" s="17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</row>
    <row r="97" ht="16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172"/>
      <c r="AA97" s="172"/>
      <c r="AB97" s="172"/>
      <c r="AC97" s="22"/>
      <c r="AD97" s="22"/>
      <c r="AE97" s="22"/>
      <c r="AF97" s="22"/>
      <c r="AG97" s="172"/>
      <c r="AH97" s="172"/>
      <c r="AI97" s="172"/>
      <c r="AJ97" s="172"/>
      <c r="AK97" s="172"/>
      <c r="AL97" s="17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</row>
    <row r="98" ht="16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172"/>
      <c r="AA98" s="172"/>
      <c r="AB98" s="172"/>
      <c r="AC98" s="22"/>
      <c r="AD98" s="22"/>
      <c r="AE98" s="22"/>
      <c r="AF98" s="22"/>
      <c r="AG98" s="172"/>
      <c r="AH98" s="172"/>
      <c r="AI98" s="172"/>
      <c r="AJ98" s="172"/>
      <c r="AK98" s="172"/>
      <c r="AL98" s="17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</row>
    <row r="99" ht="16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172"/>
      <c r="AA99" s="172"/>
      <c r="AB99" s="172"/>
      <c r="AC99" s="22"/>
      <c r="AD99" s="22"/>
      <c r="AE99" s="22"/>
      <c r="AF99" s="22"/>
      <c r="AG99" s="172"/>
      <c r="AH99" s="172"/>
      <c r="AI99" s="172"/>
      <c r="AJ99" s="172"/>
      <c r="AK99" s="172"/>
      <c r="AL99" s="17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</row>
    <row r="100" ht="16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172"/>
      <c r="AA100" s="172"/>
      <c r="AB100" s="172"/>
      <c r="AC100" s="22"/>
      <c r="AD100" s="22"/>
      <c r="AE100" s="22"/>
      <c r="AF100" s="22"/>
      <c r="AG100" s="172"/>
      <c r="AH100" s="172"/>
      <c r="AI100" s="172"/>
      <c r="AJ100" s="172"/>
      <c r="AK100" s="172"/>
      <c r="AL100" s="17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</row>
    <row r="101" ht="16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172"/>
      <c r="AA101" s="172"/>
      <c r="AB101" s="172"/>
      <c r="AC101" s="22"/>
      <c r="AD101" s="22"/>
      <c r="AE101" s="22"/>
      <c r="AF101" s="22"/>
      <c r="AG101" s="172"/>
      <c r="AH101" s="172"/>
      <c r="AI101" s="172"/>
      <c r="AJ101" s="172"/>
      <c r="AK101" s="172"/>
      <c r="AL101" s="17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</row>
    <row r="102" ht="16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172"/>
      <c r="AA102" s="172"/>
      <c r="AB102" s="172"/>
      <c r="AC102" s="22"/>
      <c r="AD102" s="22"/>
      <c r="AE102" s="22"/>
      <c r="AF102" s="22"/>
      <c r="AG102" s="172"/>
      <c r="AH102" s="172"/>
      <c r="AI102" s="172"/>
      <c r="AJ102" s="172"/>
      <c r="AK102" s="172"/>
      <c r="AL102" s="17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</row>
    <row r="103" ht="16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172"/>
      <c r="AA103" s="172"/>
      <c r="AB103" s="172"/>
      <c r="AC103" s="22"/>
      <c r="AD103" s="22"/>
      <c r="AE103" s="22"/>
      <c r="AF103" s="22"/>
      <c r="AG103" s="172"/>
      <c r="AH103" s="172"/>
      <c r="AI103" s="172"/>
      <c r="AJ103" s="172"/>
      <c r="AK103" s="172"/>
      <c r="AL103" s="17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</row>
    <row r="104" ht="16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172"/>
      <c r="AA104" s="172"/>
      <c r="AB104" s="172"/>
      <c r="AC104" s="22"/>
      <c r="AD104" s="22"/>
      <c r="AE104" s="22"/>
      <c r="AF104" s="22"/>
      <c r="AG104" s="172"/>
      <c r="AH104" s="172"/>
      <c r="AI104" s="172"/>
      <c r="AJ104" s="172"/>
      <c r="AK104" s="172"/>
      <c r="AL104" s="17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</row>
    <row r="105" ht="16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172"/>
      <c r="AA105" s="172"/>
      <c r="AB105" s="172"/>
      <c r="AC105" s="22"/>
      <c r="AD105" s="22"/>
      <c r="AE105" s="22"/>
      <c r="AF105" s="22"/>
      <c r="AG105" s="172"/>
      <c r="AH105" s="172"/>
      <c r="AI105" s="172"/>
      <c r="AJ105" s="172"/>
      <c r="AK105" s="172"/>
      <c r="AL105" s="17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</row>
    <row r="106" ht="16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172"/>
      <c r="AA106" s="172"/>
      <c r="AB106" s="172"/>
      <c r="AC106" s="22"/>
      <c r="AD106" s="22"/>
      <c r="AE106" s="22"/>
      <c r="AF106" s="22"/>
      <c r="AG106" s="172"/>
      <c r="AH106" s="172"/>
      <c r="AI106" s="172"/>
      <c r="AJ106" s="172"/>
      <c r="AK106" s="172"/>
      <c r="AL106" s="17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</row>
    <row r="107" ht="16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172"/>
      <c r="AA107" s="172"/>
      <c r="AB107" s="172"/>
      <c r="AC107" s="22"/>
      <c r="AD107" s="22"/>
      <c r="AE107" s="22"/>
      <c r="AF107" s="22"/>
      <c r="AG107" s="172"/>
      <c r="AH107" s="172"/>
      <c r="AI107" s="172"/>
      <c r="AJ107" s="172"/>
      <c r="AK107" s="172"/>
      <c r="AL107" s="17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</row>
    <row r="108" ht="16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172"/>
      <c r="AA108" s="172"/>
      <c r="AB108" s="172"/>
      <c r="AC108" s="22"/>
      <c r="AD108" s="22"/>
      <c r="AE108" s="22"/>
      <c r="AF108" s="22"/>
      <c r="AG108" s="172"/>
      <c r="AH108" s="172"/>
      <c r="AI108" s="172"/>
      <c r="AJ108" s="172"/>
      <c r="AK108" s="172"/>
      <c r="AL108" s="17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</row>
    <row r="109" ht="16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172"/>
      <c r="AA109" s="172"/>
      <c r="AB109" s="172"/>
      <c r="AC109" s="22"/>
      <c r="AD109" s="22"/>
      <c r="AE109" s="22"/>
      <c r="AF109" s="22"/>
      <c r="AG109" s="172"/>
      <c r="AH109" s="172"/>
      <c r="AI109" s="172"/>
      <c r="AJ109" s="172"/>
      <c r="AK109" s="172"/>
      <c r="AL109" s="17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</row>
    <row r="110" ht="16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172"/>
      <c r="AA110" s="172"/>
      <c r="AB110" s="172"/>
      <c r="AC110" s="22"/>
      <c r="AD110" s="22"/>
      <c r="AE110" s="22"/>
      <c r="AF110" s="22"/>
      <c r="AG110" s="172"/>
      <c r="AH110" s="172"/>
      <c r="AI110" s="172"/>
      <c r="AJ110" s="172"/>
      <c r="AK110" s="172"/>
      <c r="AL110" s="17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</row>
    <row r="111" ht="16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172"/>
      <c r="AA111" s="172"/>
      <c r="AB111" s="172"/>
      <c r="AC111" s="22"/>
      <c r="AD111" s="22"/>
      <c r="AE111" s="22"/>
      <c r="AF111" s="22"/>
      <c r="AG111" s="172"/>
      <c r="AH111" s="172"/>
      <c r="AI111" s="172"/>
      <c r="AJ111" s="172"/>
      <c r="AK111" s="172"/>
      <c r="AL111" s="17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</row>
    <row r="112" ht="16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172"/>
      <c r="AA112" s="172"/>
      <c r="AB112" s="172"/>
      <c r="AC112" s="22"/>
      <c r="AD112" s="22"/>
      <c r="AE112" s="22"/>
      <c r="AF112" s="22"/>
      <c r="AG112" s="172"/>
      <c r="AH112" s="172"/>
      <c r="AI112" s="172"/>
      <c r="AJ112" s="172"/>
      <c r="AK112" s="172"/>
      <c r="AL112" s="17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</row>
    <row r="113" ht="16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172"/>
      <c r="AA113" s="172"/>
      <c r="AB113" s="172"/>
      <c r="AC113" s="22"/>
      <c r="AD113" s="22"/>
      <c r="AE113" s="22"/>
      <c r="AF113" s="22"/>
      <c r="AG113" s="172"/>
      <c r="AH113" s="172"/>
      <c r="AI113" s="172"/>
      <c r="AJ113" s="172"/>
      <c r="AK113" s="172"/>
      <c r="AL113" s="17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</row>
    <row r="114" ht="16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172"/>
      <c r="AA114" s="172"/>
      <c r="AB114" s="172"/>
      <c r="AC114" s="22"/>
      <c r="AD114" s="22"/>
      <c r="AE114" s="22"/>
      <c r="AF114" s="22"/>
      <c r="AG114" s="172"/>
      <c r="AH114" s="172"/>
      <c r="AI114" s="172"/>
      <c r="AJ114" s="172"/>
      <c r="AK114" s="172"/>
      <c r="AL114" s="17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</row>
    <row r="115" ht="16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172"/>
      <c r="AA115" s="172"/>
      <c r="AB115" s="172"/>
      <c r="AC115" s="22"/>
      <c r="AD115" s="22"/>
      <c r="AE115" s="22"/>
      <c r="AF115" s="22"/>
      <c r="AG115" s="172"/>
      <c r="AH115" s="172"/>
      <c r="AI115" s="172"/>
      <c r="AJ115" s="172"/>
      <c r="AK115" s="172"/>
      <c r="AL115" s="17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</row>
    <row r="116" ht="16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172"/>
      <c r="AA116" s="172"/>
      <c r="AB116" s="172"/>
      <c r="AC116" s="22"/>
      <c r="AD116" s="22"/>
      <c r="AE116" s="22"/>
      <c r="AF116" s="22"/>
      <c r="AG116" s="172"/>
      <c r="AH116" s="172"/>
      <c r="AI116" s="172"/>
      <c r="AJ116" s="172"/>
      <c r="AK116" s="172"/>
      <c r="AL116" s="17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</row>
    <row r="117" ht="16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172"/>
      <c r="AA117" s="172"/>
      <c r="AB117" s="172"/>
      <c r="AC117" s="22"/>
      <c r="AD117" s="22"/>
      <c r="AE117" s="22"/>
      <c r="AF117" s="22"/>
      <c r="AG117" s="172"/>
      <c r="AH117" s="172"/>
      <c r="AI117" s="172"/>
      <c r="AJ117" s="172"/>
      <c r="AK117" s="172"/>
      <c r="AL117" s="17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</row>
    <row r="118" ht="16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172"/>
      <c r="AA118" s="172"/>
      <c r="AB118" s="172"/>
      <c r="AC118" s="22"/>
      <c r="AD118" s="22"/>
      <c r="AE118" s="22"/>
      <c r="AF118" s="22"/>
      <c r="AG118" s="172"/>
      <c r="AH118" s="172"/>
      <c r="AI118" s="172"/>
      <c r="AJ118" s="172"/>
      <c r="AK118" s="172"/>
      <c r="AL118" s="17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</row>
    <row r="119" ht="16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172"/>
      <c r="AA119" s="172"/>
      <c r="AB119" s="172"/>
      <c r="AC119" s="22"/>
      <c r="AD119" s="22"/>
      <c r="AE119" s="22"/>
      <c r="AF119" s="22"/>
      <c r="AG119" s="172"/>
      <c r="AH119" s="172"/>
      <c r="AI119" s="172"/>
      <c r="AJ119" s="172"/>
      <c r="AK119" s="172"/>
      <c r="AL119" s="17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</row>
    <row r="120" ht="16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172"/>
      <c r="AA120" s="172"/>
      <c r="AB120" s="172"/>
      <c r="AC120" s="22"/>
      <c r="AD120" s="22"/>
      <c r="AE120" s="22"/>
      <c r="AF120" s="22"/>
      <c r="AG120" s="172"/>
      <c r="AH120" s="172"/>
      <c r="AI120" s="172"/>
      <c r="AJ120" s="172"/>
      <c r="AK120" s="172"/>
      <c r="AL120" s="17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</row>
    <row r="121" ht="16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172"/>
      <c r="AA121" s="172"/>
      <c r="AB121" s="172"/>
      <c r="AC121" s="22"/>
      <c r="AD121" s="22"/>
      <c r="AE121" s="22"/>
      <c r="AF121" s="22"/>
      <c r="AG121" s="172"/>
      <c r="AH121" s="172"/>
      <c r="AI121" s="172"/>
      <c r="AJ121" s="172"/>
      <c r="AK121" s="172"/>
      <c r="AL121" s="17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</row>
    <row r="122" ht="16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172"/>
      <c r="AA122" s="172"/>
      <c r="AB122" s="172"/>
      <c r="AC122" s="22"/>
      <c r="AD122" s="22"/>
      <c r="AE122" s="22"/>
      <c r="AF122" s="22"/>
      <c r="AG122" s="172"/>
      <c r="AH122" s="172"/>
      <c r="AI122" s="172"/>
      <c r="AJ122" s="172"/>
      <c r="AK122" s="172"/>
      <c r="AL122" s="17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</row>
    <row r="123" ht="16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172"/>
      <c r="AA123" s="172"/>
      <c r="AB123" s="172"/>
      <c r="AC123" s="22"/>
      <c r="AD123" s="22"/>
      <c r="AE123" s="22"/>
      <c r="AF123" s="22"/>
      <c r="AG123" s="172"/>
      <c r="AH123" s="172"/>
      <c r="AI123" s="172"/>
      <c r="AJ123" s="172"/>
      <c r="AK123" s="172"/>
      <c r="AL123" s="17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</row>
    <row r="124" ht="16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172"/>
      <c r="AA124" s="172"/>
      <c r="AB124" s="172"/>
      <c r="AC124" s="22"/>
      <c r="AD124" s="22"/>
      <c r="AE124" s="22"/>
      <c r="AF124" s="22"/>
      <c r="AG124" s="172"/>
      <c r="AH124" s="172"/>
      <c r="AI124" s="172"/>
      <c r="AJ124" s="172"/>
      <c r="AK124" s="172"/>
      <c r="AL124" s="17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</row>
    <row r="125" ht="16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172"/>
      <c r="AA125" s="172"/>
      <c r="AB125" s="172"/>
      <c r="AC125" s="22"/>
      <c r="AD125" s="22"/>
      <c r="AE125" s="22"/>
      <c r="AF125" s="22"/>
      <c r="AG125" s="172"/>
      <c r="AH125" s="172"/>
      <c r="AI125" s="172"/>
      <c r="AJ125" s="172"/>
      <c r="AK125" s="172"/>
      <c r="AL125" s="17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</row>
    <row r="126" ht="16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172"/>
      <c r="AA126" s="172"/>
      <c r="AB126" s="172"/>
      <c r="AC126" s="22"/>
      <c r="AD126" s="22"/>
      <c r="AE126" s="22"/>
      <c r="AF126" s="22"/>
      <c r="AG126" s="172"/>
      <c r="AH126" s="172"/>
      <c r="AI126" s="172"/>
      <c r="AJ126" s="172"/>
      <c r="AK126" s="172"/>
      <c r="AL126" s="17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</row>
    <row r="127" ht="16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172"/>
      <c r="AA127" s="172"/>
      <c r="AB127" s="172"/>
      <c r="AC127" s="22"/>
      <c r="AD127" s="22"/>
      <c r="AE127" s="22"/>
      <c r="AF127" s="22"/>
      <c r="AG127" s="172"/>
      <c r="AH127" s="172"/>
      <c r="AI127" s="172"/>
      <c r="AJ127" s="172"/>
      <c r="AK127" s="172"/>
      <c r="AL127" s="17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</row>
    <row r="128" ht="16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172"/>
      <c r="AA128" s="172"/>
      <c r="AB128" s="172"/>
      <c r="AC128" s="22"/>
      <c r="AD128" s="22"/>
      <c r="AE128" s="22"/>
      <c r="AF128" s="22"/>
      <c r="AG128" s="172"/>
      <c r="AH128" s="172"/>
      <c r="AI128" s="172"/>
      <c r="AJ128" s="172"/>
      <c r="AK128" s="172"/>
      <c r="AL128" s="17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</row>
    <row r="129" ht="16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172"/>
      <c r="AA129" s="172"/>
      <c r="AB129" s="172"/>
      <c r="AC129" s="22"/>
      <c r="AD129" s="22"/>
      <c r="AE129" s="22"/>
      <c r="AF129" s="22"/>
      <c r="AG129" s="172"/>
      <c r="AH129" s="172"/>
      <c r="AI129" s="172"/>
      <c r="AJ129" s="172"/>
      <c r="AK129" s="172"/>
      <c r="AL129" s="17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</row>
    <row r="130" ht="16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172"/>
      <c r="AA130" s="172"/>
      <c r="AB130" s="172"/>
      <c r="AC130" s="22"/>
      <c r="AD130" s="22"/>
      <c r="AE130" s="22"/>
      <c r="AF130" s="22"/>
      <c r="AG130" s="172"/>
      <c r="AH130" s="172"/>
      <c r="AI130" s="172"/>
      <c r="AJ130" s="172"/>
      <c r="AK130" s="172"/>
      <c r="AL130" s="17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</row>
    <row r="131" ht="16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172"/>
      <c r="AA131" s="172"/>
      <c r="AB131" s="172"/>
      <c r="AC131" s="22"/>
      <c r="AD131" s="22"/>
      <c r="AE131" s="22"/>
      <c r="AF131" s="22"/>
      <c r="AG131" s="172"/>
      <c r="AH131" s="172"/>
      <c r="AI131" s="172"/>
      <c r="AJ131" s="172"/>
      <c r="AK131" s="172"/>
      <c r="AL131" s="17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</row>
    <row r="132" ht="16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172"/>
      <c r="AA132" s="172"/>
      <c r="AB132" s="172"/>
      <c r="AC132" s="22"/>
      <c r="AD132" s="22"/>
      <c r="AE132" s="22"/>
      <c r="AF132" s="22"/>
      <c r="AG132" s="172"/>
      <c r="AH132" s="172"/>
      <c r="AI132" s="172"/>
      <c r="AJ132" s="172"/>
      <c r="AK132" s="172"/>
      <c r="AL132" s="17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</row>
    <row r="133" ht="16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172"/>
      <c r="AA133" s="172"/>
      <c r="AB133" s="172"/>
      <c r="AC133" s="22"/>
      <c r="AD133" s="22"/>
      <c r="AE133" s="22"/>
      <c r="AF133" s="22"/>
      <c r="AG133" s="172"/>
      <c r="AH133" s="172"/>
      <c r="AI133" s="172"/>
      <c r="AJ133" s="172"/>
      <c r="AK133" s="172"/>
      <c r="AL133" s="17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</row>
    <row r="134" ht="16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172"/>
      <c r="AA134" s="172"/>
      <c r="AB134" s="172"/>
      <c r="AC134" s="22"/>
      <c r="AD134" s="22"/>
      <c r="AE134" s="22"/>
      <c r="AF134" s="22"/>
      <c r="AG134" s="172"/>
      <c r="AH134" s="172"/>
      <c r="AI134" s="172"/>
      <c r="AJ134" s="172"/>
      <c r="AK134" s="172"/>
      <c r="AL134" s="17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</row>
    <row r="135" ht="16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172"/>
      <c r="AA135" s="172"/>
      <c r="AB135" s="172"/>
      <c r="AC135" s="22"/>
      <c r="AD135" s="22"/>
      <c r="AE135" s="22"/>
      <c r="AF135" s="22"/>
      <c r="AG135" s="172"/>
      <c r="AH135" s="172"/>
      <c r="AI135" s="172"/>
      <c r="AJ135" s="172"/>
      <c r="AK135" s="172"/>
      <c r="AL135" s="17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</row>
    <row r="136" ht="16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172"/>
      <c r="AA136" s="172"/>
      <c r="AB136" s="172"/>
      <c r="AC136" s="22"/>
      <c r="AD136" s="22"/>
      <c r="AE136" s="22"/>
      <c r="AF136" s="22"/>
      <c r="AG136" s="172"/>
      <c r="AH136" s="172"/>
      <c r="AI136" s="172"/>
      <c r="AJ136" s="172"/>
      <c r="AK136" s="172"/>
      <c r="AL136" s="17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</row>
    <row r="137" ht="16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172"/>
      <c r="AA137" s="172"/>
      <c r="AB137" s="172"/>
      <c r="AC137" s="22"/>
      <c r="AD137" s="22"/>
      <c r="AE137" s="22"/>
      <c r="AF137" s="22"/>
      <c r="AG137" s="172"/>
      <c r="AH137" s="172"/>
      <c r="AI137" s="172"/>
      <c r="AJ137" s="172"/>
      <c r="AK137" s="172"/>
      <c r="AL137" s="17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</row>
    <row r="138" ht="16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172"/>
      <c r="AA138" s="172"/>
      <c r="AB138" s="172"/>
      <c r="AC138" s="22"/>
      <c r="AD138" s="22"/>
      <c r="AE138" s="22"/>
      <c r="AF138" s="22"/>
      <c r="AG138" s="172"/>
      <c r="AH138" s="172"/>
      <c r="AI138" s="172"/>
      <c r="AJ138" s="172"/>
      <c r="AK138" s="172"/>
      <c r="AL138" s="17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</row>
    <row r="139" ht="16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172"/>
      <c r="AA139" s="172"/>
      <c r="AB139" s="172"/>
      <c r="AC139" s="22"/>
      <c r="AD139" s="22"/>
      <c r="AE139" s="22"/>
      <c r="AF139" s="22"/>
      <c r="AG139" s="172"/>
      <c r="AH139" s="172"/>
      <c r="AI139" s="172"/>
      <c r="AJ139" s="172"/>
      <c r="AK139" s="172"/>
      <c r="AL139" s="17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</row>
    <row r="140" ht="16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172"/>
      <c r="AA140" s="172"/>
      <c r="AB140" s="172"/>
      <c r="AC140" s="22"/>
      <c r="AD140" s="22"/>
      <c r="AE140" s="22"/>
      <c r="AF140" s="22"/>
      <c r="AG140" s="172"/>
      <c r="AH140" s="172"/>
      <c r="AI140" s="172"/>
      <c r="AJ140" s="172"/>
      <c r="AK140" s="172"/>
      <c r="AL140" s="17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</row>
    <row r="141" ht="16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172"/>
      <c r="AA141" s="172"/>
      <c r="AB141" s="172"/>
      <c r="AC141" s="22"/>
      <c r="AD141" s="22"/>
      <c r="AE141" s="22"/>
      <c r="AF141" s="22"/>
      <c r="AG141" s="172"/>
      <c r="AH141" s="172"/>
      <c r="AI141" s="172"/>
      <c r="AJ141" s="172"/>
      <c r="AK141" s="172"/>
      <c r="AL141" s="17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</row>
    <row r="142" ht="16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172"/>
      <c r="AA142" s="172"/>
      <c r="AB142" s="172"/>
      <c r="AC142" s="22"/>
      <c r="AD142" s="22"/>
      <c r="AE142" s="22"/>
      <c r="AF142" s="22"/>
      <c r="AG142" s="172"/>
      <c r="AH142" s="172"/>
      <c r="AI142" s="172"/>
      <c r="AJ142" s="172"/>
      <c r="AK142" s="172"/>
      <c r="AL142" s="17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</row>
    <row r="143" ht="16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172"/>
      <c r="AA143" s="172"/>
      <c r="AB143" s="172"/>
      <c r="AC143" s="22"/>
      <c r="AD143" s="22"/>
      <c r="AE143" s="22"/>
      <c r="AF143" s="22"/>
      <c r="AG143" s="172"/>
      <c r="AH143" s="172"/>
      <c r="AI143" s="172"/>
      <c r="AJ143" s="172"/>
      <c r="AK143" s="172"/>
      <c r="AL143" s="17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</row>
    <row r="144" ht="16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172"/>
      <c r="AA144" s="172"/>
      <c r="AB144" s="172"/>
      <c r="AC144" s="22"/>
      <c r="AD144" s="22"/>
      <c r="AE144" s="22"/>
      <c r="AF144" s="22"/>
      <c r="AG144" s="172"/>
      <c r="AH144" s="172"/>
      <c r="AI144" s="172"/>
      <c r="AJ144" s="172"/>
      <c r="AK144" s="172"/>
      <c r="AL144" s="17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</row>
    <row r="145" ht="16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172"/>
      <c r="AA145" s="172"/>
      <c r="AB145" s="172"/>
      <c r="AC145" s="22"/>
      <c r="AD145" s="22"/>
      <c r="AE145" s="22"/>
      <c r="AF145" s="22"/>
      <c r="AG145" s="172"/>
      <c r="AH145" s="172"/>
      <c r="AI145" s="172"/>
      <c r="AJ145" s="172"/>
      <c r="AK145" s="172"/>
      <c r="AL145" s="17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</row>
    <row r="146" ht="16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172"/>
      <c r="AA146" s="172"/>
      <c r="AB146" s="172"/>
      <c r="AC146" s="22"/>
      <c r="AD146" s="22"/>
      <c r="AE146" s="22"/>
      <c r="AF146" s="22"/>
      <c r="AG146" s="172"/>
      <c r="AH146" s="172"/>
      <c r="AI146" s="172"/>
      <c r="AJ146" s="172"/>
      <c r="AK146" s="172"/>
      <c r="AL146" s="17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</row>
    <row r="147" ht="16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172"/>
      <c r="AA147" s="172"/>
      <c r="AB147" s="172"/>
      <c r="AC147" s="22"/>
      <c r="AD147" s="22"/>
      <c r="AE147" s="22"/>
      <c r="AF147" s="22"/>
      <c r="AG147" s="172"/>
      <c r="AH147" s="172"/>
      <c r="AI147" s="172"/>
      <c r="AJ147" s="172"/>
      <c r="AK147" s="172"/>
      <c r="AL147" s="17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</row>
    <row r="148" ht="16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172"/>
      <c r="AA148" s="172"/>
      <c r="AB148" s="172"/>
      <c r="AC148" s="22"/>
      <c r="AD148" s="22"/>
      <c r="AE148" s="22"/>
      <c r="AF148" s="22"/>
      <c r="AG148" s="172"/>
      <c r="AH148" s="172"/>
      <c r="AI148" s="172"/>
      <c r="AJ148" s="172"/>
      <c r="AK148" s="172"/>
      <c r="AL148" s="17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</row>
    <row r="149" ht="16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172"/>
      <c r="AA149" s="172"/>
      <c r="AB149" s="172"/>
      <c r="AC149" s="22"/>
      <c r="AD149" s="22"/>
      <c r="AE149" s="22"/>
      <c r="AF149" s="22"/>
      <c r="AG149" s="172"/>
      <c r="AH149" s="172"/>
      <c r="AI149" s="172"/>
      <c r="AJ149" s="172"/>
      <c r="AK149" s="172"/>
      <c r="AL149" s="17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</row>
    <row r="150" ht="16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172"/>
      <c r="AA150" s="172"/>
      <c r="AB150" s="172"/>
      <c r="AC150" s="22"/>
      <c r="AD150" s="22"/>
      <c r="AE150" s="22"/>
      <c r="AF150" s="22"/>
      <c r="AG150" s="172"/>
      <c r="AH150" s="172"/>
      <c r="AI150" s="172"/>
      <c r="AJ150" s="172"/>
      <c r="AK150" s="172"/>
      <c r="AL150" s="17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</row>
    <row r="151" ht="16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172"/>
      <c r="AA151" s="172"/>
      <c r="AB151" s="172"/>
      <c r="AC151" s="22"/>
      <c r="AD151" s="22"/>
      <c r="AE151" s="22"/>
      <c r="AF151" s="22"/>
      <c r="AG151" s="172"/>
      <c r="AH151" s="172"/>
      <c r="AI151" s="172"/>
      <c r="AJ151" s="172"/>
      <c r="AK151" s="172"/>
      <c r="AL151" s="17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</row>
    <row r="152" ht="16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172"/>
      <c r="AA152" s="172"/>
      <c r="AB152" s="172"/>
      <c r="AC152" s="22"/>
      <c r="AD152" s="22"/>
      <c r="AE152" s="22"/>
      <c r="AF152" s="22"/>
      <c r="AG152" s="172"/>
      <c r="AH152" s="172"/>
      <c r="AI152" s="172"/>
      <c r="AJ152" s="172"/>
      <c r="AK152" s="172"/>
      <c r="AL152" s="17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</row>
    <row r="153" ht="16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172"/>
      <c r="AA153" s="172"/>
      <c r="AB153" s="172"/>
      <c r="AC153" s="22"/>
      <c r="AD153" s="22"/>
      <c r="AE153" s="22"/>
      <c r="AF153" s="22"/>
      <c r="AG153" s="172"/>
      <c r="AH153" s="172"/>
      <c r="AI153" s="172"/>
      <c r="AJ153" s="172"/>
      <c r="AK153" s="172"/>
      <c r="AL153" s="17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</row>
    <row r="154" ht="16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172"/>
      <c r="AA154" s="172"/>
      <c r="AB154" s="172"/>
      <c r="AC154" s="22"/>
      <c r="AD154" s="22"/>
      <c r="AE154" s="22"/>
      <c r="AF154" s="22"/>
      <c r="AG154" s="172"/>
      <c r="AH154" s="172"/>
      <c r="AI154" s="172"/>
      <c r="AJ154" s="172"/>
      <c r="AK154" s="172"/>
      <c r="AL154" s="17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</row>
    <row r="155" ht="16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172"/>
      <c r="AA155" s="172"/>
      <c r="AB155" s="172"/>
      <c r="AC155" s="22"/>
      <c r="AD155" s="22"/>
      <c r="AE155" s="22"/>
      <c r="AF155" s="22"/>
      <c r="AG155" s="172"/>
      <c r="AH155" s="172"/>
      <c r="AI155" s="172"/>
      <c r="AJ155" s="172"/>
      <c r="AK155" s="172"/>
      <c r="AL155" s="17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</row>
    <row r="156" ht="16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172"/>
      <c r="AA156" s="172"/>
      <c r="AB156" s="172"/>
      <c r="AC156" s="22"/>
      <c r="AD156" s="22"/>
      <c r="AE156" s="22"/>
      <c r="AF156" s="22"/>
      <c r="AG156" s="172"/>
      <c r="AH156" s="172"/>
      <c r="AI156" s="172"/>
      <c r="AJ156" s="172"/>
      <c r="AK156" s="172"/>
      <c r="AL156" s="17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</row>
    <row r="157" ht="16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172"/>
      <c r="AA157" s="172"/>
      <c r="AB157" s="172"/>
      <c r="AC157" s="22"/>
      <c r="AD157" s="22"/>
      <c r="AE157" s="22"/>
      <c r="AF157" s="22"/>
      <c r="AG157" s="172"/>
      <c r="AH157" s="172"/>
      <c r="AI157" s="172"/>
      <c r="AJ157" s="172"/>
      <c r="AK157" s="172"/>
      <c r="AL157" s="17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</row>
    <row r="158" ht="16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172"/>
      <c r="AA158" s="172"/>
      <c r="AB158" s="172"/>
      <c r="AC158" s="22"/>
      <c r="AD158" s="22"/>
      <c r="AE158" s="22"/>
      <c r="AF158" s="22"/>
      <c r="AG158" s="172"/>
      <c r="AH158" s="172"/>
      <c r="AI158" s="172"/>
      <c r="AJ158" s="172"/>
      <c r="AK158" s="172"/>
      <c r="AL158" s="17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</row>
    <row r="159" ht="16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172"/>
      <c r="AA159" s="172"/>
      <c r="AB159" s="172"/>
      <c r="AC159" s="22"/>
      <c r="AD159" s="22"/>
      <c r="AE159" s="22"/>
      <c r="AF159" s="22"/>
      <c r="AG159" s="172"/>
      <c r="AH159" s="172"/>
      <c r="AI159" s="172"/>
      <c r="AJ159" s="172"/>
      <c r="AK159" s="172"/>
      <c r="AL159" s="17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</row>
    <row r="160" ht="16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172"/>
      <c r="AA160" s="172"/>
      <c r="AB160" s="172"/>
      <c r="AC160" s="22"/>
      <c r="AD160" s="22"/>
      <c r="AE160" s="22"/>
      <c r="AF160" s="22"/>
      <c r="AG160" s="172"/>
      <c r="AH160" s="172"/>
      <c r="AI160" s="172"/>
      <c r="AJ160" s="172"/>
      <c r="AK160" s="172"/>
      <c r="AL160" s="17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</row>
    <row r="161" ht="16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172"/>
      <c r="AA161" s="172"/>
      <c r="AB161" s="172"/>
      <c r="AC161" s="22"/>
      <c r="AD161" s="22"/>
      <c r="AE161" s="22"/>
      <c r="AF161" s="22"/>
      <c r="AG161" s="172"/>
      <c r="AH161" s="172"/>
      <c r="AI161" s="172"/>
      <c r="AJ161" s="172"/>
      <c r="AK161" s="172"/>
      <c r="AL161" s="17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</row>
    <row r="162" ht="16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172"/>
      <c r="AA162" s="172"/>
      <c r="AB162" s="172"/>
      <c r="AC162" s="22"/>
      <c r="AD162" s="22"/>
      <c r="AE162" s="22"/>
      <c r="AF162" s="22"/>
      <c r="AG162" s="172"/>
      <c r="AH162" s="172"/>
      <c r="AI162" s="172"/>
      <c r="AJ162" s="172"/>
      <c r="AK162" s="172"/>
      <c r="AL162" s="17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</row>
    <row r="163" ht="16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172"/>
      <c r="AA163" s="172"/>
      <c r="AB163" s="172"/>
      <c r="AC163" s="22"/>
      <c r="AD163" s="22"/>
      <c r="AE163" s="22"/>
      <c r="AF163" s="22"/>
      <c r="AG163" s="172"/>
      <c r="AH163" s="172"/>
      <c r="AI163" s="172"/>
      <c r="AJ163" s="172"/>
      <c r="AK163" s="172"/>
      <c r="AL163" s="17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</row>
    <row r="164" ht="16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172"/>
      <c r="AA164" s="172"/>
      <c r="AB164" s="172"/>
      <c r="AC164" s="22"/>
      <c r="AD164" s="22"/>
      <c r="AE164" s="22"/>
      <c r="AF164" s="22"/>
      <c r="AG164" s="172"/>
      <c r="AH164" s="172"/>
      <c r="AI164" s="172"/>
      <c r="AJ164" s="172"/>
      <c r="AK164" s="172"/>
      <c r="AL164" s="17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</row>
    <row r="165" ht="16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172"/>
      <c r="AA165" s="172"/>
      <c r="AB165" s="172"/>
      <c r="AC165" s="22"/>
      <c r="AD165" s="22"/>
      <c r="AE165" s="22"/>
      <c r="AF165" s="22"/>
      <c r="AG165" s="172"/>
      <c r="AH165" s="172"/>
      <c r="AI165" s="172"/>
      <c r="AJ165" s="172"/>
      <c r="AK165" s="172"/>
      <c r="AL165" s="17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</row>
    <row r="166" ht="16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172"/>
      <c r="AA166" s="172"/>
      <c r="AB166" s="172"/>
      <c r="AC166" s="22"/>
      <c r="AD166" s="22"/>
      <c r="AE166" s="22"/>
      <c r="AF166" s="22"/>
      <c r="AG166" s="172"/>
      <c r="AH166" s="172"/>
      <c r="AI166" s="172"/>
      <c r="AJ166" s="172"/>
      <c r="AK166" s="172"/>
      <c r="AL166" s="17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</row>
    <row r="167" ht="16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172"/>
      <c r="AA167" s="172"/>
      <c r="AB167" s="172"/>
      <c r="AC167" s="22"/>
      <c r="AD167" s="22"/>
      <c r="AE167" s="22"/>
      <c r="AF167" s="22"/>
      <c r="AG167" s="172"/>
      <c r="AH167" s="172"/>
      <c r="AI167" s="172"/>
      <c r="AJ167" s="172"/>
      <c r="AK167" s="172"/>
      <c r="AL167" s="17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</row>
    <row r="168" ht="16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172"/>
      <c r="AA168" s="172"/>
      <c r="AB168" s="172"/>
      <c r="AC168" s="22"/>
      <c r="AD168" s="22"/>
      <c r="AE168" s="22"/>
      <c r="AF168" s="22"/>
      <c r="AG168" s="172"/>
      <c r="AH168" s="172"/>
      <c r="AI168" s="172"/>
      <c r="AJ168" s="172"/>
      <c r="AK168" s="172"/>
      <c r="AL168" s="17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</row>
    <row r="169" ht="16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172"/>
      <c r="AA169" s="172"/>
      <c r="AB169" s="172"/>
      <c r="AC169" s="22"/>
      <c r="AD169" s="22"/>
      <c r="AE169" s="22"/>
      <c r="AF169" s="22"/>
      <c r="AG169" s="172"/>
      <c r="AH169" s="172"/>
      <c r="AI169" s="172"/>
      <c r="AJ169" s="172"/>
      <c r="AK169" s="172"/>
      <c r="AL169" s="17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</row>
    <row r="170" ht="16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172"/>
      <c r="AA170" s="172"/>
      <c r="AB170" s="172"/>
      <c r="AC170" s="22"/>
      <c r="AD170" s="22"/>
      <c r="AE170" s="22"/>
      <c r="AF170" s="22"/>
      <c r="AG170" s="172"/>
      <c r="AH170" s="172"/>
      <c r="AI170" s="172"/>
      <c r="AJ170" s="172"/>
      <c r="AK170" s="172"/>
      <c r="AL170" s="17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</row>
    <row r="171" ht="16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172"/>
      <c r="AA171" s="172"/>
      <c r="AB171" s="172"/>
      <c r="AC171" s="22"/>
      <c r="AD171" s="22"/>
      <c r="AE171" s="22"/>
      <c r="AF171" s="22"/>
      <c r="AG171" s="172"/>
      <c r="AH171" s="172"/>
      <c r="AI171" s="172"/>
      <c r="AJ171" s="172"/>
      <c r="AK171" s="172"/>
      <c r="AL171" s="17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</row>
    <row r="172" ht="16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172"/>
      <c r="AA172" s="172"/>
      <c r="AB172" s="172"/>
      <c r="AC172" s="22"/>
      <c r="AD172" s="22"/>
      <c r="AE172" s="22"/>
      <c r="AF172" s="22"/>
      <c r="AG172" s="172"/>
      <c r="AH172" s="172"/>
      <c r="AI172" s="172"/>
      <c r="AJ172" s="172"/>
      <c r="AK172" s="172"/>
      <c r="AL172" s="17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</row>
    <row r="173" ht="16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172"/>
      <c r="AA173" s="172"/>
      <c r="AB173" s="172"/>
      <c r="AC173" s="22"/>
      <c r="AD173" s="22"/>
      <c r="AE173" s="22"/>
      <c r="AF173" s="22"/>
      <c r="AG173" s="172"/>
      <c r="AH173" s="172"/>
      <c r="AI173" s="172"/>
      <c r="AJ173" s="172"/>
      <c r="AK173" s="172"/>
      <c r="AL173" s="17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</row>
    <row r="174" ht="16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172"/>
      <c r="AA174" s="172"/>
      <c r="AB174" s="172"/>
      <c r="AC174" s="22"/>
      <c r="AD174" s="22"/>
      <c r="AE174" s="22"/>
      <c r="AF174" s="22"/>
      <c r="AG174" s="172"/>
      <c r="AH174" s="172"/>
      <c r="AI174" s="172"/>
      <c r="AJ174" s="172"/>
      <c r="AK174" s="172"/>
      <c r="AL174" s="17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</row>
    <row r="175" ht="16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172"/>
      <c r="AA175" s="172"/>
      <c r="AB175" s="172"/>
      <c r="AC175" s="22"/>
      <c r="AD175" s="22"/>
      <c r="AE175" s="22"/>
      <c r="AF175" s="22"/>
      <c r="AG175" s="172"/>
      <c r="AH175" s="172"/>
      <c r="AI175" s="172"/>
      <c r="AJ175" s="172"/>
      <c r="AK175" s="172"/>
      <c r="AL175" s="17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</row>
    <row r="176" ht="16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172"/>
      <c r="AA176" s="172"/>
      <c r="AB176" s="172"/>
      <c r="AC176" s="22"/>
      <c r="AD176" s="22"/>
      <c r="AE176" s="22"/>
      <c r="AF176" s="22"/>
      <c r="AG176" s="172"/>
      <c r="AH176" s="172"/>
      <c r="AI176" s="172"/>
      <c r="AJ176" s="172"/>
      <c r="AK176" s="172"/>
      <c r="AL176" s="17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</row>
    <row r="177" ht="16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172"/>
      <c r="AA177" s="172"/>
      <c r="AB177" s="172"/>
      <c r="AC177" s="22"/>
      <c r="AD177" s="22"/>
      <c r="AE177" s="22"/>
      <c r="AF177" s="22"/>
      <c r="AG177" s="172"/>
      <c r="AH177" s="172"/>
      <c r="AI177" s="172"/>
      <c r="AJ177" s="172"/>
      <c r="AK177" s="172"/>
      <c r="AL177" s="17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</row>
    <row r="178" ht="16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172"/>
      <c r="AA178" s="172"/>
      <c r="AB178" s="172"/>
      <c r="AC178" s="22"/>
      <c r="AD178" s="22"/>
      <c r="AE178" s="22"/>
      <c r="AF178" s="22"/>
      <c r="AG178" s="172"/>
      <c r="AH178" s="172"/>
      <c r="AI178" s="172"/>
      <c r="AJ178" s="172"/>
      <c r="AK178" s="172"/>
      <c r="AL178" s="17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</row>
    <row r="179" ht="16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172"/>
      <c r="AA179" s="172"/>
      <c r="AB179" s="172"/>
      <c r="AC179" s="22"/>
      <c r="AD179" s="22"/>
      <c r="AE179" s="22"/>
      <c r="AF179" s="22"/>
      <c r="AG179" s="172"/>
      <c r="AH179" s="172"/>
      <c r="AI179" s="172"/>
      <c r="AJ179" s="172"/>
      <c r="AK179" s="172"/>
      <c r="AL179" s="17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</row>
    <row r="180" ht="16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172"/>
      <c r="AA180" s="172"/>
      <c r="AB180" s="172"/>
      <c r="AC180" s="22"/>
      <c r="AD180" s="22"/>
      <c r="AE180" s="22"/>
      <c r="AF180" s="22"/>
      <c r="AG180" s="172"/>
      <c r="AH180" s="172"/>
      <c r="AI180" s="172"/>
      <c r="AJ180" s="172"/>
      <c r="AK180" s="172"/>
      <c r="AL180" s="17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</row>
    <row r="181" ht="16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172"/>
      <c r="AA181" s="172"/>
      <c r="AB181" s="172"/>
      <c r="AC181" s="22"/>
      <c r="AD181" s="22"/>
      <c r="AE181" s="22"/>
      <c r="AF181" s="22"/>
      <c r="AG181" s="172"/>
      <c r="AH181" s="172"/>
      <c r="AI181" s="172"/>
      <c r="AJ181" s="172"/>
      <c r="AK181" s="172"/>
      <c r="AL181" s="17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</row>
    <row r="182" ht="16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172"/>
      <c r="AA182" s="172"/>
      <c r="AB182" s="172"/>
      <c r="AC182" s="22"/>
      <c r="AD182" s="22"/>
      <c r="AE182" s="22"/>
      <c r="AF182" s="22"/>
      <c r="AG182" s="172"/>
      <c r="AH182" s="172"/>
      <c r="AI182" s="172"/>
      <c r="AJ182" s="172"/>
      <c r="AK182" s="172"/>
      <c r="AL182" s="17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</row>
    <row r="183" ht="16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172"/>
      <c r="AA183" s="172"/>
      <c r="AB183" s="172"/>
      <c r="AC183" s="22"/>
      <c r="AD183" s="22"/>
      <c r="AE183" s="22"/>
      <c r="AF183" s="22"/>
      <c r="AG183" s="172"/>
      <c r="AH183" s="172"/>
      <c r="AI183" s="172"/>
      <c r="AJ183" s="172"/>
      <c r="AK183" s="172"/>
      <c r="AL183" s="17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</row>
    <row r="184" ht="16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172"/>
      <c r="AA184" s="172"/>
      <c r="AB184" s="172"/>
      <c r="AC184" s="22"/>
      <c r="AD184" s="22"/>
      <c r="AE184" s="22"/>
      <c r="AF184" s="22"/>
      <c r="AG184" s="172"/>
      <c r="AH184" s="172"/>
      <c r="AI184" s="172"/>
      <c r="AJ184" s="172"/>
      <c r="AK184" s="172"/>
      <c r="AL184" s="17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</row>
    <row r="185" ht="16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172"/>
      <c r="AA185" s="172"/>
      <c r="AB185" s="172"/>
      <c r="AC185" s="22"/>
      <c r="AD185" s="22"/>
      <c r="AE185" s="22"/>
      <c r="AF185" s="22"/>
      <c r="AG185" s="172"/>
      <c r="AH185" s="172"/>
      <c r="AI185" s="172"/>
      <c r="AJ185" s="172"/>
      <c r="AK185" s="172"/>
      <c r="AL185" s="17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</row>
    <row r="186" ht="16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172"/>
      <c r="AA186" s="172"/>
      <c r="AB186" s="172"/>
      <c r="AC186" s="22"/>
      <c r="AD186" s="22"/>
      <c r="AE186" s="22"/>
      <c r="AF186" s="22"/>
      <c r="AG186" s="172"/>
      <c r="AH186" s="172"/>
      <c r="AI186" s="172"/>
      <c r="AJ186" s="172"/>
      <c r="AK186" s="172"/>
      <c r="AL186" s="17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</row>
    <row r="187" ht="16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172"/>
      <c r="AA187" s="172"/>
      <c r="AB187" s="172"/>
      <c r="AC187" s="22"/>
      <c r="AD187" s="22"/>
      <c r="AE187" s="22"/>
      <c r="AF187" s="22"/>
      <c r="AG187" s="172"/>
      <c r="AH187" s="172"/>
      <c r="AI187" s="172"/>
      <c r="AJ187" s="172"/>
      <c r="AK187" s="172"/>
      <c r="AL187" s="17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</row>
    <row r="188" ht="16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172"/>
      <c r="AA188" s="172"/>
      <c r="AB188" s="172"/>
      <c r="AC188" s="22"/>
      <c r="AD188" s="22"/>
      <c r="AE188" s="22"/>
      <c r="AF188" s="22"/>
      <c r="AG188" s="172"/>
      <c r="AH188" s="172"/>
      <c r="AI188" s="172"/>
      <c r="AJ188" s="172"/>
      <c r="AK188" s="172"/>
      <c r="AL188" s="17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</row>
    <row r="189" ht="16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172"/>
      <c r="AA189" s="172"/>
      <c r="AB189" s="172"/>
      <c r="AC189" s="22"/>
      <c r="AD189" s="22"/>
      <c r="AE189" s="22"/>
      <c r="AF189" s="22"/>
      <c r="AG189" s="172"/>
      <c r="AH189" s="172"/>
      <c r="AI189" s="172"/>
      <c r="AJ189" s="172"/>
      <c r="AK189" s="172"/>
      <c r="AL189" s="17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</row>
    <row r="190" ht="16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172"/>
      <c r="AA190" s="172"/>
      <c r="AB190" s="172"/>
      <c r="AC190" s="22"/>
      <c r="AD190" s="22"/>
      <c r="AE190" s="22"/>
      <c r="AF190" s="22"/>
      <c r="AG190" s="172"/>
      <c r="AH190" s="172"/>
      <c r="AI190" s="172"/>
      <c r="AJ190" s="172"/>
      <c r="AK190" s="172"/>
      <c r="AL190" s="17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</row>
    <row r="191" ht="16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172"/>
      <c r="AA191" s="172"/>
      <c r="AB191" s="172"/>
      <c r="AC191" s="22"/>
      <c r="AD191" s="22"/>
      <c r="AE191" s="22"/>
      <c r="AF191" s="22"/>
      <c r="AG191" s="172"/>
      <c r="AH191" s="172"/>
      <c r="AI191" s="172"/>
      <c r="AJ191" s="172"/>
      <c r="AK191" s="172"/>
      <c r="AL191" s="17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</row>
    <row r="192" ht="16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172"/>
      <c r="AA192" s="172"/>
      <c r="AB192" s="172"/>
      <c r="AC192" s="22"/>
      <c r="AD192" s="22"/>
      <c r="AE192" s="22"/>
      <c r="AF192" s="22"/>
      <c r="AG192" s="172"/>
      <c r="AH192" s="172"/>
      <c r="AI192" s="172"/>
      <c r="AJ192" s="172"/>
      <c r="AK192" s="172"/>
      <c r="AL192" s="17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</row>
    <row r="193" ht="16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172"/>
      <c r="AA193" s="172"/>
      <c r="AB193" s="172"/>
      <c r="AC193" s="22"/>
      <c r="AD193" s="22"/>
      <c r="AE193" s="22"/>
      <c r="AF193" s="22"/>
      <c r="AG193" s="172"/>
      <c r="AH193" s="172"/>
      <c r="AI193" s="172"/>
      <c r="AJ193" s="172"/>
      <c r="AK193" s="172"/>
      <c r="AL193" s="17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</row>
    <row r="194" ht="16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172"/>
      <c r="AA194" s="172"/>
      <c r="AB194" s="172"/>
      <c r="AC194" s="22"/>
      <c r="AD194" s="22"/>
      <c r="AE194" s="22"/>
      <c r="AF194" s="22"/>
      <c r="AG194" s="172"/>
      <c r="AH194" s="172"/>
      <c r="AI194" s="172"/>
      <c r="AJ194" s="172"/>
      <c r="AK194" s="172"/>
      <c r="AL194" s="17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</row>
    <row r="195" ht="16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172"/>
      <c r="AA195" s="172"/>
      <c r="AB195" s="172"/>
      <c r="AC195" s="22"/>
      <c r="AD195" s="22"/>
      <c r="AE195" s="22"/>
      <c r="AF195" s="22"/>
      <c r="AG195" s="172"/>
      <c r="AH195" s="172"/>
      <c r="AI195" s="172"/>
      <c r="AJ195" s="172"/>
      <c r="AK195" s="172"/>
      <c r="AL195" s="17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</row>
    <row r="196" ht="16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172"/>
      <c r="AA196" s="172"/>
      <c r="AB196" s="172"/>
      <c r="AC196" s="22"/>
      <c r="AD196" s="22"/>
      <c r="AE196" s="22"/>
      <c r="AF196" s="22"/>
      <c r="AG196" s="172"/>
      <c r="AH196" s="172"/>
      <c r="AI196" s="172"/>
      <c r="AJ196" s="172"/>
      <c r="AK196" s="172"/>
      <c r="AL196" s="17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</row>
    <row r="197" ht="16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172"/>
      <c r="AA197" s="172"/>
      <c r="AB197" s="172"/>
      <c r="AC197" s="22"/>
      <c r="AD197" s="22"/>
      <c r="AE197" s="22"/>
      <c r="AF197" s="22"/>
      <c r="AG197" s="172"/>
      <c r="AH197" s="172"/>
      <c r="AI197" s="172"/>
      <c r="AJ197" s="172"/>
      <c r="AK197" s="172"/>
      <c r="AL197" s="17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</row>
    <row r="198" ht="16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172"/>
      <c r="AA198" s="172"/>
      <c r="AB198" s="172"/>
      <c r="AC198" s="22"/>
      <c r="AD198" s="22"/>
      <c r="AE198" s="22"/>
      <c r="AF198" s="22"/>
      <c r="AG198" s="172"/>
      <c r="AH198" s="172"/>
      <c r="AI198" s="172"/>
      <c r="AJ198" s="172"/>
      <c r="AK198" s="172"/>
      <c r="AL198" s="17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</row>
    <row r="199" ht="16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172"/>
      <c r="AA199" s="172"/>
      <c r="AB199" s="172"/>
      <c r="AC199" s="22"/>
      <c r="AD199" s="22"/>
      <c r="AE199" s="22"/>
      <c r="AF199" s="22"/>
      <c r="AG199" s="172"/>
      <c r="AH199" s="172"/>
      <c r="AI199" s="172"/>
      <c r="AJ199" s="172"/>
      <c r="AK199" s="172"/>
      <c r="AL199" s="17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</row>
    <row r="200" ht="16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172"/>
      <c r="AA200" s="172"/>
      <c r="AB200" s="172"/>
      <c r="AC200" s="22"/>
      <c r="AD200" s="22"/>
      <c r="AE200" s="22"/>
      <c r="AF200" s="22"/>
      <c r="AG200" s="172"/>
      <c r="AH200" s="172"/>
      <c r="AI200" s="172"/>
      <c r="AJ200" s="172"/>
      <c r="AK200" s="172"/>
      <c r="AL200" s="17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</row>
    <row r="201" ht="16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172"/>
      <c r="AA201" s="172"/>
      <c r="AB201" s="172"/>
      <c r="AC201" s="22"/>
      <c r="AD201" s="22"/>
      <c r="AE201" s="22"/>
      <c r="AF201" s="22"/>
      <c r="AG201" s="172"/>
      <c r="AH201" s="172"/>
      <c r="AI201" s="172"/>
      <c r="AJ201" s="172"/>
      <c r="AK201" s="172"/>
      <c r="AL201" s="17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</row>
    <row r="202" ht="16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172"/>
      <c r="AA202" s="172"/>
      <c r="AB202" s="172"/>
      <c r="AC202" s="22"/>
      <c r="AD202" s="22"/>
      <c r="AE202" s="22"/>
      <c r="AF202" s="22"/>
      <c r="AG202" s="172"/>
      <c r="AH202" s="172"/>
      <c r="AI202" s="172"/>
      <c r="AJ202" s="172"/>
      <c r="AK202" s="172"/>
      <c r="AL202" s="17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</row>
    <row r="203" ht="16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172"/>
      <c r="AA203" s="172"/>
      <c r="AB203" s="172"/>
      <c r="AC203" s="22"/>
      <c r="AD203" s="22"/>
      <c r="AE203" s="22"/>
      <c r="AF203" s="22"/>
      <c r="AG203" s="172"/>
      <c r="AH203" s="172"/>
      <c r="AI203" s="172"/>
      <c r="AJ203" s="172"/>
      <c r="AK203" s="172"/>
      <c r="AL203" s="17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</row>
    <row r="204" ht="16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172"/>
      <c r="AA204" s="172"/>
      <c r="AB204" s="172"/>
      <c r="AC204" s="22"/>
      <c r="AD204" s="22"/>
      <c r="AE204" s="22"/>
      <c r="AF204" s="22"/>
      <c r="AG204" s="172"/>
      <c r="AH204" s="172"/>
      <c r="AI204" s="172"/>
      <c r="AJ204" s="172"/>
      <c r="AK204" s="172"/>
      <c r="AL204" s="17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</row>
    <row r="205" ht="16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172"/>
      <c r="AA205" s="172"/>
      <c r="AB205" s="172"/>
      <c r="AC205" s="22"/>
      <c r="AD205" s="22"/>
      <c r="AE205" s="22"/>
      <c r="AF205" s="22"/>
      <c r="AG205" s="172"/>
      <c r="AH205" s="172"/>
      <c r="AI205" s="172"/>
      <c r="AJ205" s="172"/>
      <c r="AK205" s="172"/>
      <c r="AL205" s="17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</row>
    <row r="206" ht="16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172"/>
      <c r="AA206" s="172"/>
      <c r="AB206" s="172"/>
      <c r="AC206" s="22"/>
      <c r="AD206" s="22"/>
      <c r="AE206" s="22"/>
      <c r="AF206" s="22"/>
      <c r="AG206" s="172"/>
      <c r="AH206" s="172"/>
      <c r="AI206" s="172"/>
      <c r="AJ206" s="172"/>
      <c r="AK206" s="172"/>
      <c r="AL206" s="17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</row>
    <row r="207" ht="16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172"/>
      <c r="AA207" s="172"/>
      <c r="AB207" s="172"/>
      <c r="AC207" s="22"/>
      <c r="AD207" s="22"/>
      <c r="AE207" s="22"/>
      <c r="AF207" s="22"/>
      <c r="AG207" s="172"/>
      <c r="AH207" s="172"/>
      <c r="AI207" s="172"/>
      <c r="AJ207" s="172"/>
      <c r="AK207" s="172"/>
      <c r="AL207" s="17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</row>
    <row r="208" ht="16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172"/>
      <c r="AA208" s="172"/>
      <c r="AB208" s="172"/>
      <c r="AC208" s="22"/>
      <c r="AD208" s="22"/>
      <c r="AE208" s="22"/>
      <c r="AF208" s="22"/>
      <c r="AG208" s="172"/>
      <c r="AH208" s="172"/>
      <c r="AI208" s="172"/>
      <c r="AJ208" s="172"/>
      <c r="AK208" s="172"/>
      <c r="AL208" s="17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</row>
    <row r="209" ht="16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172"/>
      <c r="AA209" s="172"/>
      <c r="AB209" s="172"/>
      <c r="AC209" s="22"/>
      <c r="AD209" s="22"/>
      <c r="AE209" s="22"/>
      <c r="AF209" s="22"/>
      <c r="AG209" s="172"/>
      <c r="AH209" s="172"/>
      <c r="AI209" s="172"/>
      <c r="AJ209" s="172"/>
      <c r="AK209" s="172"/>
      <c r="AL209" s="17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</row>
    <row r="210" ht="16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172"/>
      <c r="AA210" s="172"/>
      <c r="AB210" s="172"/>
      <c r="AC210" s="22"/>
      <c r="AD210" s="22"/>
      <c r="AE210" s="22"/>
      <c r="AF210" s="22"/>
      <c r="AG210" s="172"/>
      <c r="AH210" s="172"/>
      <c r="AI210" s="172"/>
      <c r="AJ210" s="172"/>
      <c r="AK210" s="172"/>
      <c r="AL210" s="17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</row>
    <row r="211" ht="16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172"/>
      <c r="AA211" s="172"/>
      <c r="AB211" s="172"/>
      <c r="AC211" s="22"/>
      <c r="AD211" s="22"/>
      <c r="AE211" s="22"/>
      <c r="AF211" s="22"/>
      <c r="AG211" s="172"/>
      <c r="AH211" s="172"/>
      <c r="AI211" s="172"/>
      <c r="AJ211" s="172"/>
      <c r="AK211" s="172"/>
      <c r="AL211" s="17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</row>
    <row r="212" ht="16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172"/>
      <c r="AA212" s="172"/>
      <c r="AB212" s="172"/>
      <c r="AC212" s="22"/>
      <c r="AD212" s="22"/>
      <c r="AE212" s="22"/>
      <c r="AF212" s="22"/>
      <c r="AG212" s="172"/>
      <c r="AH212" s="172"/>
      <c r="AI212" s="172"/>
      <c r="AJ212" s="172"/>
      <c r="AK212" s="172"/>
      <c r="AL212" s="17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</row>
    <row r="213" ht="16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172"/>
      <c r="AA213" s="172"/>
      <c r="AB213" s="172"/>
      <c r="AC213" s="22"/>
      <c r="AD213" s="22"/>
      <c r="AE213" s="22"/>
      <c r="AF213" s="22"/>
      <c r="AG213" s="172"/>
      <c r="AH213" s="172"/>
      <c r="AI213" s="172"/>
      <c r="AJ213" s="172"/>
      <c r="AK213" s="172"/>
      <c r="AL213" s="17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</row>
    <row r="214" ht="16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172"/>
      <c r="AA214" s="172"/>
      <c r="AB214" s="172"/>
      <c r="AC214" s="22"/>
      <c r="AD214" s="22"/>
      <c r="AE214" s="22"/>
      <c r="AF214" s="22"/>
      <c r="AG214" s="172"/>
      <c r="AH214" s="172"/>
      <c r="AI214" s="172"/>
      <c r="AJ214" s="172"/>
      <c r="AK214" s="172"/>
      <c r="AL214" s="17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</row>
    <row r="215" ht="16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172"/>
      <c r="AA215" s="172"/>
      <c r="AB215" s="172"/>
      <c r="AC215" s="22"/>
      <c r="AD215" s="22"/>
      <c r="AE215" s="22"/>
      <c r="AF215" s="22"/>
      <c r="AG215" s="172"/>
      <c r="AH215" s="172"/>
      <c r="AI215" s="172"/>
      <c r="AJ215" s="172"/>
      <c r="AK215" s="172"/>
      <c r="AL215" s="17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</row>
    <row r="216" ht="16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172"/>
      <c r="AA216" s="172"/>
      <c r="AB216" s="172"/>
      <c r="AC216" s="22"/>
      <c r="AD216" s="22"/>
      <c r="AE216" s="22"/>
      <c r="AF216" s="22"/>
      <c r="AG216" s="172"/>
      <c r="AH216" s="172"/>
      <c r="AI216" s="172"/>
      <c r="AJ216" s="172"/>
      <c r="AK216" s="172"/>
      <c r="AL216" s="17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</row>
    <row r="217" ht="16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172"/>
      <c r="AA217" s="172"/>
      <c r="AB217" s="172"/>
      <c r="AC217" s="22"/>
      <c r="AD217" s="22"/>
      <c r="AE217" s="22"/>
      <c r="AF217" s="22"/>
      <c r="AG217" s="172"/>
      <c r="AH217" s="172"/>
      <c r="AI217" s="172"/>
      <c r="AJ217" s="172"/>
      <c r="AK217" s="172"/>
      <c r="AL217" s="17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</row>
    <row r="218" ht="16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172"/>
      <c r="AA218" s="172"/>
      <c r="AB218" s="172"/>
      <c r="AC218" s="22"/>
      <c r="AD218" s="22"/>
      <c r="AE218" s="22"/>
      <c r="AF218" s="22"/>
      <c r="AG218" s="172"/>
      <c r="AH218" s="172"/>
      <c r="AI218" s="172"/>
      <c r="AJ218" s="172"/>
      <c r="AK218" s="172"/>
      <c r="AL218" s="17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</row>
    <row r="219" ht="16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172"/>
      <c r="AA219" s="172"/>
      <c r="AB219" s="172"/>
      <c r="AC219" s="22"/>
      <c r="AD219" s="22"/>
      <c r="AE219" s="22"/>
      <c r="AF219" s="22"/>
      <c r="AG219" s="172"/>
      <c r="AH219" s="172"/>
      <c r="AI219" s="172"/>
      <c r="AJ219" s="172"/>
      <c r="AK219" s="172"/>
      <c r="AL219" s="17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</row>
    <row r="220" ht="16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172"/>
      <c r="AA220" s="172"/>
      <c r="AB220" s="172"/>
      <c r="AC220" s="22"/>
      <c r="AD220" s="22"/>
      <c r="AE220" s="22"/>
      <c r="AF220" s="22"/>
      <c r="AG220" s="172"/>
      <c r="AH220" s="172"/>
      <c r="AI220" s="172"/>
      <c r="AJ220" s="172"/>
      <c r="AK220" s="172"/>
      <c r="AL220" s="17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</row>
    <row r="221" ht="16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172"/>
      <c r="AA221" s="172"/>
      <c r="AB221" s="172"/>
      <c r="AC221" s="22"/>
      <c r="AD221" s="22"/>
      <c r="AE221" s="22"/>
      <c r="AF221" s="22"/>
      <c r="AG221" s="172"/>
      <c r="AH221" s="172"/>
      <c r="AI221" s="172"/>
      <c r="AJ221" s="172"/>
      <c r="AK221" s="172"/>
      <c r="AL221" s="17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</row>
    <row r="222" ht="16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172"/>
      <c r="AA222" s="172"/>
      <c r="AB222" s="172"/>
      <c r="AC222" s="22"/>
      <c r="AD222" s="22"/>
      <c r="AE222" s="22"/>
      <c r="AF222" s="22"/>
      <c r="AG222" s="172"/>
      <c r="AH222" s="172"/>
      <c r="AI222" s="172"/>
      <c r="AJ222" s="172"/>
      <c r="AK222" s="172"/>
      <c r="AL222" s="17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</row>
    <row r="223" ht="16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172"/>
      <c r="AA223" s="172"/>
      <c r="AB223" s="172"/>
      <c r="AC223" s="22"/>
      <c r="AD223" s="22"/>
      <c r="AE223" s="22"/>
      <c r="AF223" s="22"/>
      <c r="AG223" s="172"/>
      <c r="AH223" s="172"/>
      <c r="AI223" s="172"/>
      <c r="AJ223" s="172"/>
      <c r="AK223" s="172"/>
      <c r="AL223" s="17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</row>
    <row r="224" ht="16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172"/>
      <c r="AA224" s="172"/>
      <c r="AB224" s="172"/>
      <c r="AC224" s="22"/>
      <c r="AD224" s="22"/>
      <c r="AE224" s="22"/>
      <c r="AF224" s="22"/>
      <c r="AG224" s="172"/>
      <c r="AH224" s="172"/>
      <c r="AI224" s="172"/>
      <c r="AJ224" s="172"/>
      <c r="AK224" s="172"/>
      <c r="AL224" s="17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</row>
    <row r="225" ht="16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172"/>
      <c r="AA225" s="172"/>
      <c r="AB225" s="172"/>
      <c r="AC225" s="22"/>
      <c r="AD225" s="22"/>
      <c r="AE225" s="22"/>
      <c r="AF225" s="22"/>
      <c r="AG225" s="172"/>
      <c r="AH225" s="172"/>
      <c r="AI225" s="172"/>
      <c r="AJ225" s="172"/>
      <c r="AK225" s="172"/>
      <c r="AL225" s="17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</row>
    <row r="226" ht="16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172"/>
      <c r="AA226" s="172"/>
      <c r="AB226" s="172"/>
      <c r="AC226" s="22"/>
      <c r="AD226" s="22"/>
      <c r="AE226" s="22"/>
      <c r="AF226" s="22"/>
      <c r="AG226" s="172"/>
      <c r="AH226" s="172"/>
      <c r="AI226" s="172"/>
      <c r="AJ226" s="172"/>
      <c r="AK226" s="172"/>
      <c r="AL226" s="17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</row>
    <row r="227" ht="16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172"/>
      <c r="AA227" s="172"/>
      <c r="AB227" s="172"/>
      <c r="AC227" s="22"/>
      <c r="AD227" s="22"/>
      <c r="AE227" s="22"/>
      <c r="AF227" s="22"/>
      <c r="AG227" s="172"/>
      <c r="AH227" s="172"/>
      <c r="AI227" s="172"/>
      <c r="AJ227" s="172"/>
      <c r="AK227" s="172"/>
      <c r="AL227" s="17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</row>
    <row r="228" ht="16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172"/>
      <c r="AA228" s="172"/>
      <c r="AB228" s="172"/>
      <c r="AC228" s="22"/>
      <c r="AD228" s="22"/>
      <c r="AE228" s="22"/>
      <c r="AF228" s="22"/>
      <c r="AG228" s="172"/>
      <c r="AH228" s="172"/>
      <c r="AI228" s="172"/>
      <c r="AJ228" s="172"/>
      <c r="AK228" s="172"/>
      <c r="AL228" s="17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</row>
    <row r="229" ht="16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172"/>
      <c r="AA229" s="172"/>
      <c r="AB229" s="172"/>
      <c r="AC229" s="22"/>
      <c r="AD229" s="22"/>
      <c r="AE229" s="22"/>
      <c r="AF229" s="22"/>
      <c r="AG229" s="172"/>
      <c r="AH229" s="172"/>
      <c r="AI229" s="172"/>
      <c r="AJ229" s="172"/>
      <c r="AK229" s="172"/>
      <c r="AL229" s="17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</row>
    <row r="230" ht="16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172"/>
      <c r="AA230" s="172"/>
      <c r="AB230" s="172"/>
      <c r="AC230" s="22"/>
      <c r="AD230" s="22"/>
      <c r="AE230" s="22"/>
      <c r="AF230" s="22"/>
      <c r="AG230" s="172"/>
      <c r="AH230" s="172"/>
      <c r="AI230" s="172"/>
      <c r="AJ230" s="172"/>
      <c r="AK230" s="172"/>
      <c r="AL230" s="17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</row>
    <row r="231" ht="16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172"/>
      <c r="AA231" s="172"/>
      <c r="AB231" s="172"/>
      <c r="AC231" s="22"/>
      <c r="AD231" s="22"/>
      <c r="AE231" s="22"/>
      <c r="AF231" s="22"/>
      <c r="AG231" s="172"/>
      <c r="AH231" s="172"/>
      <c r="AI231" s="172"/>
      <c r="AJ231" s="172"/>
      <c r="AK231" s="172"/>
      <c r="AL231" s="17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</row>
    <row r="232" ht="16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172"/>
      <c r="AA232" s="172"/>
      <c r="AB232" s="172"/>
      <c r="AC232" s="22"/>
      <c r="AD232" s="22"/>
      <c r="AE232" s="22"/>
      <c r="AF232" s="22"/>
      <c r="AG232" s="172"/>
      <c r="AH232" s="172"/>
      <c r="AI232" s="172"/>
      <c r="AJ232" s="172"/>
      <c r="AK232" s="172"/>
      <c r="AL232" s="17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</row>
    <row r="233" ht="16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172"/>
      <c r="AA233" s="172"/>
      <c r="AB233" s="172"/>
      <c r="AC233" s="22"/>
      <c r="AD233" s="22"/>
      <c r="AE233" s="22"/>
      <c r="AF233" s="22"/>
      <c r="AG233" s="172"/>
      <c r="AH233" s="172"/>
      <c r="AI233" s="172"/>
      <c r="AJ233" s="172"/>
      <c r="AK233" s="172"/>
      <c r="AL233" s="17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</row>
    <row r="234" ht="16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172"/>
      <c r="AA234" s="172"/>
      <c r="AB234" s="172"/>
      <c r="AC234" s="22"/>
      <c r="AD234" s="22"/>
      <c r="AE234" s="22"/>
      <c r="AF234" s="22"/>
      <c r="AG234" s="172"/>
      <c r="AH234" s="172"/>
      <c r="AI234" s="172"/>
      <c r="AJ234" s="172"/>
      <c r="AK234" s="172"/>
      <c r="AL234" s="17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</row>
    <row r="235" ht="16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172"/>
      <c r="AA235" s="172"/>
      <c r="AB235" s="172"/>
      <c r="AC235" s="22"/>
      <c r="AD235" s="22"/>
      <c r="AE235" s="22"/>
      <c r="AF235" s="22"/>
      <c r="AG235" s="172"/>
      <c r="AH235" s="172"/>
      <c r="AI235" s="172"/>
      <c r="AJ235" s="172"/>
      <c r="AK235" s="172"/>
      <c r="AL235" s="17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</row>
    <row r="236" ht="16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172"/>
      <c r="AA236" s="172"/>
      <c r="AB236" s="172"/>
      <c r="AC236" s="22"/>
      <c r="AD236" s="22"/>
      <c r="AE236" s="22"/>
      <c r="AF236" s="22"/>
      <c r="AG236" s="172"/>
      <c r="AH236" s="172"/>
      <c r="AI236" s="172"/>
      <c r="AJ236" s="172"/>
      <c r="AK236" s="172"/>
      <c r="AL236" s="17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</row>
    <row r="237" ht="16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172"/>
      <c r="AA237" s="172"/>
      <c r="AB237" s="172"/>
      <c r="AC237" s="22"/>
      <c r="AD237" s="22"/>
      <c r="AE237" s="22"/>
      <c r="AF237" s="22"/>
      <c r="AG237" s="172"/>
      <c r="AH237" s="172"/>
      <c r="AI237" s="172"/>
      <c r="AJ237" s="172"/>
      <c r="AK237" s="172"/>
      <c r="AL237" s="17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</row>
    <row r="238" ht="16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172"/>
      <c r="AA238" s="172"/>
      <c r="AB238" s="172"/>
      <c r="AC238" s="22"/>
      <c r="AD238" s="22"/>
      <c r="AE238" s="22"/>
      <c r="AF238" s="22"/>
      <c r="AG238" s="172"/>
      <c r="AH238" s="172"/>
      <c r="AI238" s="172"/>
      <c r="AJ238" s="172"/>
      <c r="AK238" s="172"/>
      <c r="AL238" s="17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</row>
    <row r="239" ht="16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172"/>
      <c r="AA239" s="172"/>
      <c r="AB239" s="172"/>
      <c r="AC239" s="22"/>
      <c r="AD239" s="22"/>
      <c r="AE239" s="22"/>
      <c r="AF239" s="22"/>
      <c r="AG239" s="172"/>
      <c r="AH239" s="172"/>
      <c r="AI239" s="172"/>
      <c r="AJ239" s="172"/>
      <c r="AK239" s="172"/>
      <c r="AL239" s="17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</row>
    <row r="240" ht="16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172"/>
      <c r="AA240" s="172"/>
      <c r="AB240" s="172"/>
      <c r="AC240" s="22"/>
      <c r="AD240" s="22"/>
      <c r="AE240" s="22"/>
      <c r="AF240" s="22"/>
      <c r="AG240" s="172"/>
      <c r="AH240" s="172"/>
      <c r="AI240" s="172"/>
      <c r="AJ240" s="172"/>
      <c r="AK240" s="172"/>
      <c r="AL240" s="17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</row>
    <row r="241" ht="16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172"/>
      <c r="AA241" s="172"/>
      <c r="AB241" s="172"/>
      <c r="AC241" s="22"/>
      <c r="AD241" s="22"/>
      <c r="AE241" s="22"/>
      <c r="AF241" s="22"/>
      <c r="AG241" s="172"/>
      <c r="AH241" s="172"/>
      <c r="AI241" s="172"/>
      <c r="AJ241" s="172"/>
      <c r="AK241" s="172"/>
      <c r="AL241" s="17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</row>
    <row r="242" ht="16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172"/>
      <c r="AA242" s="172"/>
      <c r="AB242" s="172"/>
      <c r="AC242" s="22"/>
      <c r="AD242" s="22"/>
      <c r="AE242" s="22"/>
      <c r="AF242" s="22"/>
      <c r="AG242" s="172"/>
      <c r="AH242" s="172"/>
      <c r="AI242" s="172"/>
      <c r="AJ242" s="172"/>
      <c r="AK242" s="172"/>
      <c r="AL242" s="17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</row>
    <row r="243" ht="16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172"/>
      <c r="AA243" s="172"/>
      <c r="AB243" s="172"/>
      <c r="AC243" s="22"/>
      <c r="AD243" s="22"/>
      <c r="AE243" s="22"/>
      <c r="AF243" s="22"/>
      <c r="AG243" s="172"/>
      <c r="AH243" s="172"/>
      <c r="AI243" s="172"/>
      <c r="AJ243" s="172"/>
      <c r="AK243" s="172"/>
      <c r="AL243" s="17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</row>
    <row r="244" ht="16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172"/>
      <c r="AA244" s="172"/>
      <c r="AB244" s="172"/>
      <c r="AC244" s="22"/>
      <c r="AD244" s="22"/>
      <c r="AE244" s="22"/>
      <c r="AF244" s="22"/>
      <c r="AG244" s="172"/>
      <c r="AH244" s="172"/>
      <c r="AI244" s="172"/>
      <c r="AJ244" s="172"/>
      <c r="AK244" s="172"/>
      <c r="AL244" s="17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</row>
    <row r="245" ht="16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172"/>
      <c r="AA245" s="172"/>
      <c r="AB245" s="172"/>
      <c r="AC245" s="22"/>
      <c r="AD245" s="22"/>
      <c r="AE245" s="22"/>
      <c r="AF245" s="22"/>
      <c r="AG245" s="172"/>
      <c r="AH245" s="172"/>
      <c r="AI245" s="172"/>
      <c r="AJ245" s="172"/>
      <c r="AK245" s="172"/>
      <c r="AL245" s="17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</row>
    <row r="246" ht="16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172"/>
      <c r="AA246" s="172"/>
      <c r="AB246" s="172"/>
      <c r="AC246" s="22"/>
      <c r="AD246" s="22"/>
      <c r="AE246" s="22"/>
      <c r="AF246" s="22"/>
      <c r="AG246" s="172"/>
      <c r="AH246" s="172"/>
      <c r="AI246" s="172"/>
      <c r="AJ246" s="172"/>
      <c r="AK246" s="172"/>
      <c r="AL246" s="17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</row>
    <row r="247" ht="16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172"/>
      <c r="AA247" s="172"/>
      <c r="AB247" s="172"/>
      <c r="AC247" s="22"/>
      <c r="AD247" s="22"/>
      <c r="AE247" s="22"/>
      <c r="AF247" s="22"/>
      <c r="AG247" s="172"/>
      <c r="AH247" s="172"/>
      <c r="AI247" s="172"/>
      <c r="AJ247" s="172"/>
      <c r="AK247" s="172"/>
      <c r="AL247" s="17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</row>
    <row r="248" ht="16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172"/>
      <c r="AA248" s="172"/>
      <c r="AB248" s="172"/>
      <c r="AC248" s="22"/>
      <c r="AD248" s="22"/>
      <c r="AE248" s="22"/>
      <c r="AF248" s="22"/>
      <c r="AG248" s="172"/>
      <c r="AH248" s="172"/>
      <c r="AI248" s="172"/>
      <c r="AJ248" s="172"/>
      <c r="AK248" s="172"/>
      <c r="AL248" s="17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</row>
    <row r="249" ht="16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172"/>
      <c r="AA249" s="172"/>
      <c r="AB249" s="172"/>
      <c r="AC249" s="22"/>
      <c r="AD249" s="22"/>
      <c r="AE249" s="22"/>
      <c r="AF249" s="22"/>
      <c r="AG249" s="172"/>
      <c r="AH249" s="172"/>
      <c r="AI249" s="172"/>
      <c r="AJ249" s="172"/>
      <c r="AK249" s="172"/>
      <c r="AL249" s="17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</row>
    <row r="250" ht="16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172"/>
      <c r="AA250" s="172"/>
      <c r="AB250" s="172"/>
      <c r="AC250" s="22"/>
      <c r="AD250" s="22"/>
      <c r="AE250" s="22"/>
      <c r="AF250" s="22"/>
      <c r="AG250" s="172"/>
      <c r="AH250" s="172"/>
      <c r="AI250" s="172"/>
      <c r="AJ250" s="172"/>
      <c r="AK250" s="172"/>
      <c r="AL250" s="17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</row>
    <row r="251" ht="16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172"/>
      <c r="AA251" s="172"/>
      <c r="AB251" s="172"/>
      <c r="AC251" s="22"/>
      <c r="AD251" s="22"/>
      <c r="AE251" s="22"/>
      <c r="AF251" s="22"/>
      <c r="AG251" s="172"/>
      <c r="AH251" s="172"/>
      <c r="AI251" s="172"/>
      <c r="AJ251" s="172"/>
      <c r="AK251" s="172"/>
      <c r="AL251" s="17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</row>
    <row r="252" ht="16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172"/>
      <c r="AA252" s="172"/>
      <c r="AB252" s="172"/>
      <c r="AC252" s="22"/>
      <c r="AD252" s="22"/>
      <c r="AE252" s="22"/>
      <c r="AF252" s="22"/>
      <c r="AG252" s="172"/>
      <c r="AH252" s="172"/>
      <c r="AI252" s="172"/>
      <c r="AJ252" s="172"/>
      <c r="AK252" s="172"/>
      <c r="AL252" s="17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</row>
    <row r="253" ht="16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172"/>
      <c r="AA253" s="172"/>
      <c r="AB253" s="172"/>
      <c r="AC253" s="22"/>
      <c r="AD253" s="22"/>
      <c r="AE253" s="22"/>
      <c r="AF253" s="22"/>
      <c r="AG253" s="172"/>
      <c r="AH253" s="172"/>
      <c r="AI253" s="172"/>
      <c r="AJ253" s="172"/>
      <c r="AK253" s="172"/>
      <c r="AL253" s="17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</row>
    <row r="254" ht="16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172"/>
      <c r="AA254" s="172"/>
      <c r="AB254" s="172"/>
      <c r="AC254" s="22"/>
      <c r="AD254" s="22"/>
      <c r="AE254" s="22"/>
      <c r="AF254" s="22"/>
      <c r="AG254" s="172"/>
      <c r="AH254" s="172"/>
      <c r="AI254" s="172"/>
      <c r="AJ254" s="172"/>
      <c r="AK254" s="172"/>
      <c r="AL254" s="17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</row>
    <row r="255" ht="16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172"/>
      <c r="AA255" s="172"/>
      <c r="AB255" s="172"/>
      <c r="AC255" s="22"/>
      <c r="AD255" s="22"/>
      <c r="AE255" s="22"/>
      <c r="AF255" s="22"/>
      <c r="AG255" s="172"/>
      <c r="AH255" s="172"/>
      <c r="AI255" s="172"/>
      <c r="AJ255" s="172"/>
      <c r="AK255" s="172"/>
      <c r="AL255" s="17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</row>
    <row r="256" ht="16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172"/>
      <c r="AA256" s="172"/>
      <c r="AB256" s="172"/>
      <c r="AC256" s="22"/>
      <c r="AD256" s="22"/>
      <c r="AE256" s="22"/>
      <c r="AF256" s="22"/>
      <c r="AG256" s="172"/>
      <c r="AH256" s="172"/>
      <c r="AI256" s="172"/>
      <c r="AJ256" s="172"/>
      <c r="AK256" s="172"/>
      <c r="AL256" s="17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</row>
    <row r="257" ht="16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172"/>
      <c r="AA257" s="172"/>
      <c r="AB257" s="172"/>
      <c r="AC257" s="22"/>
      <c r="AD257" s="22"/>
      <c r="AE257" s="22"/>
      <c r="AF257" s="22"/>
      <c r="AG257" s="172"/>
      <c r="AH257" s="172"/>
      <c r="AI257" s="172"/>
      <c r="AJ257" s="172"/>
      <c r="AK257" s="172"/>
      <c r="AL257" s="17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</row>
    <row r="258" ht="16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172"/>
      <c r="AA258" s="172"/>
      <c r="AB258" s="172"/>
      <c r="AC258" s="22"/>
      <c r="AD258" s="22"/>
      <c r="AE258" s="22"/>
      <c r="AF258" s="22"/>
      <c r="AG258" s="172"/>
      <c r="AH258" s="172"/>
      <c r="AI258" s="172"/>
      <c r="AJ258" s="172"/>
      <c r="AK258" s="172"/>
      <c r="AL258" s="17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</row>
    <row r="259" ht="16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172"/>
      <c r="AA259" s="172"/>
      <c r="AB259" s="172"/>
      <c r="AC259" s="22"/>
      <c r="AD259" s="22"/>
      <c r="AE259" s="22"/>
      <c r="AF259" s="22"/>
      <c r="AG259" s="172"/>
      <c r="AH259" s="172"/>
      <c r="AI259" s="172"/>
      <c r="AJ259" s="172"/>
      <c r="AK259" s="172"/>
      <c r="AL259" s="17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</row>
    <row r="260" ht="16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172"/>
      <c r="AA260" s="172"/>
      <c r="AB260" s="172"/>
      <c r="AC260" s="22"/>
      <c r="AD260" s="22"/>
      <c r="AE260" s="22"/>
      <c r="AF260" s="22"/>
      <c r="AG260" s="172"/>
      <c r="AH260" s="172"/>
      <c r="AI260" s="172"/>
      <c r="AJ260" s="172"/>
      <c r="AK260" s="172"/>
      <c r="AL260" s="17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</row>
    <row r="261" ht="16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172"/>
      <c r="AA261" s="172"/>
      <c r="AB261" s="172"/>
      <c r="AC261" s="22"/>
      <c r="AD261" s="22"/>
      <c r="AE261" s="22"/>
      <c r="AF261" s="22"/>
      <c r="AG261" s="172"/>
      <c r="AH261" s="172"/>
      <c r="AI261" s="172"/>
      <c r="AJ261" s="172"/>
      <c r="AK261" s="172"/>
      <c r="AL261" s="17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</row>
    <row r="262" ht="16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172"/>
      <c r="AA262" s="172"/>
      <c r="AB262" s="172"/>
      <c r="AC262" s="22"/>
      <c r="AD262" s="22"/>
      <c r="AE262" s="22"/>
      <c r="AF262" s="22"/>
      <c r="AG262" s="172"/>
      <c r="AH262" s="172"/>
      <c r="AI262" s="172"/>
      <c r="AJ262" s="172"/>
      <c r="AK262" s="172"/>
      <c r="AL262" s="17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</row>
    <row r="263" ht="16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172"/>
      <c r="AA263" s="172"/>
      <c r="AB263" s="172"/>
      <c r="AC263" s="22"/>
      <c r="AD263" s="22"/>
      <c r="AE263" s="22"/>
      <c r="AF263" s="22"/>
      <c r="AG263" s="172"/>
      <c r="AH263" s="172"/>
      <c r="AI263" s="172"/>
      <c r="AJ263" s="172"/>
      <c r="AK263" s="172"/>
      <c r="AL263" s="17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</row>
    <row r="264" ht="16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172"/>
      <c r="AA264" s="172"/>
      <c r="AB264" s="172"/>
      <c r="AC264" s="22"/>
      <c r="AD264" s="22"/>
      <c r="AE264" s="22"/>
      <c r="AF264" s="22"/>
      <c r="AG264" s="172"/>
      <c r="AH264" s="172"/>
      <c r="AI264" s="172"/>
      <c r="AJ264" s="172"/>
      <c r="AK264" s="172"/>
      <c r="AL264" s="17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</row>
    <row r="265" ht="16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172"/>
      <c r="AA265" s="172"/>
      <c r="AB265" s="172"/>
      <c r="AC265" s="22"/>
      <c r="AD265" s="22"/>
      <c r="AE265" s="22"/>
      <c r="AF265" s="22"/>
      <c r="AG265" s="172"/>
      <c r="AH265" s="172"/>
      <c r="AI265" s="172"/>
      <c r="AJ265" s="172"/>
      <c r="AK265" s="172"/>
      <c r="AL265" s="17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</row>
    <row r="266" ht="16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172"/>
      <c r="AA266" s="172"/>
      <c r="AB266" s="172"/>
      <c r="AC266" s="22"/>
      <c r="AD266" s="22"/>
      <c r="AE266" s="22"/>
      <c r="AF266" s="22"/>
      <c r="AG266" s="172"/>
      <c r="AH266" s="172"/>
      <c r="AI266" s="172"/>
      <c r="AJ266" s="172"/>
      <c r="AK266" s="172"/>
      <c r="AL266" s="17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</row>
    <row r="267" ht="16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172"/>
      <c r="AA267" s="172"/>
      <c r="AB267" s="172"/>
      <c r="AC267" s="22"/>
      <c r="AD267" s="22"/>
      <c r="AE267" s="22"/>
      <c r="AF267" s="22"/>
      <c r="AG267" s="172"/>
      <c r="AH267" s="172"/>
      <c r="AI267" s="172"/>
      <c r="AJ267" s="172"/>
      <c r="AK267" s="172"/>
      <c r="AL267" s="17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</row>
    <row r="268" ht="16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172"/>
      <c r="AA268" s="172"/>
      <c r="AB268" s="172"/>
      <c r="AC268" s="22"/>
      <c r="AD268" s="22"/>
      <c r="AE268" s="22"/>
      <c r="AF268" s="22"/>
      <c r="AG268" s="172"/>
      <c r="AH268" s="172"/>
      <c r="AI268" s="172"/>
      <c r="AJ268" s="172"/>
      <c r="AK268" s="172"/>
      <c r="AL268" s="17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</row>
    <row r="269" ht="16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172"/>
      <c r="AA269" s="172"/>
      <c r="AB269" s="172"/>
      <c r="AC269" s="22"/>
      <c r="AD269" s="22"/>
      <c r="AE269" s="22"/>
      <c r="AF269" s="22"/>
      <c r="AG269" s="172"/>
      <c r="AH269" s="172"/>
      <c r="AI269" s="172"/>
      <c r="AJ269" s="172"/>
      <c r="AK269" s="172"/>
      <c r="AL269" s="17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</row>
    <row r="270" ht="16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172"/>
      <c r="AA270" s="172"/>
      <c r="AB270" s="172"/>
      <c r="AC270" s="22"/>
      <c r="AD270" s="22"/>
      <c r="AE270" s="22"/>
      <c r="AF270" s="22"/>
      <c r="AG270" s="172"/>
      <c r="AH270" s="172"/>
      <c r="AI270" s="172"/>
      <c r="AJ270" s="172"/>
      <c r="AK270" s="172"/>
      <c r="AL270" s="17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</row>
    <row r="271" ht="16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172"/>
      <c r="AA271" s="172"/>
      <c r="AB271" s="172"/>
      <c r="AC271" s="22"/>
      <c r="AD271" s="22"/>
      <c r="AE271" s="22"/>
      <c r="AF271" s="22"/>
      <c r="AG271" s="172"/>
      <c r="AH271" s="172"/>
      <c r="AI271" s="172"/>
      <c r="AJ271" s="172"/>
      <c r="AK271" s="172"/>
      <c r="AL271" s="17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</row>
    <row r="272" ht="16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172"/>
      <c r="AA272" s="172"/>
      <c r="AB272" s="172"/>
      <c r="AC272" s="22"/>
      <c r="AD272" s="22"/>
      <c r="AE272" s="22"/>
      <c r="AF272" s="22"/>
      <c r="AG272" s="172"/>
      <c r="AH272" s="172"/>
      <c r="AI272" s="172"/>
      <c r="AJ272" s="172"/>
      <c r="AK272" s="172"/>
      <c r="AL272" s="17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</row>
    <row r="273" ht="16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172"/>
      <c r="AA273" s="172"/>
      <c r="AB273" s="172"/>
      <c r="AC273" s="22"/>
      <c r="AD273" s="22"/>
      <c r="AE273" s="22"/>
      <c r="AF273" s="22"/>
      <c r="AG273" s="172"/>
      <c r="AH273" s="172"/>
      <c r="AI273" s="172"/>
      <c r="AJ273" s="172"/>
      <c r="AK273" s="172"/>
      <c r="AL273" s="17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</row>
    <row r="274" ht="16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172"/>
      <c r="AA274" s="172"/>
      <c r="AB274" s="172"/>
      <c r="AC274" s="22"/>
      <c r="AD274" s="22"/>
      <c r="AE274" s="22"/>
      <c r="AF274" s="22"/>
      <c r="AG274" s="172"/>
      <c r="AH274" s="172"/>
      <c r="AI274" s="172"/>
      <c r="AJ274" s="172"/>
      <c r="AK274" s="172"/>
      <c r="AL274" s="17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</row>
    <row r="275" ht="16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172"/>
      <c r="AA275" s="172"/>
      <c r="AB275" s="172"/>
      <c r="AC275" s="22"/>
      <c r="AD275" s="22"/>
      <c r="AE275" s="22"/>
      <c r="AF275" s="22"/>
      <c r="AG275" s="172"/>
      <c r="AH275" s="172"/>
      <c r="AI275" s="172"/>
      <c r="AJ275" s="172"/>
      <c r="AK275" s="172"/>
      <c r="AL275" s="17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</row>
    <row r="276" ht="16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172"/>
      <c r="AA276" s="172"/>
      <c r="AB276" s="172"/>
      <c r="AC276" s="22"/>
      <c r="AD276" s="22"/>
      <c r="AE276" s="22"/>
      <c r="AF276" s="22"/>
      <c r="AG276" s="172"/>
      <c r="AH276" s="172"/>
      <c r="AI276" s="172"/>
      <c r="AJ276" s="172"/>
      <c r="AK276" s="172"/>
      <c r="AL276" s="17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</row>
    <row r="277" ht="16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172"/>
      <c r="AA277" s="172"/>
      <c r="AB277" s="172"/>
      <c r="AC277" s="22"/>
      <c r="AD277" s="22"/>
      <c r="AE277" s="22"/>
      <c r="AF277" s="22"/>
      <c r="AG277" s="172"/>
      <c r="AH277" s="172"/>
      <c r="AI277" s="172"/>
      <c r="AJ277" s="172"/>
      <c r="AK277" s="172"/>
      <c r="AL277" s="17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</row>
    <row r="278" ht="16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172"/>
      <c r="AA278" s="172"/>
      <c r="AB278" s="172"/>
      <c r="AC278" s="22"/>
      <c r="AD278" s="22"/>
      <c r="AE278" s="22"/>
      <c r="AF278" s="22"/>
      <c r="AG278" s="172"/>
      <c r="AH278" s="172"/>
      <c r="AI278" s="172"/>
      <c r="AJ278" s="172"/>
      <c r="AK278" s="172"/>
      <c r="AL278" s="17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</row>
    <row r="279" ht="16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172"/>
      <c r="AA279" s="172"/>
      <c r="AB279" s="172"/>
      <c r="AC279" s="22"/>
      <c r="AD279" s="22"/>
      <c r="AE279" s="22"/>
      <c r="AF279" s="22"/>
      <c r="AG279" s="172"/>
      <c r="AH279" s="172"/>
      <c r="AI279" s="172"/>
      <c r="AJ279" s="172"/>
      <c r="AK279" s="172"/>
      <c r="AL279" s="17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</row>
    <row r="280" ht="16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172"/>
      <c r="AA280" s="172"/>
      <c r="AB280" s="172"/>
      <c r="AC280" s="22"/>
      <c r="AD280" s="22"/>
      <c r="AE280" s="22"/>
      <c r="AF280" s="22"/>
      <c r="AG280" s="172"/>
      <c r="AH280" s="172"/>
      <c r="AI280" s="172"/>
      <c r="AJ280" s="172"/>
      <c r="AK280" s="172"/>
      <c r="AL280" s="17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</row>
    <row r="281" ht="16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172"/>
      <c r="AA281" s="172"/>
      <c r="AB281" s="172"/>
      <c r="AC281" s="22"/>
      <c r="AD281" s="22"/>
      <c r="AE281" s="22"/>
      <c r="AF281" s="22"/>
      <c r="AG281" s="172"/>
      <c r="AH281" s="172"/>
      <c r="AI281" s="172"/>
      <c r="AJ281" s="172"/>
      <c r="AK281" s="172"/>
      <c r="AL281" s="17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</row>
    <row r="282" ht="16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172"/>
      <c r="AA282" s="172"/>
      <c r="AB282" s="172"/>
      <c r="AC282" s="22"/>
      <c r="AD282" s="22"/>
      <c r="AE282" s="22"/>
      <c r="AF282" s="22"/>
      <c r="AG282" s="172"/>
      <c r="AH282" s="172"/>
      <c r="AI282" s="172"/>
      <c r="AJ282" s="172"/>
      <c r="AK282" s="172"/>
      <c r="AL282" s="17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</row>
    <row r="283" ht="16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172"/>
      <c r="AA283" s="172"/>
      <c r="AB283" s="172"/>
      <c r="AC283" s="22"/>
      <c r="AD283" s="22"/>
      <c r="AE283" s="22"/>
      <c r="AF283" s="22"/>
      <c r="AG283" s="172"/>
      <c r="AH283" s="172"/>
      <c r="AI283" s="172"/>
      <c r="AJ283" s="172"/>
      <c r="AK283" s="172"/>
      <c r="AL283" s="17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</row>
    <row r="284" ht="16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172"/>
      <c r="AA284" s="172"/>
      <c r="AB284" s="172"/>
      <c r="AC284" s="22"/>
      <c r="AD284" s="22"/>
      <c r="AE284" s="22"/>
      <c r="AF284" s="22"/>
      <c r="AG284" s="172"/>
      <c r="AH284" s="172"/>
      <c r="AI284" s="172"/>
      <c r="AJ284" s="172"/>
      <c r="AK284" s="172"/>
      <c r="AL284" s="17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</row>
    <row r="285" ht="16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172"/>
      <c r="AA285" s="172"/>
      <c r="AB285" s="172"/>
      <c r="AC285" s="22"/>
      <c r="AD285" s="22"/>
      <c r="AE285" s="22"/>
      <c r="AF285" s="22"/>
      <c r="AG285" s="172"/>
      <c r="AH285" s="172"/>
      <c r="AI285" s="172"/>
      <c r="AJ285" s="172"/>
      <c r="AK285" s="172"/>
      <c r="AL285" s="17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</row>
    <row r="286" ht="16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172"/>
      <c r="AA286" s="172"/>
      <c r="AB286" s="172"/>
      <c r="AC286" s="22"/>
      <c r="AD286" s="22"/>
      <c r="AE286" s="22"/>
      <c r="AF286" s="22"/>
      <c r="AG286" s="172"/>
      <c r="AH286" s="172"/>
      <c r="AI286" s="172"/>
      <c r="AJ286" s="172"/>
      <c r="AK286" s="172"/>
      <c r="AL286" s="17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</row>
    <row r="287" ht="16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172"/>
      <c r="AA287" s="172"/>
      <c r="AB287" s="172"/>
      <c r="AC287" s="22"/>
      <c r="AD287" s="22"/>
      <c r="AE287" s="22"/>
      <c r="AF287" s="22"/>
      <c r="AG287" s="172"/>
      <c r="AH287" s="172"/>
      <c r="AI287" s="172"/>
      <c r="AJ287" s="172"/>
      <c r="AK287" s="172"/>
      <c r="AL287" s="17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</row>
    <row r="288" ht="16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172"/>
      <c r="AA288" s="172"/>
      <c r="AB288" s="172"/>
      <c r="AC288" s="22"/>
      <c r="AD288" s="22"/>
      <c r="AE288" s="22"/>
      <c r="AF288" s="22"/>
      <c r="AG288" s="172"/>
      <c r="AH288" s="172"/>
      <c r="AI288" s="172"/>
      <c r="AJ288" s="172"/>
      <c r="AK288" s="172"/>
      <c r="AL288" s="17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</row>
    <row r="289" ht="16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172"/>
      <c r="AA289" s="172"/>
      <c r="AB289" s="172"/>
      <c r="AC289" s="22"/>
      <c r="AD289" s="22"/>
      <c r="AE289" s="22"/>
      <c r="AF289" s="22"/>
      <c r="AG289" s="172"/>
      <c r="AH289" s="172"/>
      <c r="AI289" s="172"/>
      <c r="AJ289" s="172"/>
      <c r="AK289" s="172"/>
      <c r="AL289" s="17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</row>
    <row r="290" ht="16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172"/>
      <c r="AA290" s="172"/>
      <c r="AB290" s="172"/>
      <c r="AC290" s="22"/>
      <c r="AD290" s="22"/>
      <c r="AE290" s="22"/>
      <c r="AF290" s="22"/>
      <c r="AG290" s="172"/>
      <c r="AH290" s="172"/>
      <c r="AI290" s="172"/>
      <c r="AJ290" s="172"/>
      <c r="AK290" s="172"/>
      <c r="AL290" s="17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</row>
    <row r="291" ht="16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172"/>
      <c r="AA291" s="172"/>
      <c r="AB291" s="172"/>
      <c r="AC291" s="22"/>
      <c r="AD291" s="22"/>
      <c r="AE291" s="22"/>
      <c r="AF291" s="22"/>
      <c r="AG291" s="172"/>
      <c r="AH291" s="172"/>
      <c r="AI291" s="172"/>
      <c r="AJ291" s="172"/>
      <c r="AK291" s="172"/>
      <c r="AL291" s="17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</row>
    <row r="292" ht="16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172"/>
      <c r="AA292" s="172"/>
      <c r="AB292" s="172"/>
      <c r="AC292" s="22"/>
      <c r="AD292" s="22"/>
      <c r="AE292" s="22"/>
      <c r="AF292" s="22"/>
      <c r="AG292" s="172"/>
      <c r="AH292" s="172"/>
      <c r="AI292" s="172"/>
      <c r="AJ292" s="172"/>
      <c r="AK292" s="172"/>
      <c r="AL292" s="17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</row>
    <row r="293" ht="16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172"/>
      <c r="AA293" s="172"/>
      <c r="AB293" s="172"/>
      <c r="AC293" s="22"/>
      <c r="AD293" s="22"/>
      <c r="AE293" s="22"/>
      <c r="AF293" s="22"/>
      <c r="AG293" s="172"/>
      <c r="AH293" s="172"/>
      <c r="AI293" s="172"/>
      <c r="AJ293" s="172"/>
      <c r="AK293" s="172"/>
      <c r="AL293" s="17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</row>
    <row r="294" ht="16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172"/>
      <c r="AA294" s="172"/>
      <c r="AB294" s="172"/>
      <c r="AC294" s="22"/>
      <c r="AD294" s="22"/>
      <c r="AE294" s="22"/>
      <c r="AF294" s="22"/>
      <c r="AG294" s="172"/>
      <c r="AH294" s="172"/>
      <c r="AI294" s="172"/>
      <c r="AJ294" s="172"/>
      <c r="AK294" s="172"/>
      <c r="AL294" s="17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</row>
    <row r="295" ht="16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172"/>
      <c r="AA295" s="172"/>
      <c r="AB295" s="172"/>
      <c r="AC295" s="22"/>
      <c r="AD295" s="22"/>
      <c r="AE295" s="22"/>
      <c r="AF295" s="22"/>
      <c r="AG295" s="172"/>
      <c r="AH295" s="172"/>
      <c r="AI295" s="172"/>
      <c r="AJ295" s="172"/>
      <c r="AK295" s="172"/>
      <c r="AL295" s="17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</row>
    <row r="296" ht="16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172"/>
      <c r="AA296" s="172"/>
      <c r="AB296" s="172"/>
      <c r="AC296" s="22"/>
      <c r="AD296" s="22"/>
      <c r="AE296" s="22"/>
      <c r="AF296" s="22"/>
      <c r="AG296" s="172"/>
      <c r="AH296" s="172"/>
      <c r="AI296" s="172"/>
      <c r="AJ296" s="172"/>
      <c r="AK296" s="172"/>
      <c r="AL296" s="17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</row>
    <row r="297" ht="16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172"/>
      <c r="AA297" s="172"/>
      <c r="AB297" s="172"/>
      <c r="AC297" s="22"/>
      <c r="AD297" s="22"/>
      <c r="AE297" s="22"/>
      <c r="AF297" s="22"/>
      <c r="AG297" s="172"/>
      <c r="AH297" s="172"/>
      <c r="AI297" s="172"/>
      <c r="AJ297" s="172"/>
      <c r="AK297" s="172"/>
      <c r="AL297" s="17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</row>
    <row r="298" ht="16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172"/>
      <c r="AA298" s="172"/>
      <c r="AB298" s="172"/>
      <c r="AC298" s="22"/>
      <c r="AD298" s="22"/>
      <c r="AE298" s="22"/>
      <c r="AF298" s="22"/>
      <c r="AG298" s="172"/>
      <c r="AH298" s="172"/>
      <c r="AI298" s="172"/>
      <c r="AJ298" s="172"/>
      <c r="AK298" s="172"/>
      <c r="AL298" s="17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</row>
    <row r="299" ht="16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172"/>
      <c r="AA299" s="172"/>
      <c r="AB299" s="172"/>
      <c r="AC299" s="22"/>
      <c r="AD299" s="22"/>
      <c r="AE299" s="22"/>
      <c r="AF299" s="22"/>
      <c r="AG299" s="172"/>
      <c r="AH299" s="172"/>
      <c r="AI299" s="172"/>
      <c r="AJ299" s="172"/>
      <c r="AK299" s="172"/>
      <c r="AL299" s="17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</row>
    <row r="300" ht="16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172"/>
      <c r="AA300" s="172"/>
      <c r="AB300" s="172"/>
      <c r="AC300" s="22"/>
      <c r="AD300" s="22"/>
      <c r="AE300" s="22"/>
      <c r="AF300" s="22"/>
      <c r="AG300" s="172"/>
      <c r="AH300" s="172"/>
      <c r="AI300" s="172"/>
      <c r="AJ300" s="172"/>
      <c r="AK300" s="172"/>
      <c r="AL300" s="17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</row>
    <row r="301" ht="16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172"/>
      <c r="AA301" s="172"/>
      <c r="AB301" s="172"/>
      <c r="AC301" s="22"/>
      <c r="AD301" s="22"/>
      <c r="AE301" s="22"/>
      <c r="AF301" s="22"/>
      <c r="AG301" s="172"/>
      <c r="AH301" s="172"/>
      <c r="AI301" s="172"/>
      <c r="AJ301" s="172"/>
      <c r="AK301" s="172"/>
      <c r="AL301" s="17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</row>
    <row r="302" ht="16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172"/>
      <c r="AA302" s="172"/>
      <c r="AB302" s="172"/>
      <c r="AC302" s="22"/>
      <c r="AD302" s="22"/>
      <c r="AE302" s="22"/>
      <c r="AF302" s="22"/>
      <c r="AG302" s="172"/>
      <c r="AH302" s="172"/>
      <c r="AI302" s="172"/>
      <c r="AJ302" s="172"/>
      <c r="AK302" s="172"/>
      <c r="AL302" s="17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</row>
    <row r="303" ht="16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172"/>
      <c r="AA303" s="172"/>
      <c r="AB303" s="172"/>
      <c r="AC303" s="22"/>
      <c r="AD303" s="22"/>
      <c r="AE303" s="22"/>
      <c r="AF303" s="22"/>
      <c r="AG303" s="172"/>
      <c r="AH303" s="172"/>
      <c r="AI303" s="172"/>
      <c r="AJ303" s="172"/>
      <c r="AK303" s="172"/>
      <c r="AL303" s="17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</row>
    <row r="304" ht="16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172"/>
      <c r="AA304" s="172"/>
      <c r="AB304" s="172"/>
      <c r="AC304" s="22"/>
      <c r="AD304" s="22"/>
      <c r="AE304" s="22"/>
      <c r="AF304" s="22"/>
      <c r="AG304" s="172"/>
      <c r="AH304" s="172"/>
      <c r="AI304" s="172"/>
      <c r="AJ304" s="172"/>
      <c r="AK304" s="172"/>
      <c r="AL304" s="17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</row>
    <row r="305" ht="16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172"/>
      <c r="AA305" s="172"/>
      <c r="AB305" s="172"/>
      <c r="AC305" s="22"/>
      <c r="AD305" s="22"/>
      <c r="AE305" s="22"/>
      <c r="AF305" s="22"/>
      <c r="AG305" s="172"/>
      <c r="AH305" s="172"/>
      <c r="AI305" s="172"/>
      <c r="AJ305" s="172"/>
      <c r="AK305" s="172"/>
      <c r="AL305" s="17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</row>
    <row r="306" ht="16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172"/>
      <c r="AA306" s="172"/>
      <c r="AB306" s="172"/>
      <c r="AC306" s="22"/>
      <c r="AD306" s="22"/>
      <c r="AE306" s="22"/>
      <c r="AF306" s="22"/>
      <c r="AG306" s="172"/>
      <c r="AH306" s="172"/>
      <c r="AI306" s="172"/>
      <c r="AJ306" s="172"/>
      <c r="AK306" s="172"/>
      <c r="AL306" s="17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</row>
    <row r="307" ht="16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172"/>
      <c r="AA307" s="172"/>
      <c r="AB307" s="172"/>
      <c r="AC307" s="22"/>
      <c r="AD307" s="22"/>
      <c r="AE307" s="22"/>
      <c r="AF307" s="22"/>
      <c r="AG307" s="172"/>
      <c r="AH307" s="172"/>
      <c r="AI307" s="172"/>
      <c r="AJ307" s="172"/>
      <c r="AK307" s="172"/>
      <c r="AL307" s="17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</row>
    <row r="308" ht="16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172"/>
      <c r="AA308" s="172"/>
      <c r="AB308" s="172"/>
      <c r="AC308" s="22"/>
      <c r="AD308" s="22"/>
      <c r="AE308" s="22"/>
      <c r="AF308" s="22"/>
      <c r="AG308" s="172"/>
      <c r="AH308" s="172"/>
      <c r="AI308" s="172"/>
      <c r="AJ308" s="172"/>
      <c r="AK308" s="172"/>
      <c r="AL308" s="17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</row>
    <row r="309" ht="16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172"/>
      <c r="AA309" s="172"/>
      <c r="AB309" s="172"/>
      <c r="AC309" s="22"/>
      <c r="AD309" s="22"/>
      <c r="AE309" s="22"/>
      <c r="AF309" s="22"/>
      <c r="AG309" s="172"/>
      <c r="AH309" s="172"/>
      <c r="AI309" s="172"/>
      <c r="AJ309" s="172"/>
      <c r="AK309" s="172"/>
      <c r="AL309" s="17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</row>
    <row r="310" ht="16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172"/>
      <c r="AA310" s="172"/>
      <c r="AB310" s="172"/>
      <c r="AC310" s="22"/>
      <c r="AD310" s="22"/>
      <c r="AE310" s="22"/>
      <c r="AF310" s="22"/>
      <c r="AG310" s="172"/>
      <c r="AH310" s="172"/>
      <c r="AI310" s="172"/>
      <c r="AJ310" s="172"/>
      <c r="AK310" s="172"/>
      <c r="AL310" s="17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</row>
    <row r="311" ht="16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172"/>
      <c r="AA311" s="172"/>
      <c r="AB311" s="172"/>
      <c r="AC311" s="22"/>
      <c r="AD311" s="22"/>
      <c r="AE311" s="22"/>
      <c r="AF311" s="22"/>
      <c r="AG311" s="172"/>
      <c r="AH311" s="172"/>
      <c r="AI311" s="172"/>
      <c r="AJ311" s="172"/>
      <c r="AK311" s="172"/>
      <c r="AL311" s="17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</row>
    <row r="312" ht="16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172"/>
      <c r="AA312" s="172"/>
      <c r="AB312" s="172"/>
      <c r="AC312" s="22"/>
      <c r="AD312" s="22"/>
      <c r="AE312" s="22"/>
      <c r="AF312" s="22"/>
      <c r="AG312" s="172"/>
      <c r="AH312" s="172"/>
      <c r="AI312" s="172"/>
      <c r="AJ312" s="172"/>
      <c r="AK312" s="172"/>
      <c r="AL312" s="17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</row>
    <row r="313" ht="16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172"/>
      <c r="AA313" s="172"/>
      <c r="AB313" s="172"/>
      <c r="AC313" s="22"/>
      <c r="AD313" s="22"/>
      <c r="AE313" s="22"/>
      <c r="AF313" s="22"/>
      <c r="AG313" s="172"/>
      <c r="AH313" s="172"/>
      <c r="AI313" s="172"/>
      <c r="AJ313" s="172"/>
      <c r="AK313" s="172"/>
      <c r="AL313" s="17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</row>
    <row r="314" ht="16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172"/>
      <c r="AA314" s="172"/>
      <c r="AB314" s="172"/>
      <c r="AC314" s="22"/>
      <c r="AD314" s="22"/>
      <c r="AE314" s="22"/>
      <c r="AF314" s="22"/>
      <c r="AG314" s="172"/>
      <c r="AH314" s="172"/>
      <c r="AI314" s="172"/>
      <c r="AJ314" s="172"/>
      <c r="AK314" s="172"/>
      <c r="AL314" s="17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</row>
    <row r="315" ht="16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172"/>
      <c r="AA315" s="172"/>
      <c r="AB315" s="172"/>
      <c r="AC315" s="22"/>
      <c r="AD315" s="22"/>
      <c r="AE315" s="22"/>
      <c r="AF315" s="22"/>
      <c r="AG315" s="172"/>
      <c r="AH315" s="172"/>
      <c r="AI315" s="172"/>
      <c r="AJ315" s="172"/>
      <c r="AK315" s="172"/>
      <c r="AL315" s="17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</row>
    <row r="316" ht="16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172"/>
      <c r="AA316" s="172"/>
      <c r="AB316" s="172"/>
      <c r="AC316" s="22"/>
      <c r="AD316" s="22"/>
      <c r="AE316" s="22"/>
      <c r="AF316" s="22"/>
      <c r="AG316" s="172"/>
      <c r="AH316" s="172"/>
      <c r="AI316" s="172"/>
      <c r="AJ316" s="172"/>
      <c r="AK316" s="172"/>
      <c r="AL316" s="17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</row>
    <row r="317" ht="16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172"/>
      <c r="AA317" s="172"/>
      <c r="AB317" s="172"/>
      <c r="AC317" s="22"/>
      <c r="AD317" s="22"/>
      <c r="AE317" s="22"/>
      <c r="AF317" s="22"/>
      <c r="AG317" s="172"/>
      <c r="AH317" s="172"/>
      <c r="AI317" s="172"/>
      <c r="AJ317" s="172"/>
      <c r="AK317" s="172"/>
      <c r="AL317" s="17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</row>
    <row r="318" ht="16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172"/>
      <c r="AA318" s="172"/>
      <c r="AB318" s="172"/>
      <c r="AC318" s="22"/>
      <c r="AD318" s="22"/>
      <c r="AE318" s="22"/>
      <c r="AF318" s="22"/>
      <c r="AG318" s="172"/>
      <c r="AH318" s="172"/>
      <c r="AI318" s="172"/>
      <c r="AJ318" s="172"/>
      <c r="AK318" s="172"/>
      <c r="AL318" s="17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</row>
    <row r="319" ht="16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172"/>
      <c r="AA319" s="172"/>
      <c r="AB319" s="172"/>
      <c r="AC319" s="22"/>
      <c r="AD319" s="22"/>
      <c r="AE319" s="22"/>
      <c r="AF319" s="22"/>
      <c r="AG319" s="172"/>
      <c r="AH319" s="172"/>
      <c r="AI319" s="172"/>
      <c r="AJ319" s="172"/>
      <c r="AK319" s="172"/>
      <c r="AL319" s="17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</row>
    <row r="320" ht="16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172"/>
      <c r="AA320" s="172"/>
      <c r="AB320" s="172"/>
      <c r="AC320" s="22"/>
      <c r="AD320" s="22"/>
      <c r="AE320" s="22"/>
      <c r="AF320" s="22"/>
      <c r="AG320" s="172"/>
      <c r="AH320" s="172"/>
      <c r="AI320" s="172"/>
      <c r="AJ320" s="172"/>
      <c r="AK320" s="172"/>
      <c r="AL320" s="17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</row>
    <row r="321" ht="16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172"/>
      <c r="AA321" s="172"/>
      <c r="AB321" s="172"/>
      <c r="AC321" s="22"/>
      <c r="AD321" s="22"/>
      <c r="AE321" s="22"/>
      <c r="AF321" s="22"/>
      <c r="AG321" s="172"/>
      <c r="AH321" s="172"/>
      <c r="AI321" s="172"/>
      <c r="AJ321" s="172"/>
      <c r="AK321" s="172"/>
      <c r="AL321" s="17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</row>
    <row r="322" ht="16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172"/>
      <c r="AA322" s="172"/>
      <c r="AB322" s="172"/>
      <c r="AC322" s="22"/>
      <c r="AD322" s="22"/>
      <c r="AE322" s="22"/>
      <c r="AF322" s="22"/>
      <c r="AG322" s="172"/>
      <c r="AH322" s="172"/>
      <c r="AI322" s="172"/>
      <c r="AJ322" s="172"/>
      <c r="AK322" s="172"/>
      <c r="AL322" s="17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</row>
    <row r="323" ht="16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172"/>
      <c r="AA323" s="172"/>
      <c r="AB323" s="172"/>
      <c r="AC323" s="22"/>
      <c r="AD323" s="22"/>
      <c r="AE323" s="22"/>
      <c r="AF323" s="22"/>
      <c r="AG323" s="172"/>
      <c r="AH323" s="172"/>
      <c r="AI323" s="172"/>
      <c r="AJ323" s="172"/>
      <c r="AK323" s="172"/>
      <c r="AL323" s="17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</row>
    <row r="324" ht="16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172"/>
      <c r="AA324" s="172"/>
      <c r="AB324" s="172"/>
      <c r="AC324" s="22"/>
      <c r="AD324" s="22"/>
      <c r="AE324" s="22"/>
      <c r="AF324" s="22"/>
      <c r="AG324" s="172"/>
      <c r="AH324" s="172"/>
      <c r="AI324" s="172"/>
      <c r="AJ324" s="172"/>
      <c r="AK324" s="172"/>
      <c r="AL324" s="17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</row>
    <row r="325" ht="16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172"/>
      <c r="AA325" s="172"/>
      <c r="AB325" s="172"/>
      <c r="AC325" s="22"/>
      <c r="AD325" s="22"/>
      <c r="AE325" s="22"/>
      <c r="AF325" s="22"/>
      <c r="AG325" s="172"/>
      <c r="AH325" s="172"/>
      <c r="AI325" s="172"/>
      <c r="AJ325" s="172"/>
      <c r="AK325" s="172"/>
      <c r="AL325" s="17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</row>
    <row r="326" ht="16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172"/>
      <c r="AA326" s="172"/>
      <c r="AB326" s="172"/>
      <c r="AC326" s="22"/>
      <c r="AD326" s="22"/>
      <c r="AE326" s="22"/>
      <c r="AF326" s="22"/>
      <c r="AG326" s="172"/>
      <c r="AH326" s="172"/>
      <c r="AI326" s="172"/>
      <c r="AJ326" s="172"/>
      <c r="AK326" s="172"/>
      <c r="AL326" s="17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</row>
    <row r="327" ht="16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172"/>
      <c r="AA327" s="172"/>
      <c r="AB327" s="172"/>
      <c r="AC327" s="22"/>
      <c r="AD327" s="22"/>
      <c r="AE327" s="22"/>
      <c r="AF327" s="22"/>
      <c r="AG327" s="172"/>
      <c r="AH327" s="172"/>
      <c r="AI327" s="172"/>
      <c r="AJ327" s="172"/>
      <c r="AK327" s="172"/>
      <c r="AL327" s="17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</row>
    <row r="328" ht="16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172"/>
      <c r="AA328" s="172"/>
      <c r="AB328" s="172"/>
      <c r="AC328" s="22"/>
      <c r="AD328" s="22"/>
      <c r="AE328" s="22"/>
      <c r="AF328" s="22"/>
      <c r="AG328" s="172"/>
      <c r="AH328" s="172"/>
      <c r="AI328" s="172"/>
      <c r="AJ328" s="172"/>
      <c r="AK328" s="172"/>
      <c r="AL328" s="17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</row>
    <row r="329" ht="16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172"/>
      <c r="AA329" s="172"/>
      <c r="AB329" s="172"/>
      <c r="AC329" s="22"/>
      <c r="AD329" s="22"/>
      <c r="AE329" s="22"/>
      <c r="AF329" s="22"/>
      <c r="AG329" s="172"/>
      <c r="AH329" s="172"/>
      <c r="AI329" s="172"/>
      <c r="AJ329" s="172"/>
      <c r="AK329" s="172"/>
      <c r="AL329" s="17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</row>
    <row r="330" ht="16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172"/>
      <c r="AA330" s="172"/>
      <c r="AB330" s="172"/>
      <c r="AC330" s="22"/>
      <c r="AD330" s="22"/>
      <c r="AE330" s="22"/>
      <c r="AF330" s="22"/>
      <c r="AG330" s="172"/>
      <c r="AH330" s="172"/>
      <c r="AI330" s="172"/>
      <c r="AJ330" s="172"/>
      <c r="AK330" s="172"/>
      <c r="AL330" s="17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</row>
    <row r="331" ht="16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172"/>
      <c r="AA331" s="172"/>
      <c r="AB331" s="172"/>
      <c r="AC331" s="22"/>
      <c r="AD331" s="22"/>
      <c r="AE331" s="22"/>
      <c r="AF331" s="22"/>
      <c r="AG331" s="172"/>
      <c r="AH331" s="172"/>
      <c r="AI331" s="172"/>
      <c r="AJ331" s="172"/>
      <c r="AK331" s="172"/>
      <c r="AL331" s="17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</row>
    <row r="332" ht="16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172"/>
      <c r="AA332" s="172"/>
      <c r="AB332" s="172"/>
      <c r="AC332" s="22"/>
      <c r="AD332" s="22"/>
      <c r="AE332" s="22"/>
      <c r="AF332" s="22"/>
      <c r="AG332" s="172"/>
      <c r="AH332" s="172"/>
      <c r="AI332" s="172"/>
      <c r="AJ332" s="172"/>
      <c r="AK332" s="172"/>
      <c r="AL332" s="17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</row>
    <row r="333" ht="16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172"/>
      <c r="AA333" s="172"/>
      <c r="AB333" s="172"/>
      <c r="AC333" s="22"/>
      <c r="AD333" s="22"/>
      <c r="AE333" s="22"/>
      <c r="AF333" s="22"/>
      <c r="AG333" s="172"/>
      <c r="AH333" s="172"/>
      <c r="AI333" s="172"/>
      <c r="AJ333" s="172"/>
      <c r="AK333" s="172"/>
      <c r="AL333" s="17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</row>
    <row r="334" ht="16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172"/>
      <c r="AA334" s="172"/>
      <c r="AB334" s="172"/>
      <c r="AC334" s="22"/>
      <c r="AD334" s="22"/>
      <c r="AE334" s="22"/>
      <c r="AF334" s="22"/>
      <c r="AG334" s="172"/>
      <c r="AH334" s="172"/>
      <c r="AI334" s="172"/>
      <c r="AJ334" s="172"/>
      <c r="AK334" s="172"/>
      <c r="AL334" s="17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</row>
    <row r="335" ht="16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172"/>
      <c r="AA335" s="172"/>
      <c r="AB335" s="172"/>
      <c r="AC335" s="22"/>
      <c r="AD335" s="22"/>
      <c r="AE335" s="22"/>
      <c r="AF335" s="22"/>
      <c r="AG335" s="172"/>
      <c r="AH335" s="172"/>
      <c r="AI335" s="172"/>
      <c r="AJ335" s="172"/>
      <c r="AK335" s="172"/>
      <c r="AL335" s="17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</row>
    <row r="336" ht="16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172"/>
      <c r="AA336" s="172"/>
      <c r="AB336" s="172"/>
      <c r="AC336" s="22"/>
      <c r="AD336" s="22"/>
      <c r="AE336" s="22"/>
      <c r="AF336" s="22"/>
      <c r="AG336" s="172"/>
      <c r="AH336" s="172"/>
      <c r="AI336" s="172"/>
      <c r="AJ336" s="172"/>
      <c r="AK336" s="172"/>
      <c r="AL336" s="17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</row>
    <row r="337" ht="16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172"/>
      <c r="AA337" s="172"/>
      <c r="AB337" s="172"/>
      <c r="AC337" s="22"/>
      <c r="AD337" s="22"/>
      <c r="AE337" s="22"/>
      <c r="AF337" s="22"/>
      <c r="AG337" s="172"/>
      <c r="AH337" s="172"/>
      <c r="AI337" s="172"/>
      <c r="AJ337" s="172"/>
      <c r="AK337" s="172"/>
      <c r="AL337" s="17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</row>
    <row r="338" ht="16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172"/>
      <c r="AA338" s="172"/>
      <c r="AB338" s="172"/>
      <c r="AC338" s="22"/>
      <c r="AD338" s="22"/>
      <c r="AE338" s="22"/>
      <c r="AF338" s="22"/>
      <c r="AG338" s="172"/>
      <c r="AH338" s="172"/>
      <c r="AI338" s="172"/>
      <c r="AJ338" s="172"/>
      <c r="AK338" s="172"/>
      <c r="AL338" s="17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</row>
    <row r="339" ht="16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172"/>
      <c r="AA339" s="172"/>
      <c r="AB339" s="172"/>
      <c r="AC339" s="22"/>
      <c r="AD339" s="22"/>
      <c r="AE339" s="22"/>
      <c r="AF339" s="22"/>
      <c r="AG339" s="172"/>
      <c r="AH339" s="172"/>
      <c r="AI339" s="172"/>
      <c r="AJ339" s="172"/>
      <c r="AK339" s="172"/>
      <c r="AL339" s="17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</row>
    <row r="340" ht="16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172"/>
      <c r="AA340" s="172"/>
      <c r="AB340" s="172"/>
      <c r="AC340" s="22"/>
      <c r="AD340" s="22"/>
      <c r="AE340" s="22"/>
      <c r="AF340" s="22"/>
      <c r="AG340" s="172"/>
      <c r="AH340" s="172"/>
      <c r="AI340" s="172"/>
      <c r="AJ340" s="172"/>
      <c r="AK340" s="172"/>
      <c r="AL340" s="17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</row>
    <row r="341" ht="16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172"/>
      <c r="AA341" s="172"/>
      <c r="AB341" s="172"/>
      <c r="AC341" s="22"/>
      <c r="AD341" s="22"/>
      <c r="AE341" s="22"/>
      <c r="AF341" s="22"/>
      <c r="AG341" s="172"/>
      <c r="AH341" s="172"/>
      <c r="AI341" s="172"/>
      <c r="AJ341" s="172"/>
      <c r="AK341" s="172"/>
      <c r="AL341" s="17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</row>
    <row r="342" ht="16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172"/>
      <c r="AA342" s="172"/>
      <c r="AB342" s="172"/>
      <c r="AC342" s="22"/>
      <c r="AD342" s="22"/>
      <c r="AE342" s="22"/>
      <c r="AF342" s="22"/>
      <c r="AG342" s="172"/>
      <c r="AH342" s="172"/>
      <c r="AI342" s="172"/>
      <c r="AJ342" s="172"/>
      <c r="AK342" s="172"/>
      <c r="AL342" s="17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</row>
    <row r="343" ht="16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172"/>
      <c r="AA343" s="172"/>
      <c r="AB343" s="172"/>
      <c r="AC343" s="22"/>
      <c r="AD343" s="22"/>
      <c r="AE343" s="22"/>
      <c r="AF343" s="22"/>
      <c r="AG343" s="172"/>
      <c r="AH343" s="172"/>
      <c r="AI343" s="172"/>
      <c r="AJ343" s="172"/>
      <c r="AK343" s="172"/>
      <c r="AL343" s="17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</row>
    <row r="344" ht="16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172"/>
      <c r="AA344" s="172"/>
      <c r="AB344" s="172"/>
      <c r="AC344" s="22"/>
      <c r="AD344" s="22"/>
      <c r="AE344" s="22"/>
      <c r="AF344" s="22"/>
      <c r="AG344" s="172"/>
      <c r="AH344" s="172"/>
      <c r="AI344" s="172"/>
      <c r="AJ344" s="172"/>
      <c r="AK344" s="172"/>
      <c r="AL344" s="17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</row>
    <row r="345" ht="16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172"/>
      <c r="AA345" s="172"/>
      <c r="AB345" s="172"/>
      <c r="AC345" s="22"/>
      <c r="AD345" s="22"/>
      <c r="AE345" s="22"/>
      <c r="AF345" s="22"/>
      <c r="AG345" s="172"/>
      <c r="AH345" s="172"/>
      <c r="AI345" s="172"/>
      <c r="AJ345" s="172"/>
      <c r="AK345" s="172"/>
      <c r="AL345" s="17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</row>
    <row r="346" ht="16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172"/>
      <c r="AA346" s="172"/>
      <c r="AB346" s="172"/>
      <c r="AC346" s="22"/>
      <c r="AD346" s="22"/>
      <c r="AE346" s="22"/>
      <c r="AF346" s="22"/>
      <c r="AG346" s="172"/>
      <c r="AH346" s="172"/>
      <c r="AI346" s="172"/>
      <c r="AJ346" s="172"/>
      <c r="AK346" s="172"/>
      <c r="AL346" s="17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</row>
    <row r="347" ht="16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172"/>
      <c r="AA347" s="172"/>
      <c r="AB347" s="172"/>
      <c r="AC347" s="22"/>
      <c r="AD347" s="22"/>
      <c r="AE347" s="22"/>
      <c r="AF347" s="22"/>
      <c r="AG347" s="172"/>
      <c r="AH347" s="172"/>
      <c r="AI347" s="172"/>
      <c r="AJ347" s="172"/>
      <c r="AK347" s="172"/>
      <c r="AL347" s="17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</row>
    <row r="348" ht="16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172"/>
      <c r="AA348" s="172"/>
      <c r="AB348" s="172"/>
      <c r="AC348" s="22"/>
      <c r="AD348" s="22"/>
      <c r="AE348" s="22"/>
      <c r="AF348" s="22"/>
      <c r="AG348" s="172"/>
      <c r="AH348" s="172"/>
      <c r="AI348" s="172"/>
      <c r="AJ348" s="172"/>
      <c r="AK348" s="172"/>
      <c r="AL348" s="17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</row>
    <row r="349" ht="16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172"/>
      <c r="AA349" s="172"/>
      <c r="AB349" s="172"/>
      <c r="AC349" s="22"/>
      <c r="AD349" s="22"/>
      <c r="AE349" s="22"/>
      <c r="AF349" s="22"/>
      <c r="AG349" s="172"/>
      <c r="AH349" s="172"/>
      <c r="AI349" s="172"/>
      <c r="AJ349" s="172"/>
      <c r="AK349" s="172"/>
      <c r="AL349" s="17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</row>
    <row r="350" ht="16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172"/>
      <c r="AA350" s="172"/>
      <c r="AB350" s="172"/>
      <c r="AC350" s="22"/>
      <c r="AD350" s="22"/>
      <c r="AE350" s="22"/>
      <c r="AF350" s="22"/>
      <c r="AG350" s="172"/>
      <c r="AH350" s="172"/>
      <c r="AI350" s="172"/>
      <c r="AJ350" s="172"/>
      <c r="AK350" s="172"/>
      <c r="AL350" s="17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</row>
    <row r="351" ht="16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172"/>
      <c r="AA351" s="172"/>
      <c r="AB351" s="172"/>
      <c r="AC351" s="22"/>
      <c r="AD351" s="22"/>
      <c r="AE351" s="22"/>
      <c r="AF351" s="22"/>
      <c r="AG351" s="172"/>
      <c r="AH351" s="172"/>
      <c r="AI351" s="172"/>
      <c r="AJ351" s="172"/>
      <c r="AK351" s="172"/>
      <c r="AL351" s="17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</row>
    <row r="352" ht="16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172"/>
      <c r="AA352" s="172"/>
      <c r="AB352" s="172"/>
      <c r="AC352" s="22"/>
      <c r="AD352" s="22"/>
      <c r="AE352" s="22"/>
      <c r="AF352" s="22"/>
      <c r="AG352" s="172"/>
      <c r="AH352" s="172"/>
      <c r="AI352" s="172"/>
      <c r="AJ352" s="172"/>
      <c r="AK352" s="172"/>
      <c r="AL352" s="17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</row>
    <row r="353" ht="16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172"/>
      <c r="AA353" s="172"/>
      <c r="AB353" s="172"/>
      <c r="AC353" s="22"/>
      <c r="AD353" s="22"/>
      <c r="AE353" s="22"/>
      <c r="AF353" s="22"/>
      <c r="AG353" s="172"/>
      <c r="AH353" s="172"/>
      <c r="AI353" s="172"/>
      <c r="AJ353" s="172"/>
      <c r="AK353" s="172"/>
      <c r="AL353" s="17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</row>
    <row r="354" ht="16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172"/>
      <c r="AA354" s="172"/>
      <c r="AB354" s="172"/>
      <c r="AC354" s="22"/>
      <c r="AD354" s="22"/>
      <c r="AE354" s="22"/>
      <c r="AF354" s="22"/>
      <c r="AG354" s="172"/>
      <c r="AH354" s="172"/>
      <c r="AI354" s="172"/>
      <c r="AJ354" s="172"/>
      <c r="AK354" s="172"/>
      <c r="AL354" s="17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</row>
    <row r="355" ht="16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172"/>
      <c r="AA355" s="172"/>
      <c r="AB355" s="172"/>
      <c r="AC355" s="22"/>
      <c r="AD355" s="22"/>
      <c r="AE355" s="22"/>
      <c r="AF355" s="22"/>
      <c r="AG355" s="172"/>
      <c r="AH355" s="172"/>
      <c r="AI355" s="172"/>
      <c r="AJ355" s="172"/>
      <c r="AK355" s="172"/>
      <c r="AL355" s="17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</row>
    <row r="356" ht="16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172"/>
      <c r="AA356" s="172"/>
      <c r="AB356" s="172"/>
      <c r="AC356" s="22"/>
      <c r="AD356" s="22"/>
      <c r="AE356" s="22"/>
      <c r="AF356" s="22"/>
      <c r="AG356" s="172"/>
      <c r="AH356" s="172"/>
      <c r="AI356" s="172"/>
      <c r="AJ356" s="172"/>
      <c r="AK356" s="172"/>
      <c r="AL356" s="17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</row>
    <row r="357" ht="16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172"/>
      <c r="AA357" s="172"/>
      <c r="AB357" s="172"/>
      <c r="AC357" s="22"/>
      <c r="AD357" s="22"/>
      <c r="AE357" s="22"/>
      <c r="AF357" s="22"/>
      <c r="AG357" s="172"/>
      <c r="AH357" s="172"/>
      <c r="AI357" s="172"/>
      <c r="AJ357" s="172"/>
      <c r="AK357" s="172"/>
      <c r="AL357" s="17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</row>
    <row r="358" ht="16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172"/>
      <c r="AA358" s="172"/>
      <c r="AB358" s="172"/>
      <c r="AC358" s="22"/>
      <c r="AD358" s="22"/>
      <c r="AE358" s="22"/>
      <c r="AF358" s="22"/>
      <c r="AG358" s="172"/>
      <c r="AH358" s="172"/>
      <c r="AI358" s="172"/>
      <c r="AJ358" s="172"/>
      <c r="AK358" s="172"/>
      <c r="AL358" s="17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</row>
    <row r="359" ht="16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172"/>
      <c r="AA359" s="172"/>
      <c r="AB359" s="172"/>
      <c r="AC359" s="22"/>
      <c r="AD359" s="22"/>
      <c r="AE359" s="22"/>
      <c r="AF359" s="22"/>
      <c r="AG359" s="172"/>
      <c r="AH359" s="172"/>
      <c r="AI359" s="172"/>
      <c r="AJ359" s="172"/>
      <c r="AK359" s="172"/>
      <c r="AL359" s="17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</row>
    <row r="360" ht="16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172"/>
      <c r="AA360" s="172"/>
      <c r="AB360" s="172"/>
      <c r="AC360" s="22"/>
      <c r="AD360" s="22"/>
      <c r="AE360" s="22"/>
      <c r="AF360" s="22"/>
      <c r="AG360" s="172"/>
      <c r="AH360" s="172"/>
      <c r="AI360" s="172"/>
      <c r="AJ360" s="172"/>
      <c r="AK360" s="172"/>
      <c r="AL360" s="17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</row>
    <row r="361" ht="16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172"/>
      <c r="AA361" s="172"/>
      <c r="AB361" s="172"/>
      <c r="AC361" s="22"/>
      <c r="AD361" s="22"/>
      <c r="AE361" s="22"/>
      <c r="AF361" s="22"/>
      <c r="AG361" s="172"/>
      <c r="AH361" s="172"/>
      <c r="AI361" s="172"/>
      <c r="AJ361" s="172"/>
      <c r="AK361" s="172"/>
      <c r="AL361" s="17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</row>
    <row r="362" ht="16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172"/>
      <c r="AA362" s="172"/>
      <c r="AB362" s="172"/>
      <c r="AC362" s="22"/>
      <c r="AD362" s="22"/>
      <c r="AE362" s="22"/>
      <c r="AF362" s="22"/>
      <c r="AG362" s="172"/>
      <c r="AH362" s="172"/>
      <c r="AI362" s="172"/>
      <c r="AJ362" s="172"/>
      <c r="AK362" s="172"/>
      <c r="AL362" s="17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</row>
    <row r="363" ht="16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172"/>
      <c r="AA363" s="172"/>
      <c r="AB363" s="172"/>
      <c r="AC363" s="22"/>
      <c r="AD363" s="22"/>
      <c r="AE363" s="22"/>
      <c r="AF363" s="22"/>
      <c r="AG363" s="172"/>
      <c r="AH363" s="172"/>
      <c r="AI363" s="172"/>
      <c r="AJ363" s="172"/>
      <c r="AK363" s="172"/>
      <c r="AL363" s="17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</row>
    <row r="364" ht="16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172"/>
      <c r="AA364" s="172"/>
      <c r="AB364" s="172"/>
      <c r="AC364" s="22"/>
      <c r="AD364" s="22"/>
      <c r="AE364" s="22"/>
      <c r="AF364" s="22"/>
      <c r="AG364" s="172"/>
      <c r="AH364" s="172"/>
      <c r="AI364" s="172"/>
      <c r="AJ364" s="172"/>
      <c r="AK364" s="172"/>
      <c r="AL364" s="17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</row>
    <row r="365" ht="16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172"/>
      <c r="AA365" s="172"/>
      <c r="AB365" s="172"/>
      <c r="AC365" s="22"/>
      <c r="AD365" s="22"/>
      <c r="AE365" s="22"/>
      <c r="AF365" s="22"/>
      <c r="AG365" s="172"/>
      <c r="AH365" s="172"/>
      <c r="AI365" s="172"/>
      <c r="AJ365" s="172"/>
      <c r="AK365" s="172"/>
      <c r="AL365" s="17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</row>
    <row r="366" ht="16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172"/>
      <c r="AA366" s="172"/>
      <c r="AB366" s="172"/>
      <c r="AC366" s="22"/>
      <c r="AD366" s="22"/>
      <c r="AE366" s="22"/>
      <c r="AF366" s="22"/>
      <c r="AG366" s="172"/>
      <c r="AH366" s="172"/>
      <c r="AI366" s="172"/>
      <c r="AJ366" s="172"/>
      <c r="AK366" s="172"/>
      <c r="AL366" s="17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</row>
    <row r="367" ht="16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172"/>
      <c r="AA367" s="172"/>
      <c r="AB367" s="172"/>
      <c r="AC367" s="22"/>
      <c r="AD367" s="22"/>
      <c r="AE367" s="22"/>
      <c r="AF367" s="22"/>
      <c r="AG367" s="172"/>
      <c r="AH367" s="172"/>
      <c r="AI367" s="172"/>
      <c r="AJ367" s="172"/>
      <c r="AK367" s="172"/>
      <c r="AL367" s="17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</row>
    <row r="368" ht="16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172"/>
      <c r="AA368" s="172"/>
      <c r="AB368" s="172"/>
      <c r="AC368" s="22"/>
      <c r="AD368" s="22"/>
      <c r="AE368" s="22"/>
      <c r="AF368" s="22"/>
      <c r="AG368" s="172"/>
      <c r="AH368" s="172"/>
      <c r="AI368" s="172"/>
      <c r="AJ368" s="172"/>
      <c r="AK368" s="172"/>
      <c r="AL368" s="17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</row>
    <row r="369" ht="16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172"/>
      <c r="AA369" s="172"/>
      <c r="AB369" s="172"/>
      <c r="AC369" s="22"/>
      <c r="AD369" s="22"/>
      <c r="AE369" s="22"/>
      <c r="AF369" s="22"/>
      <c r="AG369" s="172"/>
      <c r="AH369" s="172"/>
      <c r="AI369" s="172"/>
      <c r="AJ369" s="172"/>
      <c r="AK369" s="172"/>
      <c r="AL369" s="17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</row>
    <row r="370" ht="16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172"/>
      <c r="AA370" s="172"/>
      <c r="AB370" s="172"/>
      <c r="AC370" s="22"/>
      <c r="AD370" s="22"/>
      <c r="AE370" s="22"/>
      <c r="AF370" s="22"/>
      <c r="AG370" s="172"/>
      <c r="AH370" s="172"/>
      <c r="AI370" s="172"/>
      <c r="AJ370" s="172"/>
      <c r="AK370" s="172"/>
      <c r="AL370" s="17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</row>
    <row r="371" ht="16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172"/>
      <c r="AA371" s="172"/>
      <c r="AB371" s="172"/>
      <c r="AC371" s="22"/>
      <c r="AD371" s="22"/>
      <c r="AE371" s="22"/>
      <c r="AF371" s="22"/>
      <c r="AG371" s="172"/>
      <c r="AH371" s="172"/>
      <c r="AI371" s="172"/>
      <c r="AJ371" s="172"/>
      <c r="AK371" s="172"/>
      <c r="AL371" s="17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</row>
    <row r="372" ht="16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172"/>
      <c r="AA372" s="172"/>
      <c r="AB372" s="172"/>
      <c r="AC372" s="22"/>
      <c r="AD372" s="22"/>
      <c r="AE372" s="22"/>
      <c r="AF372" s="22"/>
      <c r="AG372" s="172"/>
      <c r="AH372" s="172"/>
      <c r="AI372" s="172"/>
      <c r="AJ372" s="172"/>
      <c r="AK372" s="172"/>
      <c r="AL372" s="17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</row>
    <row r="373" ht="16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172"/>
      <c r="AA373" s="172"/>
      <c r="AB373" s="172"/>
      <c r="AC373" s="22"/>
      <c r="AD373" s="22"/>
      <c r="AE373" s="22"/>
      <c r="AF373" s="22"/>
      <c r="AG373" s="172"/>
      <c r="AH373" s="172"/>
      <c r="AI373" s="172"/>
      <c r="AJ373" s="172"/>
      <c r="AK373" s="172"/>
      <c r="AL373" s="17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</row>
    <row r="374" ht="16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172"/>
      <c r="AA374" s="172"/>
      <c r="AB374" s="172"/>
      <c r="AC374" s="22"/>
      <c r="AD374" s="22"/>
      <c r="AE374" s="22"/>
      <c r="AF374" s="22"/>
      <c r="AG374" s="172"/>
      <c r="AH374" s="172"/>
      <c r="AI374" s="172"/>
      <c r="AJ374" s="172"/>
      <c r="AK374" s="172"/>
      <c r="AL374" s="17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</row>
    <row r="375" ht="16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172"/>
      <c r="AA375" s="172"/>
      <c r="AB375" s="172"/>
      <c r="AC375" s="22"/>
      <c r="AD375" s="22"/>
      <c r="AE375" s="22"/>
      <c r="AF375" s="22"/>
      <c r="AG375" s="172"/>
      <c r="AH375" s="172"/>
      <c r="AI375" s="172"/>
      <c r="AJ375" s="172"/>
      <c r="AK375" s="172"/>
      <c r="AL375" s="17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</row>
    <row r="376" ht="16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172"/>
      <c r="AA376" s="172"/>
      <c r="AB376" s="172"/>
      <c r="AC376" s="22"/>
      <c r="AD376" s="22"/>
      <c r="AE376" s="22"/>
      <c r="AF376" s="22"/>
      <c r="AG376" s="172"/>
      <c r="AH376" s="172"/>
      <c r="AI376" s="172"/>
      <c r="AJ376" s="172"/>
      <c r="AK376" s="172"/>
      <c r="AL376" s="17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</row>
    <row r="377" ht="16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172"/>
      <c r="AA377" s="172"/>
      <c r="AB377" s="172"/>
      <c r="AC377" s="22"/>
      <c r="AD377" s="22"/>
      <c r="AE377" s="22"/>
      <c r="AF377" s="22"/>
      <c r="AG377" s="172"/>
      <c r="AH377" s="172"/>
      <c r="AI377" s="172"/>
      <c r="AJ377" s="172"/>
      <c r="AK377" s="172"/>
      <c r="AL377" s="17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</row>
    <row r="378" ht="16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172"/>
      <c r="AA378" s="172"/>
      <c r="AB378" s="172"/>
      <c r="AC378" s="22"/>
      <c r="AD378" s="22"/>
      <c r="AE378" s="22"/>
      <c r="AF378" s="22"/>
      <c r="AG378" s="172"/>
      <c r="AH378" s="172"/>
      <c r="AI378" s="172"/>
      <c r="AJ378" s="172"/>
      <c r="AK378" s="172"/>
      <c r="AL378" s="17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</row>
    <row r="379" ht="16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172"/>
      <c r="AA379" s="172"/>
      <c r="AB379" s="172"/>
      <c r="AC379" s="22"/>
      <c r="AD379" s="22"/>
      <c r="AE379" s="22"/>
      <c r="AF379" s="22"/>
      <c r="AG379" s="172"/>
      <c r="AH379" s="172"/>
      <c r="AI379" s="172"/>
      <c r="AJ379" s="172"/>
      <c r="AK379" s="172"/>
      <c r="AL379" s="17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</row>
    <row r="380" ht="16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172"/>
      <c r="AA380" s="172"/>
      <c r="AB380" s="172"/>
      <c r="AC380" s="22"/>
      <c r="AD380" s="22"/>
      <c r="AE380" s="22"/>
      <c r="AF380" s="22"/>
      <c r="AG380" s="172"/>
      <c r="AH380" s="172"/>
      <c r="AI380" s="172"/>
      <c r="AJ380" s="172"/>
      <c r="AK380" s="172"/>
      <c r="AL380" s="17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</row>
    <row r="381" ht="16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172"/>
      <c r="AA381" s="172"/>
      <c r="AB381" s="172"/>
      <c r="AC381" s="22"/>
      <c r="AD381" s="22"/>
      <c r="AE381" s="22"/>
      <c r="AF381" s="22"/>
      <c r="AG381" s="172"/>
      <c r="AH381" s="172"/>
      <c r="AI381" s="172"/>
      <c r="AJ381" s="172"/>
      <c r="AK381" s="172"/>
      <c r="AL381" s="17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</row>
    <row r="382" ht="16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172"/>
      <c r="AA382" s="172"/>
      <c r="AB382" s="172"/>
      <c r="AC382" s="22"/>
      <c r="AD382" s="22"/>
      <c r="AE382" s="22"/>
      <c r="AF382" s="22"/>
      <c r="AG382" s="172"/>
      <c r="AH382" s="172"/>
      <c r="AI382" s="172"/>
      <c r="AJ382" s="172"/>
      <c r="AK382" s="172"/>
      <c r="AL382" s="17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</row>
    <row r="383" ht="16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172"/>
      <c r="AA383" s="172"/>
      <c r="AB383" s="172"/>
      <c r="AC383" s="22"/>
      <c r="AD383" s="22"/>
      <c r="AE383" s="22"/>
      <c r="AF383" s="22"/>
      <c r="AG383" s="172"/>
      <c r="AH383" s="172"/>
      <c r="AI383" s="172"/>
      <c r="AJ383" s="172"/>
      <c r="AK383" s="172"/>
      <c r="AL383" s="17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</row>
    <row r="384" ht="16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172"/>
      <c r="AA384" s="172"/>
      <c r="AB384" s="172"/>
      <c r="AC384" s="22"/>
      <c r="AD384" s="22"/>
      <c r="AE384" s="22"/>
      <c r="AF384" s="22"/>
      <c r="AG384" s="172"/>
      <c r="AH384" s="172"/>
      <c r="AI384" s="172"/>
      <c r="AJ384" s="172"/>
      <c r="AK384" s="172"/>
      <c r="AL384" s="17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</row>
    <row r="385" ht="16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172"/>
      <c r="AA385" s="172"/>
      <c r="AB385" s="172"/>
      <c r="AC385" s="22"/>
      <c r="AD385" s="22"/>
      <c r="AE385" s="22"/>
      <c r="AF385" s="22"/>
      <c r="AG385" s="172"/>
      <c r="AH385" s="172"/>
      <c r="AI385" s="172"/>
      <c r="AJ385" s="172"/>
      <c r="AK385" s="172"/>
      <c r="AL385" s="17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</row>
    <row r="386" ht="16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172"/>
      <c r="AA386" s="172"/>
      <c r="AB386" s="172"/>
      <c r="AC386" s="22"/>
      <c r="AD386" s="22"/>
      <c r="AE386" s="22"/>
      <c r="AF386" s="22"/>
      <c r="AG386" s="172"/>
      <c r="AH386" s="172"/>
      <c r="AI386" s="172"/>
      <c r="AJ386" s="172"/>
      <c r="AK386" s="172"/>
      <c r="AL386" s="17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</row>
    <row r="387" ht="16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172"/>
      <c r="AA387" s="172"/>
      <c r="AB387" s="172"/>
      <c r="AC387" s="22"/>
      <c r="AD387" s="22"/>
      <c r="AE387" s="22"/>
      <c r="AF387" s="22"/>
      <c r="AG387" s="172"/>
      <c r="AH387" s="172"/>
      <c r="AI387" s="172"/>
      <c r="AJ387" s="172"/>
      <c r="AK387" s="172"/>
      <c r="AL387" s="17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</row>
    <row r="388" ht="16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172"/>
      <c r="AA388" s="172"/>
      <c r="AB388" s="172"/>
      <c r="AC388" s="22"/>
      <c r="AD388" s="22"/>
      <c r="AE388" s="22"/>
      <c r="AF388" s="22"/>
      <c r="AG388" s="172"/>
      <c r="AH388" s="172"/>
      <c r="AI388" s="172"/>
      <c r="AJ388" s="172"/>
      <c r="AK388" s="172"/>
      <c r="AL388" s="17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</row>
    <row r="389" ht="16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172"/>
      <c r="AA389" s="172"/>
      <c r="AB389" s="172"/>
      <c r="AC389" s="22"/>
      <c r="AD389" s="22"/>
      <c r="AE389" s="22"/>
      <c r="AF389" s="22"/>
      <c r="AG389" s="172"/>
      <c r="AH389" s="172"/>
      <c r="AI389" s="172"/>
      <c r="AJ389" s="172"/>
      <c r="AK389" s="172"/>
      <c r="AL389" s="17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</row>
    <row r="390" ht="16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172"/>
      <c r="AA390" s="172"/>
      <c r="AB390" s="172"/>
      <c r="AC390" s="22"/>
      <c r="AD390" s="22"/>
      <c r="AE390" s="22"/>
      <c r="AF390" s="22"/>
      <c r="AG390" s="172"/>
      <c r="AH390" s="172"/>
      <c r="AI390" s="172"/>
      <c r="AJ390" s="172"/>
      <c r="AK390" s="172"/>
      <c r="AL390" s="17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</row>
    <row r="391" ht="16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172"/>
      <c r="AA391" s="172"/>
      <c r="AB391" s="172"/>
      <c r="AC391" s="22"/>
      <c r="AD391" s="22"/>
      <c r="AE391" s="22"/>
      <c r="AF391" s="22"/>
      <c r="AG391" s="172"/>
      <c r="AH391" s="172"/>
      <c r="AI391" s="172"/>
      <c r="AJ391" s="172"/>
      <c r="AK391" s="172"/>
      <c r="AL391" s="17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</row>
    <row r="392" ht="16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172"/>
      <c r="AA392" s="172"/>
      <c r="AB392" s="172"/>
      <c r="AC392" s="22"/>
      <c r="AD392" s="22"/>
      <c r="AE392" s="22"/>
      <c r="AF392" s="22"/>
      <c r="AG392" s="172"/>
      <c r="AH392" s="172"/>
      <c r="AI392" s="172"/>
      <c r="AJ392" s="172"/>
      <c r="AK392" s="172"/>
      <c r="AL392" s="17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</row>
    <row r="393" ht="16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172"/>
      <c r="AA393" s="172"/>
      <c r="AB393" s="172"/>
      <c r="AC393" s="22"/>
      <c r="AD393" s="22"/>
      <c r="AE393" s="22"/>
      <c r="AF393" s="22"/>
      <c r="AG393" s="172"/>
      <c r="AH393" s="172"/>
      <c r="AI393" s="172"/>
      <c r="AJ393" s="172"/>
      <c r="AK393" s="172"/>
      <c r="AL393" s="17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</row>
    <row r="394" ht="16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172"/>
      <c r="AA394" s="172"/>
      <c r="AB394" s="172"/>
      <c r="AC394" s="22"/>
      <c r="AD394" s="22"/>
      <c r="AE394" s="22"/>
      <c r="AF394" s="22"/>
      <c r="AG394" s="172"/>
      <c r="AH394" s="172"/>
      <c r="AI394" s="172"/>
      <c r="AJ394" s="172"/>
      <c r="AK394" s="172"/>
      <c r="AL394" s="17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</row>
    <row r="395" ht="16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172"/>
      <c r="AA395" s="172"/>
      <c r="AB395" s="172"/>
      <c r="AC395" s="22"/>
      <c r="AD395" s="22"/>
      <c r="AE395" s="22"/>
      <c r="AF395" s="22"/>
      <c r="AG395" s="172"/>
      <c r="AH395" s="172"/>
      <c r="AI395" s="172"/>
      <c r="AJ395" s="172"/>
      <c r="AK395" s="172"/>
      <c r="AL395" s="17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</row>
    <row r="396" ht="16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172"/>
      <c r="AA396" s="172"/>
      <c r="AB396" s="172"/>
      <c r="AC396" s="22"/>
      <c r="AD396" s="22"/>
      <c r="AE396" s="22"/>
      <c r="AF396" s="22"/>
      <c r="AG396" s="172"/>
      <c r="AH396" s="172"/>
      <c r="AI396" s="172"/>
      <c r="AJ396" s="172"/>
      <c r="AK396" s="172"/>
      <c r="AL396" s="17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</row>
    <row r="397" ht="16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172"/>
      <c r="AA397" s="172"/>
      <c r="AB397" s="172"/>
      <c r="AC397" s="22"/>
      <c r="AD397" s="22"/>
      <c r="AE397" s="22"/>
      <c r="AF397" s="22"/>
      <c r="AG397" s="172"/>
      <c r="AH397" s="172"/>
      <c r="AI397" s="172"/>
      <c r="AJ397" s="172"/>
      <c r="AK397" s="172"/>
      <c r="AL397" s="17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</row>
    <row r="398" ht="16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172"/>
      <c r="AA398" s="172"/>
      <c r="AB398" s="172"/>
      <c r="AC398" s="22"/>
      <c r="AD398" s="22"/>
      <c r="AE398" s="22"/>
      <c r="AF398" s="22"/>
      <c r="AG398" s="172"/>
      <c r="AH398" s="172"/>
      <c r="AI398" s="172"/>
      <c r="AJ398" s="172"/>
      <c r="AK398" s="172"/>
      <c r="AL398" s="17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</row>
    <row r="399" ht="16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172"/>
      <c r="AA399" s="172"/>
      <c r="AB399" s="172"/>
      <c r="AC399" s="22"/>
      <c r="AD399" s="22"/>
      <c r="AE399" s="22"/>
      <c r="AF399" s="22"/>
      <c r="AG399" s="172"/>
      <c r="AH399" s="172"/>
      <c r="AI399" s="172"/>
      <c r="AJ399" s="172"/>
      <c r="AK399" s="172"/>
      <c r="AL399" s="17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</row>
    <row r="400" ht="16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172"/>
      <c r="AA400" s="172"/>
      <c r="AB400" s="172"/>
      <c r="AC400" s="22"/>
      <c r="AD400" s="22"/>
      <c r="AE400" s="22"/>
      <c r="AF400" s="22"/>
      <c r="AG400" s="172"/>
      <c r="AH400" s="172"/>
      <c r="AI400" s="172"/>
      <c r="AJ400" s="172"/>
      <c r="AK400" s="172"/>
      <c r="AL400" s="17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</row>
    <row r="401" ht="16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172"/>
      <c r="AA401" s="172"/>
      <c r="AB401" s="172"/>
      <c r="AC401" s="22"/>
      <c r="AD401" s="22"/>
      <c r="AE401" s="22"/>
      <c r="AF401" s="22"/>
      <c r="AG401" s="172"/>
      <c r="AH401" s="172"/>
      <c r="AI401" s="172"/>
      <c r="AJ401" s="172"/>
      <c r="AK401" s="172"/>
      <c r="AL401" s="17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</row>
    <row r="402" ht="16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172"/>
      <c r="AA402" s="172"/>
      <c r="AB402" s="172"/>
      <c r="AC402" s="22"/>
      <c r="AD402" s="22"/>
      <c r="AE402" s="22"/>
      <c r="AF402" s="22"/>
      <c r="AG402" s="172"/>
      <c r="AH402" s="172"/>
      <c r="AI402" s="172"/>
      <c r="AJ402" s="172"/>
      <c r="AK402" s="172"/>
      <c r="AL402" s="17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</row>
    <row r="403" ht="16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172"/>
      <c r="AA403" s="172"/>
      <c r="AB403" s="172"/>
      <c r="AC403" s="22"/>
      <c r="AD403" s="22"/>
      <c r="AE403" s="22"/>
      <c r="AF403" s="22"/>
      <c r="AG403" s="172"/>
      <c r="AH403" s="172"/>
      <c r="AI403" s="172"/>
      <c r="AJ403" s="172"/>
      <c r="AK403" s="172"/>
      <c r="AL403" s="17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</row>
    <row r="404" ht="16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172"/>
      <c r="AA404" s="172"/>
      <c r="AB404" s="172"/>
      <c r="AC404" s="22"/>
      <c r="AD404" s="22"/>
      <c r="AE404" s="22"/>
      <c r="AF404" s="22"/>
      <c r="AG404" s="172"/>
      <c r="AH404" s="172"/>
      <c r="AI404" s="172"/>
      <c r="AJ404" s="172"/>
      <c r="AK404" s="172"/>
      <c r="AL404" s="17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</row>
    <row r="405" ht="16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172"/>
      <c r="AA405" s="172"/>
      <c r="AB405" s="172"/>
      <c r="AC405" s="22"/>
      <c r="AD405" s="22"/>
      <c r="AE405" s="22"/>
      <c r="AF405" s="22"/>
      <c r="AG405" s="172"/>
      <c r="AH405" s="172"/>
      <c r="AI405" s="172"/>
      <c r="AJ405" s="172"/>
      <c r="AK405" s="172"/>
      <c r="AL405" s="17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</row>
    <row r="406" ht="16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172"/>
      <c r="AA406" s="172"/>
      <c r="AB406" s="172"/>
      <c r="AC406" s="22"/>
      <c r="AD406" s="22"/>
      <c r="AE406" s="22"/>
      <c r="AF406" s="22"/>
      <c r="AG406" s="172"/>
      <c r="AH406" s="172"/>
      <c r="AI406" s="172"/>
      <c r="AJ406" s="172"/>
      <c r="AK406" s="172"/>
      <c r="AL406" s="17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</row>
    <row r="407" ht="16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172"/>
      <c r="AA407" s="172"/>
      <c r="AB407" s="172"/>
      <c r="AC407" s="22"/>
      <c r="AD407" s="22"/>
      <c r="AE407" s="22"/>
      <c r="AF407" s="22"/>
      <c r="AG407" s="172"/>
      <c r="AH407" s="172"/>
      <c r="AI407" s="172"/>
      <c r="AJ407" s="172"/>
      <c r="AK407" s="172"/>
      <c r="AL407" s="17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</row>
    <row r="408" ht="16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172"/>
      <c r="AA408" s="172"/>
      <c r="AB408" s="172"/>
      <c r="AC408" s="22"/>
      <c r="AD408" s="22"/>
      <c r="AE408" s="22"/>
      <c r="AF408" s="22"/>
      <c r="AG408" s="172"/>
      <c r="AH408" s="172"/>
      <c r="AI408" s="172"/>
      <c r="AJ408" s="172"/>
      <c r="AK408" s="172"/>
      <c r="AL408" s="17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</row>
    <row r="409" ht="16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172"/>
      <c r="AA409" s="172"/>
      <c r="AB409" s="172"/>
      <c r="AC409" s="22"/>
      <c r="AD409" s="22"/>
      <c r="AE409" s="22"/>
      <c r="AF409" s="22"/>
      <c r="AG409" s="172"/>
      <c r="AH409" s="172"/>
      <c r="AI409" s="172"/>
      <c r="AJ409" s="172"/>
      <c r="AK409" s="172"/>
      <c r="AL409" s="17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</row>
    <row r="410" ht="16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172"/>
      <c r="AA410" s="172"/>
      <c r="AB410" s="172"/>
      <c r="AC410" s="22"/>
      <c r="AD410" s="22"/>
      <c r="AE410" s="22"/>
      <c r="AF410" s="22"/>
      <c r="AG410" s="172"/>
      <c r="AH410" s="172"/>
      <c r="AI410" s="172"/>
      <c r="AJ410" s="172"/>
      <c r="AK410" s="172"/>
      <c r="AL410" s="17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</row>
    <row r="411" ht="16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172"/>
      <c r="AA411" s="172"/>
      <c r="AB411" s="172"/>
      <c r="AC411" s="22"/>
      <c r="AD411" s="22"/>
      <c r="AE411" s="22"/>
      <c r="AF411" s="22"/>
      <c r="AG411" s="172"/>
      <c r="AH411" s="172"/>
      <c r="AI411" s="172"/>
      <c r="AJ411" s="172"/>
      <c r="AK411" s="172"/>
      <c r="AL411" s="17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</row>
    <row r="412" ht="16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172"/>
      <c r="AA412" s="172"/>
      <c r="AB412" s="172"/>
      <c r="AC412" s="22"/>
      <c r="AD412" s="22"/>
      <c r="AE412" s="22"/>
      <c r="AF412" s="22"/>
      <c r="AG412" s="172"/>
      <c r="AH412" s="172"/>
      <c r="AI412" s="172"/>
      <c r="AJ412" s="172"/>
      <c r="AK412" s="172"/>
      <c r="AL412" s="17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</row>
    <row r="413" ht="16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172"/>
      <c r="AA413" s="172"/>
      <c r="AB413" s="172"/>
      <c r="AC413" s="22"/>
      <c r="AD413" s="22"/>
      <c r="AE413" s="22"/>
      <c r="AF413" s="22"/>
      <c r="AG413" s="172"/>
      <c r="AH413" s="172"/>
      <c r="AI413" s="172"/>
      <c r="AJ413" s="172"/>
      <c r="AK413" s="172"/>
      <c r="AL413" s="17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</row>
    <row r="414" ht="16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172"/>
      <c r="AA414" s="172"/>
      <c r="AB414" s="172"/>
      <c r="AC414" s="22"/>
      <c r="AD414" s="22"/>
      <c r="AE414" s="22"/>
      <c r="AF414" s="22"/>
      <c r="AG414" s="172"/>
      <c r="AH414" s="172"/>
      <c r="AI414" s="172"/>
      <c r="AJ414" s="172"/>
      <c r="AK414" s="172"/>
      <c r="AL414" s="17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</row>
    <row r="415" ht="16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172"/>
      <c r="AA415" s="172"/>
      <c r="AB415" s="172"/>
      <c r="AC415" s="22"/>
      <c r="AD415" s="22"/>
      <c r="AE415" s="22"/>
      <c r="AF415" s="22"/>
      <c r="AG415" s="172"/>
      <c r="AH415" s="172"/>
      <c r="AI415" s="172"/>
      <c r="AJ415" s="172"/>
      <c r="AK415" s="172"/>
      <c r="AL415" s="17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</row>
    <row r="416" ht="16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172"/>
      <c r="AA416" s="172"/>
      <c r="AB416" s="172"/>
      <c r="AC416" s="22"/>
      <c r="AD416" s="22"/>
      <c r="AE416" s="22"/>
      <c r="AF416" s="22"/>
      <c r="AG416" s="172"/>
      <c r="AH416" s="172"/>
      <c r="AI416" s="172"/>
      <c r="AJ416" s="172"/>
      <c r="AK416" s="172"/>
      <c r="AL416" s="17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</row>
    <row r="417" ht="16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172"/>
      <c r="AA417" s="172"/>
      <c r="AB417" s="172"/>
      <c r="AC417" s="22"/>
      <c r="AD417" s="22"/>
      <c r="AE417" s="22"/>
      <c r="AF417" s="22"/>
      <c r="AG417" s="172"/>
      <c r="AH417" s="172"/>
      <c r="AI417" s="172"/>
      <c r="AJ417" s="172"/>
      <c r="AK417" s="172"/>
      <c r="AL417" s="17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</row>
    <row r="418" ht="16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172"/>
      <c r="AA418" s="172"/>
      <c r="AB418" s="172"/>
      <c r="AC418" s="22"/>
      <c r="AD418" s="22"/>
      <c r="AE418" s="22"/>
      <c r="AF418" s="22"/>
      <c r="AG418" s="172"/>
      <c r="AH418" s="172"/>
      <c r="AI418" s="172"/>
      <c r="AJ418" s="172"/>
      <c r="AK418" s="172"/>
      <c r="AL418" s="17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</row>
    <row r="419" ht="16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172"/>
      <c r="AA419" s="172"/>
      <c r="AB419" s="172"/>
      <c r="AC419" s="22"/>
      <c r="AD419" s="22"/>
      <c r="AE419" s="22"/>
      <c r="AF419" s="22"/>
      <c r="AG419" s="172"/>
      <c r="AH419" s="172"/>
      <c r="AI419" s="172"/>
      <c r="AJ419" s="172"/>
      <c r="AK419" s="172"/>
      <c r="AL419" s="17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</row>
    <row r="420" ht="16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172"/>
      <c r="AA420" s="172"/>
      <c r="AB420" s="172"/>
      <c r="AC420" s="22"/>
      <c r="AD420" s="22"/>
      <c r="AE420" s="22"/>
      <c r="AF420" s="22"/>
      <c r="AG420" s="172"/>
      <c r="AH420" s="172"/>
      <c r="AI420" s="172"/>
      <c r="AJ420" s="172"/>
      <c r="AK420" s="172"/>
      <c r="AL420" s="17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</row>
    <row r="421" ht="16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172"/>
      <c r="AA421" s="172"/>
      <c r="AB421" s="172"/>
      <c r="AC421" s="22"/>
      <c r="AD421" s="22"/>
      <c r="AE421" s="22"/>
      <c r="AF421" s="22"/>
      <c r="AG421" s="172"/>
      <c r="AH421" s="172"/>
      <c r="AI421" s="172"/>
      <c r="AJ421" s="172"/>
      <c r="AK421" s="172"/>
      <c r="AL421" s="17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</row>
    <row r="422" ht="16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172"/>
      <c r="AA422" s="172"/>
      <c r="AB422" s="172"/>
      <c r="AC422" s="22"/>
      <c r="AD422" s="22"/>
      <c r="AE422" s="22"/>
      <c r="AF422" s="22"/>
      <c r="AG422" s="172"/>
      <c r="AH422" s="172"/>
      <c r="AI422" s="172"/>
      <c r="AJ422" s="172"/>
      <c r="AK422" s="172"/>
      <c r="AL422" s="17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</row>
    <row r="423" ht="16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172"/>
      <c r="AA423" s="172"/>
      <c r="AB423" s="172"/>
      <c r="AC423" s="22"/>
      <c r="AD423" s="22"/>
      <c r="AE423" s="22"/>
      <c r="AF423" s="22"/>
      <c r="AG423" s="172"/>
      <c r="AH423" s="172"/>
      <c r="AI423" s="172"/>
      <c r="AJ423" s="172"/>
      <c r="AK423" s="172"/>
      <c r="AL423" s="17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</row>
    <row r="424" ht="16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172"/>
      <c r="AA424" s="172"/>
      <c r="AB424" s="172"/>
      <c r="AC424" s="22"/>
      <c r="AD424" s="22"/>
      <c r="AE424" s="22"/>
      <c r="AF424" s="22"/>
      <c r="AG424" s="172"/>
      <c r="AH424" s="172"/>
      <c r="AI424" s="172"/>
      <c r="AJ424" s="172"/>
      <c r="AK424" s="172"/>
      <c r="AL424" s="17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</row>
    <row r="425" ht="16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172"/>
      <c r="AA425" s="172"/>
      <c r="AB425" s="172"/>
      <c r="AC425" s="22"/>
      <c r="AD425" s="22"/>
      <c r="AE425" s="22"/>
      <c r="AF425" s="22"/>
      <c r="AG425" s="172"/>
      <c r="AH425" s="172"/>
      <c r="AI425" s="172"/>
      <c r="AJ425" s="172"/>
      <c r="AK425" s="172"/>
      <c r="AL425" s="17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</row>
    <row r="426" ht="16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172"/>
      <c r="AA426" s="172"/>
      <c r="AB426" s="172"/>
      <c r="AC426" s="22"/>
      <c r="AD426" s="22"/>
      <c r="AE426" s="22"/>
      <c r="AF426" s="22"/>
      <c r="AG426" s="172"/>
      <c r="AH426" s="172"/>
      <c r="AI426" s="172"/>
      <c r="AJ426" s="172"/>
      <c r="AK426" s="172"/>
      <c r="AL426" s="17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</row>
    <row r="427" ht="16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172"/>
      <c r="AA427" s="172"/>
      <c r="AB427" s="172"/>
      <c r="AC427" s="22"/>
      <c r="AD427" s="22"/>
      <c r="AE427" s="22"/>
      <c r="AF427" s="22"/>
      <c r="AG427" s="172"/>
      <c r="AH427" s="172"/>
      <c r="AI427" s="172"/>
      <c r="AJ427" s="172"/>
      <c r="AK427" s="172"/>
      <c r="AL427" s="17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</row>
    <row r="428" ht="16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172"/>
      <c r="AA428" s="172"/>
      <c r="AB428" s="172"/>
      <c r="AC428" s="22"/>
      <c r="AD428" s="22"/>
      <c r="AE428" s="22"/>
      <c r="AF428" s="22"/>
      <c r="AG428" s="172"/>
      <c r="AH428" s="172"/>
      <c r="AI428" s="172"/>
      <c r="AJ428" s="172"/>
      <c r="AK428" s="172"/>
      <c r="AL428" s="17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</row>
    <row r="429" ht="16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172"/>
      <c r="AA429" s="172"/>
      <c r="AB429" s="172"/>
      <c r="AC429" s="22"/>
      <c r="AD429" s="22"/>
      <c r="AE429" s="22"/>
      <c r="AF429" s="22"/>
      <c r="AG429" s="172"/>
      <c r="AH429" s="172"/>
      <c r="AI429" s="172"/>
      <c r="AJ429" s="172"/>
      <c r="AK429" s="172"/>
      <c r="AL429" s="17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</row>
    <row r="430" ht="16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172"/>
      <c r="AA430" s="172"/>
      <c r="AB430" s="172"/>
      <c r="AC430" s="22"/>
      <c r="AD430" s="22"/>
      <c r="AE430" s="22"/>
      <c r="AF430" s="22"/>
      <c r="AG430" s="172"/>
      <c r="AH430" s="172"/>
      <c r="AI430" s="172"/>
      <c r="AJ430" s="172"/>
      <c r="AK430" s="172"/>
      <c r="AL430" s="17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</row>
    <row r="431" ht="16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172"/>
      <c r="AA431" s="172"/>
      <c r="AB431" s="172"/>
      <c r="AC431" s="22"/>
      <c r="AD431" s="22"/>
      <c r="AE431" s="22"/>
      <c r="AF431" s="22"/>
      <c r="AG431" s="172"/>
      <c r="AH431" s="172"/>
      <c r="AI431" s="172"/>
      <c r="AJ431" s="172"/>
      <c r="AK431" s="172"/>
      <c r="AL431" s="17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</row>
    <row r="432" ht="16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172"/>
      <c r="AA432" s="172"/>
      <c r="AB432" s="172"/>
      <c r="AC432" s="22"/>
      <c r="AD432" s="22"/>
      <c r="AE432" s="22"/>
      <c r="AF432" s="22"/>
      <c r="AG432" s="172"/>
      <c r="AH432" s="172"/>
      <c r="AI432" s="172"/>
      <c r="AJ432" s="172"/>
      <c r="AK432" s="172"/>
      <c r="AL432" s="17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</row>
    <row r="433" ht="16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172"/>
      <c r="AA433" s="172"/>
      <c r="AB433" s="172"/>
      <c r="AC433" s="22"/>
      <c r="AD433" s="22"/>
      <c r="AE433" s="22"/>
      <c r="AF433" s="22"/>
      <c r="AG433" s="172"/>
      <c r="AH433" s="172"/>
      <c r="AI433" s="172"/>
      <c r="AJ433" s="172"/>
      <c r="AK433" s="172"/>
      <c r="AL433" s="17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</row>
    <row r="434" ht="16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172"/>
      <c r="AA434" s="172"/>
      <c r="AB434" s="172"/>
      <c r="AC434" s="22"/>
      <c r="AD434" s="22"/>
      <c r="AE434" s="22"/>
      <c r="AF434" s="22"/>
      <c r="AG434" s="172"/>
      <c r="AH434" s="172"/>
      <c r="AI434" s="172"/>
      <c r="AJ434" s="172"/>
      <c r="AK434" s="172"/>
      <c r="AL434" s="17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</row>
    <row r="435" ht="16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172"/>
      <c r="AA435" s="172"/>
      <c r="AB435" s="172"/>
      <c r="AC435" s="22"/>
      <c r="AD435" s="22"/>
      <c r="AE435" s="22"/>
      <c r="AF435" s="22"/>
      <c r="AG435" s="172"/>
      <c r="AH435" s="172"/>
      <c r="AI435" s="172"/>
      <c r="AJ435" s="172"/>
      <c r="AK435" s="172"/>
      <c r="AL435" s="17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</row>
    <row r="436" ht="16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172"/>
      <c r="AA436" s="172"/>
      <c r="AB436" s="172"/>
      <c r="AC436" s="22"/>
      <c r="AD436" s="22"/>
      <c r="AE436" s="22"/>
      <c r="AF436" s="22"/>
      <c r="AG436" s="172"/>
      <c r="AH436" s="172"/>
      <c r="AI436" s="172"/>
      <c r="AJ436" s="172"/>
      <c r="AK436" s="172"/>
      <c r="AL436" s="17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</row>
    <row r="437" ht="16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172"/>
      <c r="AA437" s="172"/>
      <c r="AB437" s="172"/>
      <c r="AC437" s="22"/>
      <c r="AD437" s="22"/>
      <c r="AE437" s="22"/>
      <c r="AF437" s="22"/>
      <c r="AG437" s="172"/>
      <c r="AH437" s="172"/>
      <c r="AI437" s="172"/>
      <c r="AJ437" s="172"/>
      <c r="AK437" s="172"/>
      <c r="AL437" s="17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</row>
    <row r="438" ht="16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172"/>
      <c r="AA438" s="172"/>
      <c r="AB438" s="172"/>
      <c r="AC438" s="22"/>
      <c r="AD438" s="22"/>
      <c r="AE438" s="22"/>
      <c r="AF438" s="22"/>
      <c r="AG438" s="172"/>
      <c r="AH438" s="172"/>
      <c r="AI438" s="172"/>
      <c r="AJ438" s="172"/>
      <c r="AK438" s="172"/>
      <c r="AL438" s="17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</row>
    <row r="439" ht="16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172"/>
      <c r="AA439" s="172"/>
      <c r="AB439" s="172"/>
      <c r="AC439" s="22"/>
      <c r="AD439" s="22"/>
      <c r="AE439" s="22"/>
      <c r="AF439" s="22"/>
      <c r="AG439" s="172"/>
      <c r="AH439" s="172"/>
      <c r="AI439" s="172"/>
      <c r="AJ439" s="172"/>
      <c r="AK439" s="172"/>
      <c r="AL439" s="17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</row>
    <row r="440" ht="16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172"/>
      <c r="AA440" s="172"/>
      <c r="AB440" s="172"/>
      <c r="AC440" s="22"/>
      <c r="AD440" s="22"/>
      <c r="AE440" s="22"/>
      <c r="AF440" s="22"/>
      <c r="AG440" s="172"/>
      <c r="AH440" s="172"/>
      <c r="AI440" s="172"/>
      <c r="AJ440" s="172"/>
      <c r="AK440" s="172"/>
      <c r="AL440" s="17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</row>
    <row r="441" ht="16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172"/>
      <c r="AA441" s="172"/>
      <c r="AB441" s="172"/>
      <c r="AC441" s="22"/>
      <c r="AD441" s="22"/>
      <c r="AE441" s="22"/>
      <c r="AF441" s="22"/>
      <c r="AG441" s="172"/>
      <c r="AH441" s="172"/>
      <c r="AI441" s="172"/>
      <c r="AJ441" s="172"/>
      <c r="AK441" s="172"/>
      <c r="AL441" s="17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</row>
    <row r="442" ht="16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172"/>
      <c r="AA442" s="172"/>
      <c r="AB442" s="172"/>
      <c r="AC442" s="22"/>
      <c r="AD442" s="22"/>
      <c r="AE442" s="22"/>
      <c r="AF442" s="22"/>
      <c r="AG442" s="172"/>
      <c r="AH442" s="172"/>
      <c r="AI442" s="172"/>
      <c r="AJ442" s="172"/>
      <c r="AK442" s="172"/>
      <c r="AL442" s="17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</row>
    <row r="443" ht="16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172"/>
      <c r="AA443" s="172"/>
      <c r="AB443" s="172"/>
      <c r="AC443" s="22"/>
      <c r="AD443" s="22"/>
      <c r="AE443" s="22"/>
      <c r="AF443" s="22"/>
      <c r="AG443" s="172"/>
      <c r="AH443" s="172"/>
      <c r="AI443" s="172"/>
      <c r="AJ443" s="172"/>
      <c r="AK443" s="172"/>
      <c r="AL443" s="17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</row>
    <row r="444" ht="16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172"/>
      <c r="AA444" s="172"/>
      <c r="AB444" s="172"/>
      <c r="AC444" s="22"/>
      <c r="AD444" s="22"/>
      <c r="AE444" s="22"/>
      <c r="AF444" s="22"/>
      <c r="AG444" s="172"/>
      <c r="AH444" s="172"/>
      <c r="AI444" s="172"/>
      <c r="AJ444" s="172"/>
      <c r="AK444" s="172"/>
      <c r="AL444" s="17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</row>
    <row r="445" ht="16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172"/>
      <c r="AA445" s="172"/>
      <c r="AB445" s="172"/>
      <c r="AC445" s="22"/>
      <c r="AD445" s="22"/>
      <c r="AE445" s="22"/>
      <c r="AF445" s="22"/>
      <c r="AG445" s="172"/>
      <c r="AH445" s="172"/>
      <c r="AI445" s="172"/>
      <c r="AJ445" s="172"/>
      <c r="AK445" s="172"/>
      <c r="AL445" s="17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</row>
    <row r="446" ht="16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172"/>
      <c r="AA446" s="172"/>
      <c r="AB446" s="172"/>
      <c r="AC446" s="22"/>
      <c r="AD446" s="22"/>
      <c r="AE446" s="22"/>
      <c r="AF446" s="22"/>
      <c r="AG446" s="172"/>
      <c r="AH446" s="172"/>
      <c r="AI446" s="172"/>
      <c r="AJ446" s="172"/>
      <c r="AK446" s="172"/>
      <c r="AL446" s="17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</row>
    <row r="447" ht="16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172"/>
      <c r="AA447" s="172"/>
      <c r="AB447" s="172"/>
      <c r="AC447" s="22"/>
      <c r="AD447" s="22"/>
      <c r="AE447" s="22"/>
      <c r="AF447" s="22"/>
      <c r="AG447" s="172"/>
      <c r="AH447" s="172"/>
      <c r="AI447" s="172"/>
      <c r="AJ447" s="172"/>
      <c r="AK447" s="172"/>
      <c r="AL447" s="17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</row>
    <row r="448" ht="16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172"/>
      <c r="AA448" s="172"/>
      <c r="AB448" s="172"/>
      <c r="AC448" s="22"/>
      <c r="AD448" s="22"/>
      <c r="AE448" s="22"/>
      <c r="AF448" s="22"/>
      <c r="AG448" s="172"/>
      <c r="AH448" s="172"/>
      <c r="AI448" s="172"/>
      <c r="AJ448" s="172"/>
      <c r="AK448" s="172"/>
      <c r="AL448" s="17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</row>
    <row r="449" ht="16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172"/>
      <c r="AA449" s="172"/>
      <c r="AB449" s="172"/>
      <c r="AC449" s="22"/>
      <c r="AD449" s="22"/>
      <c r="AE449" s="22"/>
      <c r="AF449" s="22"/>
      <c r="AG449" s="172"/>
      <c r="AH449" s="172"/>
      <c r="AI449" s="172"/>
      <c r="AJ449" s="172"/>
      <c r="AK449" s="172"/>
      <c r="AL449" s="17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</row>
    <row r="450" ht="16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172"/>
      <c r="AA450" s="172"/>
      <c r="AB450" s="172"/>
      <c r="AC450" s="22"/>
      <c r="AD450" s="22"/>
      <c r="AE450" s="22"/>
      <c r="AF450" s="22"/>
      <c r="AG450" s="172"/>
      <c r="AH450" s="172"/>
      <c r="AI450" s="172"/>
      <c r="AJ450" s="172"/>
      <c r="AK450" s="172"/>
      <c r="AL450" s="17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</row>
    <row r="451" ht="16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172"/>
      <c r="AA451" s="172"/>
      <c r="AB451" s="172"/>
      <c r="AC451" s="22"/>
      <c r="AD451" s="22"/>
      <c r="AE451" s="22"/>
      <c r="AF451" s="22"/>
      <c r="AG451" s="172"/>
      <c r="AH451" s="172"/>
      <c r="AI451" s="172"/>
      <c r="AJ451" s="172"/>
      <c r="AK451" s="172"/>
      <c r="AL451" s="17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</row>
    <row r="452" ht="16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172"/>
      <c r="AA452" s="172"/>
      <c r="AB452" s="172"/>
      <c r="AC452" s="22"/>
      <c r="AD452" s="22"/>
      <c r="AE452" s="22"/>
      <c r="AF452" s="22"/>
      <c r="AG452" s="172"/>
      <c r="AH452" s="172"/>
      <c r="AI452" s="172"/>
      <c r="AJ452" s="172"/>
      <c r="AK452" s="172"/>
      <c r="AL452" s="17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</row>
    <row r="453" ht="16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172"/>
      <c r="AA453" s="172"/>
      <c r="AB453" s="172"/>
      <c r="AC453" s="22"/>
      <c r="AD453" s="22"/>
      <c r="AE453" s="22"/>
      <c r="AF453" s="22"/>
      <c r="AG453" s="172"/>
      <c r="AH453" s="172"/>
      <c r="AI453" s="172"/>
      <c r="AJ453" s="172"/>
      <c r="AK453" s="172"/>
      <c r="AL453" s="17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</row>
    <row r="454" ht="16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172"/>
      <c r="AA454" s="172"/>
      <c r="AB454" s="172"/>
      <c r="AC454" s="22"/>
      <c r="AD454" s="22"/>
      <c r="AE454" s="22"/>
      <c r="AF454" s="22"/>
      <c r="AG454" s="172"/>
      <c r="AH454" s="172"/>
      <c r="AI454" s="172"/>
      <c r="AJ454" s="172"/>
      <c r="AK454" s="172"/>
      <c r="AL454" s="17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</row>
    <row r="455" ht="16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172"/>
      <c r="AA455" s="172"/>
      <c r="AB455" s="172"/>
      <c r="AC455" s="22"/>
      <c r="AD455" s="22"/>
      <c r="AE455" s="22"/>
      <c r="AF455" s="22"/>
      <c r="AG455" s="172"/>
      <c r="AH455" s="172"/>
      <c r="AI455" s="172"/>
      <c r="AJ455" s="172"/>
      <c r="AK455" s="172"/>
      <c r="AL455" s="17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</row>
    <row r="456" ht="16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172"/>
      <c r="AA456" s="172"/>
      <c r="AB456" s="172"/>
      <c r="AC456" s="22"/>
      <c r="AD456" s="22"/>
      <c r="AE456" s="22"/>
      <c r="AF456" s="22"/>
      <c r="AG456" s="172"/>
      <c r="AH456" s="172"/>
      <c r="AI456" s="172"/>
      <c r="AJ456" s="172"/>
      <c r="AK456" s="172"/>
      <c r="AL456" s="17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</row>
    <row r="457" ht="16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172"/>
      <c r="AA457" s="172"/>
      <c r="AB457" s="172"/>
      <c r="AC457" s="22"/>
      <c r="AD457" s="22"/>
      <c r="AE457" s="22"/>
      <c r="AF457" s="22"/>
      <c r="AG457" s="172"/>
      <c r="AH457" s="172"/>
      <c r="AI457" s="172"/>
      <c r="AJ457" s="172"/>
      <c r="AK457" s="172"/>
      <c r="AL457" s="17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</row>
    <row r="458" ht="16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172"/>
      <c r="AA458" s="172"/>
      <c r="AB458" s="172"/>
      <c r="AC458" s="22"/>
      <c r="AD458" s="22"/>
      <c r="AE458" s="22"/>
      <c r="AF458" s="22"/>
      <c r="AG458" s="172"/>
      <c r="AH458" s="172"/>
      <c r="AI458" s="172"/>
      <c r="AJ458" s="172"/>
      <c r="AK458" s="172"/>
      <c r="AL458" s="17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</row>
    <row r="459" ht="16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172"/>
      <c r="AA459" s="172"/>
      <c r="AB459" s="172"/>
      <c r="AC459" s="22"/>
      <c r="AD459" s="22"/>
      <c r="AE459" s="22"/>
      <c r="AF459" s="22"/>
      <c r="AG459" s="172"/>
      <c r="AH459" s="172"/>
      <c r="AI459" s="172"/>
      <c r="AJ459" s="172"/>
      <c r="AK459" s="172"/>
      <c r="AL459" s="17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</row>
    <row r="460" ht="16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172"/>
      <c r="AA460" s="172"/>
      <c r="AB460" s="172"/>
      <c r="AC460" s="22"/>
      <c r="AD460" s="22"/>
      <c r="AE460" s="22"/>
      <c r="AF460" s="22"/>
      <c r="AG460" s="172"/>
      <c r="AH460" s="172"/>
      <c r="AI460" s="172"/>
      <c r="AJ460" s="172"/>
      <c r="AK460" s="172"/>
      <c r="AL460" s="17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</row>
    <row r="461" ht="16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172"/>
      <c r="AA461" s="172"/>
      <c r="AB461" s="172"/>
      <c r="AC461" s="22"/>
      <c r="AD461" s="22"/>
      <c r="AE461" s="22"/>
      <c r="AF461" s="22"/>
      <c r="AG461" s="172"/>
      <c r="AH461" s="172"/>
      <c r="AI461" s="172"/>
      <c r="AJ461" s="172"/>
      <c r="AK461" s="172"/>
      <c r="AL461" s="17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</row>
    <row r="462" ht="16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172"/>
      <c r="AA462" s="172"/>
      <c r="AB462" s="172"/>
      <c r="AC462" s="22"/>
      <c r="AD462" s="22"/>
      <c r="AE462" s="22"/>
      <c r="AF462" s="22"/>
      <c r="AG462" s="172"/>
      <c r="AH462" s="172"/>
      <c r="AI462" s="172"/>
      <c r="AJ462" s="172"/>
      <c r="AK462" s="172"/>
      <c r="AL462" s="17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</row>
    <row r="463" ht="16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172"/>
      <c r="AA463" s="172"/>
      <c r="AB463" s="172"/>
      <c r="AC463" s="22"/>
      <c r="AD463" s="22"/>
      <c r="AE463" s="22"/>
      <c r="AF463" s="22"/>
      <c r="AG463" s="172"/>
      <c r="AH463" s="172"/>
      <c r="AI463" s="172"/>
      <c r="AJ463" s="172"/>
      <c r="AK463" s="172"/>
      <c r="AL463" s="17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</row>
    <row r="464" ht="16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172"/>
      <c r="AA464" s="172"/>
      <c r="AB464" s="172"/>
      <c r="AC464" s="22"/>
      <c r="AD464" s="22"/>
      <c r="AE464" s="22"/>
      <c r="AF464" s="22"/>
      <c r="AG464" s="172"/>
      <c r="AH464" s="172"/>
      <c r="AI464" s="172"/>
      <c r="AJ464" s="172"/>
      <c r="AK464" s="172"/>
      <c r="AL464" s="17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</row>
    <row r="465" ht="16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172"/>
      <c r="AA465" s="172"/>
      <c r="AB465" s="172"/>
      <c r="AC465" s="22"/>
      <c r="AD465" s="22"/>
      <c r="AE465" s="22"/>
      <c r="AF465" s="22"/>
      <c r="AG465" s="172"/>
      <c r="AH465" s="172"/>
      <c r="AI465" s="172"/>
      <c r="AJ465" s="172"/>
      <c r="AK465" s="172"/>
      <c r="AL465" s="17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</row>
    <row r="466" ht="16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172"/>
      <c r="AA466" s="172"/>
      <c r="AB466" s="172"/>
      <c r="AC466" s="22"/>
      <c r="AD466" s="22"/>
      <c r="AE466" s="22"/>
      <c r="AF466" s="22"/>
      <c r="AG466" s="172"/>
      <c r="AH466" s="172"/>
      <c r="AI466" s="172"/>
      <c r="AJ466" s="172"/>
      <c r="AK466" s="172"/>
      <c r="AL466" s="17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</row>
    <row r="467" ht="16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172"/>
      <c r="AA467" s="172"/>
      <c r="AB467" s="172"/>
      <c r="AC467" s="22"/>
      <c r="AD467" s="22"/>
      <c r="AE467" s="22"/>
      <c r="AF467" s="22"/>
      <c r="AG467" s="172"/>
      <c r="AH467" s="172"/>
      <c r="AI467" s="172"/>
      <c r="AJ467" s="172"/>
      <c r="AK467" s="172"/>
      <c r="AL467" s="17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</row>
    <row r="468" ht="16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172"/>
      <c r="AA468" s="172"/>
      <c r="AB468" s="172"/>
      <c r="AC468" s="22"/>
      <c r="AD468" s="22"/>
      <c r="AE468" s="22"/>
      <c r="AF468" s="22"/>
      <c r="AG468" s="172"/>
      <c r="AH468" s="172"/>
      <c r="AI468" s="172"/>
      <c r="AJ468" s="172"/>
      <c r="AK468" s="172"/>
      <c r="AL468" s="17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</row>
    <row r="469" ht="16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172"/>
      <c r="AA469" s="172"/>
      <c r="AB469" s="172"/>
      <c r="AC469" s="22"/>
      <c r="AD469" s="22"/>
      <c r="AE469" s="22"/>
      <c r="AF469" s="22"/>
      <c r="AG469" s="172"/>
      <c r="AH469" s="172"/>
      <c r="AI469" s="172"/>
      <c r="AJ469" s="172"/>
      <c r="AK469" s="172"/>
      <c r="AL469" s="17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</row>
    <row r="470" ht="16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172"/>
      <c r="AA470" s="172"/>
      <c r="AB470" s="172"/>
      <c r="AC470" s="22"/>
      <c r="AD470" s="22"/>
      <c r="AE470" s="22"/>
      <c r="AF470" s="22"/>
      <c r="AG470" s="172"/>
      <c r="AH470" s="172"/>
      <c r="AI470" s="172"/>
      <c r="AJ470" s="172"/>
      <c r="AK470" s="172"/>
      <c r="AL470" s="17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</row>
    <row r="471" ht="16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172"/>
      <c r="AA471" s="172"/>
      <c r="AB471" s="172"/>
      <c r="AC471" s="22"/>
      <c r="AD471" s="22"/>
      <c r="AE471" s="22"/>
      <c r="AF471" s="22"/>
      <c r="AG471" s="172"/>
      <c r="AH471" s="172"/>
      <c r="AI471" s="172"/>
      <c r="AJ471" s="172"/>
      <c r="AK471" s="172"/>
      <c r="AL471" s="17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</row>
    <row r="472" ht="16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172"/>
      <c r="AA472" s="172"/>
      <c r="AB472" s="172"/>
      <c r="AC472" s="22"/>
      <c r="AD472" s="22"/>
      <c r="AE472" s="22"/>
      <c r="AF472" s="22"/>
      <c r="AG472" s="172"/>
      <c r="AH472" s="172"/>
      <c r="AI472" s="172"/>
      <c r="AJ472" s="172"/>
      <c r="AK472" s="172"/>
      <c r="AL472" s="17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</row>
    <row r="473" ht="16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172"/>
      <c r="AA473" s="172"/>
      <c r="AB473" s="172"/>
      <c r="AC473" s="22"/>
      <c r="AD473" s="22"/>
      <c r="AE473" s="22"/>
      <c r="AF473" s="22"/>
      <c r="AG473" s="172"/>
      <c r="AH473" s="172"/>
      <c r="AI473" s="172"/>
      <c r="AJ473" s="172"/>
      <c r="AK473" s="172"/>
      <c r="AL473" s="17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</row>
    <row r="474" ht="16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172"/>
      <c r="AA474" s="172"/>
      <c r="AB474" s="172"/>
      <c r="AC474" s="22"/>
      <c r="AD474" s="22"/>
      <c r="AE474" s="22"/>
      <c r="AF474" s="22"/>
      <c r="AG474" s="172"/>
      <c r="AH474" s="172"/>
      <c r="AI474" s="172"/>
      <c r="AJ474" s="172"/>
      <c r="AK474" s="172"/>
      <c r="AL474" s="17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</row>
    <row r="475" ht="16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172"/>
      <c r="AA475" s="172"/>
      <c r="AB475" s="172"/>
      <c r="AC475" s="22"/>
      <c r="AD475" s="22"/>
      <c r="AE475" s="22"/>
      <c r="AF475" s="22"/>
      <c r="AG475" s="172"/>
      <c r="AH475" s="172"/>
      <c r="AI475" s="172"/>
      <c r="AJ475" s="172"/>
      <c r="AK475" s="172"/>
      <c r="AL475" s="17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</row>
    <row r="476" ht="16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172"/>
      <c r="AA476" s="172"/>
      <c r="AB476" s="172"/>
      <c r="AC476" s="22"/>
      <c r="AD476" s="22"/>
      <c r="AE476" s="22"/>
      <c r="AF476" s="22"/>
      <c r="AG476" s="172"/>
      <c r="AH476" s="172"/>
      <c r="AI476" s="172"/>
      <c r="AJ476" s="172"/>
      <c r="AK476" s="172"/>
      <c r="AL476" s="17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</row>
    <row r="477" ht="16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172"/>
      <c r="AA477" s="172"/>
      <c r="AB477" s="172"/>
      <c r="AC477" s="22"/>
      <c r="AD477" s="22"/>
      <c r="AE477" s="22"/>
      <c r="AF477" s="22"/>
      <c r="AG477" s="172"/>
      <c r="AH477" s="172"/>
      <c r="AI477" s="172"/>
      <c r="AJ477" s="172"/>
      <c r="AK477" s="172"/>
      <c r="AL477" s="17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</row>
    <row r="478" ht="16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172"/>
      <c r="AA478" s="172"/>
      <c r="AB478" s="172"/>
      <c r="AC478" s="22"/>
      <c r="AD478" s="22"/>
      <c r="AE478" s="22"/>
      <c r="AF478" s="22"/>
      <c r="AG478" s="172"/>
      <c r="AH478" s="172"/>
      <c r="AI478" s="172"/>
      <c r="AJ478" s="172"/>
      <c r="AK478" s="172"/>
      <c r="AL478" s="17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</row>
    <row r="479" ht="16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172"/>
      <c r="AA479" s="172"/>
      <c r="AB479" s="172"/>
      <c r="AC479" s="22"/>
      <c r="AD479" s="22"/>
      <c r="AE479" s="22"/>
      <c r="AF479" s="22"/>
      <c r="AG479" s="172"/>
      <c r="AH479" s="172"/>
      <c r="AI479" s="172"/>
      <c r="AJ479" s="172"/>
      <c r="AK479" s="172"/>
      <c r="AL479" s="17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</row>
    <row r="480" ht="16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172"/>
      <c r="AA480" s="172"/>
      <c r="AB480" s="172"/>
      <c r="AC480" s="22"/>
      <c r="AD480" s="22"/>
      <c r="AE480" s="22"/>
      <c r="AF480" s="22"/>
      <c r="AG480" s="172"/>
      <c r="AH480" s="172"/>
      <c r="AI480" s="172"/>
      <c r="AJ480" s="172"/>
      <c r="AK480" s="172"/>
      <c r="AL480" s="17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</row>
    <row r="481" ht="16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172"/>
      <c r="AA481" s="172"/>
      <c r="AB481" s="172"/>
      <c r="AC481" s="22"/>
      <c r="AD481" s="22"/>
      <c r="AE481" s="22"/>
      <c r="AF481" s="22"/>
      <c r="AG481" s="172"/>
      <c r="AH481" s="172"/>
      <c r="AI481" s="172"/>
      <c r="AJ481" s="172"/>
      <c r="AK481" s="172"/>
      <c r="AL481" s="17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</row>
    <row r="482" ht="16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172"/>
      <c r="AA482" s="172"/>
      <c r="AB482" s="172"/>
      <c r="AC482" s="22"/>
      <c r="AD482" s="22"/>
      <c r="AE482" s="22"/>
      <c r="AF482" s="22"/>
      <c r="AG482" s="172"/>
      <c r="AH482" s="172"/>
      <c r="AI482" s="172"/>
      <c r="AJ482" s="172"/>
      <c r="AK482" s="172"/>
      <c r="AL482" s="17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</row>
    <row r="483" ht="16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172"/>
      <c r="AA483" s="172"/>
      <c r="AB483" s="172"/>
      <c r="AC483" s="22"/>
      <c r="AD483" s="22"/>
      <c r="AE483" s="22"/>
      <c r="AF483" s="22"/>
      <c r="AG483" s="172"/>
      <c r="AH483" s="172"/>
      <c r="AI483" s="172"/>
      <c r="AJ483" s="172"/>
      <c r="AK483" s="172"/>
      <c r="AL483" s="17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</row>
    <row r="484" ht="16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172"/>
      <c r="AA484" s="172"/>
      <c r="AB484" s="172"/>
      <c r="AC484" s="22"/>
      <c r="AD484" s="22"/>
      <c r="AE484" s="22"/>
      <c r="AF484" s="22"/>
      <c r="AG484" s="172"/>
      <c r="AH484" s="172"/>
      <c r="AI484" s="172"/>
      <c r="AJ484" s="172"/>
      <c r="AK484" s="172"/>
      <c r="AL484" s="17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</row>
    <row r="485" ht="16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172"/>
      <c r="AA485" s="172"/>
      <c r="AB485" s="172"/>
      <c r="AC485" s="22"/>
      <c r="AD485" s="22"/>
      <c r="AE485" s="22"/>
      <c r="AF485" s="22"/>
      <c r="AG485" s="172"/>
      <c r="AH485" s="172"/>
      <c r="AI485" s="172"/>
      <c r="AJ485" s="172"/>
      <c r="AK485" s="172"/>
      <c r="AL485" s="17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</row>
    <row r="486" ht="16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172"/>
      <c r="AA486" s="172"/>
      <c r="AB486" s="172"/>
      <c r="AC486" s="22"/>
      <c r="AD486" s="22"/>
      <c r="AE486" s="22"/>
      <c r="AF486" s="22"/>
      <c r="AG486" s="172"/>
      <c r="AH486" s="172"/>
      <c r="AI486" s="172"/>
      <c r="AJ486" s="172"/>
      <c r="AK486" s="172"/>
      <c r="AL486" s="17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</row>
    <row r="487" ht="16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172"/>
      <c r="AA487" s="172"/>
      <c r="AB487" s="172"/>
      <c r="AC487" s="22"/>
      <c r="AD487" s="22"/>
      <c r="AE487" s="22"/>
      <c r="AF487" s="22"/>
      <c r="AG487" s="172"/>
      <c r="AH487" s="172"/>
      <c r="AI487" s="172"/>
      <c r="AJ487" s="172"/>
      <c r="AK487" s="172"/>
      <c r="AL487" s="17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</row>
    <row r="488" ht="16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172"/>
      <c r="AA488" s="172"/>
      <c r="AB488" s="172"/>
      <c r="AC488" s="22"/>
      <c r="AD488" s="22"/>
      <c r="AE488" s="22"/>
      <c r="AF488" s="22"/>
      <c r="AG488" s="172"/>
      <c r="AH488" s="172"/>
      <c r="AI488" s="172"/>
      <c r="AJ488" s="172"/>
      <c r="AK488" s="172"/>
      <c r="AL488" s="17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</row>
    <row r="489" ht="16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172"/>
      <c r="AA489" s="172"/>
      <c r="AB489" s="172"/>
      <c r="AC489" s="22"/>
      <c r="AD489" s="22"/>
      <c r="AE489" s="22"/>
      <c r="AF489" s="22"/>
      <c r="AG489" s="172"/>
      <c r="AH489" s="172"/>
      <c r="AI489" s="172"/>
      <c r="AJ489" s="172"/>
      <c r="AK489" s="172"/>
      <c r="AL489" s="17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</row>
    <row r="490" ht="16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172"/>
      <c r="AA490" s="172"/>
      <c r="AB490" s="172"/>
      <c r="AC490" s="22"/>
      <c r="AD490" s="22"/>
      <c r="AE490" s="22"/>
      <c r="AF490" s="22"/>
      <c r="AG490" s="172"/>
      <c r="AH490" s="172"/>
      <c r="AI490" s="172"/>
      <c r="AJ490" s="172"/>
      <c r="AK490" s="172"/>
      <c r="AL490" s="17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</row>
    <row r="491" ht="16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172"/>
      <c r="AA491" s="172"/>
      <c r="AB491" s="172"/>
      <c r="AC491" s="22"/>
      <c r="AD491" s="22"/>
      <c r="AE491" s="22"/>
      <c r="AF491" s="22"/>
      <c r="AG491" s="172"/>
      <c r="AH491" s="172"/>
      <c r="AI491" s="172"/>
      <c r="AJ491" s="172"/>
      <c r="AK491" s="172"/>
      <c r="AL491" s="17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</row>
    <row r="492" ht="16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172"/>
      <c r="AA492" s="172"/>
      <c r="AB492" s="172"/>
      <c r="AC492" s="22"/>
      <c r="AD492" s="22"/>
      <c r="AE492" s="22"/>
      <c r="AF492" s="22"/>
      <c r="AG492" s="172"/>
      <c r="AH492" s="172"/>
      <c r="AI492" s="172"/>
      <c r="AJ492" s="172"/>
      <c r="AK492" s="172"/>
      <c r="AL492" s="17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</row>
    <row r="493" ht="16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172"/>
      <c r="AA493" s="172"/>
      <c r="AB493" s="172"/>
      <c r="AC493" s="22"/>
      <c r="AD493" s="22"/>
      <c r="AE493" s="22"/>
      <c r="AF493" s="22"/>
      <c r="AG493" s="172"/>
      <c r="AH493" s="172"/>
      <c r="AI493" s="172"/>
      <c r="AJ493" s="172"/>
      <c r="AK493" s="172"/>
      <c r="AL493" s="17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</row>
    <row r="494" ht="16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172"/>
      <c r="AA494" s="172"/>
      <c r="AB494" s="172"/>
      <c r="AC494" s="22"/>
      <c r="AD494" s="22"/>
      <c r="AE494" s="22"/>
      <c r="AF494" s="22"/>
      <c r="AG494" s="172"/>
      <c r="AH494" s="172"/>
      <c r="AI494" s="172"/>
      <c r="AJ494" s="172"/>
      <c r="AK494" s="172"/>
      <c r="AL494" s="17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</row>
    <row r="495" ht="16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172"/>
      <c r="AA495" s="172"/>
      <c r="AB495" s="172"/>
      <c r="AC495" s="22"/>
      <c r="AD495" s="22"/>
      <c r="AE495" s="22"/>
      <c r="AF495" s="22"/>
      <c r="AG495" s="172"/>
      <c r="AH495" s="172"/>
      <c r="AI495" s="172"/>
      <c r="AJ495" s="172"/>
      <c r="AK495" s="172"/>
      <c r="AL495" s="17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</row>
    <row r="496" ht="16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172"/>
      <c r="AA496" s="172"/>
      <c r="AB496" s="172"/>
      <c r="AC496" s="22"/>
      <c r="AD496" s="22"/>
      <c r="AE496" s="22"/>
      <c r="AF496" s="22"/>
      <c r="AG496" s="172"/>
      <c r="AH496" s="172"/>
      <c r="AI496" s="172"/>
      <c r="AJ496" s="172"/>
      <c r="AK496" s="172"/>
      <c r="AL496" s="17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</row>
    <row r="497" ht="16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172"/>
      <c r="AA497" s="172"/>
      <c r="AB497" s="172"/>
      <c r="AC497" s="22"/>
      <c r="AD497" s="22"/>
      <c r="AE497" s="22"/>
      <c r="AF497" s="22"/>
      <c r="AG497" s="172"/>
      <c r="AH497" s="172"/>
      <c r="AI497" s="172"/>
      <c r="AJ497" s="172"/>
      <c r="AK497" s="172"/>
      <c r="AL497" s="17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</row>
    <row r="498" ht="16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172"/>
      <c r="AA498" s="172"/>
      <c r="AB498" s="172"/>
      <c r="AC498" s="22"/>
      <c r="AD498" s="22"/>
      <c r="AE498" s="22"/>
      <c r="AF498" s="22"/>
      <c r="AG498" s="172"/>
      <c r="AH498" s="172"/>
      <c r="AI498" s="172"/>
      <c r="AJ498" s="172"/>
      <c r="AK498" s="172"/>
      <c r="AL498" s="17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</row>
    <row r="499" ht="16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172"/>
      <c r="AA499" s="172"/>
      <c r="AB499" s="172"/>
      <c r="AC499" s="22"/>
      <c r="AD499" s="22"/>
      <c r="AE499" s="22"/>
      <c r="AF499" s="22"/>
      <c r="AG499" s="172"/>
      <c r="AH499" s="172"/>
      <c r="AI499" s="172"/>
      <c r="AJ499" s="172"/>
      <c r="AK499" s="172"/>
      <c r="AL499" s="17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</row>
    <row r="500" ht="16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172"/>
      <c r="AA500" s="172"/>
      <c r="AB500" s="172"/>
      <c r="AC500" s="22"/>
      <c r="AD500" s="22"/>
      <c r="AE500" s="22"/>
      <c r="AF500" s="22"/>
      <c r="AG500" s="172"/>
      <c r="AH500" s="172"/>
      <c r="AI500" s="172"/>
      <c r="AJ500" s="172"/>
      <c r="AK500" s="172"/>
      <c r="AL500" s="17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</row>
    <row r="501" ht="16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172"/>
      <c r="AA501" s="172"/>
      <c r="AB501" s="172"/>
      <c r="AC501" s="22"/>
      <c r="AD501" s="22"/>
      <c r="AE501" s="22"/>
      <c r="AF501" s="22"/>
      <c r="AG501" s="172"/>
      <c r="AH501" s="172"/>
      <c r="AI501" s="172"/>
      <c r="AJ501" s="172"/>
      <c r="AK501" s="172"/>
      <c r="AL501" s="17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</row>
    <row r="502" ht="16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172"/>
      <c r="AA502" s="172"/>
      <c r="AB502" s="172"/>
      <c r="AC502" s="22"/>
      <c r="AD502" s="22"/>
      <c r="AE502" s="22"/>
      <c r="AF502" s="22"/>
      <c r="AG502" s="172"/>
      <c r="AH502" s="172"/>
      <c r="AI502" s="172"/>
      <c r="AJ502" s="172"/>
      <c r="AK502" s="172"/>
      <c r="AL502" s="17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</row>
    <row r="503" ht="16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172"/>
      <c r="AA503" s="172"/>
      <c r="AB503" s="172"/>
      <c r="AC503" s="22"/>
      <c r="AD503" s="22"/>
      <c r="AE503" s="22"/>
      <c r="AF503" s="22"/>
      <c r="AG503" s="172"/>
      <c r="AH503" s="172"/>
      <c r="AI503" s="172"/>
      <c r="AJ503" s="172"/>
      <c r="AK503" s="172"/>
      <c r="AL503" s="17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</row>
    <row r="504" ht="16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172"/>
      <c r="AA504" s="172"/>
      <c r="AB504" s="172"/>
      <c r="AC504" s="22"/>
      <c r="AD504" s="22"/>
      <c r="AE504" s="22"/>
      <c r="AF504" s="22"/>
      <c r="AG504" s="172"/>
      <c r="AH504" s="172"/>
      <c r="AI504" s="172"/>
      <c r="AJ504" s="172"/>
      <c r="AK504" s="172"/>
      <c r="AL504" s="17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</row>
    <row r="505" ht="16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172"/>
      <c r="AA505" s="172"/>
      <c r="AB505" s="172"/>
      <c r="AC505" s="22"/>
      <c r="AD505" s="22"/>
      <c r="AE505" s="22"/>
      <c r="AF505" s="22"/>
      <c r="AG505" s="172"/>
      <c r="AH505" s="172"/>
      <c r="AI505" s="172"/>
      <c r="AJ505" s="172"/>
      <c r="AK505" s="172"/>
      <c r="AL505" s="17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</row>
    <row r="506" ht="16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172"/>
      <c r="AA506" s="172"/>
      <c r="AB506" s="172"/>
      <c r="AC506" s="22"/>
      <c r="AD506" s="22"/>
      <c r="AE506" s="22"/>
      <c r="AF506" s="22"/>
      <c r="AG506" s="172"/>
      <c r="AH506" s="172"/>
      <c r="AI506" s="172"/>
      <c r="AJ506" s="172"/>
      <c r="AK506" s="172"/>
      <c r="AL506" s="17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</row>
    <row r="507" ht="16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172"/>
      <c r="AA507" s="172"/>
      <c r="AB507" s="172"/>
      <c r="AC507" s="22"/>
      <c r="AD507" s="22"/>
      <c r="AE507" s="22"/>
      <c r="AF507" s="22"/>
      <c r="AG507" s="172"/>
      <c r="AH507" s="172"/>
      <c r="AI507" s="172"/>
      <c r="AJ507" s="172"/>
      <c r="AK507" s="172"/>
      <c r="AL507" s="17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</row>
    <row r="508" ht="16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172"/>
      <c r="AA508" s="172"/>
      <c r="AB508" s="172"/>
      <c r="AC508" s="22"/>
      <c r="AD508" s="22"/>
      <c r="AE508" s="22"/>
      <c r="AF508" s="22"/>
      <c r="AG508" s="172"/>
      <c r="AH508" s="172"/>
      <c r="AI508" s="172"/>
      <c r="AJ508" s="172"/>
      <c r="AK508" s="172"/>
      <c r="AL508" s="17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</row>
    <row r="509" ht="16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172"/>
      <c r="AA509" s="172"/>
      <c r="AB509" s="172"/>
      <c r="AC509" s="22"/>
      <c r="AD509" s="22"/>
      <c r="AE509" s="22"/>
      <c r="AF509" s="22"/>
      <c r="AG509" s="172"/>
      <c r="AH509" s="172"/>
      <c r="AI509" s="172"/>
      <c r="AJ509" s="172"/>
      <c r="AK509" s="172"/>
      <c r="AL509" s="17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</row>
    <row r="510" ht="16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172"/>
      <c r="AA510" s="172"/>
      <c r="AB510" s="172"/>
      <c r="AC510" s="22"/>
      <c r="AD510" s="22"/>
      <c r="AE510" s="22"/>
      <c r="AF510" s="22"/>
      <c r="AG510" s="172"/>
      <c r="AH510" s="172"/>
      <c r="AI510" s="172"/>
      <c r="AJ510" s="172"/>
      <c r="AK510" s="172"/>
      <c r="AL510" s="17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</row>
    <row r="511" ht="16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172"/>
      <c r="AA511" s="172"/>
      <c r="AB511" s="172"/>
      <c r="AC511" s="22"/>
      <c r="AD511" s="22"/>
      <c r="AE511" s="22"/>
      <c r="AF511" s="22"/>
      <c r="AG511" s="172"/>
      <c r="AH511" s="172"/>
      <c r="AI511" s="172"/>
      <c r="AJ511" s="172"/>
      <c r="AK511" s="172"/>
      <c r="AL511" s="17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</row>
    <row r="512" ht="16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172"/>
      <c r="AA512" s="172"/>
      <c r="AB512" s="172"/>
      <c r="AC512" s="22"/>
      <c r="AD512" s="22"/>
      <c r="AE512" s="22"/>
      <c r="AF512" s="22"/>
      <c r="AG512" s="172"/>
      <c r="AH512" s="172"/>
      <c r="AI512" s="172"/>
      <c r="AJ512" s="172"/>
      <c r="AK512" s="172"/>
      <c r="AL512" s="17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</row>
    <row r="513" ht="16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172"/>
      <c r="AA513" s="172"/>
      <c r="AB513" s="172"/>
      <c r="AC513" s="22"/>
      <c r="AD513" s="22"/>
      <c r="AE513" s="22"/>
      <c r="AF513" s="22"/>
      <c r="AG513" s="172"/>
      <c r="AH513" s="172"/>
      <c r="AI513" s="172"/>
      <c r="AJ513" s="172"/>
      <c r="AK513" s="172"/>
      <c r="AL513" s="17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</row>
    <row r="514" ht="16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172"/>
      <c r="AA514" s="172"/>
      <c r="AB514" s="172"/>
      <c r="AC514" s="22"/>
      <c r="AD514" s="22"/>
      <c r="AE514" s="22"/>
      <c r="AF514" s="22"/>
      <c r="AG514" s="172"/>
      <c r="AH514" s="172"/>
      <c r="AI514" s="172"/>
      <c r="AJ514" s="172"/>
      <c r="AK514" s="172"/>
      <c r="AL514" s="17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</row>
    <row r="515" ht="16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172"/>
      <c r="AA515" s="172"/>
      <c r="AB515" s="172"/>
      <c r="AC515" s="22"/>
      <c r="AD515" s="22"/>
      <c r="AE515" s="22"/>
      <c r="AF515" s="22"/>
      <c r="AG515" s="172"/>
      <c r="AH515" s="172"/>
      <c r="AI515" s="172"/>
      <c r="AJ515" s="172"/>
      <c r="AK515" s="172"/>
      <c r="AL515" s="17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</row>
    <row r="516" ht="16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172"/>
      <c r="AA516" s="172"/>
      <c r="AB516" s="172"/>
      <c r="AC516" s="22"/>
      <c r="AD516" s="22"/>
      <c r="AE516" s="22"/>
      <c r="AF516" s="22"/>
      <c r="AG516" s="172"/>
      <c r="AH516" s="172"/>
      <c r="AI516" s="172"/>
      <c r="AJ516" s="172"/>
      <c r="AK516" s="172"/>
      <c r="AL516" s="17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</row>
    <row r="517" ht="16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172"/>
      <c r="AA517" s="172"/>
      <c r="AB517" s="172"/>
      <c r="AC517" s="22"/>
      <c r="AD517" s="22"/>
      <c r="AE517" s="22"/>
      <c r="AF517" s="22"/>
      <c r="AG517" s="172"/>
      <c r="AH517" s="172"/>
      <c r="AI517" s="172"/>
      <c r="AJ517" s="172"/>
      <c r="AK517" s="172"/>
      <c r="AL517" s="17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  <c r="BT517" s="22"/>
      <c r="BU517" s="22"/>
    </row>
    <row r="518" ht="16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172"/>
      <c r="AA518" s="172"/>
      <c r="AB518" s="172"/>
      <c r="AC518" s="22"/>
      <c r="AD518" s="22"/>
      <c r="AE518" s="22"/>
      <c r="AF518" s="22"/>
      <c r="AG518" s="172"/>
      <c r="AH518" s="172"/>
      <c r="AI518" s="172"/>
      <c r="AJ518" s="172"/>
      <c r="AK518" s="172"/>
      <c r="AL518" s="17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</row>
    <row r="519" ht="16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172"/>
      <c r="AA519" s="172"/>
      <c r="AB519" s="172"/>
      <c r="AC519" s="22"/>
      <c r="AD519" s="22"/>
      <c r="AE519" s="22"/>
      <c r="AF519" s="22"/>
      <c r="AG519" s="172"/>
      <c r="AH519" s="172"/>
      <c r="AI519" s="172"/>
      <c r="AJ519" s="172"/>
      <c r="AK519" s="172"/>
      <c r="AL519" s="17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  <c r="BT519" s="22"/>
      <c r="BU519" s="22"/>
    </row>
    <row r="520" ht="16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172"/>
      <c r="AA520" s="172"/>
      <c r="AB520" s="172"/>
      <c r="AC520" s="22"/>
      <c r="AD520" s="22"/>
      <c r="AE520" s="22"/>
      <c r="AF520" s="22"/>
      <c r="AG520" s="172"/>
      <c r="AH520" s="172"/>
      <c r="AI520" s="172"/>
      <c r="AJ520" s="172"/>
      <c r="AK520" s="172"/>
      <c r="AL520" s="17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</row>
    <row r="521" ht="16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172"/>
      <c r="AA521" s="172"/>
      <c r="AB521" s="172"/>
      <c r="AC521" s="22"/>
      <c r="AD521" s="22"/>
      <c r="AE521" s="22"/>
      <c r="AF521" s="22"/>
      <c r="AG521" s="172"/>
      <c r="AH521" s="172"/>
      <c r="AI521" s="172"/>
      <c r="AJ521" s="172"/>
      <c r="AK521" s="172"/>
      <c r="AL521" s="17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</row>
    <row r="522" ht="16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172"/>
      <c r="AA522" s="172"/>
      <c r="AB522" s="172"/>
      <c r="AC522" s="22"/>
      <c r="AD522" s="22"/>
      <c r="AE522" s="22"/>
      <c r="AF522" s="22"/>
      <c r="AG522" s="172"/>
      <c r="AH522" s="172"/>
      <c r="AI522" s="172"/>
      <c r="AJ522" s="172"/>
      <c r="AK522" s="172"/>
      <c r="AL522" s="17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</row>
    <row r="523" ht="16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172"/>
      <c r="AA523" s="172"/>
      <c r="AB523" s="172"/>
      <c r="AC523" s="22"/>
      <c r="AD523" s="22"/>
      <c r="AE523" s="22"/>
      <c r="AF523" s="22"/>
      <c r="AG523" s="172"/>
      <c r="AH523" s="172"/>
      <c r="AI523" s="172"/>
      <c r="AJ523" s="172"/>
      <c r="AK523" s="172"/>
      <c r="AL523" s="17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</row>
    <row r="524" ht="16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172"/>
      <c r="AA524" s="172"/>
      <c r="AB524" s="172"/>
      <c r="AC524" s="22"/>
      <c r="AD524" s="22"/>
      <c r="AE524" s="22"/>
      <c r="AF524" s="22"/>
      <c r="AG524" s="172"/>
      <c r="AH524" s="172"/>
      <c r="AI524" s="172"/>
      <c r="AJ524" s="172"/>
      <c r="AK524" s="172"/>
      <c r="AL524" s="17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  <c r="BT524" s="22"/>
      <c r="BU524" s="22"/>
    </row>
    <row r="525" ht="16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172"/>
      <c r="AA525" s="172"/>
      <c r="AB525" s="172"/>
      <c r="AC525" s="22"/>
      <c r="AD525" s="22"/>
      <c r="AE525" s="22"/>
      <c r="AF525" s="22"/>
      <c r="AG525" s="172"/>
      <c r="AH525" s="172"/>
      <c r="AI525" s="172"/>
      <c r="AJ525" s="172"/>
      <c r="AK525" s="172"/>
      <c r="AL525" s="17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  <c r="BT525" s="22"/>
      <c r="BU525" s="22"/>
    </row>
    <row r="526" ht="16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172"/>
      <c r="AA526" s="172"/>
      <c r="AB526" s="172"/>
      <c r="AC526" s="22"/>
      <c r="AD526" s="22"/>
      <c r="AE526" s="22"/>
      <c r="AF526" s="22"/>
      <c r="AG526" s="172"/>
      <c r="AH526" s="172"/>
      <c r="AI526" s="172"/>
      <c r="AJ526" s="172"/>
      <c r="AK526" s="172"/>
      <c r="AL526" s="17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</row>
    <row r="527" ht="16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172"/>
      <c r="AA527" s="172"/>
      <c r="AB527" s="172"/>
      <c r="AC527" s="22"/>
      <c r="AD527" s="22"/>
      <c r="AE527" s="22"/>
      <c r="AF527" s="22"/>
      <c r="AG527" s="172"/>
      <c r="AH527" s="172"/>
      <c r="AI527" s="172"/>
      <c r="AJ527" s="172"/>
      <c r="AK527" s="172"/>
      <c r="AL527" s="17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</row>
    <row r="528" ht="16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172"/>
      <c r="AA528" s="172"/>
      <c r="AB528" s="172"/>
      <c r="AC528" s="22"/>
      <c r="AD528" s="22"/>
      <c r="AE528" s="22"/>
      <c r="AF528" s="22"/>
      <c r="AG528" s="172"/>
      <c r="AH528" s="172"/>
      <c r="AI528" s="172"/>
      <c r="AJ528" s="172"/>
      <c r="AK528" s="172"/>
      <c r="AL528" s="17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</row>
    <row r="529" ht="16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172"/>
      <c r="AA529" s="172"/>
      <c r="AB529" s="172"/>
      <c r="AC529" s="22"/>
      <c r="AD529" s="22"/>
      <c r="AE529" s="22"/>
      <c r="AF529" s="22"/>
      <c r="AG529" s="172"/>
      <c r="AH529" s="172"/>
      <c r="AI529" s="172"/>
      <c r="AJ529" s="172"/>
      <c r="AK529" s="172"/>
      <c r="AL529" s="17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</row>
    <row r="530" ht="16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172"/>
      <c r="AA530" s="172"/>
      <c r="AB530" s="172"/>
      <c r="AC530" s="22"/>
      <c r="AD530" s="22"/>
      <c r="AE530" s="22"/>
      <c r="AF530" s="22"/>
      <c r="AG530" s="172"/>
      <c r="AH530" s="172"/>
      <c r="AI530" s="172"/>
      <c r="AJ530" s="172"/>
      <c r="AK530" s="172"/>
      <c r="AL530" s="17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</row>
    <row r="531" ht="16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172"/>
      <c r="AA531" s="172"/>
      <c r="AB531" s="172"/>
      <c r="AC531" s="22"/>
      <c r="AD531" s="22"/>
      <c r="AE531" s="22"/>
      <c r="AF531" s="22"/>
      <c r="AG531" s="172"/>
      <c r="AH531" s="172"/>
      <c r="AI531" s="172"/>
      <c r="AJ531" s="172"/>
      <c r="AK531" s="172"/>
      <c r="AL531" s="17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</row>
    <row r="532" ht="16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172"/>
      <c r="AA532" s="172"/>
      <c r="AB532" s="172"/>
      <c r="AC532" s="22"/>
      <c r="AD532" s="22"/>
      <c r="AE532" s="22"/>
      <c r="AF532" s="22"/>
      <c r="AG532" s="172"/>
      <c r="AH532" s="172"/>
      <c r="AI532" s="172"/>
      <c r="AJ532" s="172"/>
      <c r="AK532" s="172"/>
      <c r="AL532" s="17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</row>
    <row r="533" ht="16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172"/>
      <c r="AA533" s="172"/>
      <c r="AB533" s="172"/>
      <c r="AC533" s="22"/>
      <c r="AD533" s="22"/>
      <c r="AE533" s="22"/>
      <c r="AF533" s="22"/>
      <c r="AG533" s="172"/>
      <c r="AH533" s="172"/>
      <c r="AI533" s="172"/>
      <c r="AJ533" s="172"/>
      <c r="AK533" s="172"/>
      <c r="AL533" s="17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</row>
    <row r="534" ht="16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172"/>
      <c r="AA534" s="172"/>
      <c r="AB534" s="172"/>
      <c r="AC534" s="22"/>
      <c r="AD534" s="22"/>
      <c r="AE534" s="22"/>
      <c r="AF534" s="22"/>
      <c r="AG534" s="172"/>
      <c r="AH534" s="172"/>
      <c r="AI534" s="172"/>
      <c r="AJ534" s="172"/>
      <c r="AK534" s="172"/>
      <c r="AL534" s="17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</row>
    <row r="535" ht="16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172"/>
      <c r="AA535" s="172"/>
      <c r="AB535" s="172"/>
      <c r="AC535" s="22"/>
      <c r="AD535" s="22"/>
      <c r="AE535" s="22"/>
      <c r="AF535" s="22"/>
      <c r="AG535" s="172"/>
      <c r="AH535" s="172"/>
      <c r="AI535" s="172"/>
      <c r="AJ535" s="172"/>
      <c r="AK535" s="172"/>
      <c r="AL535" s="17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  <c r="BT535" s="22"/>
      <c r="BU535" s="22"/>
    </row>
    <row r="536" ht="16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172"/>
      <c r="AA536" s="172"/>
      <c r="AB536" s="172"/>
      <c r="AC536" s="22"/>
      <c r="AD536" s="22"/>
      <c r="AE536" s="22"/>
      <c r="AF536" s="22"/>
      <c r="AG536" s="172"/>
      <c r="AH536" s="172"/>
      <c r="AI536" s="172"/>
      <c r="AJ536" s="172"/>
      <c r="AK536" s="172"/>
      <c r="AL536" s="17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  <c r="BT536" s="22"/>
      <c r="BU536" s="22"/>
    </row>
    <row r="537" ht="16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172"/>
      <c r="AA537" s="172"/>
      <c r="AB537" s="172"/>
      <c r="AC537" s="22"/>
      <c r="AD537" s="22"/>
      <c r="AE537" s="22"/>
      <c r="AF537" s="22"/>
      <c r="AG537" s="172"/>
      <c r="AH537" s="172"/>
      <c r="AI537" s="172"/>
      <c r="AJ537" s="172"/>
      <c r="AK537" s="172"/>
      <c r="AL537" s="17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  <c r="BT537" s="22"/>
      <c r="BU537" s="22"/>
    </row>
    <row r="538" ht="16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172"/>
      <c r="AA538" s="172"/>
      <c r="AB538" s="172"/>
      <c r="AC538" s="22"/>
      <c r="AD538" s="22"/>
      <c r="AE538" s="22"/>
      <c r="AF538" s="22"/>
      <c r="AG538" s="172"/>
      <c r="AH538" s="172"/>
      <c r="AI538" s="172"/>
      <c r="AJ538" s="172"/>
      <c r="AK538" s="172"/>
      <c r="AL538" s="17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</row>
    <row r="539" ht="16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172"/>
      <c r="AA539" s="172"/>
      <c r="AB539" s="172"/>
      <c r="AC539" s="22"/>
      <c r="AD539" s="22"/>
      <c r="AE539" s="22"/>
      <c r="AF539" s="22"/>
      <c r="AG539" s="172"/>
      <c r="AH539" s="172"/>
      <c r="AI539" s="172"/>
      <c r="AJ539" s="172"/>
      <c r="AK539" s="172"/>
      <c r="AL539" s="17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</row>
    <row r="540" ht="16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172"/>
      <c r="AA540" s="172"/>
      <c r="AB540" s="172"/>
      <c r="AC540" s="22"/>
      <c r="AD540" s="22"/>
      <c r="AE540" s="22"/>
      <c r="AF540" s="22"/>
      <c r="AG540" s="172"/>
      <c r="AH540" s="172"/>
      <c r="AI540" s="172"/>
      <c r="AJ540" s="172"/>
      <c r="AK540" s="172"/>
      <c r="AL540" s="17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</row>
    <row r="541" ht="16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172"/>
      <c r="AA541" s="172"/>
      <c r="AB541" s="172"/>
      <c r="AC541" s="22"/>
      <c r="AD541" s="22"/>
      <c r="AE541" s="22"/>
      <c r="AF541" s="22"/>
      <c r="AG541" s="172"/>
      <c r="AH541" s="172"/>
      <c r="AI541" s="172"/>
      <c r="AJ541" s="172"/>
      <c r="AK541" s="172"/>
      <c r="AL541" s="17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</row>
    <row r="542" ht="16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172"/>
      <c r="AA542" s="172"/>
      <c r="AB542" s="172"/>
      <c r="AC542" s="22"/>
      <c r="AD542" s="22"/>
      <c r="AE542" s="22"/>
      <c r="AF542" s="22"/>
      <c r="AG542" s="172"/>
      <c r="AH542" s="172"/>
      <c r="AI542" s="172"/>
      <c r="AJ542" s="172"/>
      <c r="AK542" s="172"/>
      <c r="AL542" s="17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</row>
    <row r="543" ht="16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172"/>
      <c r="AA543" s="172"/>
      <c r="AB543" s="172"/>
      <c r="AC543" s="22"/>
      <c r="AD543" s="22"/>
      <c r="AE543" s="22"/>
      <c r="AF543" s="22"/>
      <c r="AG543" s="172"/>
      <c r="AH543" s="172"/>
      <c r="AI543" s="172"/>
      <c r="AJ543" s="172"/>
      <c r="AK543" s="172"/>
      <c r="AL543" s="17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</row>
    <row r="544" ht="16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172"/>
      <c r="AA544" s="172"/>
      <c r="AB544" s="172"/>
      <c r="AC544" s="22"/>
      <c r="AD544" s="22"/>
      <c r="AE544" s="22"/>
      <c r="AF544" s="22"/>
      <c r="AG544" s="172"/>
      <c r="AH544" s="172"/>
      <c r="AI544" s="172"/>
      <c r="AJ544" s="172"/>
      <c r="AK544" s="172"/>
      <c r="AL544" s="17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</row>
    <row r="545" ht="16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172"/>
      <c r="AA545" s="172"/>
      <c r="AB545" s="172"/>
      <c r="AC545" s="22"/>
      <c r="AD545" s="22"/>
      <c r="AE545" s="22"/>
      <c r="AF545" s="22"/>
      <c r="AG545" s="172"/>
      <c r="AH545" s="172"/>
      <c r="AI545" s="172"/>
      <c r="AJ545" s="172"/>
      <c r="AK545" s="172"/>
      <c r="AL545" s="17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</row>
    <row r="546" ht="16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172"/>
      <c r="AA546" s="172"/>
      <c r="AB546" s="172"/>
      <c r="AC546" s="22"/>
      <c r="AD546" s="22"/>
      <c r="AE546" s="22"/>
      <c r="AF546" s="22"/>
      <c r="AG546" s="172"/>
      <c r="AH546" s="172"/>
      <c r="AI546" s="172"/>
      <c r="AJ546" s="172"/>
      <c r="AK546" s="172"/>
      <c r="AL546" s="17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</row>
    <row r="547" ht="16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172"/>
      <c r="AA547" s="172"/>
      <c r="AB547" s="172"/>
      <c r="AC547" s="22"/>
      <c r="AD547" s="22"/>
      <c r="AE547" s="22"/>
      <c r="AF547" s="22"/>
      <c r="AG547" s="172"/>
      <c r="AH547" s="172"/>
      <c r="AI547" s="172"/>
      <c r="AJ547" s="172"/>
      <c r="AK547" s="172"/>
      <c r="AL547" s="17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  <c r="BT547" s="22"/>
      <c r="BU547" s="22"/>
    </row>
    <row r="548" ht="16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172"/>
      <c r="AA548" s="172"/>
      <c r="AB548" s="172"/>
      <c r="AC548" s="22"/>
      <c r="AD548" s="22"/>
      <c r="AE548" s="22"/>
      <c r="AF548" s="22"/>
      <c r="AG548" s="172"/>
      <c r="AH548" s="172"/>
      <c r="AI548" s="172"/>
      <c r="AJ548" s="172"/>
      <c r="AK548" s="172"/>
      <c r="AL548" s="17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</row>
    <row r="549" ht="16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172"/>
      <c r="AA549" s="172"/>
      <c r="AB549" s="172"/>
      <c r="AC549" s="22"/>
      <c r="AD549" s="22"/>
      <c r="AE549" s="22"/>
      <c r="AF549" s="22"/>
      <c r="AG549" s="172"/>
      <c r="AH549" s="172"/>
      <c r="AI549" s="172"/>
      <c r="AJ549" s="172"/>
      <c r="AK549" s="172"/>
      <c r="AL549" s="17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</row>
    <row r="550" ht="16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172"/>
      <c r="AA550" s="172"/>
      <c r="AB550" s="172"/>
      <c r="AC550" s="22"/>
      <c r="AD550" s="22"/>
      <c r="AE550" s="22"/>
      <c r="AF550" s="22"/>
      <c r="AG550" s="172"/>
      <c r="AH550" s="172"/>
      <c r="AI550" s="172"/>
      <c r="AJ550" s="172"/>
      <c r="AK550" s="172"/>
      <c r="AL550" s="17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</row>
    <row r="551" ht="16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172"/>
      <c r="AA551" s="172"/>
      <c r="AB551" s="172"/>
      <c r="AC551" s="22"/>
      <c r="AD551" s="22"/>
      <c r="AE551" s="22"/>
      <c r="AF551" s="22"/>
      <c r="AG551" s="172"/>
      <c r="AH551" s="172"/>
      <c r="AI551" s="172"/>
      <c r="AJ551" s="172"/>
      <c r="AK551" s="172"/>
      <c r="AL551" s="17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</row>
    <row r="552" ht="16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172"/>
      <c r="AA552" s="172"/>
      <c r="AB552" s="172"/>
      <c r="AC552" s="22"/>
      <c r="AD552" s="22"/>
      <c r="AE552" s="22"/>
      <c r="AF552" s="22"/>
      <c r="AG552" s="172"/>
      <c r="AH552" s="172"/>
      <c r="AI552" s="172"/>
      <c r="AJ552" s="172"/>
      <c r="AK552" s="172"/>
      <c r="AL552" s="17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</row>
    <row r="553" ht="16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172"/>
      <c r="AA553" s="172"/>
      <c r="AB553" s="172"/>
      <c r="AC553" s="22"/>
      <c r="AD553" s="22"/>
      <c r="AE553" s="22"/>
      <c r="AF553" s="22"/>
      <c r="AG553" s="172"/>
      <c r="AH553" s="172"/>
      <c r="AI553" s="172"/>
      <c r="AJ553" s="172"/>
      <c r="AK553" s="172"/>
      <c r="AL553" s="17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</row>
    <row r="554" ht="16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172"/>
      <c r="AA554" s="172"/>
      <c r="AB554" s="172"/>
      <c r="AC554" s="22"/>
      <c r="AD554" s="22"/>
      <c r="AE554" s="22"/>
      <c r="AF554" s="22"/>
      <c r="AG554" s="172"/>
      <c r="AH554" s="172"/>
      <c r="AI554" s="172"/>
      <c r="AJ554" s="172"/>
      <c r="AK554" s="172"/>
      <c r="AL554" s="17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</row>
    <row r="555" ht="16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172"/>
      <c r="AA555" s="172"/>
      <c r="AB555" s="172"/>
      <c r="AC555" s="22"/>
      <c r="AD555" s="22"/>
      <c r="AE555" s="22"/>
      <c r="AF555" s="22"/>
      <c r="AG555" s="172"/>
      <c r="AH555" s="172"/>
      <c r="AI555" s="172"/>
      <c r="AJ555" s="172"/>
      <c r="AK555" s="172"/>
      <c r="AL555" s="17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</row>
    <row r="556" ht="16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172"/>
      <c r="AA556" s="172"/>
      <c r="AB556" s="172"/>
      <c r="AC556" s="22"/>
      <c r="AD556" s="22"/>
      <c r="AE556" s="22"/>
      <c r="AF556" s="22"/>
      <c r="AG556" s="172"/>
      <c r="AH556" s="172"/>
      <c r="AI556" s="172"/>
      <c r="AJ556" s="172"/>
      <c r="AK556" s="172"/>
      <c r="AL556" s="17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</row>
    <row r="557" ht="16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172"/>
      <c r="AA557" s="172"/>
      <c r="AB557" s="172"/>
      <c r="AC557" s="22"/>
      <c r="AD557" s="22"/>
      <c r="AE557" s="22"/>
      <c r="AF557" s="22"/>
      <c r="AG557" s="172"/>
      <c r="AH557" s="172"/>
      <c r="AI557" s="172"/>
      <c r="AJ557" s="172"/>
      <c r="AK557" s="172"/>
      <c r="AL557" s="17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</row>
    <row r="558" ht="16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172"/>
      <c r="AA558" s="172"/>
      <c r="AB558" s="172"/>
      <c r="AC558" s="22"/>
      <c r="AD558" s="22"/>
      <c r="AE558" s="22"/>
      <c r="AF558" s="22"/>
      <c r="AG558" s="172"/>
      <c r="AH558" s="172"/>
      <c r="AI558" s="172"/>
      <c r="AJ558" s="172"/>
      <c r="AK558" s="172"/>
      <c r="AL558" s="17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</row>
    <row r="559" ht="16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172"/>
      <c r="AA559" s="172"/>
      <c r="AB559" s="172"/>
      <c r="AC559" s="22"/>
      <c r="AD559" s="22"/>
      <c r="AE559" s="22"/>
      <c r="AF559" s="22"/>
      <c r="AG559" s="172"/>
      <c r="AH559" s="172"/>
      <c r="AI559" s="172"/>
      <c r="AJ559" s="172"/>
      <c r="AK559" s="172"/>
      <c r="AL559" s="17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</row>
    <row r="560" ht="16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172"/>
      <c r="AA560" s="172"/>
      <c r="AB560" s="172"/>
      <c r="AC560" s="22"/>
      <c r="AD560" s="22"/>
      <c r="AE560" s="22"/>
      <c r="AF560" s="22"/>
      <c r="AG560" s="172"/>
      <c r="AH560" s="172"/>
      <c r="AI560" s="172"/>
      <c r="AJ560" s="172"/>
      <c r="AK560" s="172"/>
      <c r="AL560" s="17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</row>
    <row r="561" ht="16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172"/>
      <c r="AA561" s="172"/>
      <c r="AB561" s="172"/>
      <c r="AC561" s="22"/>
      <c r="AD561" s="22"/>
      <c r="AE561" s="22"/>
      <c r="AF561" s="22"/>
      <c r="AG561" s="172"/>
      <c r="AH561" s="172"/>
      <c r="AI561" s="172"/>
      <c r="AJ561" s="172"/>
      <c r="AK561" s="172"/>
      <c r="AL561" s="17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</row>
    <row r="562" ht="16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172"/>
      <c r="AA562" s="172"/>
      <c r="AB562" s="172"/>
      <c r="AC562" s="22"/>
      <c r="AD562" s="22"/>
      <c r="AE562" s="22"/>
      <c r="AF562" s="22"/>
      <c r="AG562" s="172"/>
      <c r="AH562" s="172"/>
      <c r="AI562" s="172"/>
      <c r="AJ562" s="172"/>
      <c r="AK562" s="172"/>
      <c r="AL562" s="17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22"/>
      <c r="BM562" s="22"/>
      <c r="BN562" s="22"/>
      <c r="BO562" s="22"/>
      <c r="BP562" s="22"/>
      <c r="BQ562" s="22"/>
      <c r="BR562" s="22"/>
      <c r="BS562" s="22"/>
      <c r="BT562" s="22"/>
      <c r="BU562" s="22"/>
    </row>
    <row r="563" ht="16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172"/>
      <c r="AA563" s="172"/>
      <c r="AB563" s="172"/>
      <c r="AC563" s="22"/>
      <c r="AD563" s="22"/>
      <c r="AE563" s="22"/>
      <c r="AF563" s="22"/>
      <c r="AG563" s="172"/>
      <c r="AH563" s="172"/>
      <c r="AI563" s="172"/>
      <c r="AJ563" s="172"/>
      <c r="AK563" s="172"/>
      <c r="AL563" s="17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</row>
    <row r="564" ht="16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172"/>
      <c r="AA564" s="172"/>
      <c r="AB564" s="172"/>
      <c r="AC564" s="22"/>
      <c r="AD564" s="22"/>
      <c r="AE564" s="22"/>
      <c r="AF564" s="22"/>
      <c r="AG564" s="172"/>
      <c r="AH564" s="172"/>
      <c r="AI564" s="172"/>
      <c r="AJ564" s="172"/>
      <c r="AK564" s="172"/>
      <c r="AL564" s="17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</row>
    <row r="565" ht="16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172"/>
      <c r="AA565" s="172"/>
      <c r="AB565" s="172"/>
      <c r="AC565" s="22"/>
      <c r="AD565" s="22"/>
      <c r="AE565" s="22"/>
      <c r="AF565" s="22"/>
      <c r="AG565" s="172"/>
      <c r="AH565" s="172"/>
      <c r="AI565" s="172"/>
      <c r="AJ565" s="172"/>
      <c r="AK565" s="172"/>
      <c r="AL565" s="17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  <c r="BT565" s="22"/>
      <c r="BU565" s="22"/>
    </row>
    <row r="566" ht="16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172"/>
      <c r="AA566" s="172"/>
      <c r="AB566" s="172"/>
      <c r="AC566" s="22"/>
      <c r="AD566" s="22"/>
      <c r="AE566" s="22"/>
      <c r="AF566" s="22"/>
      <c r="AG566" s="172"/>
      <c r="AH566" s="172"/>
      <c r="AI566" s="172"/>
      <c r="AJ566" s="172"/>
      <c r="AK566" s="172"/>
      <c r="AL566" s="17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</row>
    <row r="567" ht="16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172"/>
      <c r="AA567" s="172"/>
      <c r="AB567" s="172"/>
      <c r="AC567" s="22"/>
      <c r="AD567" s="22"/>
      <c r="AE567" s="22"/>
      <c r="AF567" s="22"/>
      <c r="AG567" s="172"/>
      <c r="AH567" s="172"/>
      <c r="AI567" s="172"/>
      <c r="AJ567" s="172"/>
      <c r="AK567" s="172"/>
      <c r="AL567" s="17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</row>
    <row r="568" ht="16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172"/>
      <c r="AA568" s="172"/>
      <c r="AB568" s="172"/>
      <c r="AC568" s="22"/>
      <c r="AD568" s="22"/>
      <c r="AE568" s="22"/>
      <c r="AF568" s="22"/>
      <c r="AG568" s="172"/>
      <c r="AH568" s="172"/>
      <c r="AI568" s="172"/>
      <c r="AJ568" s="172"/>
      <c r="AK568" s="172"/>
      <c r="AL568" s="17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22"/>
      <c r="BN568" s="22"/>
      <c r="BO568" s="22"/>
      <c r="BP568" s="22"/>
      <c r="BQ568" s="22"/>
      <c r="BR568" s="22"/>
      <c r="BS568" s="22"/>
      <c r="BT568" s="22"/>
      <c r="BU568" s="22"/>
    </row>
    <row r="569" ht="16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172"/>
      <c r="AA569" s="172"/>
      <c r="AB569" s="172"/>
      <c r="AC569" s="22"/>
      <c r="AD569" s="22"/>
      <c r="AE569" s="22"/>
      <c r="AF569" s="22"/>
      <c r="AG569" s="172"/>
      <c r="AH569" s="172"/>
      <c r="AI569" s="172"/>
      <c r="AJ569" s="172"/>
      <c r="AK569" s="172"/>
      <c r="AL569" s="17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  <c r="BT569" s="22"/>
      <c r="BU569" s="22"/>
    </row>
    <row r="570" ht="16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172"/>
      <c r="AA570" s="172"/>
      <c r="AB570" s="172"/>
      <c r="AC570" s="22"/>
      <c r="AD570" s="22"/>
      <c r="AE570" s="22"/>
      <c r="AF570" s="22"/>
      <c r="AG570" s="172"/>
      <c r="AH570" s="172"/>
      <c r="AI570" s="172"/>
      <c r="AJ570" s="172"/>
      <c r="AK570" s="172"/>
      <c r="AL570" s="17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  <c r="BT570" s="22"/>
      <c r="BU570" s="22"/>
    </row>
    <row r="571" ht="16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172"/>
      <c r="AA571" s="172"/>
      <c r="AB571" s="172"/>
      <c r="AC571" s="22"/>
      <c r="AD571" s="22"/>
      <c r="AE571" s="22"/>
      <c r="AF571" s="22"/>
      <c r="AG571" s="172"/>
      <c r="AH571" s="172"/>
      <c r="AI571" s="172"/>
      <c r="AJ571" s="172"/>
      <c r="AK571" s="172"/>
      <c r="AL571" s="17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22"/>
      <c r="BN571" s="22"/>
      <c r="BO571" s="22"/>
      <c r="BP571" s="22"/>
      <c r="BQ571" s="22"/>
      <c r="BR571" s="22"/>
      <c r="BS571" s="22"/>
      <c r="BT571" s="22"/>
      <c r="BU571" s="22"/>
    </row>
    <row r="572" ht="16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172"/>
      <c r="AA572" s="172"/>
      <c r="AB572" s="172"/>
      <c r="AC572" s="22"/>
      <c r="AD572" s="22"/>
      <c r="AE572" s="22"/>
      <c r="AF572" s="22"/>
      <c r="AG572" s="172"/>
      <c r="AH572" s="172"/>
      <c r="AI572" s="172"/>
      <c r="AJ572" s="172"/>
      <c r="AK572" s="172"/>
      <c r="AL572" s="17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  <c r="BT572" s="22"/>
      <c r="BU572" s="22"/>
    </row>
    <row r="573" ht="16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172"/>
      <c r="AA573" s="172"/>
      <c r="AB573" s="172"/>
      <c r="AC573" s="22"/>
      <c r="AD573" s="22"/>
      <c r="AE573" s="22"/>
      <c r="AF573" s="22"/>
      <c r="AG573" s="172"/>
      <c r="AH573" s="172"/>
      <c r="AI573" s="172"/>
      <c r="AJ573" s="172"/>
      <c r="AK573" s="172"/>
      <c r="AL573" s="17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  <c r="BT573" s="22"/>
      <c r="BU573" s="22"/>
    </row>
    <row r="574" ht="16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172"/>
      <c r="AA574" s="172"/>
      <c r="AB574" s="172"/>
      <c r="AC574" s="22"/>
      <c r="AD574" s="22"/>
      <c r="AE574" s="22"/>
      <c r="AF574" s="22"/>
      <c r="AG574" s="172"/>
      <c r="AH574" s="172"/>
      <c r="AI574" s="172"/>
      <c r="AJ574" s="172"/>
      <c r="AK574" s="172"/>
      <c r="AL574" s="17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  <c r="BT574" s="22"/>
      <c r="BU574" s="22"/>
    </row>
    <row r="575" ht="16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172"/>
      <c r="AA575" s="172"/>
      <c r="AB575" s="172"/>
      <c r="AC575" s="22"/>
      <c r="AD575" s="22"/>
      <c r="AE575" s="22"/>
      <c r="AF575" s="22"/>
      <c r="AG575" s="172"/>
      <c r="AH575" s="172"/>
      <c r="AI575" s="172"/>
      <c r="AJ575" s="172"/>
      <c r="AK575" s="172"/>
      <c r="AL575" s="17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</row>
    <row r="576" ht="16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172"/>
      <c r="AA576" s="172"/>
      <c r="AB576" s="172"/>
      <c r="AC576" s="22"/>
      <c r="AD576" s="22"/>
      <c r="AE576" s="22"/>
      <c r="AF576" s="22"/>
      <c r="AG576" s="172"/>
      <c r="AH576" s="172"/>
      <c r="AI576" s="172"/>
      <c r="AJ576" s="172"/>
      <c r="AK576" s="172"/>
      <c r="AL576" s="17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  <c r="BT576" s="22"/>
      <c r="BU576" s="22"/>
    </row>
    <row r="577" ht="16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172"/>
      <c r="AA577" s="172"/>
      <c r="AB577" s="172"/>
      <c r="AC577" s="22"/>
      <c r="AD577" s="22"/>
      <c r="AE577" s="22"/>
      <c r="AF577" s="22"/>
      <c r="AG577" s="172"/>
      <c r="AH577" s="172"/>
      <c r="AI577" s="172"/>
      <c r="AJ577" s="172"/>
      <c r="AK577" s="172"/>
      <c r="AL577" s="17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  <c r="BT577" s="22"/>
      <c r="BU577" s="22"/>
    </row>
    <row r="578" ht="16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172"/>
      <c r="AA578" s="172"/>
      <c r="AB578" s="172"/>
      <c r="AC578" s="22"/>
      <c r="AD578" s="22"/>
      <c r="AE578" s="22"/>
      <c r="AF578" s="22"/>
      <c r="AG578" s="172"/>
      <c r="AH578" s="172"/>
      <c r="AI578" s="172"/>
      <c r="AJ578" s="172"/>
      <c r="AK578" s="172"/>
      <c r="AL578" s="17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  <c r="BT578" s="22"/>
      <c r="BU578" s="22"/>
    </row>
    <row r="579" ht="16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172"/>
      <c r="AA579" s="172"/>
      <c r="AB579" s="172"/>
      <c r="AC579" s="22"/>
      <c r="AD579" s="22"/>
      <c r="AE579" s="22"/>
      <c r="AF579" s="22"/>
      <c r="AG579" s="172"/>
      <c r="AH579" s="172"/>
      <c r="AI579" s="172"/>
      <c r="AJ579" s="172"/>
      <c r="AK579" s="172"/>
      <c r="AL579" s="17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  <c r="BT579" s="22"/>
      <c r="BU579" s="22"/>
    </row>
    <row r="580" ht="16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172"/>
      <c r="AA580" s="172"/>
      <c r="AB580" s="172"/>
      <c r="AC580" s="22"/>
      <c r="AD580" s="22"/>
      <c r="AE580" s="22"/>
      <c r="AF580" s="22"/>
      <c r="AG580" s="172"/>
      <c r="AH580" s="172"/>
      <c r="AI580" s="172"/>
      <c r="AJ580" s="172"/>
      <c r="AK580" s="172"/>
      <c r="AL580" s="17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  <c r="BT580" s="22"/>
      <c r="BU580" s="22"/>
    </row>
    <row r="581" ht="16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172"/>
      <c r="AA581" s="172"/>
      <c r="AB581" s="172"/>
      <c r="AC581" s="22"/>
      <c r="AD581" s="22"/>
      <c r="AE581" s="22"/>
      <c r="AF581" s="22"/>
      <c r="AG581" s="172"/>
      <c r="AH581" s="172"/>
      <c r="AI581" s="172"/>
      <c r="AJ581" s="172"/>
      <c r="AK581" s="172"/>
      <c r="AL581" s="17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22"/>
      <c r="BN581" s="22"/>
      <c r="BO581" s="22"/>
      <c r="BP581" s="22"/>
      <c r="BQ581" s="22"/>
      <c r="BR581" s="22"/>
      <c r="BS581" s="22"/>
      <c r="BT581" s="22"/>
      <c r="BU581" s="22"/>
    </row>
    <row r="582" ht="16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172"/>
      <c r="AA582" s="172"/>
      <c r="AB582" s="172"/>
      <c r="AC582" s="22"/>
      <c r="AD582" s="22"/>
      <c r="AE582" s="22"/>
      <c r="AF582" s="22"/>
      <c r="AG582" s="172"/>
      <c r="AH582" s="172"/>
      <c r="AI582" s="172"/>
      <c r="AJ582" s="172"/>
      <c r="AK582" s="172"/>
      <c r="AL582" s="17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</row>
    <row r="583" ht="16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172"/>
      <c r="AA583" s="172"/>
      <c r="AB583" s="172"/>
      <c r="AC583" s="22"/>
      <c r="AD583" s="22"/>
      <c r="AE583" s="22"/>
      <c r="AF583" s="22"/>
      <c r="AG583" s="172"/>
      <c r="AH583" s="172"/>
      <c r="AI583" s="172"/>
      <c r="AJ583" s="172"/>
      <c r="AK583" s="172"/>
      <c r="AL583" s="17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2"/>
    </row>
    <row r="584" ht="16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172"/>
      <c r="AA584" s="172"/>
      <c r="AB584" s="172"/>
      <c r="AC584" s="22"/>
      <c r="AD584" s="22"/>
      <c r="AE584" s="22"/>
      <c r="AF584" s="22"/>
      <c r="AG584" s="172"/>
      <c r="AH584" s="172"/>
      <c r="AI584" s="172"/>
      <c r="AJ584" s="172"/>
      <c r="AK584" s="172"/>
      <c r="AL584" s="17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  <c r="BK584" s="22"/>
      <c r="BL584" s="22"/>
      <c r="BM584" s="22"/>
      <c r="BN584" s="22"/>
      <c r="BO584" s="22"/>
      <c r="BP584" s="22"/>
      <c r="BQ584" s="22"/>
      <c r="BR584" s="22"/>
      <c r="BS584" s="22"/>
      <c r="BT584" s="22"/>
      <c r="BU584" s="22"/>
    </row>
    <row r="585" ht="16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172"/>
      <c r="AA585" s="172"/>
      <c r="AB585" s="172"/>
      <c r="AC585" s="22"/>
      <c r="AD585" s="22"/>
      <c r="AE585" s="22"/>
      <c r="AF585" s="22"/>
      <c r="AG585" s="172"/>
      <c r="AH585" s="172"/>
      <c r="AI585" s="172"/>
      <c r="AJ585" s="172"/>
      <c r="AK585" s="172"/>
      <c r="AL585" s="17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  <c r="BK585" s="22"/>
      <c r="BL585" s="22"/>
      <c r="BM585" s="22"/>
      <c r="BN585" s="22"/>
      <c r="BO585" s="22"/>
      <c r="BP585" s="22"/>
      <c r="BQ585" s="22"/>
      <c r="BR585" s="22"/>
      <c r="BS585" s="22"/>
      <c r="BT585" s="22"/>
      <c r="BU585" s="22"/>
    </row>
    <row r="586" ht="16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172"/>
      <c r="AA586" s="172"/>
      <c r="AB586" s="172"/>
      <c r="AC586" s="22"/>
      <c r="AD586" s="22"/>
      <c r="AE586" s="22"/>
      <c r="AF586" s="22"/>
      <c r="AG586" s="172"/>
      <c r="AH586" s="172"/>
      <c r="AI586" s="172"/>
      <c r="AJ586" s="172"/>
      <c r="AK586" s="172"/>
      <c r="AL586" s="17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  <c r="BT586" s="22"/>
      <c r="BU586" s="22"/>
    </row>
    <row r="587" ht="16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172"/>
      <c r="AA587" s="172"/>
      <c r="AB587" s="172"/>
      <c r="AC587" s="22"/>
      <c r="AD587" s="22"/>
      <c r="AE587" s="22"/>
      <c r="AF587" s="22"/>
      <c r="AG587" s="172"/>
      <c r="AH587" s="172"/>
      <c r="AI587" s="172"/>
      <c r="AJ587" s="172"/>
      <c r="AK587" s="172"/>
      <c r="AL587" s="17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  <c r="BT587" s="22"/>
      <c r="BU587" s="22"/>
    </row>
    <row r="588" ht="16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172"/>
      <c r="AA588" s="172"/>
      <c r="AB588" s="172"/>
      <c r="AC588" s="22"/>
      <c r="AD588" s="22"/>
      <c r="AE588" s="22"/>
      <c r="AF588" s="22"/>
      <c r="AG588" s="172"/>
      <c r="AH588" s="172"/>
      <c r="AI588" s="172"/>
      <c r="AJ588" s="172"/>
      <c r="AK588" s="172"/>
      <c r="AL588" s="17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  <c r="BT588" s="22"/>
      <c r="BU588" s="22"/>
    </row>
    <row r="589" ht="16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172"/>
      <c r="AA589" s="172"/>
      <c r="AB589" s="172"/>
      <c r="AC589" s="22"/>
      <c r="AD589" s="22"/>
      <c r="AE589" s="22"/>
      <c r="AF589" s="22"/>
      <c r="AG589" s="172"/>
      <c r="AH589" s="172"/>
      <c r="AI589" s="172"/>
      <c r="AJ589" s="172"/>
      <c r="AK589" s="172"/>
      <c r="AL589" s="17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22"/>
      <c r="BN589" s="22"/>
      <c r="BO589" s="22"/>
      <c r="BP589" s="22"/>
      <c r="BQ589" s="22"/>
      <c r="BR589" s="22"/>
      <c r="BS589" s="22"/>
      <c r="BT589" s="22"/>
      <c r="BU589" s="22"/>
    </row>
    <row r="590" ht="16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172"/>
      <c r="AA590" s="172"/>
      <c r="AB590" s="172"/>
      <c r="AC590" s="22"/>
      <c r="AD590" s="22"/>
      <c r="AE590" s="22"/>
      <c r="AF590" s="22"/>
      <c r="AG590" s="172"/>
      <c r="AH590" s="172"/>
      <c r="AI590" s="172"/>
      <c r="AJ590" s="172"/>
      <c r="AK590" s="172"/>
      <c r="AL590" s="17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22"/>
      <c r="BN590" s="22"/>
      <c r="BO590" s="22"/>
      <c r="BP590" s="22"/>
      <c r="BQ590" s="22"/>
      <c r="BR590" s="22"/>
      <c r="BS590" s="22"/>
      <c r="BT590" s="22"/>
      <c r="BU590" s="22"/>
    </row>
    <row r="591" ht="16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172"/>
      <c r="AA591" s="172"/>
      <c r="AB591" s="172"/>
      <c r="AC591" s="22"/>
      <c r="AD591" s="22"/>
      <c r="AE591" s="22"/>
      <c r="AF591" s="22"/>
      <c r="AG591" s="172"/>
      <c r="AH591" s="172"/>
      <c r="AI591" s="172"/>
      <c r="AJ591" s="172"/>
      <c r="AK591" s="172"/>
      <c r="AL591" s="17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</row>
    <row r="592" ht="16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172"/>
      <c r="AA592" s="172"/>
      <c r="AB592" s="172"/>
      <c r="AC592" s="22"/>
      <c r="AD592" s="22"/>
      <c r="AE592" s="22"/>
      <c r="AF592" s="22"/>
      <c r="AG592" s="172"/>
      <c r="AH592" s="172"/>
      <c r="AI592" s="172"/>
      <c r="AJ592" s="172"/>
      <c r="AK592" s="172"/>
      <c r="AL592" s="17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  <c r="BK592" s="22"/>
      <c r="BL592" s="22"/>
      <c r="BM592" s="22"/>
      <c r="BN592" s="22"/>
      <c r="BO592" s="22"/>
      <c r="BP592" s="22"/>
      <c r="BQ592" s="22"/>
      <c r="BR592" s="22"/>
      <c r="BS592" s="22"/>
      <c r="BT592" s="22"/>
      <c r="BU592" s="22"/>
    </row>
    <row r="593" ht="16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172"/>
      <c r="AA593" s="172"/>
      <c r="AB593" s="172"/>
      <c r="AC593" s="22"/>
      <c r="AD593" s="22"/>
      <c r="AE593" s="22"/>
      <c r="AF593" s="22"/>
      <c r="AG593" s="172"/>
      <c r="AH593" s="172"/>
      <c r="AI593" s="172"/>
      <c r="AJ593" s="172"/>
      <c r="AK593" s="172"/>
      <c r="AL593" s="17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22"/>
      <c r="BN593" s="22"/>
      <c r="BO593" s="22"/>
      <c r="BP593" s="22"/>
      <c r="BQ593" s="22"/>
      <c r="BR593" s="22"/>
      <c r="BS593" s="22"/>
      <c r="BT593" s="22"/>
      <c r="BU593" s="22"/>
    </row>
    <row r="594" ht="16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172"/>
      <c r="AA594" s="172"/>
      <c r="AB594" s="172"/>
      <c r="AC594" s="22"/>
      <c r="AD594" s="22"/>
      <c r="AE594" s="22"/>
      <c r="AF594" s="22"/>
      <c r="AG594" s="172"/>
      <c r="AH594" s="172"/>
      <c r="AI594" s="172"/>
      <c r="AJ594" s="172"/>
      <c r="AK594" s="172"/>
      <c r="AL594" s="17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22"/>
      <c r="BN594" s="22"/>
      <c r="BO594" s="22"/>
      <c r="BP594" s="22"/>
      <c r="BQ594" s="22"/>
      <c r="BR594" s="22"/>
      <c r="BS594" s="22"/>
      <c r="BT594" s="22"/>
      <c r="BU594" s="22"/>
    </row>
    <row r="595" ht="16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172"/>
      <c r="AA595" s="172"/>
      <c r="AB595" s="172"/>
      <c r="AC595" s="22"/>
      <c r="AD595" s="22"/>
      <c r="AE595" s="22"/>
      <c r="AF595" s="22"/>
      <c r="AG595" s="172"/>
      <c r="AH595" s="172"/>
      <c r="AI595" s="172"/>
      <c r="AJ595" s="172"/>
      <c r="AK595" s="172"/>
      <c r="AL595" s="17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22"/>
      <c r="BN595" s="22"/>
      <c r="BO595" s="22"/>
      <c r="BP595" s="22"/>
      <c r="BQ595" s="22"/>
      <c r="BR595" s="22"/>
      <c r="BS595" s="22"/>
      <c r="BT595" s="22"/>
      <c r="BU595" s="22"/>
    </row>
    <row r="596" ht="16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172"/>
      <c r="AA596" s="172"/>
      <c r="AB596" s="172"/>
      <c r="AC596" s="22"/>
      <c r="AD596" s="22"/>
      <c r="AE596" s="22"/>
      <c r="AF596" s="22"/>
      <c r="AG596" s="172"/>
      <c r="AH596" s="172"/>
      <c r="AI596" s="172"/>
      <c r="AJ596" s="172"/>
      <c r="AK596" s="172"/>
      <c r="AL596" s="17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  <c r="BT596" s="22"/>
      <c r="BU596" s="22"/>
    </row>
    <row r="597" ht="16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172"/>
      <c r="AA597" s="172"/>
      <c r="AB597" s="172"/>
      <c r="AC597" s="22"/>
      <c r="AD597" s="22"/>
      <c r="AE597" s="22"/>
      <c r="AF597" s="22"/>
      <c r="AG597" s="172"/>
      <c r="AH597" s="172"/>
      <c r="AI597" s="172"/>
      <c r="AJ597" s="172"/>
      <c r="AK597" s="172"/>
      <c r="AL597" s="17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22"/>
      <c r="BN597" s="22"/>
      <c r="BO597" s="22"/>
      <c r="BP597" s="22"/>
      <c r="BQ597" s="22"/>
      <c r="BR597" s="22"/>
      <c r="BS597" s="22"/>
      <c r="BT597" s="22"/>
      <c r="BU597" s="22"/>
    </row>
    <row r="598" ht="16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172"/>
      <c r="AA598" s="172"/>
      <c r="AB598" s="172"/>
      <c r="AC598" s="22"/>
      <c r="AD598" s="22"/>
      <c r="AE598" s="22"/>
      <c r="AF598" s="22"/>
      <c r="AG598" s="172"/>
      <c r="AH598" s="172"/>
      <c r="AI598" s="172"/>
      <c r="AJ598" s="172"/>
      <c r="AK598" s="172"/>
      <c r="AL598" s="17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22"/>
      <c r="BN598" s="22"/>
      <c r="BO598" s="22"/>
      <c r="BP598" s="22"/>
      <c r="BQ598" s="22"/>
      <c r="BR598" s="22"/>
      <c r="BS598" s="22"/>
      <c r="BT598" s="22"/>
      <c r="BU598" s="22"/>
    </row>
    <row r="599" ht="16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172"/>
      <c r="AA599" s="172"/>
      <c r="AB599" s="172"/>
      <c r="AC599" s="22"/>
      <c r="AD599" s="22"/>
      <c r="AE599" s="22"/>
      <c r="AF599" s="22"/>
      <c r="AG599" s="172"/>
      <c r="AH599" s="172"/>
      <c r="AI599" s="172"/>
      <c r="AJ599" s="172"/>
      <c r="AK599" s="172"/>
      <c r="AL599" s="17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22"/>
      <c r="BN599" s="22"/>
      <c r="BO599" s="22"/>
      <c r="BP599" s="22"/>
      <c r="BQ599" s="22"/>
      <c r="BR599" s="22"/>
      <c r="BS599" s="22"/>
      <c r="BT599" s="22"/>
      <c r="BU599" s="22"/>
    </row>
    <row r="600" ht="16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172"/>
      <c r="AA600" s="172"/>
      <c r="AB600" s="172"/>
      <c r="AC600" s="22"/>
      <c r="AD600" s="22"/>
      <c r="AE600" s="22"/>
      <c r="AF600" s="22"/>
      <c r="AG600" s="172"/>
      <c r="AH600" s="172"/>
      <c r="AI600" s="172"/>
      <c r="AJ600" s="172"/>
      <c r="AK600" s="172"/>
      <c r="AL600" s="17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  <c r="BT600" s="22"/>
      <c r="BU600" s="22"/>
    </row>
    <row r="601" ht="16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172"/>
      <c r="AA601" s="172"/>
      <c r="AB601" s="172"/>
      <c r="AC601" s="22"/>
      <c r="AD601" s="22"/>
      <c r="AE601" s="22"/>
      <c r="AF601" s="22"/>
      <c r="AG601" s="172"/>
      <c r="AH601" s="172"/>
      <c r="AI601" s="172"/>
      <c r="AJ601" s="172"/>
      <c r="AK601" s="172"/>
      <c r="AL601" s="17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22"/>
      <c r="BM601" s="22"/>
      <c r="BN601" s="22"/>
      <c r="BO601" s="22"/>
      <c r="BP601" s="22"/>
      <c r="BQ601" s="22"/>
      <c r="BR601" s="22"/>
      <c r="BS601" s="22"/>
      <c r="BT601" s="22"/>
      <c r="BU601" s="22"/>
    </row>
    <row r="602" ht="16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172"/>
      <c r="AA602" s="172"/>
      <c r="AB602" s="172"/>
      <c r="AC602" s="22"/>
      <c r="AD602" s="22"/>
      <c r="AE602" s="22"/>
      <c r="AF602" s="22"/>
      <c r="AG602" s="172"/>
      <c r="AH602" s="172"/>
      <c r="AI602" s="172"/>
      <c r="AJ602" s="172"/>
      <c r="AK602" s="172"/>
      <c r="AL602" s="17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22"/>
      <c r="BN602" s="22"/>
      <c r="BO602" s="22"/>
      <c r="BP602" s="22"/>
      <c r="BQ602" s="22"/>
      <c r="BR602" s="22"/>
      <c r="BS602" s="22"/>
      <c r="BT602" s="22"/>
      <c r="BU602" s="22"/>
    </row>
    <row r="603" ht="16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172"/>
      <c r="AA603" s="172"/>
      <c r="AB603" s="172"/>
      <c r="AC603" s="22"/>
      <c r="AD603" s="22"/>
      <c r="AE603" s="22"/>
      <c r="AF603" s="22"/>
      <c r="AG603" s="172"/>
      <c r="AH603" s="172"/>
      <c r="AI603" s="172"/>
      <c r="AJ603" s="172"/>
      <c r="AK603" s="172"/>
      <c r="AL603" s="17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  <c r="BT603" s="22"/>
      <c r="BU603" s="22"/>
    </row>
    <row r="604" ht="16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172"/>
      <c r="AA604" s="172"/>
      <c r="AB604" s="172"/>
      <c r="AC604" s="22"/>
      <c r="AD604" s="22"/>
      <c r="AE604" s="22"/>
      <c r="AF604" s="22"/>
      <c r="AG604" s="172"/>
      <c r="AH604" s="172"/>
      <c r="AI604" s="172"/>
      <c r="AJ604" s="172"/>
      <c r="AK604" s="172"/>
      <c r="AL604" s="17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22"/>
      <c r="BN604" s="22"/>
      <c r="BO604" s="22"/>
      <c r="BP604" s="22"/>
      <c r="BQ604" s="22"/>
      <c r="BR604" s="22"/>
      <c r="BS604" s="22"/>
      <c r="BT604" s="22"/>
      <c r="BU604" s="22"/>
    </row>
    <row r="605" ht="16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172"/>
      <c r="AA605" s="172"/>
      <c r="AB605" s="172"/>
      <c r="AC605" s="22"/>
      <c r="AD605" s="22"/>
      <c r="AE605" s="22"/>
      <c r="AF605" s="22"/>
      <c r="AG605" s="172"/>
      <c r="AH605" s="172"/>
      <c r="AI605" s="172"/>
      <c r="AJ605" s="172"/>
      <c r="AK605" s="172"/>
      <c r="AL605" s="17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22"/>
      <c r="BN605" s="22"/>
      <c r="BO605" s="22"/>
      <c r="BP605" s="22"/>
      <c r="BQ605" s="22"/>
      <c r="BR605" s="22"/>
      <c r="BS605" s="22"/>
      <c r="BT605" s="22"/>
      <c r="BU605" s="22"/>
    </row>
    <row r="606" ht="16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172"/>
      <c r="AA606" s="172"/>
      <c r="AB606" s="172"/>
      <c r="AC606" s="22"/>
      <c r="AD606" s="22"/>
      <c r="AE606" s="22"/>
      <c r="AF606" s="22"/>
      <c r="AG606" s="172"/>
      <c r="AH606" s="172"/>
      <c r="AI606" s="172"/>
      <c r="AJ606" s="172"/>
      <c r="AK606" s="172"/>
      <c r="AL606" s="17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  <c r="BT606" s="22"/>
      <c r="BU606" s="22"/>
    </row>
    <row r="607" ht="16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172"/>
      <c r="AA607" s="172"/>
      <c r="AB607" s="172"/>
      <c r="AC607" s="22"/>
      <c r="AD607" s="22"/>
      <c r="AE607" s="22"/>
      <c r="AF607" s="22"/>
      <c r="AG607" s="172"/>
      <c r="AH607" s="172"/>
      <c r="AI607" s="172"/>
      <c r="AJ607" s="172"/>
      <c r="AK607" s="172"/>
      <c r="AL607" s="17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22"/>
      <c r="BN607" s="22"/>
      <c r="BO607" s="22"/>
      <c r="BP607" s="22"/>
      <c r="BQ607" s="22"/>
      <c r="BR607" s="22"/>
      <c r="BS607" s="22"/>
      <c r="BT607" s="22"/>
      <c r="BU607" s="22"/>
    </row>
    <row r="608" ht="16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172"/>
      <c r="AA608" s="172"/>
      <c r="AB608" s="172"/>
      <c r="AC608" s="22"/>
      <c r="AD608" s="22"/>
      <c r="AE608" s="22"/>
      <c r="AF608" s="22"/>
      <c r="AG608" s="172"/>
      <c r="AH608" s="172"/>
      <c r="AI608" s="172"/>
      <c r="AJ608" s="172"/>
      <c r="AK608" s="172"/>
      <c r="AL608" s="17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22"/>
      <c r="BN608" s="22"/>
      <c r="BO608" s="22"/>
      <c r="BP608" s="22"/>
      <c r="BQ608" s="22"/>
      <c r="BR608" s="22"/>
      <c r="BS608" s="22"/>
      <c r="BT608" s="22"/>
      <c r="BU608" s="22"/>
    </row>
    <row r="609" ht="16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172"/>
      <c r="AA609" s="172"/>
      <c r="AB609" s="172"/>
      <c r="AC609" s="22"/>
      <c r="AD609" s="22"/>
      <c r="AE609" s="22"/>
      <c r="AF609" s="22"/>
      <c r="AG609" s="172"/>
      <c r="AH609" s="172"/>
      <c r="AI609" s="172"/>
      <c r="AJ609" s="172"/>
      <c r="AK609" s="172"/>
      <c r="AL609" s="17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22"/>
      <c r="BN609" s="22"/>
      <c r="BO609" s="22"/>
      <c r="BP609" s="22"/>
      <c r="BQ609" s="22"/>
      <c r="BR609" s="22"/>
      <c r="BS609" s="22"/>
      <c r="BT609" s="22"/>
      <c r="BU609" s="22"/>
    </row>
    <row r="610" ht="16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172"/>
      <c r="AA610" s="172"/>
      <c r="AB610" s="172"/>
      <c r="AC610" s="22"/>
      <c r="AD610" s="22"/>
      <c r="AE610" s="22"/>
      <c r="AF610" s="22"/>
      <c r="AG610" s="172"/>
      <c r="AH610" s="172"/>
      <c r="AI610" s="172"/>
      <c r="AJ610" s="172"/>
      <c r="AK610" s="172"/>
      <c r="AL610" s="17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  <c r="BL610" s="22"/>
      <c r="BM610" s="22"/>
      <c r="BN610" s="22"/>
      <c r="BO610" s="22"/>
      <c r="BP610" s="22"/>
      <c r="BQ610" s="22"/>
      <c r="BR610" s="22"/>
      <c r="BS610" s="22"/>
      <c r="BT610" s="22"/>
      <c r="BU610" s="22"/>
    </row>
    <row r="611" ht="16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172"/>
      <c r="AA611" s="172"/>
      <c r="AB611" s="172"/>
      <c r="AC611" s="22"/>
      <c r="AD611" s="22"/>
      <c r="AE611" s="22"/>
      <c r="AF611" s="22"/>
      <c r="AG611" s="172"/>
      <c r="AH611" s="172"/>
      <c r="AI611" s="172"/>
      <c r="AJ611" s="172"/>
      <c r="AK611" s="172"/>
      <c r="AL611" s="17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22"/>
      <c r="BM611" s="22"/>
      <c r="BN611" s="22"/>
      <c r="BO611" s="22"/>
      <c r="BP611" s="22"/>
      <c r="BQ611" s="22"/>
      <c r="BR611" s="22"/>
      <c r="BS611" s="22"/>
      <c r="BT611" s="22"/>
      <c r="BU611" s="22"/>
    </row>
    <row r="612" ht="16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172"/>
      <c r="AA612" s="172"/>
      <c r="AB612" s="172"/>
      <c r="AC612" s="22"/>
      <c r="AD612" s="22"/>
      <c r="AE612" s="22"/>
      <c r="AF612" s="22"/>
      <c r="AG612" s="172"/>
      <c r="AH612" s="172"/>
      <c r="AI612" s="172"/>
      <c r="AJ612" s="172"/>
      <c r="AK612" s="172"/>
      <c r="AL612" s="17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  <c r="BK612" s="22"/>
      <c r="BL612" s="22"/>
      <c r="BM612" s="22"/>
      <c r="BN612" s="22"/>
      <c r="BO612" s="22"/>
      <c r="BP612" s="22"/>
      <c r="BQ612" s="22"/>
      <c r="BR612" s="22"/>
      <c r="BS612" s="22"/>
      <c r="BT612" s="22"/>
      <c r="BU612" s="22"/>
    </row>
    <row r="613" ht="16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172"/>
      <c r="AA613" s="172"/>
      <c r="AB613" s="172"/>
      <c r="AC613" s="22"/>
      <c r="AD613" s="22"/>
      <c r="AE613" s="22"/>
      <c r="AF613" s="22"/>
      <c r="AG613" s="172"/>
      <c r="AH613" s="172"/>
      <c r="AI613" s="172"/>
      <c r="AJ613" s="172"/>
      <c r="AK613" s="172"/>
      <c r="AL613" s="17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  <c r="BK613" s="22"/>
      <c r="BL613" s="22"/>
      <c r="BM613" s="22"/>
      <c r="BN613" s="22"/>
      <c r="BO613" s="22"/>
      <c r="BP613" s="22"/>
      <c r="BQ613" s="22"/>
      <c r="BR613" s="22"/>
      <c r="BS613" s="22"/>
      <c r="BT613" s="22"/>
      <c r="BU613" s="22"/>
    </row>
    <row r="614" ht="16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172"/>
      <c r="AA614" s="172"/>
      <c r="AB614" s="172"/>
      <c r="AC614" s="22"/>
      <c r="AD614" s="22"/>
      <c r="AE614" s="22"/>
      <c r="AF614" s="22"/>
      <c r="AG614" s="172"/>
      <c r="AH614" s="172"/>
      <c r="AI614" s="172"/>
      <c r="AJ614" s="172"/>
      <c r="AK614" s="172"/>
      <c r="AL614" s="17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  <c r="BK614" s="22"/>
      <c r="BL614" s="22"/>
      <c r="BM614" s="22"/>
      <c r="BN614" s="22"/>
      <c r="BO614" s="22"/>
      <c r="BP614" s="22"/>
      <c r="BQ614" s="22"/>
      <c r="BR614" s="22"/>
      <c r="BS614" s="22"/>
      <c r="BT614" s="22"/>
      <c r="BU614" s="22"/>
    </row>
    <row r="615" ht="16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172"/>
      <c r="AA615" s="172"/>
      <c r="AB615" s="172"/>
      <c r="AC615" s="22"/>
      <c r="AD615" s="22"/>
      <c r="AE615" s="22"/>
      <c r="AF615" s="22"/>
      <c r="AG615" s="172"/>
      <c r="AH615" s="172"/>
      <c r="AI615" s="172"/>
      <c r="AJ615" s="172"/>
      <c r="AK615" s="172"/>
      <c r="AL615" s="17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  <c r="BK615" s="22"/>
      <c r="BL615" s="22"/>
      <c r="BM615" s="22"/>
      <c r="BN615" s="22"/>
      <c r="BO615" s="22"/>
      <c r="BP615" s="22"/>
      <c r="BQ615" s="22"/>
      <c r="BR615" s="22"/>
      <c r="BS615" s="22"/>
      <c r="BT615" s="22"/>
      <c r="BU615" s="22"/>
    </row>
    <row r="616" ht="16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172"/>
      <c r="AA616" s="172"/>
      <c r="AB616" s="172"/>
      <c r="AC616" s="22"/>
      <c r="AD616" s="22"/>
      <c r="AE616" s="22"/>
      <c r="AF616" s="22"/>
      <c r="AG616" s="172"/>
      <c r="AH616" s="172"/>
      <c r="AI616" s="172"/>
      <c r="AJ616" s="172"/>
      <c r="AK616" s="172"/>
      <c r="AL616" s="17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  <c r="BK616" s="22"/>
      <c r="BL616" s="22"/>
      <c r="BM616" s="22"/>
      <c r="BN616" s="22"/>
      <c r="BO616" s="22"/>
      <c r="BP616" s="22"/>
      <c r="BQ616" s="22"/>
      <c r="BR616" s="22"/>
      <c r="BS616" s="22"/>
      <c r="BT616" s="22"/>
      <c r="BU616" s="22"/>
    </row>
    <row r="617" ht="16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172"/>
      <c r="AA617" s="172"/>
      <c r="AB617" s="172"/>
      <c r="AC617" s="22"/>
      <c r="AD617" s="22"/>
      <c r="AE617" s="22"/>
      <c r="AF617" s="22"/>
      <c r="AG617" s="172"/>
      <c r="AH617" s="172"/>
      <c r="AI617" s="172"/>
      <c r="AJ617" s="172"/>
      <c r="AK617" s="172"/>
      <c r="AL617" s="17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22"/>
      <c r="BN617" s="22"/>
      <c r="BO617" s="22"/>
      <c r="BP617" s="22"/>
      <c r="BQ617" s="22"/>
      <c r="BR617" s="22"/>
      <c r="BS617" s="22"/>
      <c r="BT617" s="22"/>
      <c r="BU617" s="22"/>
    </row>
    <row r="618" ht="16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172"/>
      <c r="AA618" s="172"/>
      <c r="AB618" s="172"/>
      <c r="AC618" s="22"/>
      <c r="AD618" s="22"/>
      <c r="AE618" s="22"/>
      <c r="AF618" s="22"/>
      <c r="AG618" s="172"/>
      <c r="AH618" s="172"/>
      <c r="AI618" s="172"/>
      <c r="AJ618" s="172"/>
      <c r="AK618" s="172"/>
      <c r="AL618" s="17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  <c r="BK618" s="22"/>
      <c r="BL618" s="22"/>
      <c r="BM618" s="22"/>
      <c r="BN618" s="22"/>
      <c r="BO618" s="22"/>
      <c r="BP618" s="22"/>
      <c r="BQ618" s="22"/>
      <c r="BR618" s="22"/>
      <c r="BS618" s="22"/>
      <c r="BT618" s="22"/>
      <c r="BU618" s="22"/>
    </row>
    <row r="619" ht="16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172"/>
      <c r="AA619" s="172"/>
      <c r="AB619" s="172"/>
      <c r="AC619" s="22"/>
      <c r="AD619" s="22"/>
      <c r="AE619" s="22"/>
      <c r="AF619" s="22"/>
      <c r="AG619" s="172"/>
      <c r="AH619" s="172"/>
      <c r="AI619" s="172"/>
      <c r="AJ619" s="172"/>
      <c r="AK619" s="172"/>
      <c r="AL619" s="17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22"/>
      <c r="BL619" s="22"/>
      <c r="BM619" s="22"/>
      <c r="BN619" s="22"/>
      <c r="BO619" s="22"/>
      <c r="BP619" s="22"/>
      <c r="BQ619" s="22"/>
      <c r="BR619" s="22"/>
      <c r="BS619" s="22"/>
      <c r="BT619" s="22"/>
      <c r="BU619" s="22"/>
    </row>
    <row r="620" ht="16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172"/>
      <c r="AA620" s="172"/>
      <c r="AB620" s="172"/>
      <c r="AC620" s="22"/>
      <c r="AD620" s="22"/>
      <c r="AE620" s="22"/>
      <c r="AF620" s="22"/>
      <c r="AG620" s="172"/>
      <c r="AH620" s="172"/>
      <c r="AI620" s="172"/>
      <c r="AJ620" s="172"/>
      <c r="AK620" s="172"/>
      <c r="AL620" s="17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22"/>
      <c r="BM620" s="22"/>
      <c r="BN620" s="22"/>
      <c r="BO620" s="22"/>
      <c r="BP620" s="22"/>
      <c r="BQ620" s="22"/>
      <c r="BR620" s="22"/>
      <c r="BS620" s="22"/>
      <c r="BT620" s="22"/>
      <c r="BU620" s="22"/>
    </row>
    <row r="621" ht="16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172"/>
      <c r="AA621" s="172"/>
      <c r="AB621" s="172"/>
      <c r="AC621" s="22"/>
      <c r="AD621" s="22"/>
      <c r="AE621" s="22"/>
      <c r="AF621" s="22"/>
      <c r="AG621" s="172"/>
      <c r="AH621" s="172"/>
      <c r="AI621" s="172"/>
      <c r="AJ621" s="172"/>
      <c r="AK621" s="172"/>
      <c r="AL621" s="17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22"/>
      <c r="BL621" s="22"/>
      <c r="BM621" s="22"/>
      <c r="BN621" s="22"/>
      <c r="BO621" s="22"/>
      <c r="BP621" s="22"/>
      <c r="BQ621" s="22"/>
      <c r="BR621" s="22"/>
      <c r="BS621" s="22"/>
      <c r="BT621" s="22"/>
      <c r="BU621" s="22"/>
    </row>
    <row r="622" ht="16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172"/>
      <c r="AA622" s="172"/>
      <c r="AB622" s="172"/>
      <c r="AC622" s="22"/>
      <c r="AD622" s="22"/>
      <c r="AE622" s="22"/>
      <c r="AF622" s="22"/>
      <c r="AG622" s="172"/>
      <c r="AH622" s="172"/>
      <c r="AI622" s="172"/>
      <c r="AJ622" s="172"/>
      <c r="AK622" s="172"/>
      <c r="AL622" s="17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22"/>
      <c r="BL622" s="22"/>
      <c r="BM622" s="22"/>
      <c r="BN622" s="22"/>
      <c r="BO622" s="22"/>
      <c r="BP622" s="22"/>
      <c r="BQ622" s="22"/>
      <c r="BR622" s="22"/>
      <c r="BS622" s="22"/>
      <c r="BT622" s="22"/>
      <c r="BU622" s="22"/>
    </row>
    <row r="623" ht="16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172"/>
      <c r="AA623" s="172"/>
      <c r="AB623" s="172"/>
      <c r="AC623" s="22"/>
      <c r="AD623" s="22"/>
      <c r="AE623" s="22"/>
      <c r="AF623" s="22"/>
      <c r="AG623" s="172"/>
      <c r="AH623" s="172"/>
      <c r="AI623" s="172"/>
      <c r="AJ623" s="172"/>
      <c r="AK623" s="172"/>
      <c r="AL623" s="17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22"/>
      <c r="BL623" s="22"/>
      <c r="BM623" s="22"/>
      <c r="BN623" s="22"/>
      <c r="BO623" s="22"/>
      <c r="BP623" s="22"/>
      <c r="BQ623" s="22"/>
      <c r="BR623" s="22"/>
      <c r="BS623" s="22"/>
      <c r="BT623" s="22"/>
      <c r="BU623" s="22"/>
    </row>
    <row r="624" ht="16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172"/>
      <c r="AA624" s="172"/>
      <c r="AB624" s="172"/>
      <c r="AC624" s="22"/>
      <c r="AD624" s="22"/>
      <c r="AE624" s="22"/>
      <c r="AF624" s="22"/>
      <c r="AG624" s="172"/>
      <c r="AH624" s="172"/>
      <c r="AI624" s="172"/>
      <c r="AJ624" s="172"/>
      <c r="AK624" s="172"/>
      <c r="AL624" s="17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  <c r="BK624" s="22"/>
      <c r="BL624" s="22"/>
      <c r="BM624" s="22"/>
      <c r="BN624" s="22"/>
      <c r="BO624" s="22"/>
      <c r="BP624" s="22"/>
      <c r="BQ624" s="22"/>
      <c r="BR624" s="22"/>
      <c r="BS624" s="22"/>
      <c r="BT624" s="22"/>
      <c r="BU624" s="22"/>
    </row>
    <row r="625" ht="16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172"/>
      <c r="AA625" s="172"/>
      <c r="AB625" s="172"/>
      <c r="AC625" s="22"/>
      <c r="AD625" s="22"/>
      <c r="AE625" s="22"/>
      <c r="AF625" s="22"/>
      <c r="AG625" s="172"/>
      <c r="AH625" s="172"/>
      <c r="AI625" s="172"/>
      <c r="AJ625" s="172"/>
      <c r="AK625" s="172"/>
      <c r="AL625" s="17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22"/>
      <c r="BL625" s="22"/>
      <c r="BM625" s="22"/>
      <c r="BN625" s="22"/>
      <c r="BO625" s="22"/>
      <c r="BP625" s="22"/>
      <c r="BQ625" s="22"/>
      <c r="BR625" s="22"/>
      <c r="BS625" s="22"/>
      <c r="BT625" s="22"/>
      <c r="BU625" s="22"/>
    </row>
    <row r="626" ht="16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172"/>
      <c r="AA626" s="172"/>
      <c r="AB626" s="172"/>
      <c r="AC626" s="22"/>
      <c r="AD626" s="22"/>
      <c r="AE626" s="22"/>
      <c r="AF626" s="22"/>
      <c r="AG626" s="172"/>
      <c r="AH626" s="172"/>
      <c r="AI626" s="172"/>
      <c r="AJ626" s="172"/>
      <c r="AK626" s="172"/>
      <c r="AL626" s="17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22"/>
      <c r="BM626" s="22"/>
      <c r="BN626" s="22"/>
      <c r="BO626" s="22"/>
      <c r="BP626" s="22"/>
      <c r="BQ626" s="22"/>
      <c r="BR626" s="22"/>
      <c r="BS626" s="22"/>
      <c r="BT626" s="22"/>
      <c r="BU626" s="22"/>
    </row>
    <row r="627" ht="16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172"/>
      <c r="AA627" s="172"/>
      <c r="AB627" s="172"/>
      <c r="AC627" s="22"/>
      <c r="AD627" s="22"/>
      <c r="AE627" s="22"/>
      <c r="AF627" s="22"/>
      <c r="AG627" s="172"/>
      <c r="AH627" s="172"/>
      <c r="AI627" s="172"/>
      <c r="AJ627" s="172"/>
      <c r="AK627" s="172"/>
      <c r="AL627" s="17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22"/>
      <c r="BM627" s="22"/>
      <c r="BN627" s="22"/>
      <c r="BO627" s="22"/>
      <c r="BP627" s="22"/>
      <c r="BQ627" s="22"/>
      <c r="BR627" s="22"/>
      <c r="BS627" s="22"/>
      <c r="BT627" s="22"/>
      <c r="BU627" s="22"/>
    </row>
    <row r="628" ht="16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172"/>
      <c r="AA628" s="172"/>
      <c r="AB628" s="172"/>
      <c r="AC628" s="22"/>
      <c r="AD628" s="22"/>
      <c r="AE628" s="22"/>
      <c r="AF628" s="22"/>
      <c r="AG628" s="172"/>
      <c r="AH628" s="172"/>
      <c r="AI628" s="172"/>
      <c r="AJ628" s="172"/>
      <c r="AK628" s="172"/>
      <c r="AL628" s="17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22"/>
      <c r="BM628" s="22"/>
      <c r="BN628" s="22"/>
      <c r="BO628" s="22"/>
      <c r="BP628" s="22"/>
      <c r="BQ628" s="22"/>
      <c r="BR628" s="22"/>
      <c r="BS628" s="22"/>
      <c r="BT628" s="22"/>
      <c r="BU628" s="22"/>
    </row>
    <row r="629" ht="16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172"/>
      <c r="AA629" s="172"/>
      <c r="AB629" s="172"/>
      <c r="AC629" s="22"/>
      <c r="AD629" s="22"/>
      <c r="AE629" s="22"/>
      <c r="AF629" s="22"/>
      <c r="AG629" s="172"/>
      <c r="AH629" s="172"/>
      <c r="AI629" s="172"/>
      <c r="AJ629" s="172"/>
      <c r="AK629" s="172"/>
      <c r="AL629" s="17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  <c r="BL629" s="22"/>
      <c r="BM629" s="22"/>
      <c r="BN629" s="22"/>
      <c r="BO629" s="22"/>
      <c r="BP629" s="22"/>
      <c r="BQ629" s="22"/>
      <c r="BR629" s="22"/>
      <c r="BS629" s="22"/>
      <c r="BT629" s="22"/>
      <c r="BU629" s="22"/>
    </row>
    <row r="630" ht="16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172"/>
      <c r="AA630" s="172"/>
      <c r="AB630" s="172"/>
      <c r="AC630" s="22"/>
      <c r="AD630" s="22"/>
      <c r="AE630" s="22"/>
      <c r="AF630" s="22"/>
      <c r="AG630" s="172"/>
      <c r="AH630" s="172"/>
      <c r="AI630" s="172"/>
      <c r="AJ630" s="172"/>
      <c r="AK630" s="172"/>
      <c r="AL630" s="17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  <c r="BL630" s="22"/>
      <c r="BM630" s="22"/>
      <c r="BN630" s="22"/>
      <c r="BO630" s="22"/>
      <c r="BP630" s="22"/>
      <c r="BQ630" s="22"/>
      <c r="BR630" s="22"/>
      <c r="BS630" s="22"/>
      <c r="BT630" s="22"/>
      <c r="BU630" s="22"/>
    </row>
    <row r="631" ht="16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172"/>
      <c r="AA631" s="172"/>
      <c r="AB631" s="172"/>
      <c r="AC631" s="22"/>
      <c r="AD631" s="22"/>
      <c r="AE631" s="22"/>
      <c r="AF631" s="22"/>
      <c r="AG631" s="172"/>
      <c r="AH631" s="172"/>
      <c r="AI631" s="172"/>
      <c r="AJ631" s="172"/>
      <c r="AK631" s="172"/>
      <c r="AL631" s="17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  <c r="BL631" s="22"/>
      <c r="BM631" s="22"/>
      <c r="BN631" s="22"/>
      <c r="BO631" s="22"/>
      <c r="BP631" s="22"/>
      <c r="BQ631" s="22"/>
      <c r="BR631" s="22"/>
      <c r="BS631" s="22"/>
      <c r="BT631" s="22"/>
      <c r="BU631" s="22"/>
    </row>
    <row r="632" ht="16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172"/>
      <c r="AA632" s="172"/>
      <c r="AB632" s="172"/>
      <c r="AC632" s="22"/>
      <c r="AD632" s="22"/>
      <c r="AE632" s="22"/>
      <c r="AF632" s="22"/>
      <c r="AG632" s="172"/>
      <c r="AH632" s="172"/>
      <c r="AI632" s="172"/>
      <c r="AJ632" s="172"/>
      <c r="AK632" s="172"/>
      <c r="AL632" s="17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  <c r="BK632" s="22"/>
      <c r="BL632" s="22"/>
      <c r="BM632" s="22"/>
      <c r="BN632" s="22"/>
      <c r="BO632" s="22"/>
      <c r="BP632" s="22"/>
      <c r="BQ632" s="22"/>
      <c r="BR632" s="22"/>
      <c r="BS632" s="22"/>
      <c r="BT632" s="22"/>
      <c r="BU632" s="22"/>
    </row>
    <row r="633" ht="16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172"/>
      <c r="AA633" s="172"/>
      <c r="AB633" s="172"/>
      <c r="AC633" s="22"/>
      <c r="AD633" s="22"/>
      <c r="AE633" s="22"/>
      <c r="AF633" s="22"/>
      <c r="AG633" s="172"/>
      <c r="AH633" s="172"/>
      <c r="AI633" s="172"/>
      <c r="AJ633" s="172"/>
      <c r="AK633" s="172"/>
      <c r="AL633" s="17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  <c r="BK633" s="22"/>
      <c r="BL633" s="22"/>
      <c r="BM633" s="22"/>
      <c r="BN633" s="22"/>
      <c r="BO633" s="22"/>
      <c r="BP633" s="22"/>
      <c r="BQ633" s="22"/>
      <c r="BR633" s="22"/>
      <c r="BS633" s="22"/>
      <c r="BT633" s="22"/>
      <c r="BU633" s="22"/>
    </row>
    <row r="634" ht="16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172"/>
      <c r="AA634" s="172"/>
      <c r="AB634" s="172"/>
      <c r="AC634" s="22"/>
      <c r="AD634" s="22"/>
      <c r="AE634" s="22"/>
      <c r="AF634" s="22"/>
      <c r="AG634" s="172"/>
      <c r="AH634" s="172"/>
      <c r="AI634" s="172"/>
      <c r="AJ634" s="172"/>
      <c r="AK634" s="172"/>
      <c r="AL634" s="17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22"/>
      <c r="BL634" s="22"/>
      <c r="BM634" s="22"/>
      <c r="BN634" s="22"/>
      <c r="BO634" s="22"/>
      <c r="BP634" s="22"/>
      <c r="BQ634" s="22"/>
      <c r="BR634" s="22"/>
      <c r="BS634" s="22"/>
      <c r="BT634" s="22"/>
      <c r="BU634" s="22"/>
    </row>
    <row r="635" ht="16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172"/>
      <c r="AA635" s="172"/>
      <c r="AB635" s="172"/>
      <c r="AC635" s="22"/>
      <c r="AD635" s="22"/>
      <c r="AE635" s="22"/>
      <c r="AF635" s="22"/>
      <c r="AG635" s="172"/>
      <c r="AH635" s="172"/>
      <c r="AI635" s="172"/>
      <c r="AJ635" s="172"/>
      <c r="AK635" s="172"/>
      <c r="AL635" s="17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  <c r="BO635" s="22"/>
      <c r="BP635" s="22"/>
      <c r="BQ635" s="22"/>
      <c r="BR635" s="22"/>
      <c r="BS635" s="22"/>
      <c r="BT635" s="22"/>
      <c r="BU635" s="22"/>
    </row>
    <row r="636" ht="16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172"/>
      <c r="AA636" s="172"/>
      <c r="AB636" s="172"/>
      <c r="AC636" s="22"/>
      <c r="AD636" s="22"/>
      <c r="AE636" s="22"/>
      <c r="AF636" s="22"/>
      <c r="AG636" s="172"/>
      <c r="AH636" s="172"/>
      <c r="AI636" s="172"/>
      <c r="AJ636" s="172"/>
      <c r="AK636" s="172"/>
      <c r="AL636" s="17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  <c r="BK636" s="22"/>
      <c r="BL636" s="22"/>
      <c r="BM636" s="22"/>
      <c r="BN636" s="22"/>
      <c r="BO636" s="22"/>
      <c r="BP636" s="22"/>
      <c r="BQ636" s="22"/>
      <c r="BR636" s="22"/>
      <c r="BS636" s="22"/>
      <c r="BT636" s="22"/>
      <c r="BU636" s="22"/>
    </row>
    <row r="637" ht="16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172"/>
      <c r="AA637" s="172"/>
      <c r="AB637" s="172"/>
      <c r="AC637" s="22"/>
      <c r="AD637" s="22"/>
      <c r="AE637" s="22"/>
      <c r="AF637" s="22"/>
      <c r="AG637" s="172"/>
      <c r="AH637" s="172"/>
      <c r="AI637" s="172"/>
      <c r="AJ637" s="172"/>
      <c r="AK637" s="172"/>
      <c r="AL637" s="17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22"/>
      <c r="BL637" s="22"/>
      <c r="BM637" s="22"/>
      <c r="BN637" s="22"/>
      <c r="BO637" s="22"/>
      <c r="BP637" s="22"/>
      <c r="BQ637" s="22"/>
      <c r="BR637" s="22"/>
      <c r="BS637" s="22"/>
      <c r="BT637" s="22"/>
      <c r="BU637" s="22"/>
    </row>
    <row r="638" ht="16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172"/>
      <c r="AA638" s="172"/>
      <c r="AB638" s="172"/>
      <c r="AC638" s="22"/>
      <c r="AD638" s="22"/>
      <c r="AE638" s="22"/>
      <c r="AF638" s="22"/>
      <c r="AG638" s="172"/>
      <c r="AH638" s="172"/>
      <c r="AI638" s="172"/>
      <c r="AJ638" s="172"/>
      <c r="AK638" s="172"/>
      <c r="AL638" s="17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  <c r="BO638" s="22"/>
      <c r="BP638" s="22"/>
      <c r="BQ638" s="22"/>
      <c r="BR638" s="22"/>
      <c r="BS638" s="22"/>
      <c r="BT638" s="22"/>
      <c r="BU638" s="22"/>
    </row>
    <row r="639" ht="16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172"/>
      <c r="AA639" s="172"/>
      <c r="AB639" s="172"/>
      <c r="AC639" s="22"/>
      <c r="AD639" s="22"/>
      <c r="AE639" s="22"/>
      <c r="AF639" s="22"/>
      <c r="AG639" s="172"/>
      <c r="AH639" s="172"/>
      <c r="AI639" s="172"/>
      <c r="AJ639" s="172"/>
      <c r="AK639" s="172"/>
      <c r="AL639" s="17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  <c r="BL639" s="22"/>
      <c r="BM639" s="22"/>
      <c r="BN639" s="22"/>
      <c r="BO639" s="22"/>
      <c r="BP639" s="22"/>
      <c r="BQ639" s="22"/>
      <c r="BR639" s="22"/>
      <c r="BS639" s="22"/>
      <c r="BT639" s="22"/>
      <c r="BU639" s="22"/>
    </row>
    <row r="640" ht="16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172"/>
      <c r="AA640" s="172"/>
      <c r="AB640" s="172"/>
      <c r="AC640" s="22"/>
      <c r="AD640" s="22"/>
      <c r="AE640" s="22"/>
      <c r="AF640" s="22"/>
      <c r="AG640" s="172"/>
      <c r="AH640" s="172"/>
      <c r="AI640" s="172"/>
      <c r="AJ640" s="172"/>
      <c r="AK640" s="172"/>
      <c r="AL640" s="17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  <c r="BK640" s="22"/>
      <c r="BL640" s="22"/>
      <c r="BM640" s="22"/>
      <c r="BN640" s="22"/>
      <c r="BO640" s="22"/>
      <c r="BP640" s="22"/>
      <c r="BQ640" s="22"/>
      <c r="BR640" s="22"/>
      <c r="BS640" s="22"/>
      <c r="BT640" s="22"/>
      <c r="BU640" s="22"/>
    </row>
    <row r="641" ht="16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172"/>
      <c r="AA641" s="172"/>
      <c r="AB641" s="172"/>
      <c r="AC641" s="22"/>
      <c r="AD641" s="22"/>
      <c r="AE641" s="22"/>
      <c r="AF641" s="22"/>
      <c r="AG641" s="172"/>
      <c r="AH641" s="172"/>
      <c r="AI641" s="172"/>
      <c r="AJ641" s="172"/>
      <c r="AK641" s="172"/>
      <c r="AL641" s="17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  <c r="BK641" s="22"/>
      <c r="BL641" s="22"/>
      <c r="BM641" s="22"/>
      <c r="BN641" s="22"/>
      <c r="BO641" s="22"/>
      <c r="BP641" s="22"/>
      <c r="BQ641" s="22"/>
      <c r="BR641" s="22"/>
      <c r="BS641" s="22"/>
      <c r="BT641" s="22"/>
      <c r="BU641" s="22"/>
    </row>
    <row r="642" ht="16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172"/>
      <c r="AA642" s="172"/>
      <c r="AB642" s="172"/>
      <c r="AC642" s="22"/>
      <c r="AD642" s="22"/>
      <c r="AE642" s="22"/>
      <c r="AF642" s="22"/>
      <c r="AG642" s="172"/>
      <c r="AH642" s="172"/>
      <c r="AI642" s="172"/>
      <c r="AJ642" s="172"/>
      <c r="AK642" s="172"/>
      <c r="AL642" s="17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  <c r="BK642" s="22"/>
      <c r="BL642" s="22"/>
      <c r="BM642" s="22"/>
      <c r="BN642" s="22"/>
      <c r="BO642" s="22"/>
      <c r="BP642" s="22"/>
      <c r="BQ642" s="22"/>
      <c r="BR642" s="22"/>
      <c r="BS642" s="22"/>
      <c r="BT642" s="22"/>
      <c r="BU642" s="22"/>
    </row>
    <row r="643" ht="16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172"/>
      <c r="AA643" s="172"/>
      <c r="AB643" s="172"/>
      <c r="AC643" s="22"/>
      <c r="AD643" s="22"/>
      <c r="AE643" s="22"/>
      <c r="AF643" s="22"/>
      <c r="AG643" s="172"/>
      <c r="AH643" s="172"/>
      <c r="AI643" s="172"/>
      <c r="AJ643" s="172"/>
      <c r="AK643" s="172"/>
      <c r="AL643" s="17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22"/>
      <c r="BL643" s="22"/>
      <c r="BM643" s="22"/>
      <c r="BN643" s="22"/>
      <c r="BO643" s="22"/>
      <c r="BP643" s="22"/>
      <c r="BQ643" s="22"/>
      <c r="BR643" s="22"/>
      <c r="BS643" s="22"/>
      <c r="BT643" s="22"/>
      <c r="BU643" s="22"/>
    </row>
    <row r="644" ht="16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172"/>
      <c r="AA644" s="172"/>
      <c r="AB644" s="172"/>
      <c r="AC644" s="22"/>
      <c r="AD644" s="22"/>
      <c r="AE644" s="22"/>
      <c r="AF644" s="22"/>
      <c r="AG644" s="172"/>
      <c r="AH644" s="172"/>
      <c r="AI644" s="172"/>
      <c r="AJ644" s="172"/>
      <c r="AK644" s="172"/>
      <c r="AL644" s="17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  <c r="BL644" s="22"/>
      <c r="BM644" s="22"/>
      <c r="BN644" s="22"/>
      <c r="BO644" s="22"/>
      <c r="BP644" s="22"/>
      <c r="BQ644" s="22"/>
      <c r="BR644" s="22"/>
      <c r="BS644" s="22"/>
      <c r="BT644" s="22"/>
      <c r="BU644" s="22"/>
    </row>
    <row r="645" ht="16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172"/>
      <c r="AA645" s="172"/>
      <c r="AB645" s="172"/>
      <c r="AC645" s="22"/>
      <c r="AD645" s="22"/>
      <c r="AE645" s="22"/>
      <c r="AF645" s="22"/>
      <c r="AG645" s="172"/>
      <c r="AH645" s="172"/>
      <c r="AI645" s="172"/>
      <c r="AJ645" s="172"/>
      <c r="AK645" s="172"/>
      <c r="AL645" s="17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  <c r="BK645" s="22"/>
      <c r="BL645" s="22"/>
      <c r="BM645" s="22"/>
      <c r="BN645" s="22"/>
      <c r="BO645" s="22"/>
      <c r="BP645" s="22"/>
      <c r="BQ645" s="22"/>
      <c r="BR645" s="22"/>
      <c r="BS645" s="22"/>
      <c r="BT645" s="22"/>
      <c r="BU645" s="22"/>
    </row>
    <row r="646" ht="16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172"/>
      <c r="AA646" s="172"/>
      <c r="AB646" s="172"/>
      <c r="AC646" s="22"/>
      <c r="AD646" s="22"/>
      <c r="AE646" s="22"/>
      <c r="AF646" s="22"/>
      <c r="AG646" s="172"/>
      <c r="AH646" s="172"/>
      <c r="AI646" s="172"/>
      <c r="AJ646" s="172"/>
      <c r="AK646" s="172"/>
      <c r="AL646" s="17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  <c r="BK646" s="22"/>
      <c r="BL646" s="22"/>
      <c r="BM646" s="22"/>
      <c r="BN646" s="22"/>
      <c r="BO646" s="22"/>
      <c r="BP646" s="22"/>
      <c r="BQ646" s="22"/>
      <c r="BR646" s="22"/>
      <c r="BS646" s="22"/>
      <c r="BT646" s="22"/>
      <c r="BU646" s="22"/>
    </row>
    <row r="647" ht="16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172"/>
      <c r="AA647" s="172"/>
      <c r="AB647" s="172"/>
      <c r="AC647" s="22"/>
      <c r="AD647" s="22"/>
      <c r="AE647" s="22"/>
      <c r="AF647" s="22"/>
      <c r="AG647" s="172"/>
      <c r="AH647" s="172"/>
      <c r="AI647" s="172"/>
      <c r="AJ647" s="172"/>
      <c r="AK647" s="172"/>
      <c r="AL647" s="17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22"/>
      <c r="BL647" s="22"/>
      <c r="BM647" s="22"/>
      <c r="BN647" s="22"/>
      <c r="BO647" s="22"/>
      <c r="BP647" s="22"/>
      <c r="BQ647" s="22"/>
      <c r="BR647" s="22"/>
      <c r="BS647" s="22"/>
      <c r="BT647" s="22"/>
      <c r="BU647" s="22"/>
    </row>
    <row r="648" ht="16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172"/>
      <c r="AA648" s="172"/>
      <c r="AB648" s="172"/>
      <c r="AC648" s="22"/>
      <c r="AD648" s="22"/>
      <c r="AE648" s="22"/>
      <c r="AF648" s="22"/>
      <c r="AG648" s="172"/>
      <c r="AH648" s="172"/>
      <c r="AI648" s="172"/>
      <c r="AJ648" s="172"/>
      <c r="AK648" s="172"/>
      <c r="AL648" s="17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  <c r="BL648" s="22"/>
      <c r="BM648" s="22"/>
      <c r="BN648" s="22"/>
      <c r="BO648" s="22"/>
      <c r="BP648" s="22"/>
      <c r="BQ648" s="22"/>
      <c r="BR648" s="22"/>
      <c r="BS648" s="22"/>
      <c r="BT648" s="22"/>
      <c r="BU648" s="22"/>
    </row>
    <row r="649" ht="16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172"/>
      <c r="AA649" s="172"/>
      <c r="AB649" s="172"/>
      <c r="AC649" s="22"/>
      <c r="AD649" s="22"/>
      <c r="AE649" s="22"/>
      <c r="AF649" s="22"/>
      <c r="AG649" s="172"/>
      <c r="AH649" s="172"/>
      <c r="AI649" s="172"/>
      <c r="AJ649" s="172"/>
      <c r="AK649" s="172"/>
      <c r="AL649" s="17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</row>
    <row r="650" ht="16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172"/>
      <c r="AA650" s="172"/>
      <c r="AB650" s="172"/>
      <c r="AC650" s="22"/>
      <c r="AD650" s="22"/>
      <c r="AE650" s="22"/>
      <c r="AF650" s="22"/>
      <c r="AG650" s="172"/>
      <c r="AH650" s="172"/>
      <c r="AI650" s="172"/>
      <c r="AJ650" s="172"/>
      <c r="AK650" s="172"/>
      <c r="AL650" s="17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  <c r="BL650" s="22"/>
      <c r="BM650" s="22"/>
      <c r="BN650" s="22"/>
      <c r="BO650" s="22"/>
      <c r="BP650" s="22"/>
      <c r="BQ650" s="22"/>
      <c r="BR650" s="22"/>
      <c r="BS650" s="22"/>
      <c r="BT650" s="22"/>
      <c r="BU650" s="22"/>
    </row>
    <row r="651" ht="16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172"/>
      <c r="AA651" s="172"/>
      <c r="AB651" s="172"/>
      <c r="AC651" s="22"/>
      <c r="AD651" s="22"/>
      <c r="AE651" s="22"/>
      <c r="AF651" s="22"/>
      <c r="AG651" s="172"/>
      <c r="AH651" s="172"/>
      <c r="AI651" s="172"/>
      <c r="AJ651" s="172"/>
      <c r="AK651" s="172"/>
      <c r="AL651" s="17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22"/>
      <c r="BL651" s="22"/>
      <c r="BM651" s="22"/>
      <c r="BN651" s="22"/>
      <c r="BO651" s="22"/>
      <c r="BP651" s="22"/>
      <c r="BQ651" s="22"/>
      <c r="BR651" s="22"/>
      <c r="BS651" s="22"/>
      <c r="BT651" s="22"/>
      <c r="BU651" s="22"/>
    </row>
    <row r="652" ht="16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172"/>
      <c r="AA652" s="172"/>
      <c r="AB652" s="172"/>
      <c r="AC652" s="22"/>
      <c r="AD652" s="22"/>
      <c r="AE652" s="22"/>
      <c r="AF652" s="22"/>
      <c r="AG652" s="172"/>
      <c r="AH652" s="172"/>
      <c r="AI652" s="172"/>
      <c r="AJ652" s="172"/>
      <c r="AK652" s="172"/>
      <c r="AL652" s="17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  <c r="BK652" s="22"/>
      <c r="BL652" s="22"/>
      <c r="BM652" s="22"/>
      <c r="BN652" s="22"/>
      <c r="BO652" s="22"/>
      <c r="BP652" s="22"/>
      <c r="BQ652" s="22"/>
      <c r="BR652" s="22"/>
      <c r="BS652" s="22"/>
      <c r="BT652" s="22"/>
      <c r="BU652" s="22"/>
    </row>
    <row r="653" ht="16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172"/>
      <c r="AA653" s="172"/>
      <c r="AB653" s="172"/>
      <c r="AC653" s="22"/>
      <c r="AD653" s="22"/>
      <c r="AE653" s="22"/>
      <c r="AF653" s="22"/>
      <c r="AG653" s="172"/>
      <c r="AH653" s="172"/>
      <c r="AI653" s="172"/>
      <c r="AJ653" s="172"/>
      <c r="AK653" s="172"/>
      <c r="AL653" s="17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  <c r="BK653" s="22"/>
      <c r="BL653" s="22"/>
      <c r="BM653" s="22"/>
      <c r="BN653" s="22"/>
      <c r="BO653" s="22"/>
      <c r="BP653" s="22"/>
      <c r="BQ653" s="22"/>
      <c r="BR653" s="22"/>
      <c r="BS653" s="22"/>
      <c r="BT653" s="22"/>
      <c r="BU653" s="22"/>
    </row>
    <row r="654" ht="16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172"/>
      <c r="AA654" s="172"/>
      <c r="AB654" s="172"/>
      <c r="AC654" s="22"/>
      <c r="AD654" s="22"/>
      <c r="AE654" s="22"/>
      <c r="AF654" s="22"/>
      <c r="AG654" s="172"/>
      <c r="AH654" s="172"/>
      <c r="AI654" s="172"/>
      <c r="AJ654" s="172"/>
      <c r="AK654" s="172"/>
      <c r="AL654" s="17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22"/>
      <c r="BO654" s="22"/>
      <c r="BP654" s="22"/>
      <c r="BQ654" s="22"/>
      <c r="BR654" s="22"/>
      <c r="BS654" s="22"/>
      <c r="BT654" s="22"/>
      <c r="BU654" s="22"/>
    </row>
    <row r="655" ht="16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172"/>
      <c r="AA655" s="172"/>
      <c r="AB655" s="172"/>
      <c r="AC655" s="22"/>
      <c r="AD655" s="22"/>
      <c r="AE655" s="22"/>
      <c r="AF655" s="22"/>
      <c r="AG655" s="172"/>
      <c r="AH655" s="172"/>
      <c r="AI655" s="172"/>
      <c r="AJ655" s="172"/>
      <c r="AK655" s="172"/>
      <c r="AL655" s="17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22"/>
      <c r="BL655" s="22"/>
      <c r="BM655" s="22"/>
      <c r="BN655" s="22"/>
      <c r="BO655" s="22"/>
      <c r="BP655" s="22"/>
      <c r="BQ655" s="22"/>
      <c r="BR655" s="22"/>
      <c r="BS655" s="22"/>
      <c r="BT655" s="22"/>
      <c r="BU655" s="22"/>
    </row>
    <row r="656" ht="16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172"/>
      <c r="AA656" s="172"/>
      <c r="AB656" s="172"/>
      <c r="AC656" s="22"/>
      <c r="AD656" s="22"/>
      <c r="AE656" s="22"/>
      <c r="AF656" s="22"/>
      <c r="AG656" s="172"/>
      <c r="AH656" s="172"/>
      <c r="AI656" s="172"/>
      <c r="AJ656" s="172"/>
      <c r="AK656" s="172"/>
      <c r="AL656" s="17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  <c r="BK656" s="22"/>
      <c r="BL656" s="22"/>
      <c r="BM656" s="22"/>
      <c r="BN656" s="22"/>
      <c r="BO656" s="22"/>
      <c r="BP656" s="22"/>
      <c r="BQ656" s="22"/>
      <c r="BR656" s="22"/>
      <c r="BS656" s="22"/>
      <c r="BT656" s="22"/>
      <c r="BU656" s="22"/>
    </row>
    <row r="657" ht="16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172"/>
      <c r="AA657" s="172"/>
      <c r="AB657" s="172"/>
      <c r="AC657" s="22"/>
      <c r="AD657" s="22"/>
      <c r="AE657" s="22"/>
      <c r="AF657" s="22"/>
      <c r="AG657" s="172"/>
      <c r="AH657" s="172"/>
      <c r="AI657" s="172"/>
      <c r="AJ657" s="172"/>
      <c r="AK657" s="172"/>
      <c r="AL657" s="17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  <c r="BK657" s="22"/>
      <c r="BL657" s="22"/>
      <c r="BM657" s="22"/>
      <c r="BN657" s="22"/>
      <c r="BO657" s="22"/>
      <c r="BP657" s="22"/>
      <c r="BQ657" s="22"/>
      <c r="BR657" s="22"/>
      <c r="BS657" s="22"/>
      <c r="BT657" s="22"/>
      <c r="BU657" s="22"/>
    </row>
    <row r="658" ht="16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172"/>
      <c r="AA658" s="172"/>
      <c r="AB658" s="172"/>
      <c r="AC658" s="22"/>
      <c r="AD658" s="22"/>
      <c r="AE658" s="22"/>
      <c r="AF658" s="22"/>
      <c r="AG658" s="172"/>
      <c r="AH658" s="172"/>
      <c r="AI658" s="172"/>
      <c r="AJ658" s="172"/>
      <c r="AK658" s="172"/>
      <c r="AL658" s="17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22"/>
      <c r="BL658" s="22"/>
      <c r="BM658" s="22"/>
      <c r="BN658" s="22"/>
      <c r="BO658" s="22"/>
      <c r="BP658" s="22"/>
      <c r="BQ658" s="22"/>
      <c r="BR658" s="22"/>
      <c r="BS658" s="22"/>
      <c r="BT658" s="22"/>
      <c r="BU658" s="22"/>
    </row>
    <row r="659" ht="16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172"/>
      <c r="AA659" s="172"/>
      <c r="AB659" s="172"/>
      <c r="AC659" s="22"/>
      <c r="AD659" s="22"/>
      <c r="AE659" s="22"/>
      <c r="AF659" s="22"/>
      <c r="AG659" s="172"/>
      <c r="AH659" s="172"/>
      <c r="AI659" s="172"/>
      <c r="AJ659" s="172"/>
      <c r="AK659" s="172"/>
      <c r="AL659" s="17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  <c r="BK659" s="22"/>
      <c r="BL659" s="22"/>
      <c r="BM659" s="22"/>
      <c r="BN659" s="22"/>
      <c r="BO659" s="22"/>
      <c r="BP659" s="22"/>
      <c r="BQ659" s="22"/>
      <c r="BR659" s="22"/>
      <c r="BS659" s="22"/>
      <c r="BT659" s="22"/>
      <c r="BU659" s="22"/>
    </row>
    <row r="660" ht="16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172"/>
      <c r="AA660" s="172"/>
      <c r="AB660" s="172"/>
      <c r="AC660" s="22"/>
      <c r="AD660" s="22"/>
      <c r="AE660" s="22"/>
      <c r="AF660" s="22"/>
      <c r="AG660" s="172"/>
      <c r="AH660" s="172"/>
      <c r="AI660" s="172"/>
      <c r="AJ660" s="172"/>
      <c r="AK660" s="172"/>
      <c r="AL660" s="17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  <c r="BL660" s="22"/>
      <c r="BM660" s="22"/>
      <c r="BN660" s="22"/>
      <c r="BO660" s="22"/>
      <c r="BP660" s="22"/>
      <c r="BQ660" s="22"/>
      <c r="BR660" s="22"/>
      <c r="BS660" s="22"/>
      <c r="BT660" s="22"/>
      <c r="BU660" s="22"/>
    </row>
    <row r="661" ht="16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172"/>
      <c r="AA661" s="172"/>
      <c r="AB661" s="172"/>
      <c r="AC661" s="22"/>
      <c r="AD661" s="22"/>
      <c r="AE661" s="22"/>
      <c r="AF661" s="22"/>
      <c r="AG661" s="172"/>
      <c r="AH661" s="172"/>
      <c r="AI661" s="172"/>
      <c r="AJ661" s="172"/>
      <c r="AK661" s="172"/>
      <c r="AL661" s="17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22"/>
      <c r="BL661" s="22"/>
      <c r="BM661" s="22"/>
      <c r="BN661" s="22"/>
      <c r="BO661" s="22"/>
      <c r="BP661" s="22"/>
      <c r="BQ661" s="22"/>
      <c r="BR661" s="22"/>
      <c r="BS661" s="22"/>
      <c r="BT661" s="22"/>
      <c r="BU661" s="22"/>
    </row>
    <row r="662" ht="16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172"/>
      <c r="AA662" s="172"/>
      <c r="AB662" s="172"/>
      <c r="AC662" s="22"/>
      <c r="AD662" s="22"/>
      <c r="AE662" s="22"/>
      <c r="AF662" s="22"/>
      <c r="AG662" s="172"/>
      <c r="AH662" s="172"/>
      <c r="AI662" s="172"/>
      <c r="AJ662" s="172"/>
      <c r="AK662" s="172"/>
      <c r="AL662" s="17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22"/>
      <c r="BL662" s="22"/>
      <c r="BM662" s="22"/>
      <c r="BN662" s="22"/>
      <c r="BO662" s="22"/>
      <c r="BP662" s="22"/>
      <c r="BQ662" s="22"/>
      <c r="BR662" s="22"/>
      <c r="BS662" s="22"/>
      <c r="BT662" s="22"/>
      <c r="BU662" s="22"/>
    </row>
    <row r="663" ht="16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172"/>
      <c r="AA663" s="172"/>
      <c r="AB663" s="172"/>
      <c r="AC663" s="22"/>
      <c r="AD663" s="22"/>
      <c r="AE663" s="22"/>
      <c r="AF663" s="22"/>
      <c r="AG663" s="172"/>
      <c r="AH663" s="172"/>
      <c r="AI663" s="172"/>
      <c r="AJ663" s="172"/>
      <c r="AK663" s="172"/>
      <c r="AL663" s="17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22"/>
      <c r="BL663" s="22"/>
      <c r="BM663" s="22"/>
      <c r="BN663" s="22"/>
      <c r="BO663" s="22"/>
      <c r="BP663" s="22"/>
      <c r="BQ663" s="22"/>
      <c r="BR663" s="22"/>
      <c r="BS663" s="22"/>
      <c r="BT663" s="22"/>
      <c r="BU663" s="22"/>
    </row>
    <row r="664" ht="16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172"/>
      <c r="AA664" s="172"/>
      <c r="AB664" s="172"/>
      <c r="AC664" s="22"/>
      <c r="AD664" s="22"/>
      <c r="AE664" s="22"/>
      <c r="AF664" s="22"/>
      <c r="AG664" s="172"/>
      <c r="AH664" s="172"/>
      <c r="AI664" s="172"/>
      <c r="AJ664" s="172"/>
      <c r="AK664" s="172"/>
      <c r="AL664" s="17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  <c r="BK664" s="22"/>
      <c r="BL664" s="22"/>
      <c r="BM664" s="22"/>
      <c r="BN664" s="22"/>
      <c r="BO664" s="22"/>
      <c r="BP664" s="22"/>
      <c r="BQ664" s="22"/>
      <c r="BR664" s="22"/>
      <c r="BS664" s="22"/>
      <c r="BT664" s="22"/>
      <c r="BU664" s="22"/>
    </row>
    <row r="665" ht="16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172"/>
      <c r="AA665" s="172"/>
      <c r="AB665" s="172"/>
      <c r="AC665" s="22"/>
      <c r="AD665" s="22"/>
      <c r="AE665" s="22"/>
      <c r="AF665" s="22"/>
      <c r="AG665" s="172"/>
      <c r="AH665" s="172"/>
      <c r="AI665" s="172"/>
      <c r="AJ665" s="172"/>
      <c r="AK665" s="172"/>
      <c r="AL665" s="17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  <c r="BK665" s="22"/>
      <c r="BL665" s="22"/>
      <c r="BM665" s="22"/>
      <c r="BN665" s="22"/>
      <c r="BO665" s="22"/>
      <c r="BP665" s="22"/>
      <c r="BQ665" s="22"/>
      <c r="BR665" s="22"/>
      <c r="BS665" s="22"/>
      <c r="BT665" s="22"/>
      <c r="BU665" s="22"/>
    </row>
    <row r="666" ht="16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172"/>
      <c r="AA666" s="172"/>
      <c r="AB666" s="172"/>
      <c r="AC666" s="22"/>
      <c r="AD666" s="22"/>
      <c r="AE666" s="22"/>
      <c r="AF666" s="22"/>
      <c r="AG666" s="172"/>
      <c r="AH666" s="172"/>
      <c r="AI666" s="172"/>
      <c r="AJ666" s="172"/>
      <c r="AK666" s="172"/>
      <c r="AL666" s="17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  <c r="BO666" s="22"/>
      <c r="BP666" s="22"/>
      <c r="BQ666" s="22"/>
      <c r="BR666" s="22"/>
      <c r="BS666" s="22"/>
      <c r="BT666" s="22"/>
      <c r="BU666" s="22"/>
    </row>
    <row r="667" ht="16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172"/>
      <c r="AA667" s="172"/>
      <c r="AB667" s="172"/>
      <c r="AC667" s="22"/>
      <c r="AD667" s="22"/>
      <c r="AE667" s="22"/>
      <c r="AF667" s="22"/>
      <c r="AG667" s="172"/>
      <c r="AH667" s="172"/>
      <c r="AI667" s="172"/>
      <c r="AJ667" s="172"/>
      <c r="AK667" s="172"/>
      <c r="AL667" s="17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  <c r="BO667" s="22"/>
      <c r="BP667" s="22"/>
      <c r="BQ667" s="22"/>
      <c r="BR667" s="22"/>
      <c r="BS667" s="22"/>
      <c r="BT667" s="22"/>
      <c r="BU667" s="22"/>
    </row>
    <row r="668" ht="16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172"/>
      <c r="AA668" s="172"/>
      <c r="AB668" s="172"/>
      <c r="AC668" s="22"/>
      <c r="AD668" s="22"/>
      <c r="AE668" s="22"/>
      <c r="AF668" s="22"/>
      <c r="AG668" s="172"/>
      <c r="AH668" s="172"/>
      <c r="AI668" s="172"/>
      <c r="AJ668" s="172"/>
      <c r="AK668" s="172"/>
      <c r="AL668" s="17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  <c r="BL668" s="22"/>
      <c r="BM668" s="22"/>
      <c r="BN668" s="22"/>
      <c r="BO668" s="22"/>
      <c r="BP668" s="22"/>
      <c r="BQ668" s="22"/>
      <c r="BR668" s="22"/>
      <c r="BS668" s="22"/>
      <c r="BT668" s="22"/>
      <c r="BU668" s="22"/>
    </row>
    <row r="669" ht="16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172"/>
      <c r="AA669" s="172"/>
      <c r="AB669" s="172"/>
      <c r="AC669" s="22"/>
      <c r="AD669" s="22"/>
      <c r="AE669" s="22"/>
      <c r="AF669" s="22"/>
      <c r="AG669" s="172"/>
      <c r="AH669" s="172"/>
      <c r="AI669" s="172"/>
      <c r="AJ669" s="172"/>
      <c r="AK669" s="172"/>
      <c r="AL669" s="17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  <c r="BK669" s="22"/>
      <c r="BL669" s="22"/>
      <c r="BM669" s="22"/>
      <c r="BN669" s="22"/>
      <c r="BO669" s="22"/>
      <c r="BP669" s="22"/>
      <c r="BQ669" s="22"/>
      <c r="BR669" s="22"/>
      <c r="BS669" s="22"/>
      <c r="BT669" s="22"/>
      <c r="BU669" s="22"/>
    </row>
    <row r="670" ht="16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172"/>
      <c r="AA670" s="172"/>
      <c r="AB670" s="172"/>
      <c r="AC670" s="22"/>
      <c r="AD670" s="22"/>
      <c r="AE670" s="22"/>
      <c r="AF670" s="22"/>
      <c r="AG670" s="172"/>
      <c r="AH670" s="172"/>
      <c r="AI670" s="172"/>
      <c r="AJ670" s="172"/>
      <c r="AK670" s="172"/>
      <c r="AL670" s="17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22"/>
      <c r="BL670" s="22"/>
      <c r="BM670" s="22"/>
      <c r="BN670" s="22"/>
      <c r="BO670" s="22"/>
      <c r="BP670" s="22"/>
      <c r="BQ670" s="22"/>
      <c r="BR670" s="22"/>
      <c r="BS670" s="22"/>
      <c r="BT670" s="22"/>
      <c r="BU670" s="22"/>
    </row>
    <row r="671" ht="16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172"/>
      <c r="AA671" s="172"/>
      <c r="AB671" s="172"/>
      <c r="AC671" s="22"/>
      <c r="AD671" s="22"/>
      <c r="AE671" s="22"/>
      <c r="AF671" s="22"/>
      <c r="AG671" s="172"/>
      <c r="AH671" s="172"/>
      <c r="AI671" s="172"/>
      <c r="AJ671" s="172"/>
      <c r="AK671" s="172"/>
      <c r="AL671" s="17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  <c r="BO671" s="22"/>
      <c r="BP671" s="22"/>
      <c r="BQ671" s="22"/>
      <c r="BR671" s="22"/>
      <c r="BS671" s="22"/>
      <c r="BT671" s="22"/>
      <c r="BU671" s="22"/>
    </row>
    <row r="672" ht="16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172"/>
      <c r="AA672" s="172"/>
      <c r="AB672" s="172"/>
      <c r="AC672" s="22"/>
      <c r="AD672" s="22"/>
      <c r="AE672" s="22"/>
      <c r="AF672" s="22"/>
      <c r="AG672" s="172"/>
      <c r="AH672" s="172"/>
      <c r="AI672" s="172"/>
      <c r="AJ672" s="172"/>
      <c r="AK672" s="172"/>
      <c r="AL672" s="17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  <c r="BO672" s="22"/>
      <c r="BP672" s="22"/>
      <c r="BQ672" s="22"/>
      <c r="BR672" s="22"/>
      <c r="BS672" s="22"/>
      <c r="BT672" s="22"/>
      <c r="BU672" s="22"/>
    </row>
    <row r="673" ht="16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172"/>
      <c r="AA673" s="172"/>
      <c r="AB673" s="172"/>
      <c r="AC673" s="22"/>
      <c r="AD673" s="22"/>
      <c r="AE673" s="22"/>
      <c r="AF673" s="22"/>
      <c r="AG673" s="172"/>
      <c r="AH673" s="172"/>
      <c r="AI673" s="172"/>
      <c r="AJ673" s="172"/>
      <c r="AK673" s="172"/>
      <c r="AL673" s="17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  <c r="BO673" s="22"/>
      <c r="BP673" s="22"/>
      <c r="BQ673" s="22"/>
      <c r="BR673" s="22"/>
      <c r="BS673" s="22"/>
      <c r="BT673" s="22"/>
      <c r="BU673" s="22"/>
    </row>
    <row r="674" ht="16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172"/>
      <c r="AA674" s="172"/>
      <c r="AB674" s="172"/>
      <c r="AC674" s="22"/>
      <c r="AD674" s="22"/>
      <c r="AE674" s="22"/>
      <c r="AF674" s="22"/>
      <c r="AG674" s="172"/>
      <c r="AH674" s="172"/>
      <c r="AI674" s="172"/>
      <c r="AJ674" s="172"/>
      <c r="AK674" s="172"/>
      <c r="AL674" s="17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22"/>
      <c r="BL674" s="22"/>
      <c r="BM674" s="22"/>
      <c r="BN674" s="22"/>
      <c r="BO674" s="22"/>
      <c r="BP674" s="22"/>
      <c r="BQ674" s="22"/>
      <c r="BR674" s="22"/>
      <c r="BS674" s="22"/>
      <c r="BT674" s="22"/>
      <c r="BU674" s="22"/>
    </row>
    <row r="675" ht="16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172"/>
      <c r="AA675" s="172"/>
      <c r="AB675" s="172"/>
      <c r="AC675" s="22"/>
      <c r="AD675" s="22"/>
      <c r="AE675" s="22"/>
      <c r="AF675" s="22"/>
      <c r="AG675" s="172"/>
      <c r="AH675" s="172"/>
      <c r="AI675" s="172"/>
      <c r="AJ675" s="172"/>
      <c r="AK675" s="172"/>
      <c r="AL675" s="17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  <c r="BK675" s="22"/>
      <c r="BL675" s="22"/>
      <c r="BM675" s="22"/>
      <c r="BN675" s="22"/>
      <c r="BO675" s="22"/>
      <c r="BP675" s="22"/>
      <c r="BQ675" s="22"/>
      <c r="BR675" s="22"/>
      <c r="BS675" s="22"/>
      <c r="BT675" s="22"/>
      <c r="BU675" s="22"/>
    </row>
    <row r="676" ht="16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172"/>
      <c r="AA676" s="172"/>
      <c r="AB676" s="172"/>
      <c r="AC676" s="22"/>
      <c r="AD676" s="22"/>
      <c r="AE676" s="22"/>
      <c r="AF676" s="22"/>
      <c r="AG676" s="172"/>
      <c r="AH676" s="172"/>
      <c r="AI676" s="172"/>
      <c r="AJ676" s="172"/>
      <c r="AK676" s="172"/>
      <c r="AL676" s="17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22"/>
      <c r="BL676" s="22"/>
      <c r="BM676" s="22"/>
      <c r="BN676" s="22"/>
      <c r="BO676" s="22"/>
      <c r="BP676" s="22"/>
      <c r="BQ676" s="22"/>
      <c r="BR676" s="22"/>
      <c r="BS676" s="22"/>
      <c r="BT676" s="22"/>
      <c r="BU676" s="22"/>
    </row>
    <row r="677" ht="16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172"/>
      <c r="AA677" s="172"/>
      <c r="AB677" s="172"/>
      <c r="AC677" s="22"/>
      <c r="AD677" s="22"/>
      <c r="AE677" s="22"/>
      <c r="AF677" s="22"/>
      <c r="AG677" s="172"/>
      <c r="AH677" s="172"/>
      <c r="AI677" s="172"/>
      <c r="AJ677" s="172"/>
      <c r="AK677" s="172"/>
      <c r="AL677" s="17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22"/>
      <c r="BL677" s="22"/>
      <c r="BM677" s="22"/>
      <c r="BN677" s="22"/>
      <c r="BO677" s="22"/>
      <c r="BP677" s="22"/>
      <c r="BQ677" s="22"/>
      <c r="BR677" s="22"/>
      <c r="BS677" s="22"/>
      <c r="BT677" s="22"/>
      <c r="BU677" s="22"/>
    </row>
    <row r="678" ht="16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172"/>
      <c r="AA678" s="172"/>
      <c r="AB678" s="172"/>
      <c r="AC678" s="22"/>
      <c r="AD678" s="22"/>
      <c r="AE678" s="22"/>
      <c r="AF678" s="22"/>
      <c r="AG678" s="172"/>
      <c r="AH678" s="172"/>
      <c r="AI678" s="172"/>
      <c r="AJ678" s="172"/>
      <c r="AK678" s="172"/>
      <c r="AL678" s="17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  <c r="BK678" s="22"/>
      <c r="BL678" s="22"/>
      <c r="BM678" s="22"/>
      <c r="BN678" s="22"/>
      <c r="BO678" s="22"/>
      <c r="BP678" s="22"/>
      <c r="BQ678" s="22"/>
      <c r="BR678" s="22"/>
      <c r="BS678" s="22"/>
      <c r="BT678" s="22"/>
      <c r="BU678" s="22"/>
    </row>
    <row r="679" ht="16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172"/>
      <c r="AA679" s="172"/>
      <c r="AB679" s="172"/>
      <c r="AC679" s="22"/>
      <c r="AD679" s="22"/>
      <c r="AE679" s="22"/>
      <c r="AF679" s="22"/>
      <c r="AG679" s="172"/>
      <c r="AH679" s="172"/>
      <c r="AI679" s="172"/>
      <c r="AJ679" s="172"/>
      <c r="AK679" s="172"/>
      <c r="AL679" s="17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22"/>
      <c r="BL679" s="22"/>
      <c r="BM679" s="22"/>
      <c r="BN679" s="22"/>
      <c r="BO679" s="22"/>
      <c r="BP679" s="22"/>
      <c r="BQ679" s="22"/>
      <c r="BR679" s="22"/>
      <c r="BS679" s="22"/>
      <c r="BT679" s="22"/>
      <c r="BU679" s="22"/>
    </row>
    <row r="680" ht="16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172"/>
      <c r="AA680" s="172"/>
      <c r="AB680" s="172"/>
      <c r="AC680" s="22"/>
      <c r="AD680" s="22"/>
      <c r="AE680" s="22"/>
      <c r="AF680" s="22"/>
      <c r="AG680" s="172"/>
      <c r="AH680" s="172"/>
      <c r="AI680" s="172"/>
      <c r="AJ680" s="172"/>
      <c r="AK680" s="172"/>
      <c r="AL680" s="17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  <c r="BK680" s="22"/>
      <c r="BL680" s="22"/>
      <c r="BM680" s="22"/>
      <c r="BN680" s="22"/>
      <c r="BO680" s="22"/>
      <c r="BP680" s="22"/>
      <c r="BQ680" s="22"/>
      <c r="BR680" s="22"/>
      <c r="BS680" s="22"/>
      <c r="BT680" s="22"/>
      <c r="BU680" s="22"/>
    </row>
    <row r="681" ht="16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172"/>
      <c r="AA681" s="172"/>
      <c r="AB681" s="172"/>
      <c r="AC681" s="22"/>
      <c r="AD681" s="22"/>
      <c r="AE681" s="22"/>
      <c r="AF681" s="22"/>
      <c r="AG681" s="172"/>
      <c r="AH681" s="172"/>
      <c r="AI681" s="172"/>
      <c r="AJ681" s="172"/>
      <c r="AK681" s="172"/>
      <c r="AL681" s="17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22"/>
      <c r="BO681" s="22"/>
      <c r="BP681" s="22"/>
      <c r="BQ681" s="22"/>
      <c r="BR681" s="22"/>
      <c r="BS681" s="22"/>
      <c r="BT681" s="22"/>
      <c r="BU681" s="22"/>
    </row>
    <row r="682" ht="16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172"/>
      <c r="AA682" s="172"/>
      <c r="AB682" s="172"/>
      <c r="AC682" s="22"/>
      <c r="AD682" s="22"/>
      <c r="AE682" s="22"/>
      <c r="AF682" s="22"/>
      <c r="AG682" s="172"/>
      <c r="AH682" s="172"/>
      <c r="AI682" s="172"/>
      <c r="AJ682" s="172"/>
      <c r="AK682" s="172"/>
      <c r="AL682" s="17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  <c r="BK682" s="22"/>
      <c r="BL682" s="22"/>
      <c r="BM682" s="22"/>
      <c r="BN682" s="22"/>
      <c r="BO682" s="22"/>
      <c r="BP682" s="22"/>
      <c r="BQ682" s="22"/>
      <c r="BR682" s="22"/>
      <c r="BS682" s="22"/>
      <c r="BT682" s="22"/>
      <c r="BU682" s="22"/>
    </row>
    <row r="683" ht="16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172"/>
      <c r="AA683" s="172"/>
      <c r="AB683" s="172"/>
      <c r="AC683" s="22"/>
      <c r="AD683" s="22"/>
      <c r="AE683" s="22"/>
      <c r="AF683" s="22"/>
      <c r="AG683" s="172"/>
      <c r="AH683" s="172"/>
      <c r="AI683" s="172"/>
      <c r="AJ683" s="172"/>
      <c r="AK683" s="172"/>
      <c r="AL683" s="17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22"/>
      <c r="BO683" s="22"/>
      <c r="BP683" s="22"/>
      <c r="BQ683" s="22"/>
      <c r="BR683" s="22"/>
      <c r="BS683" s="22"/>
      <c r="BT683" s="22"/>
      <c r="BU683" s="22"/>
    </row>
    <row r="684" ht="16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172"/>
      <c r="AA684" s="172"/>
      <c r="AB684" s="172"/>
      <c r="AC684" s="22"/>
      <c r="AD684" s="22"/>
      <c r="AE684" s="22"/>
      <c r="AF684" s="22"/>
      <c r="AG684" s="172"/>
      <c r="AH684" s="172"/>
      <c r="AI684" s="172"/>
      <c r="AJ684" s="172"/>
      <c r="AK684" s="172"/>
      <c r="AL684" s="17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  <c r="BK684" s="22"/>
      <c r="BL684" s="22"/>
      <c r="BM684" s="22"/>
      <c r="BN684" s="22"/>
      <c r="BO684" s="22"/>
      <c r="BP684" s="22"/>
      <c r="BQ684" s="22"/>
      <c r="BR684" s="22"/>
      <c r="BS684" s="22"/>
      <c r="BT684" s="22"/>
      <c r="BU684" s="22"/>
    </row>
    <row r="685" ht="16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172"/>
      <c r="AA685" s="172"/>
      <c r="AB685" s="172"/>
      <c r="AC685" s="22"/>
      <c r="AD685" s="22"/>
      <c r="AE685" s="22"/>
      <c r="AF685" s="22"/>
      <c r="AG685" s="172"/>
      <c r="AH685" s="172"/>
      <c r="AI685" s="172"/>
      <c r="AJ685" s="172"/>
      <c r="AK685" s="172"/>
      <c r="AL685" s="17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  <c r="BK685" s="22"/>
      <c r="BL685" s="22"/>
      <c r="BM685" s="22"/>
      <c r="BN685" s="22"/>
      <c r="BO685" s="22"/>
      <c r="BP685" s="22"/>
      <c r="BQ685" s="22"/>
      <c r="BR685" s="22"/>
      <c r="BS685" s="22"/>
      <c r="BT685" s="22"/>
      <c r="BU685" s="22"/>
    </row>
    <row r="686" ht="16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172"/>
      <c r="AA686" s="172"/>
      <c r="AB686" s="172"/>
      <c r="AC686" s="22"/>
      <c r="AD686" s="22"/>
      <c r="AE686" s="22"/>
      <c r="AF686" s="22"/>
      <c r="AG686" s="172"/>
      <c r="AH686" s="172"/>
      <c r="AI686" s="172"/>
      <c r="AJ686" s="172"/>
      <c r="AK686" s="172"/>
      <c r="AL686" s="17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  <c r="BK686" s="22"/>
      <c r="BL686" s="22"/>
      <c r="BM686" s="22"/>
      <c r="BN686" s="22"/>
      <c r="BO686" s="22"/>
      <c r="BP686" s="22"/>
      <c r="BQ686" s="22"/>
      <c r="BR686" s="22"/>
      <c r="BS686" s="22"/>
      <c r="BT686" s="22"/>
      <c r="BU686" s="22"/>
    </row>
    <row r="687" ht="16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172"/>
      <c r="AA687" s="172"/>
      <c r="AB687" s="172"/>
      <c r="AC687" s="22"/>
      <c r="AD687" s="22"/>
      <c r="AE687" s="22"/>
      <c r="AF687" s="22"/>
      <c r="AG687" s="172"/>
      <c r="AH687" s="172"/>
      <c r="AI687" s="172"/>
      <c r="AJ687" s="172"/>
      <c r="AK687" s="172"/>
      <c r="AL687" s="17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  <c r="BK687" s="22"/>
      <c r="BL687" s="22"/>
      <c r="BM687" s="22"/>
      <c r="BN687" s="22"/>
      <c r="BO687" s="22"/>
      <c r="BP687" s="22"/>
      <c r="BQ687" s="22"/>
      <c r="BR687" s="22"/>
      <c r="BS687" s="22"/>
      <c r="BT687" s="22"/>
      <c r="BU687" s="22"/>
    </row>
    <row r="688" ht="16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172"/>
      <c r="AA688" s="172"/>
      <c r="AB688" s="172"/>
      <c r="AC688" s="22"/>
      <c r="AD688" s="22"/>
      <c r="AE688" s="22"/>
      <c r="AF688" s="22"/>
      <c r="AG688" s="172"/>
      <c r="AH688" s="172"/>
      <c r="AI688" s="172"/>
      <c r="AJ688" s="172"/>
      <c r="AK688" s="172"/>
      <c r="AL688" s="17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  <c r="BK688" s="22"/>
      <c r="BL688" s="22"/>
      <c r="BM688" s="22"/>
      <c r="BN688" s="22"/>
      <c r="BO688" s="22"/>
      <c r="BP688" s="22"/>
      <c r="BQ688" s="22"/>
      <c r="BR688" s="22"/>
      <c r="BS688" s="22"/>
      <c r="BT688" s="22"/>
      <c r="BU688" s="22"/>
    </row>
    <row r="689" ht="16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172"/>
      <c r="AA689" s="172"/>
      <c r="AB689" s="172"/>
      <c r="AC689" s="22"/>
      <c r="AD689" s="22"/>
      <c r="AE689" s="22"/>
      <c r="AF689" s="22"/>
      <c r="AG689" s="172"/>
      <c r="AH689" s="172"/>
      <c r="AI689" s="172"/>
      <c r="AJ689" s="172"/>
      <c r="AK689" s="172"/>
      <c r="AL689" s="17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22"/>
      <c r="BL689" s="22"/>
      <c r="BM689" s="22"/>
      <c r="BN689" s="22"/>
      <c r="BO689" s="22"/>
      <c r="BP689" s="22"/>
      <c r="BQ689" s="22"/>
      <c r="BR689" s="22"/>
      <c r="BS689" s="22"/>
      <c r="BT689" s="22"/>
      <c r="BU689" s="22"/>
    </row>
    <row r="690" ht="16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172"/>
      <c r="AA690" s="172"/>
      <c r="AB690" s="172"/>
      <c r="AC690" s="22"/>
      <c r="AD690" s="22"/>
      <c r="AE690" s="22"/>
      <c r="AF690" s="22"/>
      <c r="AG690" s="172"/>
      <c r="AH690" s="172"/>
      <c r="AI690" s="172"/>
      <c r="AJ690" s="172"/>
      <c r="AK690" s="172"/>
      <c r="AL690" s="17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22"/>
      <c r="BL690" s="22"/>
      <c r="BM690" s="22"/>
      <c r="BN690" s="22"/>
      <c r="BO690" s="22"/>
      <c r="BP690" s="22"/>
      <c r="BQ690" s="22"/>
      <c r="BR690" s="22"/>
      <c r="BS690" s="22"/>
      <c r="BT690" s="22"/>
      <c r="BU690" s="22"/>
    </row>
    <row r="691" ht="16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172"/>
      <c r="AA691" s="172"/>
      <c r="AB691" s="172"/>
      <c r="AC691" s="22"/>
      <c r="AD691" s="22"/>
      <c r="AE691" s="22"/>
      <c r="AF691" s="22"/>
      <c r="AG691" s="172"/>
      <c r="AH691" s="172"/>
      <c r="AI691" s="172"/>
      <c r="AJ691" s="172"/>
      <c r="AK691" s="172"/>
      <c r="AL691" s="17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  <c r="BK691" s="22"/>
      <c r="BL691" s="22"/>
      <c r="BM691" s="22"/>
      <c r="BN691" s="22"/>
      <c r="BO691" s="22"/>
      <c r="BP691" s="22"/>
      <c r="BQ691" s="22"/>
      <c r="BR691" s="22"/>
      <c r="BS691" s="22"/>
      <c r="BT691" s="22"/>
      <c r="BU691" s="22"/>
    </row>
    <row r="692" ht="16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172"/>
      <c r="AA692" s="172"/>
      <c r="AB692" s="172"/>
      <c r="AC692" s="22"/>
      <c r="AD692" s="22"/>
      <c r="AE692" s="22"/>
      <c r="AF692" s="22"/>
      <c r="AG692" s="172"/>
      <c r="AH692" s="172"/>
      <c r="AI692" s="172"/>
      <c r="AJ692" s="172"/>
      <c r="AK692" s="172"/>
      <c r="AL692" s="17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  <c r="BK692" s="22"/>
      <c r="BL692" s="22"/>
      <c r="BM692" s="22"/>
      <c r="BN692" s="22"/>
      <c r="BO692" s="22"/>
      <c r="BP692" s="22"/>
      <c r="BQ692" s="22"/>
      <c r="BR692" s="22"/>
      <c r="BS692" s="22"/>
      <c r="BT692" s="22"/>
      <c r="BU692" s="22"/>
    </row>
    <row r="693" ht="16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172"/>
      <c r="AA693" s="172"/>
      <c r="AB693" s="172"/>
      <c r="AC693" s="22"/>
      <c r="AD693" s="22"/>
      <c r="AE693" s="22"/>
      <c r="AF693" s="22"/>
      <c r="AG693" s="172"/>
      <c r="AH693" s="172"/>
      <c r="AI693" s="172"/>
      <c r="AJ693" s="172"/>
      <c r="AK693" s="172"/>
      <c r="AL693" s="17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  <c r="BK693" s="22"/>
      <c r="BL693" s="22"/>
      <c r="BM693" s="22"/>
      <c r="BN693" s="22"/>
      <c r="BO693" s="22"/>
      <c r="BP693" s="22"/>
      <c r="BQ693" s="22"/>
      <c r="BR693" s="22"/>
      <c r="BS693" s="22"/>
      <c r="BT693" s="22"/>
      <c r="BU693" s="22"/>
    </row>
    <row r="694" ht="16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172"/>
      <c r="AA694" s="172"/>
      <c r="AB694" s="172"/>
      <c r="AC694" s="22"/>
      <c r="AD694" s="22"/>
      <c r="AE694" s="22"/>
      <c r="AF694" s="22"/>
      <c r="AG694" s="172"/>
      <c r="AH694" s="172"/>
      <c r="AI694" s="172"/>
      <c r="AJ694" s="172"/>
      <c r="AK694" s="172"/>
      <c r="AL694" s="17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  <c r="BK694" s="22"/>
      <c r="BL694" s="22"/>
      <c r="BM694" s="22"/>
      <c r="BN694" s="22"/>
      <c r="BO694" s="22"/>
      <c r="BP694" s="22"/>
      <c r="BQ694" s="22"/>
      <c r="BR694" s="22"/>
      <c r="BS694" s="22"/>
      <c r="BT694" s="22"/>
      <c r="BU694" s="22"/>
    </row>
    <row r="695" ht="16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172"/>
      <c r="AA695" s="172"/>
      <c r="AB695" s="172"/>
      <c r="AC695" s="22"/>
      <c r="AD695" s="22"/>
      <c r="AE695" s="22"/>
      <c r="AF695" s="22"/>
      <c r="AG695" s="172"/>
      <c r="AH695" s="172"/>
      <c r="AI695" s="172"/>
      <c r="AJ695" s="172"/>
      <c r="AK695" s="172"/>
      <c r="AL695" s="17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  <c r="BK695" s="22"/>
      <c r="BL695" s="22"/>
      <c r="BM695" s="22"/>
      <c r="BN695" s="22"/>
      <c r="BO695" s="22"/>
      <c r="BP695" s="22"/>
      <c r="BQ695" s="22"/>
      <c r="BR695" s="22"/>
      <c r="BS695" s="22"/>
      <c r="BT695" s="22"/>
      <c r="BU695" s="22"/>
    </row>
    <row r="696" ht="16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172"/>
      <c r="AA696" s="172"/>
      <c r="AB696" s="172"/>
      <c r="AC696" s="22"/>
      <c r="AD696" s="22"/>
      <c r="AE696" s="22"/>
      <c r="AF696" s="22"/>
      <c r="AG696" s="172"/>
      <c r="AH696" s="172"/>
      <c r="AI696" s="172"/>
      <c r="AJ696" s="172"/>
      <c r="AK696" s="172"/>
      <c r="AL696" s="17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  <c r="BO696" s="22"/>
      <c r="BP696" s="22"/>
      <c r="BQ696" s="22"/>
      <c r="BR696" s="22"/>
      <c r="BS696" s="22"/>
      <c r="BT696" s="22"/>
      <c r="BU696" s="22"/>
    </row>
    <row r="697" ht="16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172"/>
      <c r="AA697" s="172"/>
      <c r="AB697" s="172"/>
      <c r="AC697" s="22"/>
      <c r="AD697" s="22"/>
      <c r="AE697" s="22"/>
      <c r="AF697" s="22"/>
      <c r="AG697" s="172"/>
      <c r="AH697" s="172"/>
      <c r="AI697" s="172"/>
      <c r="AJ697" s="172"/>
      <c r="AK697" s="172"/>
      <c r="AL697" s="17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  <c r="BK697" s="22"/>
      <c r="BL697" s="22"/>
      <c r="BM697" s="22"/>
      <c r="BN697" s="22"/>
      <c r="BO697" s="22"/>
      <c r="BP697" s="22"/>
      <c r="BQ697" s="22"/>
      <c r="BR697" s="22"/>
      <c r="BS697" s="22"/>
      <c r="BT697" s="22"/>
      <c r="BU697" s="22"/>
    </row>
    <row r="698" ht="16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172"/>
      <c r="AA698" s="172"/>
      <c r="AB698" s="172"/>
      <c r="AC698" s="22"/>
      <c r="AD698" s="22"/>
      <c r="AE698" s="22"/>
      <c r="AF698" s="22"/>
      <c r="AG698" s="172"/>
      <c r="AH698" s="172"/>
      <c r="AI698" s="172"/>
      <c r="AJ698" s="172"/>
      <c r="AK698" s="172"/>
      <c r="AL698" s="17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  <c r="BK698" s="22"/>
      <c r="BL698" s="22"/>
      <c r="BM698" s="22"/>
      <c r="BN698" s="22"/>
      <c r="BO698" s="22"/>
      <c r="BP698" s="22"/>
      <c r="BQ698" s="22"/>
      <c r="BR698" s="22"/>
      <c r="BS698" s="22"/>
      <c r="BT698" s="22"/>
      <c r="BU698" s="22"/>
    </row>
    <row r="699" ht="16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172"/>
      <c r="AA699" s="172"/>
      <c r="AB699" s="172"/>
      <c r="AC699" s="22"/>
      <c r="AD699" s="22"/>
      <c r="AE699" s="22"/>
      <c r="AF699" s="22"/>
      <c r="AG699" s="172"/>
      <c r="AH699" s="172"/>
      <c r="AI699" s="172"/>
      <c r="AJ699" s="172"/>
      <c r="AK699" s="172"/>
      <c r="AL699" s="17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  <c r="BK699" s="22"/>
      <c r="BL699" s="22"/>
      <c r="BM699" s="22"/>
      <c r="BN699" s="22"/>
      <c r="BO699" s="22"/>
      <c r="BP699" s="22"/>
      <c r="BQ699" s="22"/>
      <c r="BR699" s="22"/>
      <c r="BS699" s="22"/>
      <c r="BT699" s="22"/>
      <c r="BU699" s="22"/>
    </row>
    <row r="700" ht="16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172"/>
      <c r="AA700" s="172"/>
      <c r="AB700" s="172"/>
      <c r="AC700" s="22"/>
      <c r="AD700" s="22"/>
      <c r="AE700" s="22"/>
      <c r="AF700" s="22"/>
      <c r="AG700" s="172"/>
      <c r="AH700" s="172"/>
      <c r="AI700" s="172"/>
      <c r="AJ700" s="172"/>
      <c r="AK700" s="172"/>
      <c r="AL700" s="17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  <c r="BK700" s="22"/>
      <c r="BL700" s="22"/>
      <c r="BM700" s="22"/>
      <c r="BN700" s="22"/>
      <c r="BO700" s="22"/>
      <c r="BP700" s="22"/>
      <c r="BQ700" s="22"/>
      <c r="BR700" s="22"/>
      <c r="BS700" s="22"/>
      <c r="BT700" s="22"/>
      <c r="BU700" s="22"/>
    </row>
    <row r="701" ht="16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172"/>
      <c r="AA701" s="172"/>
      <c r="AB701" s="172"/>
      <c r="AC701" s="22"/>
      <c r="AD701" s="22"/>
      <c r="AE701" s="22"/>
      <c r="AF701" s="22"/>
      <c r="AG701" s="172"/>
      <c r="AH701" s="172"/>
      <c r="AI701" s="172"/>
      <c r="AJ701" s="172"/>
      <c r="AK701" s="172"/>
      <c r="AL701" s="17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  <c r="BK701" s="22"/>
      <c r="BL701" s="22"/>
      <c r="BM701" s="22"/>
      <c r="BN701" s="22"/>
      <c r="BO701" s="22"/>
      <c r="BP701" s="22"/>
      <c r="BQ701" s="22"/>
      <c r="BR701" s="22"/>
      <c r="BS701" s="22"/>
      <c r="BT701" s="22"/>
      <c r="BU701" s="22"/>
    </row>
    <row r="702" ht="16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172"/>
      <c r="AA702" s="172"/>
      <c r="AB702" s="172"/>
      <c r="AC702" s="22"/>
      <c r="AD702" s="22"/>
      <c r="AE702" s="22"/>
      <c r="AF702" s="22"/>
      <c r="AG702" s="172"/>
      <c r="AH702" s="172"/>
      <c r="AI702" s="172"/>
      <c r="AJ702" s="172"/>
      <c r="AK702" s="172"/>
      <c r="AL702" s="17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  <c r="BK702" s="22"/>
      <c r="BL702" s="22"/>
      <c r="BM702" s="22"/>
      <c r="BN702" s="22"/>
      <c r="BO702" s="22"/>
      <c r="BP702" s="22"/>
      <c r="BQ702" s="22"/>
      <c r="BR702" s="22"/>
      <c r="BS702" s="22"/>
      <c r="BT702" s="22"/>
      <c r="BU702" s="22"/>
    </row>
    <row r="703" ht="16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172"/>
      <c r="AA703" s="172"/>
      <c r="AB703" s="172"/>
      <c r="AC703" s="22"/>
      <c r="AD703" s="22"/>
      <c r="AE703" s="22"/>
      <c r="AF703" s="22"/>
      <c r="AG703" s="172"/>
      <c r="AH703" s="172"/>
      <c r="AI703" s="172"/>
      <c r="AJ703" s="172"/>
      <c r="AK703" s="172"/>
      <c r="AL703" s="17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  <c r="BK703" s="22"/>
      <c r="BL703" s="22"/>
      <c r="BM703" s="22"/>
      <c r="BN703" s="22"/>
      <c r="BO703" s="22"/>
      <c r="BP703" s="22"/>
      <c r="BQ703" s="22"/>
      <c r="BR703" s="22"/>
      <c r="BS703" s="22"/>
      <c r="BT703" s="22"/>
      <c r="BU703" s="22"/>
    </row>
    <row r="704" ht="16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172"/>
      <c r="AA704" s="172"/>
      <c r="AB704" s="172"/>
      <c r="AC704" s="22"/>
      <c r="AD704" s="22"/>
      <c r="AE704" s="22"/>
      <c r="AF704" s="22"/>
      <c r="AG704" s="172"/>
      <c r="AH704" s="172"/>
      <c r="AI704" s="172"/>
      <c r="AJ704" s="172"/>
      <c r="AK704" s="172"/>
      <c r="AL704" s="17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  <c r="BK704" s="22"/>
      <c r="BL704" s="22"/>
      <c r="BM704" s="22"/>
      <c r="BN704" s="22"/>
      <c r="BO704" s="22"/>
      <c r="BP704" s="22"/>
      <c r="BQ704" s="22"/>
      <c r="BR704" s="22"/>
      <c r="BS704" s="22"/>
      <c r="BT704" s="22"/>
      <c r="BU704" s="22"/>
    </row>
    <row r="705" ht="16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172"/>
      <c r="AA705" s="172"/>
      <c r="AB705" s="172"/>
      <c r="AC705" s="22"/>
      <c r="AD705" s="22"/>
      <c r="AE705" s="22"/>
      <c r="AF705" s="22"/>
      <c r="AG705" s="172"/>
      <c r="AH705" s="172"/>
      <c r="AI705" s="172"/>
      <c r="AJ705" s="172"/>
      <c r="AK705" s="172"/>
      <c r="AL705" s="17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  <c r="BK705" s="22"/>
      <c r="BL705" s="22"/>
      <c r="BM705" s="22"/>
      <c r="BN705" s="22"/>
      <c r="BO705" s="22"/>
      <c r="BP705" s="22"/>
      <c r="BQ705" s="22"/>
      <c r="BR705" s="22"/>
      <c r="BS705" s="22"/>
      <c r="BT705" s="22"/>
      <c r="BU705" s="22"/>
    </row>
    <row r="706" ht="16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172"/>
      <c r="AA706" s="172"/>
      <c r="AB706" s="172"/>
      <c r="AC706" s="22"/>
      <c r="AD706" s="22"/>
      <c r="AE706" s="22"/>
      <c r="AF706" s="22"/>
      <c r="AG706" s="172"/>
      <c r="AH706" s="172"/>
      <c r="AI706" s="172"/>
      <c r="AJ706" s="172"/>
      <c r="AK706" s="172"/>
      <c r="AL706" s="17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  <c r="BK706" s="22"/>
      <c r="BL706" s="22"/>
      <c r="BM706" s="22"/>
      <c r="BN706" s="22"/>
      <c r="BO706" s="22"/>
      <c r="BP706" s="22"/>
      <c r="BQ706" s="22"/>
      <c r="BR706" s="22"/>
      <c r="BS706" s="22"/>
      <c r="BT706" s="22"/>
      <c r="BU706" s="22"/>
    </row>
    <row r="707" ht="16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172"/>
      <c r="AA707" s="172"/>
      <c r="AB707" s="172"/>
      <c r="AC707" s="22"/>
      <c r="AD707" s="22"/>
      <c r="AE707" s="22"/>
      <c r="AF707" s="22"/>
      <c r="AG707" s="172"/>
      <c r="AH707" s="172"/>
      <c r="AI707" s="172"/>
      <c r="AJ707" s="172"/>
      <c r="AK707" s="172"/>
      <c r="AL707" s="17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  <c r="BK707" s="22"/>
      <c r="BL707" s="22"/>
      <c r="BM707" s="22"/>
      <c r="BN707" s="22"/>
      <c r="BO707" s="22"/>
      <c r="BP707" s="22"/>
      <c r="BQ707" s="22"/>
      <c r="BR707" s="22"/>
      <c r="BS707" s="22"/>
      <c r="BT707" s="22"/>
      <c r="BU707" s="22"/>
    </row>
    <row r="708" ht="16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172"/>
      <c r="AA708" s="172"/>
      <c r="AB708" s="172"/>
      <c r="AC708" s="22"/>
      <c r="AD708" s="22"/>
      <c r="AE708" s="22"/>
      <c r="AF708" s="22"/>
      <c r="AG708" s="172"/>
      <c r="AH708" s="172"/>
      <c r="AI708" s="172"/>
      <c r="AJ708" s="172"/>
      <c r="AK708" s="172"/>
      <c r="AL708" s="17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  <c r="BK708" s="22"/>
      <c r="BL708" s="22"/>
      <c r="BM708" s="22"/>
      <c r="BN708" s="22"/>
      <c r="BO708" s="22"/>
      <c r="BP708" s="22"/>
      <c r="BQ708" s="22"/>
      <c r="BR708" s="22"/>
      <c r="BS708" s="22"/>
      <c r="BT708" s="22"/>
      <c r="BU708" s="22"/>
    </row>
    <row r="709" ht="16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172"/>
      <c r="AA709" s="172"/>
      <c r="AB709" s="172"/>
      <c r="AC709" s="22"/>
      <c r="AD709" s="22"/>
      <c r="AE709" s="22"/>
      <c r="AF709" s="22"/>
      <c r="AG709" s="172"/>
      <c r="AH709" s="172"/>
      <c r="AI709" s="172"/>
      <c r="AJ709" s="172"/>
      <c r="AK709" s="172"/>
      <c r="AL709" s="17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22"/>
      <c r="BL709" s="22"/>
      <c r="BM709" s="22"/>
      <c r="BN709" s="22"/>
      <c r="BO709" s="22"/>
      <c r="BP709" s="22"/>
      <c r="BQ709" s="22"/>
      <c r="BR709" s="22"/>
      <c r="BS709" s="22"/>
      <c r="BT709" s="22"/>
      <c r="BU709" s="22"/>
    </row>
    <row r="710" ht="16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172"/>
      <c r="AA710" s="172"/>
      <c r="AB710" s="172"/>
      <c r="AC710" s="22"/>
      <c r="AD710" s="22"/>
      <c r="AE710" s="22"/>
      <c r="AF710" s="22"/>
      <c r="AG710" s="172"/>
      <c r="AH710" s="172"/>
      <c r="AI710" s="172"/>
      <c r="AJ710" s="172"/>
      <c r="AK710" s="172"/>
      <c r="AL710" s="17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  <c r="BK710" s="22"/>
      <c r="BL710" s="22"/>
      <c r="BM710" s="22"/>
      <c r="BN710" s="22"/>
      <c r="BO710" s="22"/>
      <c r="BP710" s="22"/>
      <c r="BQ710" s="22"/>
      <c r="BR710" s="22"/>
      <c r="BS710" s="22"/>
      <c r="BT710" s="22"/>
      <c r="BU710" s="22"/>
    </row>
    <row r="711" ht="16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172"/>
      <c r="AA711" s="172"/>
      <c r="AB711" s="172"/>
      <c r="AC711" s="22"/>
      <c r="AD711" s="22"/>
      <c r="AE711" s="22"/>
      <c r="AF711" s="22"/>
      <c r="AG711" s="172"/>
      <c r="AH711" s="172"/>
      <c r="AI711" s="172"/>
      <c r="AJ711" s="172"/>
      <c r="AK711" s="172"/>
      <c r="AL711" s="17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  <c r="BK711" s="22"/>
      <c r="BL711" s="22"/>
      <c r="BM711" s="22"/>
      <c r="BN711" s="22"/>
      <c r="BO711" s="22"/>
      <c r="BP711" s="22"/>
      <c r="BQ711" s="22"/>
      <c r="BR711" s="22"/>
      <c r="BS711" s="22"/>
      <c r="BT711" s="22"/>
      <c r="BU711" s="22"/>
    </row>
    <row r="712" ht="16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172"/>
      <c r="AA712" s="172"/>
      <c r="AB712" s="172"/>
      <c r="AC712" s="22"/>
      <c r="AD712" s="22"/>
      <c r="AE712" s="22"/>
      <c r="AF712" s="22"/>
      <c r="AG712" s="172"/>
      <c r="AH712" s="172"/>
      <c r="AI712" s="172"/>
      <c r="AJ712" s="172"/>
      <c r="AK712" s="172"/>
      <c r="AL712" s="17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  <c r="BK712" s="22"/>
      <c r="BL712" s="22"/>
      <c r="BM712" s="22"/>
      <c r="BN712" s="22"/>
      <c r="BO712" s="22"/>
      <c r="BP712" s="22"/>
      <c r="BQ712" s="22"/>
      <c r="BR712" s="22"/>
      <c r="BS712" s="22"/>
      <c r="BT712" s="22"/>
      <c r="BU712" s="22"/>
    </row>
    <row r="713" ht="16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172"/>
      <c r="AA713" s="172"/>
      <c r="AB713" s="172"/>
      <c r="AC713" s="22"/>
      <c r="AD713" s="22"/>
      <c r="AE713" s="22"/>
      <c r="AF713" s="22"/>
      <c r="AG713" s="172"/>
      <c r="AH713" s="172"/>
      <c r="AI713" s="172"/>
      <c r="AJ713" s="172"/>
      <c r="AK713" s="172"/>
      <c r="AL713" s="17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  <c r="BO713" s="22"/>
      <c r="BP713" s="22"/>
      <c r="BQ713" s="22"/>
      <c r="BR713" s="22"/>
      <c r="BS713" s="22"/>
      <c r="BT713" s="22"/>
      <c r="BU713" s="22"/>
    </row>
    <row r="714" ht="16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172"/>
      <c r="AA714" s="172"/>
      <c r="AB714" s="172"/>
      <c r="AC714" s="22"/>
      <c r="AD714" s="22"/>
      <c r="AE714" s="22"/>
      <c r="AF714" s="22"/>
      <c r="AG714" s="172"/>
      <c r="AH714" s="172"/>
      <c r="AI714" s="172"/>
      <c r="AJ714" s="172"/>
      <c r="AK714" s="172"/>
      <c r="AL714" s="17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  <c r="BK714" s="22"/>
      <c r="BL714" s="22"/>
      <c r="BM714" s="22"/>
      <c r="BN714" s="22"/>
      <c r="BO714" s="22"/>
      <c r="BP714" s="22"/>
      <c r="BQ714" s="22"/>
      <c r="BR714" s="22"/>
      <c r="BS714" s="22"/>
      <c r="BT714" s="22"/>
      <c r="BU714" s="22"/>
    </row>
    <row r="715" ht="16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172"/>
      <c r="AA715" s="172"/>
      <c r="AB715" s="172"/>
      <c r="AC715" s="22"/>
      <c r="AD715" s="22"/>
      <c r="AE715" s="22"/>
      <c r="AF715" s="22"/>
      <c r="AG715" s="172"/>
      <c r="AH715" s="172"/>
      <c r="AI715" s="172"/>
      <c r="AJ715" s="172"/>
      <c r="AK715" s="172"/>
      <c r="AL715" s="17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  <c r="BK715" s="22"/>
      <c r="BL715" s="22"/>
      <c r="BM715" s="22"/>
      <c r="BN715" s="22"/>
      <c r="BO715" s="22"/>
      <c r="BP715" s="22"/>
      <c r="BQ715" s="22"/>
      <c r="BR715" s="22"/>
      <c r="BS715" s="22"/>
      <c r="BT715" s="22"/>
      <c r="BU715" s="22"/>
    </row>
    <row r="716" ht="16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172"/>
      <c r="AA716" s="172"/>
      <c r="AB716" s="172"/>
      <c r="AC716" s="22"/>
      <c r="AD716" s="22"/>
      <c r="AE716" s="22"/>
      <c r="AF716" s="22"/>
      <c r="AG716" s="172"/>
      <c r="AH716" s="172"/>
      <c r="AI716" s="172"/>
      <c r="AJ716" s="172"/>
      <c r="AK716" s="172"/>
      <c r="AL716" s="17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</row>
    <row r="717" ht="16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172"/>
      <c r="AA717" s="172"/>
      <c r="AB717" s="172"/>
      <c r="AC717" s="22"/>
      <c r="AD717" s="22"/>
      <c r="AE717" s="22"/>
      <c r="AF717" s="22"/>
      <c r="AG717" s="172"/>
      <c r="AH717" s="172"/>
      <c r="AI717" s="172"/>
      <c r="AJ717" s="172"/>
      <c r="AK717" s="172"/>
      <c r="AL717" s="17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  <c r="BO717" s="22"/>
      <c r="BP717" s="22"/>
      <c r="BQ717" s="22"/>
      <c r="BR717" s="22"/>
      <c r="BS717" s="22"/>
      <c r="BT717" s="22"/>
      <c r="BU717" s="22"/>
    </row>
    <row r="718" ht="16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172"/>
      <c r="AA718" s="172"/>
      <c r="AB718" s="172"/>
      <c r="AC718" s="22"/>
      <c r="AD718" s="22"/>
      <c r="AE718" s="22"/>
      <c r="AF718" s="22"/>
      <c r="AG718" s="172"/>
      <c r="AH718" s="172"/>
      <c r="AI718" s="172"/>
      <c r="AJ718" s="172"/>
      <c r="AK718" s="172"/>
      <c r="AL718" s="17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  <c r="BK718" s="22"/>
      <c r="BL718" s="22"/>
      <c r="BM718" s="22"/>
      <c r="BN718" s="22"/>
      <c r="BO718" s="22"/>
      <c r="BP718" s="22"/>
      <c r="BQ718" s="22"/>
      <c r="BR718" s="22"/>
      <c r="BS718" s="22"/>
      <c r="BT718" s="22"/>
      <c r="BU718" s="22"/>
    </row>
    <row r="719" ht="16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172"/>
      <c r="AA719" s="172"/>
      <c r="AB719" s="172"/>
      <c r="AC719" s="22"/>
      <c r="AD719" s="22"/>
      <c r="AE719" s="22"/>
      <c r="AF719" s="22"/>
      <c r="AG719" s="172"/>
      <c r="AH719" s="172"/>
      <c r="AI719" s="172"/>
      <c r="AJ719" s="172"/>
      <c r="AK719" s="172"/>
      <c r="AL719" s="17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  <c r="BK719" s="22"/>
      <c r="BL719" s="22"/>
      <c r="BM719" s="22"/>
      <c r="BN719" s="22"/>
      <c r="BO719" s="22"/>
      <c r="BP719" s="22"/>
      <c r="BQ719" s="22"/>
      <c r="BR719" s="22"/>
      <c r="BS719" s="22"/>
      <c r="BT719" s="22"/>
      <c r="BU719" s="22"/>
    </row>
    <row r="720" ht="16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172"/>
      <c r="AA720" s="172"/>
      <c r="AB720" s="172"/>
      <c r="AC720" s="22"/>
      <c r="AD720" s="22"/>
      <c r="AE720" s="22"/>
      <c r="AF720" s="22"/>
      <c r="AG720" s="172"/>
      <c r="AH720" s="172"/>
      <c r="AI720" s="172"/>
      <c r="AJ720" s="172"/>
      <c r="AK720" s="172"/>
      <c r="AL720" s="17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  <c r="BK720" s="22"/>
      <c r="BL720" s="22"/>
      <c r="BM720" s="22"/>
      <c r="BN720" s="22"/>
      <c r="BO720" s="22"/>
      <c r="BP720" s="22"/>
      <c r="BQ720" s="22"/>
      <c r="BR720" s="22"/>
      <c r="BS720" s="22"/>
      <c r="BT720" s="22"/>
      <c r="BU720" s="22"/>
    </row>
    <row r="721" ht="16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172"/>
      <c r="AA721" s="172"/>
      <c r="AB721" s="172"/>
      <c r="AC721" s="22"/>
      <c r="AD721" s="22"/>
      <c r="AE721" s="22"/>
      <c r="AF721" s="22"/>
      <c r="AG721" s="172"/>
      <c r="AH721" s="172"/>
      <c r="AI721" s="172"/>
      <c r="AJ721" s="172"/>
      <c r="AK721" s="172"/>
      <c r="AL721" s="17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  <c r="BK721" s="22"/>
      <c r="BL721" s="22"/>
      <c r="BM721" s="22"/>
      <c r="BN721" s="22"/>
      <c r="BO721" s="22"/>
      <c r="BP721" s="22"/>
      <c r="BQ721" s="22"/>
      <c r="BR721" s="22"/>
      <c r="BS721" s="22"/>
      <c r="BT721" s="22"/>
      <c r="BU721" s="22"/>
    </row>
    <row r="722" ht="16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172"/>
      <c r="AA722" s="172"/>
      <c r="AB722" s="172"/>
      <c r="AC722" s="22"/>
      <c r="AD722" s="22"/>
      <c r="AE722" s="22"/>
      <c r="AF722" s="22"/>
      <c r="AG722" s="172"/>
      <c r="AH722" s="172"/>
      <c r="AI722" s="172"/>
      <c r="AJ722" s="172"/>
      <c r="AK722" s="172"/>
      <c r="AL722" s="17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  <c r="BK722" s="22"/>
      <c r="BL722" s="22"/>
      <c r="BM722" s="22"/>
      <c r="BN722" s="22"/>
      <c r="BO722" s="22"/>
      <c r="BP722" s="22"/>
      <c r="BQ722" s="22"/>
      <c r="BR722" s="22"/>
      <c r="BS722" s="22"/>
      <c r="BT722" s="22"/>
      <c r="BU722" s="22"/>
    </row>
    <row r="723" ht="16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172"/>
      <c r="AA723" s="172"/>
      <c r="AB723" s="172"/>
      <c r="AC723" s="22"/>
      <c r="AD723" s="22"/>
      <c r="AE723" s="22"/>
      <c r="AF723" s="22"/>
      <c r="AG723" s="172"/>
      <c r="AH723" s="172"/>
      <c r="AI723" s="172"/>
      <c r="AJ723" s="172"/>
      <c r="AK723" s="172"/>
      <c r="AL723" s="17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  <c r="BK723" s="22"/>
      <c r="BL723" s="22"/>
      <c r="BM723" s="22"/>
      <c r="BN723" s="22"/>
      <c r="BO723" s="22"/>
      <c r="BP723" s="22"/>
      <c r="BQ723" s="22"/>
      <c r="BR723" s="22"/>
      <c r="BS723" s="22"/>
      <c r="BT723" s="22"/>
      <c r="BU723" s="22"/>
    </row>
    <row r="724" ht="16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172"/>
      <c r="AA724" s="172"/>
      <c r="AB724" s="172"/>
      <c r="AC724" s="22"/>
      <c r="AD724" s="22"/>
      <c r="AE724" s="22"/>
      <c r="AF724" s="22"/>
      <c r="AG724" s="172"/>
      <c r="AH724" s="172"/>
      <c r="AI724" s="172"/>
      <c r="AJ724" s="172"/>
      <c r="AK724" s="172"/>
      <c r="AL724" s="17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  <c r="BK724" s="22"/>
      <c r="BL724" s="22"/>
      <c r="BM724" s="22"/>
      <c r="BN724" s="22"/>
      <c r="BO724" s="22"/>
      <c r="BP724" s="22"/>
      <c r="BQ724" s="22"/>
      <c r="BR724" s="22"/>
      <c r="BS724" s="22"/>
      <c r="BT724" s="22"/>
      <c r="BU724" s="22"/>
    </row>
    <row r="725" ht="16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172"/>
      <c r="AA725" s="172"/>
      <c r="AB725" s="172"/>
      <c r="AC725" s="22"/>
      <c r="AD725" s="22"/>
      <c r="AE725" s="22"/>
      <c r="AF725" s="22"/>
      <c r="AG725" s="172"/>
      <c r="AH725" s="172"/>
      <c r="AI725" s="172"/>
      <c r="AJ725" s="172"/>
      <c r="AK725" s="172"/>
      <c r="AL725" s="17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  <c r="BK725" s="22"/>
      <c r="BL725" s="22"/>
      <c r="BM725" s="22"/>
      <c r="BN725" s="22"/>
      <c r="BO725" s="22"/>
      <c r="BP725" s="22"/>
      <c r="BQ725" s="22"/>
      <c r="BR725" s="22"/>
      <c r="BS725" s="22"/>
      <c r="BT725" s="22"/>
      <c r="BU725" s="22"/>
    </row>
    <row r="726" ht="16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172"/>
      <c r="AA726" s="172"/>
      <c r="AB726" s="172"/>
      <c r="AC726" s="22"/>
      <c r="AD726" s="22"/>
      <c r="AE726" s="22"/>
      <c r="AF726" s="22"/>
      <c r="AG726" s="172"/>
      <c r="AH726" s="172"/>
      <c r="AI726" s="172"/>
      <c r="AJ726" s="172"/>
      <c r="AK726" s="172"/>
      <c r="AL726" s="17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  <c r="BO726" s="22"/>
      <c r="BP726" s="22"/>
      <c r="BQ726" s="22"/>
      <c r="BR726" s="22"/>
      <c r="BS726" s="22"/>
      <c r="BT726" s="22"/>
      <c r="BU726" s="22"/>
    </row>
    <row r="727" ht="16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172"/>
      <c r="AA727" s="172"/>
      <c r="AB727" s="172"/>
      <c r="AC727" s="22"/>
      <c r="AD727" s="22"/>
      <c r="AE727" s="22"/>
      <c r="AF727" s="22"/>
      <c r="AG727" s="172"/>
      <c r="AH727" s="172"/>
      <c r="AI727" s="172"/>
      <c r="AJ727" s="172"/>
      <c r="AK727" s="172"/>
      <c r="AL727" s="17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  <c r="BK727" s="22"/>
      <c r="BL727" s="22"/>
      <c r="BM727" s="22"/>
      <c r="BN727" s="22"/>
      <c r="BO727" s="22"/>
      <c r="BP727" s="22"/>
      <c r="BQ727" s="22"/>
      <c r="BR727" s="22"/>
      <c r="BS727" s="22"/>
      <c r="BT727" s="22"/>
      <c r="BU727" s="22"/>
    </row>
    <row r="728" ht="16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172"/>
      <c r="AA728" s="172"/>
      <c r="AB728" s="172"/>
      <c r="AC728" s="22"/>
      <c r="AD728" s="22"/>
      <c r="AE728" s="22"/>
      <c r="AF728" s="22"/>
      <c r="AG728" s="172"/>
      <c r="AH728" s="172"/>
      <c r="AI728" s="172"/>
      <c r="AJ728" s="172"/>
      <c r="AK728" s="172"/>
      <c r="AL728" s="17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2"/>
      <c r="BI728" s="22"/>
      <c r="BJ728" s="22"/>
      <c r="BK728" s="22"/>
      <c r="BL728" s="22"/>
      <c r="BM728" s="22"/>
      <c r="BN728" s="22"/>
      <c r="BO728" s="22"/>
      <c r="BP728" s="22"/>
      <c r="BQ728" s="22"/>
      <c r="BR728" s="22"/>
      <c r="BS728" s="22"/>
      <c r="BT728" s="22"/>
      <c r="BU728" s="22"/>
    </row>
    <row r="729" ht="16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172"/>
      <c r="AA729" s="172"/>
      <c r="AB729" s="172"/>
      <c r="AC729" s="22"/>
      <c r="AD729" s="22"/>
      <c r="AE729" s="22"/>
      <c r="AF729" s="22"/>
      <c r="AG729" s="172"/>
      <c r="AH729" s="172"/>
      <c r="AI729" s="172"/>
      <c r="AJ729" s="172"/>
      <c r="AK729" s="172"/>
      <c r="AL729" s="17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  <c r="BK729" s="22"/>
      <c r="BL729" s="22"/>
      <c r="BM729" s="22"/>
      <c r="BN729" s="22"/>
      <c r="BO729" s="22"/>
      <c r="BP729" s="22"/>
      <c r="BQ729" s="22"/>
      <c r="BR729" s="22"/>
      <c r="BS729" s="22"/>
      <c r="BT729" s="22"/>
      <c r="BU729" s="22"/>
    </row>
    <row r="730" ht="16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172"/>
      <c r="AA730" s="172"/>
      <c r="AB730" s="172"/>
      <c r="AC730" s="22"/>
      <c r="AD730" s="22"/>
      <c r="AE730" s="22"/>
      <c r="AF730" s="22"/>
      <c r="AG730" s="172"/>
      <c r="AH730" s="172"/>
      <c r="AI730" s="172"/>
      <c r="AJ730" s="172"/>
      <c r="AK730" s="172"/>
      <c r="AL730" s="17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  <c r="BK730" s="22"/>
      <c r="BL730" s="22"/>
      <c r="BM730" s="22"/>
      <c r="BN730" s="22"/>
      <c r="BO730" s="22"/>
      <c r="BP730" s="22"/>
      <c r="BQ730" s="22"/>
      <c r="BR730" s="22"/>
      <c r="BS730" s="22"/>
      <c r="BT730" s="22"/>
      <c r="BU730" s="22"/>
    </row>
    <row r="731" ht="16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172"/>
      <c r="AA731" s="172"/>
      <c r="AB731" s="172"/>
      <c r="AC731" s="22"/>
      <c r="AD731" s="22"/>
      <c r="AE731" s="22"/>
      <c r="AF731" s="22"/>
      <c r="AG731" s="172"/>
      <c r="AH731" s="172"/>
      <c r="AI731" s="172"/>
      <c r="AJ731" s="172"/>
      <c r="AK731" s="172"/>
      <c r="AL731" s="17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  <c r="BK731" s="22"/>
      <c r="BL731" s="22"/>
      <c r="BM731" s="22"/>
      <c r="BN731" s="22"/>
      <c r="BO731" s="22"/>
      <c r="BP731" s="22"/>
      <c r="BQ731" s="22"/>
      <c r="BR731" s="22"/>
      <c r="BS731" s="22"/>
      <c r="BT731" s="22"/>
      <c r="BU731" s="22"/>
    </row>
    <row r="732" ht="16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172"/>
      <c r="AA732" s="172"/>
      <c r="AB732" s="172"/>
      <c r="AC732" s="22"/>
      <c r="AD732" s="22"/>
      <c r="AE732" s="22"/>
      <c r="AF732" s="22"/>
      <c r="AG732" s="172"/>
      <c r="AH732" s="172"/>
      <c r="AI732" s="172"/>
      <c r="AJ732" s="172"/>
      <c r="AK732" s="172"/>
      <c r="AL732" s="17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  <c r="BK732" s="22"/>
      <c r="BL732" s="22"/>
      <c r="BM732" s="22"/>
      <c r="BN732" s="22"/>
      <c r="BO732" s="22"/>
      <c r="BP732" s="22"/>
      <c r="BQ732" s="22"/>
      <c r="BR732" s="22"/>
      <c r="BS732" s="22"/>
      <c r="BT732" s="22"/>
      <c r="BU732" s="22"/>
    </row>
    <row r="733" ht="16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172"/>
      <c r="AA733" s="172"/>
      <c r="AB733" s="172"/>
      <c r="AC733" s="22"/>
      <c r="AD733" s="22"/>
      <c r="AE733" s="22"/>
      <c r="AF733" s="22"/>
      <c r="AG733" s="172"/>
      <c r="AH733" s="172"/>
      <c r="AI733" s="172"/>
      <c r="AJ733" s="172"/>
      <c r="AK733" s="172"/>
      <c r="AL733" s="17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  <c r="BK733" s="22"/>
      <c r="BL733" s="22"/>
      <c r="BM733" s="22"/>
      <c r="BN733" s="22"/>
      <c r="BO733" s="22"/>
      <c r="BP733" s="22"/>
      <c r="BQ733" s="22"/>
      <c r="BR733" s="22"/>
      <c r="BS733" s="22"/>
      <c r="BT733" s="22"/>
      <c r="BU733" s="22"/>
    </row>
    <row r="734" ht="16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172"/>
      <c r="AA734" s="172"/>
      <c r="AB734" s="172"/>
      <c r="AC734" s="22"/>
      <c r="AD734" s="22"/>
      <c r="AE734" s="22"/>
      <c r="AF734" s="22"/>
      <c r="AG734" s="172"/>
      <c r="AH734" s="172"/>
      <c r="AI734" s="172"/>
      <c r="AJ734" s="172"/>
      <c r="AK734" s="172"/>
      <c r="AL734" s="17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  <c r="BK734" s="22"/>
      <c r="BL734" s="22"/>
      <c r="BM734" s="22"/>
      <c r="BN734" s="22"/>
      <c r="BO734" s="22"/>
      <c r="BP734" s="22"/>
      <c r="BQ734" s="22"/>
      <c r="BR734" s="22"/>
      <c r="BS734" s="22"/>
      <c r="BT734" s="22"/>
      <c r="BU734" s="22"/>
    </row>
    <row r="735" ht="16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172"/>
      <c r="AA735" s="172"/>
      <c r="AB735" s="172"/>
      <c r="AC735" s="22"/>
      <c r="AD735" s="22"/>
      <c r="AE735" s="22"/>
      <c r="AF735" s="22"/>
      <c r="AG735" s="172"/>
      <c r="AH735" s="172"/>
      <c r="AI735" s="172"/>
      <c r="AJ735" s="172"/>
      <c r="AK735" s="172"/>
      <c r="AL735" s="17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  <c r="BK735" s="22"/>
      <c r="BL735" s="22"/>
      <c r="BM735" s="22"/>
      <c r="BN735" s="22"/>
      <c r="BO735" s="22"/>
      <c r="BP735" s="22"/>
      <c r="BQ735" s="22"/>
      <c r="BR735" s="22"/>
      <c r="BS735" s="22"/>
      <c r="BT735" s="22"/>
      <c r="BU735" s="22"/>
    </row>
    <row r="736" ht="16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172"/>
      <c r="AA736" s="172"/>
      <c r="AB736" s="172"/>
      <c r="AC736" s="22"/>
      <c r="AD736" s="22"/>
      <c r="AE736" s="22"/>
      <c r="AF736" s="22"/>
      <c r="AG736" s="172"/>
      <c r="AH736" s="172"/>
      <c r="AI736" s="172"/>
      <c r="AJ736" s="172"/>
      <c r="AK736" s="172"/>
      <c r="AL736" s="17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  <c r="BK736" s="22"/>
      <c r="BL736" s="22"/>
      <c r="BM736" s="22"/>
      <c r="BN736" s="22"/>
      <c r="BO736" s="22"/>
      <c r="BP736" s="22"/>
      <c r="BQ736" s="22"/>
      <c r="BR736" s="22"/>
      <c r="BS736" s="22"/>
      <c r="BT736" s="22"/>
      <c r="BU736" s="22"/>
    </row>
    <row r="737" ht="16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172"/>
      <c r="AA737" s="172"/>
      <c r="AB737" s="172"/>
      <c r="AC737" s="22"/>
      <c r="AD737" s="22"/>
      <c r="AE737" s="22"/>
      <c r="AF737" s="22"/>
      <c r="AG737" s="172"/>
      <c r="AH737" s="172"/>
      <c r="AI737" s="172"/>
      <c r="AJ737" s="172"/>
      <c r="AK737" s="172"/>
      <c r="AL737" s="17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  <c r="BK737" s="22"/>
      <c r="BL737" s="22"/>
      <c r="BM737" s="22"/>
      <c r="BN737" s="22"/>
      <c r="BO737" s="22"/>
      <c r="BP737" s="22"/>
      <c r="BQ737" s="22"/>
      <c r="BR737" s="22"/>
      <c r="BS737" s="22"/>
      <c r="BT737" s="22"/>
      <c r="BU737" s="22"/>
    </row>
    <row r="738" ht="16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172"/>
      <c r="AA738" s="172"/>
      <c r="AB738" s="172"/>
      <c r="AC738" s="22"/>
      <c r="AD738" s="22"/>
      <c r="AE738" s="22"/>
      <c r="AF738" s="22"/>
      <c r="AG738" s="172"/>
      <c r="AH738" s="172"/>
      <c r="AI738" s="172"/>
      <c r="AJ738" s="172"/>
      <c r="AK738" s="172"/>
      <c r="AL738" s="17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  <c r="BK738" s="22"/>
      <c r="BL738" s="22"/>
      <c r="BM738" s="22"/>
      <c r="BN738" s="22"/>
      <c r="BO738" s="22"/>
      <c r="BP738" s="22"/>
      <c r="BQ738" s="22"/>
      <c r="BR738" s="22"/>
      <c r="BS738" s="22"/>
      <c r="BT738" s="22"/>
      <c r="BU738" s="22"/>
    </row>
    <row r="739" ht="16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172"/>
      <c r="AA739" s="172"/>
      <c r="AB739" s="172"/>
      <c r="AC739" s="22"/>
      <c r="AD739" s="22"/>
      <c r="AE739" s="22"/>
      <c r="AF739" s="22"/>
      <c r="AG739" s="172"/>
      <c r="AH739" s="172"/>
      <c r="AI739" s="172"/>
      <c r="AJ739" s="172"/>
      <c r="AK739" s="172"/>
      <c r="AL739" s="17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  <c r="BO739" s="22"/>
      <c r="BP739" s="22"/>
      <c r="BQ739" s="22"/>
      <c r="BR739" s="22"/>
      <c r="BS739" s="22"/>
      <c r="BT739" s="22"/>
      <c r="BU739" s="22"/>
    </row>
    <row r="740" ht="16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172"/>
      <c r="AA740" s="172"/>
      <c r="AB740" s="172"/>
      <c r="AC740" s="22"/>
      <c r="AD740" s="22"/>
      <c r="AE740" s="22"/>
      <c r="AF740" s="22"/>
      <c r="AG740" s="172"/>
      <c r="AH740" s="172"/>
      <c r="AI740" s="172"/>
      <c r="AJ740" s="172"/>
      <c r="AK740" s="172"/>
      <c r="AL740" s="17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  <c r="BK740" s="22"/>
      <c r="BL740" s="22"/>
      <c r="BM740" s="22"/>
      <c r="BN740" s="22"/>
      <c r="BO740" s="22"/>
      <c r="BP740" s="22"/>
      <c r="BQ740" s="22"/>
      <c r="BR740" s="22"/>
      <c r="BS740" s="22"/>
      <c r="BT740" s="22"/>
      <c r="BU740" s="22"/>
    </row>
    <row r="741" ht="16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172"/>
      <c r="AA741" s="172"/>
      <c r="AB741" s="172"/>
      <c r="AC741" s="22"/>
      <c r="AD741" s="22"/>
      <c r="AE741" s="22"/>
      <c r="AF741" s="22"/>
      <c r="AG741" s="172"/>
      <c r="AH741" s="172"/>
      <c r="AI741" s="172"/>
      <c r="AJ741" s="172"/>
      <c r="AK741" s="172"/>
      <c r="AL741" s="17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  <c r="BK741" s="22"/>
      <c r="BL741" s="22"/>
      <c r="BM741" s="22"/>
      <c r="BN741" s="22"/>
      <c r="BO741" s="22"/>
      <c r="BP741" s="22"/>
      <c r="BQ741" s="22"/>
      <c r="BR741" s="22"/>
      <c r="BS741" s="22"/>
      <c r="BT741" s="22"/>
      <c r="BU741" s="22"/>
    </row>
    <row r="742" ht="16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172"/>
      <c r="AA742" s="172"/>
      <c r="AB742" s="172"/>
      <c r="AC742" s="22"/>
      <c r="AD742" s="22"/>
      <c r="AE742" s="22"/>
      <c r="AF742" s="22"/>
      <c r="AG742" s="172"/>
      <c r="AH742" s="172"/>
      <c r="AI742" s="172"/>
      <c r="AJ742" s="172"/>
      <c r="AK742" s="172"/>
      <c r="AL742" s="17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  <c r="BK742" s="22"/>
      <c r="BL742" s="22"/>
      <c r="BM742" s="22"/>
      <c r="BN742" s="22"/>
      <c r="BO742" s="22"/>
      <c r="BP742" s="22"/>
      <c r="BQ742" s="22"/>
      <c r="BR742" s="22"/>
      <c r="BS742" s="22"/>
      <c r="BT742" s="22"/>
      <c r="BU742" s="22"/>
    </row>
    <row r="743" ht="16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172"/>
      <c r="AA743" s="172"/>
      <c r="AB743" s="172"/>
      <c r="AC743" s="22"/>
      <c r="AD743" s="22"/>
      <c r="AE743" s="22"/>
      <c r="AF743" s="22"/>
      <c r="AG743" s="172"/>
      <c r="AH743" s="172"/>
      <c r="AI743" s="172"/>
      <c r="AJ743" s="172"/>
      <c r="AK743" s="172"/>
      <c r="AL743" s="17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22"/>
      <c r="BM743" s="22"/>
      <c r="BN743" s="22"/>
      <c r="BO743" s="22"/>
      <c r="BP743" s="22"/>
      <c r="BQ743" s="22"/>
      <c r="BR743" s="22"/>
      <c r="BS743" s="22"/>
      <c r="BT743" s="22"/>
      <c r="BU743" s="22"/>
    </row>
    <row r="744" ht="16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172"/>
      <c r="AA744" s="172"/>
      <c r="AB744" s="172"/>
      <c r="AC744" s="22"/>
      <c r="AD744" s="22"/>
      <c r="AE744" s="22"/>
      <c r="AF744" s="22"/>
      <c r="AG744" s="172"/>
      <c r="AH744" s="172"/>
      <c r="AI744" s="172"/>
      <c r="AJ744" s="172"/>
      <c r="AK744" s="172"/>
      <c r="AL744" s="17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</row>
    <row r="745" ht="16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172"/>
      <c r="AA745" s="172"/>
      <c r="AB745" s="172"/>
      <c r="AC745" s="22"/>
      <c r="AD745" s="22"/>
      <c r="AE745" s="22"/>
      <c r="AF745" s="22"/>
      <c r="AG745" s="172"/>
      <c r="AH745" s="172"/>
      <c r="AI745" s="172"/>
      <c r="AJ745" s="172"/>
      <c r="AK745" s="172"/>
      <c r="AL745" s="17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  <c r="BK745" s="22"/>
      <c r="BL745" s="22"/>
      <c r="BM745" s="22"/>
      <c r="BN745" s="22"/>
      <c r="BO745" s="22"/>
      <c r="BP745" s="22"/>
      <c r="BQ745" s="22"/>
      <c r="BR745" s="22"/>
      <c r="BS745" s="22"/>
      <c r="BT745" s="22"/>
      <c r="BU745" s="22"/>
    </row>
    <row r="746" ht="16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172"/>
      <c r="AA746" s="172"/>
      <c r="AB746" s="172"/>
      <c r="AC746" s="22"/>
      <c r="AD746" s="22"/>
      <c r="AE746" s="22"/>
      <c r="AF746" s="22"/>
      <c r="AG746" s="172"/>
      <c r="AH746" s="172"/>
      <c r="AI746" s="172"/>
      <c r="AJ746" s="172"/>
      <c r="AK746" s="172"/>
      <c r="AL746" s="17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  <c r="BG746" s="22"/>
      <c r="BH746" s="22"/>
      <c r="BI746" s="22"/>
      <c r="BJ746" s="22"/>
      <c r="BK746" s="22"/>
      <c r="BL746" s="22"/>
      <c r="BM746" s="22"/>
      <c r="BN746" s="22"/>
      <c r="BO746" s="22"/>
      <c r="BP746" s="22"/>
      <c r="BQ746" s="22"/>
      <c r="BR746" s="22"/>
      <c r="BS746" s="22"/>
      <c r="BT746" s="22"/>
      <c r="BU746" s="22"/>
    </row>
    <row r="747" ht="16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172"/>
      <c r="AA747" s="172"/>
      <c r="AB747" s="172"/>
      <c r="AC747" s="22"/>
      <c r="AD747" s="22"/>
      <c r="AE747" s="22"/>
      <c r="AF747" s="22"/>
      <c r="AG747" s="172"/>
      <c r="AH747" s="172"/>
      <c r="AI747" s="172"/>
      <c r="AJ747" s="172"/>
      <c r="AK747" s="172"/>
      <c r="AL747" s="17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  <c r="BK747" s="22"/>
      <c r="BL747" s="22"/>
      <c r="BM747" s="22"/>
      <c r="BN747" s="22"/>
      <c r="BO747" s="22"/>
      <c r="BP747" s="22"/>
      <c r="BQ747" s="22"/>
      <c r="BR747" s="22"/>
      <c r="BS747" s="22"/>
      <c r="BT747" s="22"/>
      <c r="BU747" s="22"/>
    </row>
    <row r="748" ht="16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172"/>
      <c r="AA748" s="172"/>
      <c r="AB748" s="172"/>
      <c r="AC748" s="22"/>
      <c r="AD748" s="22"/>
      <c r="AE748" s="22"/>
      <c r="AF748" s="22"/>
      <c r="AG748" s="172"/>
      <c r="AH748" s="172"/>
      <c r="AI748" s="172"/>
      <c r="AJ748" s="172"/>
      <c r="AK748" s="172"/>
      <c r="AL748" s="17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  <c r="BK748" s="22"/>
      <c r="BL748" s="22"/>
      <c r="BM748" s="22"/>
      <c r="BN748" s="22"/>
      <c r="BO748" s="22"/>
      <c r="BP748" s="22"/>
      <c r="BQ748" s="22"/>
      <c r="BR748" s="22"/>
      <c r="BS748" s="22"/>
      <c r="BT748" s="22"/>
      <c r="BU748" s="22"/>
    </row>
    <row r="749" ht="16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172"/>
      <c r="AA749" s="172"/>
      <c r="AB749" s="172"/>
      <c r="AC749" s="22"/>
      <c r="AD749" s="22"/>
      <c r="AE749" s="22"/>
      <c r="AF749" s="22"/>
      <c r="AG749" s="172"/>
      <c r="AH749" s="172"/>
      <c r="AI749" s="172"/>
      <c r="AJ749" s="172"/>
      <c r="AK749" s="172"/>
      <c r="AL749" s="17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  <c r="BO749" s="22"/>
      <c r="BP749" s="22"/>
      <c r="BQ749" s="22"/>
      <c r="BR749" s="22"/>
      <c r="BS749" s="22"/>
      <c r="BT749" s="22"/>
      <c r="BU749" s="22"/>
    </row>
    <row r="750" ht="16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172"/>
      <c r="AA750" s="172"/>
      <c r="AB750" s="172"/>
      <c r="AC750" s="22"/>
      <c r="AD750" s="22"/>
      <c r="AE750" s="22"/>
      <c r="AF750" s="22"/>
      <c r="AG750" s="172"/>
      <c r="AH750" s="172"/>
      <c r="AI750" s="172"/>
      <c r="AJ750" s="172"/>
      <c r="AK750" s="172"/>
      <c r="AL750" s="17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  <c r="BK750" s="22"/>
      <c r="BL750" s="22"/>
      <c r="BM750" s="22"/>
      <c r="BN750" s="22"/>
      <c r="BO750" s="22"/>
      <c r="BP750" s="22"/>
      <c r="BQ750" s="22"/>
      <c r="BR750" s="22"/>
      <c r="BS750" s="22"/>
      <c r="BT750" s="22"/>
      <c r="BU750" s="22"/>
    </row>
    <row r="751" ht="16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172"/>
      <c r="AA751" s="172"/>
      <c r="AB751" s="172"/>
      <c r="AC751" s="22"/>
      <c r="AD751" s="22"/>
      <c r="AE751" s="22"/>
      <c r="AF751" s="22"/>
      <c r="AG751" s="172"/>
      <c r="AH751" s="172"/>
      <c r="AI751" s="172"/>
      <c r="AJ751" s="172"/>
      <c r="AK751" s="172"/>
      <c r="AL751" s="17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  <c r="BO751" s="22"/>
      <c r="BP751" s="22"/>
      <c r="BQ751" s="22"/>
      <c r="BR751" s="22"/>
      <c r="BS751" s="22"/>
      <c r="BT751" s="22"/>
      <c r="BU751" s="22"/>
    </row>
    <row r="752" ht="16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172"/>
      <c r="AA752" s="172"/>
      <c r="AB752" s="172"/>
      <c r="AC752" s="22"/>
      <c r="AD752" s="22"/>
      <c r="AE752" s="22"/>
      <c r="AF752" s="22"/>
      <c r="AG752" s="172"/>
      <c r="AH752" s="172"/>
      <c r="AI752" s="172"/>
      <c r="AJ752" s="172"/>
      <c r="AK752" s="172"/>
      <c r="AL752" s="17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  <c r="BK752" s="22"/>
      <c r="BL752" s="22"/>
      <c r="BM752" s="22"/>
      <c r="BN752" s="22"/>
      <c r="BO752" s="22"/>
      <c r="BP752" s="22"/>
      <c r="BQ752" s="22"/>
      <c r="BR752" s="22"/>
      <c r="BS752" s="22"/>
      <c r="BT752" s="22"/>
      <c r="BU752" s="22"/>
    </row>
    <row r="753" ht="16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172"/>
      <c r="AA753" s="172"/>
      <c r="AB753" s="172"/>
      <c r="AC753" s="22"/>
      <c r="AD753" s="22"/>
      <c r="AE753" s="22"/>
      <c r="AF753" s="22"/>
      <c r="AG753" s="172"/>
      <c r="AH753" s="172"/>
      <c r="AI753" s="172"/>
      <c r="AJ753" s="172"/>
      <c r="AK753" s="172"/>
      <c r="AL753" s="17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  <c r="BK753" s="22"/>
      <c r="BL753" s="22"/>
      <c r="BM753" s="22"/>
      <c r="BN753" s="22"/>
      <c r="BO753" s="22"/>
      <c r="BP753" s="22"/>
      <c r="BQ753" s="22"/>
      <c r="BR753" s="22"/>
      <c r="BS753" s="22"/>
      <c r="BT753" s="22"/>
      <c r="BU753" s="22"/>
    </row>
    <row r="754" ht="16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172"/>
      <c r="AA754" s="172"/>
      <c r="AB754" s="172"/>
      <c r="AC754" s="22"/>
      <c r="AD754" s="22"/>
      <c r="AE754" s="22"/>
      <c r="AF754" s="22"/>
      <c r="AG754" s="172"/>
      <c r="AH754" s="172"/>
      <c r="AI754" s="172"/>
      <c r="AJ754" s="172"/>
      <c r="AK754" s="172"/>
      <c r="AL754" s="17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  <c r="BK754" s="22"/>
      <c r="BL754" s="22"/>
      <c r="BM754" s="22"/>
      <c r="BN754" s="22"/>
      <c r="BO754" s="22"/>
      <c r="BP754" s="22"/>
      <c r="BQ754" s="22"/>
      <c r="BR754" s="22"/>
      <c r="BS754" s="22"/>
      <c r="BT754" s="22"/>
      <c r="BU754" s="22"/>
    </row>
    <row r="755" ht="16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172"/>
      <c r="AA755" s="172"/>
      <c r="AB755" s="172"/>
      <c r="AC755" s="22"/>
      <c r="AD755" s="22"/>
      <c r="AE755" s="22"/>
      <c r="AF755" s="22"/>
      <c r="AG755" s="172"/>
      <c r="AH755" s="172"/>
      <c r="AI755" s="172"/>
      <c r="AJ755" s="172"/>
      <c r="AK755" s="172"/>
      <c r="AL755" s="17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  <c r="BK755" s="22"/>
      <c r="BL755" s="22"/>
      <c r="BM755" s="22"/>
      <c r="BN755" s="22"/>
      <c r="BO755" s="22"/>
      <c r="BP755" s="22"/>
      <c r="BQ755" s="22"/>
      <c r="BR755" s="22"/>
      <c r="BS755" s="22"/>
      <c r="BT755" s="22"/>
      <c r="BU755" s="22"/>
    </row>
    <row r="756" ht="16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172"/>
      <c r="AA756" s="172"/>
      <c r="AB756" s="172"/>
      <c r="AC756" s="22"/>
      <c r="AD756" s="22"/>
      <c r="AE756" s="22"/>
      <c r="AF756" s="22"/>
      <c r="AG756" s="172"/>
      <c r="AH756" s="172"/>
      <c r="AI756" s="172"/>
      <c r="AJ756" s="172"/>
      <c r="AK756" s="172"/>
      <c r="AL756" s="17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22"/>
      <c r="BL756" s="22"/>
      <c r="BM756" s="22"/>
      <c r="BN756" s="22"/>
      <c r="BO756" s="22"/>
      <c r="BP756" s="22"/>
      <c r="BQ756" s="22"/>
      <c r="BR756" s="22"/>
      <c r="BS756" s="22"/>
      <c r="BT756" s="22"/>
      <c r="BU756" s="22"/>
    </row>
    <row r="757" ht="16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172"/>
      <c r="AA757" s="172"/>
      <c r="AB757" s="172"/>
      <c r="AC757" s="22"/>
      <c r="AD757" s="22"/>
      <c r="AE757" s="22"/>
      <c r="AF757" s="22"/>
      <c r="AG757" s="172"/>
      <c r="AH757" s="172"/>
      <c r="AI757" s="172"/>
      <c r="AJ757" s="172"/>
      <c r="AK757" s="172"/>
      <c r="AL757" s="17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22"/>
      <c r="BL757" s="22"/>
      <c r="BM757" s="22"/>
      <c r="BN757" s="22"/>
      <c r="BO757" s="22"/>
      <c r="BP757" s="22"/>
      <c r="BQ757" s="22"/>
      <c r="BR757" s="22"/>
      <c r="BS757" s="22"/>
      <c r="BT757" s="22"/>
      <c r="BU757" s="22"/>
    </row>
    <row r="758" ht="16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172"/>
      <c r="AA758" s="172"/>
      <c r="AB758" s="172"/>
      <c r="AC758" s="22"/>
      <c r="AD758" s="22"/>
      <c r="AE758" s="22"/>
      <c r="AF758" s="22"/>
      <c r="AG758" s="172"/>
      <c r="AH758" s="172"/>
      <c r="AI758" s="172"/>
      <c r="AJ758" s="172"/>
      <c r="AK758" s="172"/>
      <c r="AL758" s="17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  <c r="BK758" s="22"/>
      <c r="BL758" s="22"/>
      <c r="BM758" s="22"/>
      <c r="BN758" s="22"/>
      <c r="BO758" s="22"/>
      <c r="BP758" s="22"/>
      <c r="BQ758" s="22"/>
      <c r="BR758" s="22"/>
      <c r="BS758" s="22"/>
      <c r="BT758" s="22"/>
      <c r="BU758" s="22"/>
    </row>
    <row r="759" ht="16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172"/>
      <c r="AA759" s="172"/>
      <c r="AB759" s="172"/>
      <c r="AC759" s="22"/>
      <c r="AD759" s="22"/>
      <c r="AE759" s="22"/>
      <c r="AF759" s="22"/>
      <c r="AG759" s="172"/>
      <c r="AH759" s="172"/>
      <c r="AI759" s="172"/>
      <c r="AJ759" s="172"/>
      <c r="AK759" s="172"/>
      <c r="AL759" s="17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  <c r="BK759" s="22"/>
      <c r="BL759" s="22"/>
      <c r="BM759" s="22"/>
      <c r="BN759" s="22"/>
      <c r="BO759" s="22"/>
      <c r="BP759" s="22"/>
      <c r="BQ759" s="22"/>
      <c r="BR759" s="22"/>
      <c r="BS759" s="22"/>
      <c r="BT759" s="22"/>
      <c r="BU759" s="22"/>
    </row>
    <row r="760" ht="16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172"/>
      <c r="AA760" s="172"/>
      <c r="AB760" s="172"/>
      <c r="AC760" s="22"/>
      <c r="AD760" s="22"/>
      <c r="AE760" s="22"/>
      <c r="AF760" s="22"/>
      <c r="AG760" s="172"/>
      <c r="AH760" s="172"/>
      <c r="AI760" s="172"/>
      <c r="AJ760" s="172"/>
      <c r="AK760" s="172"/>
      <c r="AL760" s="17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  <c r="BK760" s="22"/>
      <c r="BL760" s="22"/>
      <c r="BM760" s="22"/>
      <c r="BN760" s="22"/>
      <c r="BO760" s="22"/>
      <c r="BP760" s="22"/>
      <c r="BQ760" s="22"/>
      <c r="BR760" s="22"/>
      <c r="BS760" s="22"/>
      <c r="BT760" s="22"/>
      <c r="BU760" s="22"/>
    </row>
    <row r="761" ht="16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172"/>
      <c r="AA761" s="172"/>
      <c r="AB761" s="172"/>
      <c r="AC761" s="22"/>
      <c r="AD761" s="22"/>
      <c r="AE761" s="22"/>
      <c r="AF761" s="22"/>
      <c r="AG761" s="172"/>
      <c r="AH761" s="172"/>
      <c r="AI761" s="172"/>
      <c r="AJ761" s="172"/>
      <c r="AK761" s="172"/>
      <c r="AL761" s="17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  <c r="BK761" s="22"/>
      <c r="BL761" s="22"/>
      <c r="BM761" s="22"/>
      <c r="BN761" s="22"/>
      <c r="BO761" s="22"/>
      <c r="BP761" s="22"/>
      <c r="BQ761" s="22"/>
      <c r="BR761" s="22"/>
      <c r="BS761" s="22"/>
      <c r="BT761" s="22"/>
      <c r="BU761" s="22"/>
    </row>
    <row r="762" ht="16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172"/>
      <c r="AA762" s="172"/>
      <c r="AB762" s="172"/>
      <c r="AC762" s="22"/>
      <c r="AD762" s="22"/>
      <c r="AE762" s="22"/>
      <c r="AF762" s="22"/>
      <c r="AG762" s="172"/>
      <c r="AH762" s="172"/>
      <c r="AI762" s="172"/>
      <c r="AJ762" s="172"/>
      <c r="AK762" s="172"/>
      <c r="AL762" s="17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  <c r="BK762" s="22"/>
      <c r="BL762" s="22"/>
      <c r="BM762" s="22"/>
      <c r="BN762" s="22"/>
      <c r="BO762" s="22"/>
      <c r="BP762" s="22"/>
      <c r="BQ762" s="22"/>
      <c r="BR762" s="22"/>
      <c r="BS762" s="22"/>
      <c r="BT762" s="22"/>
      <c r="BU762" s="22"/>
    </row>
    <row r="763" ht="16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172"/>
      <c r="AA763" s="172"/>
      <c r="AB763" s="172"/>
      <c r="AC763" s="22"/>
      <c r="AD763" s="22"/>
      <c r="AE763" s="22"/>
      <c r="AF763" s="22"/>
      <c r="AG763" s="172"/>
      <c r="AH763" s="172"/>
      <c r="AI763" s="172"/>
      <c r="AJ763" s="172"/>
      <c r="AK763" s="172"/>
      <c r="AL763" s="17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  <c r="BK763" s="22"/>
      <c r="BL763" s="22"/>
      <c r="BM763" s="22"/>
      <c r="BN763" s="22"/>
      <c r="BO763" s="22"/>
      <c r="BP763" s="22"/>
      <c r="BQ763" s="22"/>
      <c r="BR763" s="22"/>
      <c r="BS763" s="22"/>
      <c r="BT763" s="22"/>
      <c r="BU763" s="22"/>
    </row>
    <row r="764" ht="16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172"/>
      <c r="AA764" s="172"/>
      <c r="AB764" s="172"/>
      <c r="AC764" s="22"/>
      <c r="AD764" s="22"/>
      <c r="AE764" s="22"/>
      <c r="AF764" s="22"/>
      <c r="AG764" s="172"/>
      <c r="AH764" s="172"/>
      <c r="AI764" s="172"/>
      <c r="AJ764" s="172"/>
      <c r="AK764" s="172"/>
      <c r="AL764" s="17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  <c r="BO764" s="22"/>
      <c r="BP764" s="22"/>
      <c r="BQ764" s="22"/>
      <c r="BR764" s="22"/>
      <c r="BS764" s="22"/>
      <c r="BT764" s="22"/>
      <c r="BU764" s="22"/>
    </row>
    <row r="765" ht="16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172"/>
      <c r="AA765" s="172"/>
      <c r="AB765" s="172"/>
      <c r="AC765" s="22"/>
      <c r="AD765" s="22"/>
      <c r="AE765" s="22"/>
      <c r="AF765" s="22"/>
      <c r="AG765" s="172"/>
      <c r="AH765" s="172"/>
      <c r="AI765" s="172"/>
      <c r="AJ765" s="172"/>
      <c r="AK765" s="172"/>
      <c r="AL765" s="17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  <c r="BO765" s="22"/>
      <c r="BP765" s="22"/>
      <c r="BQ765" s="22"/>
      <c r="BR765" s="22"/>
      <c r="BS765" s="22"/>
      <c r="BT765" s="22"/>
      <c r="BU765" s="22"/>
    </row>
    <row r="766" ht="16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172"/>
      <c r="AA766" s="172"/>
      <c r="AB766" s="172"/>
      <c r="AC766" s="22"/>
      <c r="AD766" s="22"/>
      <c r="AE766" s="22"/>
      <c r="AF766" s="22"/>
      <c r="AG766" s="172"/>
      <c r="AH766" s="172"/>
      <c r="AI766" s="172"/>
      <c r="AJ766" s="172"/>
      <c r="AK766" s="172"/>
      <c r="AL766" s="17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22"/>
      <c r="BL766" s="22"/>
      <c r="BM766" s="22"/>
      <c r="BN766" s="22"/>
      <c r="BO766" s="22"/>
      <c r="BP766" s="22"/>
      <c r="BQ766" s="22"/>
      <c r="BR766" s="22"/>
      <c r="BS766" s="22"/>
      <c r="BT766" s="22"/>
      <c r="BU766" s="22"/>
    </row>
    <row r="767" ht="16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172"/>
      <c r="AA767" s="172"/>
      <c r="AB767" s="172"/>
      <c r="AC767" s="22"/>
      <c r="AD767" s="22"/>
      <c r="AE767" s="22"/>
      <c r="AF767" s="22"/>
      <c r="AG767" s="172"/>
      <c r="AH767" s="172"/>
      <c r="AI767" s="172"/>
      <c r="AJ767" s="172"/>
      <c r="AK767" s="172"/>
      <c r="AL767" s="17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22"/>
      <c r="BL767" s="22"/>
      <c r="BM767" s="22"/>
      <c r="BN767" s="22"/>
      <c r="BO767" s="22"/>
      <c r="BP767" s="22"/>
      <c r="BQ767" s="22"/>
      <c r="BR767" s="22"/>
      <c r="BS767" s="22"/>
      <c r="BT767" s="22"/>
      <c r="BU767" s="22"/>
    </row>
    <row r="768" ht="16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172"/>
      <c r="AA768" s="172"/>
      <c r="AB768" s="172"/>
      <c r="AC768" s="22"/>
      <c r="AD768" s="22"/>
      <c r="AE768" s="22"/>
      <c r="AF768" s="22"/>
      <c r="AG768" s="172"/>
      <c r="AH768" s="172"/>
      <c r="AI768" s="172"/>
      <c r="AJ768" s="172"/>
      <c r="AK768" s="172"/>
      <c r="AL768" s="17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  <c r="BO768" s="22"/>
      <c r="BP768" s="22"/>
      <c r="BQ768" s="22"/>
      <c r="BR768" s="22"/>
      <c r="BS768" s="22"/>
      <c r="BT768" s="22"/>
      <c r="BU768" s="22"/>
    </row>
    <row r="769" ht="16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172"/>
      <c r="AA769" s="172"/>
      <c r="AB769" s="172"/>
      <c r="AC769" s="22"/>
      <c r="AD769" s="22"/>
      <c r="AE769" s="22"/>
      <c r="AF769" s="22"/>
      <c r="AG769" s="172"/>
      <c r="AH769" s="172"/>
      <c r="AI769" s="172"/>
      <c r="AJ769" s="172"/>
      <c r="AK769" s="172"/>
      <c r="AL769" s="17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22"/>
      <c r="BL769" s="22"/>
      <c r="BM769" s="22"/>
      <c r="BN769" s="22"/>
      <c r="BO769" s="22"/>
      <c r="BP769" s="22"/>
      <c r="BQ769" s="22"/>
      <c r="BR769" s="22"/>
      <c r="BS769" s="22"/>
      <c r="BT769" s="22"/>
      <c r="BU769" s="22"/>
    </row>
    <row r="770" ht="16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172"/>
      <c r="AA770" s="172"/>
      <c r="AB770" s="172"/>
      <c r="AC770" s="22"/>
      <c r="AD770" s="22"/>
      <c r="AE770" s="22"/>
      <c r="AF770" s="22"/>
      <c r="AG770" s="172"/>
      <c r="AH770" s="172"/>
      <c r="AI770" s="172"/>
      <c r="AJ770" s="172"/>
      <c r="AK770" s="172"/>
      <c r="AL770" s="17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22"/>
      <c r="BM770" s="22"/>
      <c r="BN770" s="22"/>
      <c r="BO770" s="22"/>
      <c r="BP770" s="22"/>
      <c r="BQ770" s="22"/>
      <c r="BR770" s="22"/>
      <c r="BS770" s="22"/>
      <c r="BT770" s="22"/>
      <c r="BU770" s="22"/>
    </row>
    <row r="771" ht="16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172"/>
      <c r="AA771" s="172"/>
      <c r="AB771" s="172"/>
      <c r="AC771" s="22"/>
      <c r="AD771" s="22"/>
      <c r="AE771" s="22"/>
      <c r="AF771" s="22"/>
      <c r="AG771" s="172"/>
      <c r="AH771" s="172"/>
      <c r="AI771" s="172"/>
      <c r="AJ771" s="172"/>
      <c r="AK771" s="172"/>
      <c r="AL771" s="17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  <c r="BK771" s="22"/>
      <c r="BL771" s="22"/>
      <c r="BM771" s="22"/>
      <c r="BN771" s="22"/>
      <c r="BO771" s="22"/>
      <c r="BP771" s="22"/>
      <c r="BQ771" s="22"/>
      <c r="BR771" s="22"/>
      <c r="BS771" s="22"/>
      <c r="BT771" s="22"/>
      <c r="BU771" s="22"/>
    </row>
    <row r="772" ht="16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172"/>
      <c r="AA772" s="172"/>
      <c r="AB772" s="172"/>
      <c r="AC772" s="22"/>
      <c r="AD772" s="22"/>
      <c r="AE772" s="22"/>
      <c r="AF772" s="22"/>
      <c r="AG772" s="172"/>
      <c r="AH772" s="172"/>
      <c r="AI772" s="172"/>
      <c r="AJ772" s="172"/>
      <c r="AK772" s="172"/>
      <c r="AL772" s="17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  <c r="BK772" s="22"/>
      <c r="BL772" s="22"/>
      <c r="BM772" s="22"/>
      <c r="BN772" s="22"/>
      <c r="BO772" s="22"/>
      <c r="BP772" s="22"/>
      <c r="BQ772" s="22"/>
      <c r="BR772" s="22"/>
      <c r="BS772" s="22"/>
      <c r="BT772" s="22"/>
      <c r="BU772" s="22"/>
    </row>
    <row r="773" ht="16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172"/>
      <c r="AA773" s="172"/>
      <c r="AB773" s="172"/>
      <c r="AC773" s="22"/>
      <c r="AD773" s="22"/>
      <c r="AE773" s="22"/>
      <c r="AF773" s="22"/>
      <c r="AG773" s="172"/>
      <c r="AH773" s="172"/>
      <c r="AI773" s="172"/>
      <c r="AJ773" s="172"/>
      <c r="AK773" s="172"/>
      <c r="AL773" s="17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  <c r="BK773" s="22"/>
      <c r="BL773" s="22"/>
      <c r="BM773" s="22"/>
      <c r="BN773" s="22"/>
      <c r="BO773" s="22"/>
      <c r="BP773" s="22"/>
      <c r="BQ773" s="22"/>
      <c r="BR773" s="22"/>
      <c r="BS773" s="22"/>
      <c r="BT773" s="22"/>
      <c r="BU773" s="22"/>
    </row>
    <row r="774" ht="16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172"/>
      <c r="AA774" s="172"/>
      <c r="AB774" s="172"/>
      <c r="AC774" s="22"/>
      <c r="AD774" s="22"/>
      <c r="AE774" s="22"/>
      <c r="AF774" s="22"/>
      <c r="AG774" s="172"/>
      <c r="AH774" s="172"/>
      <c r="AI774" s="172"/>
      <c r="AJ774" s="172"/>
      <c r="AK774" s="172"/>
      <c r="AL774" s="17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</row>
    <row r="775" ht="16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172"/>
      <c r="AA775" s="172"/>
      <c r="AB775" s="172"/>
      <c r="AC775" s="22"/>
      <c r="AD775" s="22"/>
      <c r="AE775" s="22"/>
      <c r="AF775" s="22"/>
      <c r="AG775" s="172"/>
      <c r="AH775" s="172"/>
      <c r="AI775" s="172"/>
      <c r="AJ775" s="172"/>
      <c r="AK775" s="172"/>
      <c r="AL775" s="17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  <c r="BK775" s="22"/>
      <c r="BL775" s="22"/>
      <c r="BM775" s="22"/>
      <c r="BN775" s="22"/>
      <c r="BO775" s="22"/>
      <c r="BP775" s="22"/>
      <c r="BQ775" s="22"/>
      <c r="BR775" s="22"/>
      <c r="BS775" s="22"/>
      <c r="BT775" s="22"/>
      <c r="BU775" s="22"/>
    </row>
    <row r="776" ht="16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172"/>
      <c r="AA776" s="172"/>
      <c r="AB776" s="172"/>
      <c r="AC776" s="22"/>
      <c r="AD776" s="22"/>
      <c r="AE776" s="22"/>
      <c r="AF776" s="22"/>
      <c r="AG776" s="172"/>
      <c r="AH776" s="172"/>
      <c r="AI776" s="172"/>
      <c r="AJ776" s="172"/>
      <c r="AK776" s="172"/>
      <c r="AL776" s="17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</row>
    <row r="777" ht="16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172"/>
      <c r="AA777" s="172"/>
      <c r="AB777" s="172"/>
      <c r="AC777" s="22"/>
      <c r="AD777" s="22"/>
      <c r="AE777" s="22"/>
      <c r="AF777" s="22"/>
      <c r="AG777" s="172"/>
      <c r="AH777" s="172"/>
      <c r="AI777" s="172"/>
      <c r="AJ777" s="172"/>
      <c r="AK777" s="172"/>
      <c r="AL777" s="17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  <c r="BK777" s="22"/>
      <c r="BL777" s="22"/>
      <c r="BM777" s="22"/>
      <c r="BN777" s="22"/>
      <c r="BO777" s="22"/>
      <c r="BP777" s="22"/>
      <c r="BQ777" s="22"/>
      <c r="BR777" s="22"/>
      <c r="BS777" s="22"/>
      <c r="BT777" s="22"/>
      <c r="BU777" s="22"/>
    </row>
    <row r="778" ht="16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172"/>
      <c r="AA778" s="172"/>
      <c r="AB778" s="172"/>
      <c r="AC778" s="22"/>
      <c r="AD778" s="22"/>
      <c r="AE778" s="22"/>
      <c r="AF778" s="22"/>
      <c r="AG778" s="172"/>
      <c r="AH778" s="172"/>
      <c r="AI778" s="172"/>
      <c r="AJ778" s="172"/>
      <c r="AK778" s="172"/>
      <c r="AL778" s="17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  <c r="BT778" s="22"/>
      <c r="BU778" s="22"/>
    </row>
    <row r="779" ht="16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172"/>
      <c r="AA779" s="172"/>
      <c r="AB779" s="172"/>
      <c r="AC779" s="22"/>
      <c r="AD779" s="22"/>
      <c r="AE779" s="22"/>
      <c r="AF779" s="22"/>
      <c r="AG779" s="172"/>
      <c r="AH779" s="172"/>
      <c r="AI779" s="172"/>
      <c r="AJ779" s="172"/>
      <c r="AK779" s="172"/>
      <c r="AL779" s="17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  <c r="BO779" s="22"/>
      <c r="BP779" s="22"/>
      <c r="BQ779" s="22"/>
      <c r="BR779" s="22"/>
      <c r="BS779" s="22"/>
      <c r="BT779" s="22"/>
      <c r="BU779" s="22"/>
    </row>
    <row r="780" ht="16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172"/>
      <c r="AA780" s="172"/>
      <c r="AB780" s="172"/>
      <c r="AC780" s="22"/>
      <c r="AD780" s="22"/>
      <c r="AE780" s="22"/>
      <c r="AF780" s="22"/>
      <c r="AG780" s="172"/>
      <c r="AH780" s="172"/>
      <c r="AI780" s="172"/>
      <c r="AJ780" s="172"/>
      <c r="AK780" s="172"/>
      <c r="AL780" s="17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  <c r="BK780" s="22"/>
      <c r="BL780" s="22"/>
      <c r="BM780" s="22"/>
      <c r="BN780" s="22"/>
      <c r="BO780" s="22"/>
      <c r="BP780" s="22"/>
      <c r="BQ780" s="22"/>
      <c r="BR780" s="22"/>
      <c r="BS780" s="22"/>
      <c r="BT780" s="22"/>
      <c r="BU780" s="22"/>
    </row>
    <row r="781" ht="16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172"/>
      <c r="AA781" s="172"/>
      <c r="AB781" s="172"/>
      <c r="AC781" s="22"/>
      <c r="AD781" s="22"/>
      <c r="AE781" s="22"/>
      <c r="AF781" s="22"/>
      <c r="AG781" s="172"/>
      <c r="AH781" s="172"/>
      <c r="AI781" s="172"/>
      <c r="AJ781" s="172"/>
      <c r="AK781" s="172"/>
      <c r="AL781" s="17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  <c r="BK781" s="22"/>
      <c r="BL781" s="22"/>
      <c r="BM781" s="22"/>
      <c r="BN781" s="22"/>
      <c r="BO781" s="22"/>
      <c r="BP781" s="22"/>
      <c r="BQ781" s="22"/>
      <c r="BR781" s="22"/>
      <c r="BS781" s="22"/>
      <c r="BT781" s="22"/>
      <c r="BU781" s="22"/>
    </row>
    <row r="782" ht="16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172"/>
      <c r="AA782" s="172"/>
      <c r="AB782" s="172"/>
      <c r="AC782" s="22"/>
      <c r="AD782" s="22"/>
      <c r="AE782" s="22"/>
      <c r="AF782" s="22"/>
      <c r="AG782" s="172"/>
      <c r="AH782" s="172"/>
      <c r="AI782" s="172"/>
      <c r="AJ782" s="172"/>
      <c r="AK782" s="172"/>
      <c r="AL782" s="17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  <c r="BK782" s="22"/>
      <c r="BL782" s="22"/>
      <c r="BM782" s="22"/>
      <c r="BN782" s="22"/>
      <c r="BO782" s="22"/>
      <c r="BP782" s="22"/>
      <c r="BQ782" s="22"/>
      <c r="BR782" s="22"/>
      <c r="BS782" s="22"/>
      <c r="BT782" s="22"/>
      <c r="BU782" s="22"/>
    </row>
    <row r="783" ht="16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172"/>
      <c r="AA783" s="172"/>
      <c r="AB783" s="172"/>
      <c r="AC783" s="22"/>
      <c r="AD783" s="22"/>
      <c r="AE783" s="22"/>
      <c r="AF783" s="22"/>
      <c r="AG783" s="172"/>
      <c r="AH783" s="172"/>
      <c r="AI783" s="172"/>
      <c r="AJ783" s="172"/>
      <c r="AK783" s="172"/>
      <c r="AL783" s="17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  <c r="BO783" s="22"/>
      <c r="BP783" s="22"/>
      <c r="BQ783" s="22"/>
      <c r="BR783" s="22"/>
      <c r="BS783" s="22"/>
      <c r="BT783" s="22"/>
      <c r="BU783" s="22"/>
    </row>
    <row r="784" ht="16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172"/>
      <c r="AA784" s="172"/>
      <c r="AB784" s="172"/>
      <c r="AC784" s="22"/>
      <c r="AD784" s="22"/>
      <c r="AE784" s="22"/>
      <c r="AF784" s="22"/>
      <c r="AG784" s="172"/>
      <c r="AH784" s="172"/>
      <c r="AI784" s="172"/>
      <c r="AJ784" s="172"/>
      <c r="AK784" s="172"/>
      <c r="AL784" s="17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  <c r="BO784" s="22"/>
      <c r="BP784" s="22"/>
      <c r="BQ784" s="22"/>
      <c r="BR784" s="22"/>
      <c r="BS784" s="22"/>
      <c r="BT784" s="22"/>
      <c r="BU784" s="22"/>
    </row>
    <row r="785" ht="16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172"/>
      <c r="AA785" s="172"/>
      <c r="AB785" s="172"/>
      <c r="AC785" s="22"/>
      <c r="AD785" s="22"/>
      <c r="AE785" s="22"/>
      <c r="AF785" s="22"/>
      <c r="AG785" s="172"/>
      <c r="AH785" s="172"/>
      <c r="AI785" s="172"/>
      <c r="AJ785" s="172"/>
      <c r="AK785" s="172"/>
      <c r="AL785" s="17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  <c r="BK785" s="22"/>
      <c r="BL785" s="22"/>
      <c r="BM785" s="22"/>
      <c r="BN785" s="22"/>
      <c r="BO785" s="22"/>
      <c r="BP785" s="22"/>
      <c r="BQ785" s="22"/>
      <c r="BR785" s="22"/>
      <c r="BS785" s="22"/>
      <c r="BT785" s="22"/>
      <c r="BU785" s="22"/>
    </row>
    <row r="786" ht="16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172"/>
      <c r="AA786" s="172"/>
      <c r="AB786" s="172"/>
      <c r="AC786" s="22"/>
      <c r="AD786" s="22"/>
      <c r="AE786" s="22"/>
      <c r="AF786" s="22"/>
      <c r="AG786" s="172"/>
      <c r="AH786" s="172"/>
      <c r="AI786" s="172"/>
      <c r="AJ786" s="172"/>
      <c r="AK786" s="172"/>
      <c r="AL786" s="17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  <c r="BK786" s="22"/>
      <c r="BL786" s="22"/>
      <c r="BM786" s="22"/>
      <c r="BN786" s="22"/>
      <c r="BO786" s="22"/>
      <c r="BP786" s="22"/>
      <c r="BQ786" s="22"/>
      <c r="BR786" s="22"/>
      <c r="BS786" s="22"/>
      <c r="BT786" s="22"/>
      <c r="BU786" s="22"/>
    </row>
    <row r="787" ht="16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172"/>
      <c r="AA787" s="172"/>
      <c r="AB787" s="172"/>
      <c r="AC787" s="22"/>
      <c r="AD787" s="22"/>
      <c r="AE787" s="22"/>
      <c r="AF787" s="22"/>
      <c r="AG787" s="172"/>
      <c r="AH787" s="172"/>
      <c r="AI787" s="172"/>
      <c r="AJ787" s="172"/>
      <c r="AK787" s="172"/>
      <c r="AL787" s="17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  <c r="BO787" s="22"/>
      <c r="BP787" s="22"/>
      <c r="BQ787" s="22"/>
      <c r="BR787" s="22"/>
      <c r="BS787" s="22"/>
      <c r="BT787" s="22"/>
      <c r="BU787" s="22"/>
    </row>
    <row r="788" ht="16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172"/>
      <c r="AA788" s="172"/>
      <c r="AB788" s="172"/>
      <c r="AC788" s="22"/>
      <c r="AD788" s="22"/>
      <c r="AE788" s="22"/>
      <c r="AF788" s="22"/>
      <c r="AG788" s="172"/>
      <c r="AH788" s="172"/>
      <c r="AI788" s="172"/>
      <c r="AJ788" s="172"/>
      <c r="AK788" s="172"/>
      <c r="AL788" s="17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  <c r="BP788" s="22"/>
      <c r="BQ788" s="22"/>
      <c r="BR788" s="22"/>
      <c r="BS788" s="22"/>
      <c r="BT788" s="22"/>
      <c r="BU788" s="22"/>
    </row>
    <row r="789" ht="16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172"/>
      <c r="AA789" s="172"/>
      <c r="AB789" s="172"/>
      <c r="AC789" s="22"/>
      <c r="AD789" s="22"/>
      <c r="AE789" s="22"/>
      <c r="AF789" s="22"/>
      <c r="AG789" s="172"/>
      <c r="AH789" s="172"/>
      <c r="AI789" s="172"/>
      <c r="AJ789" s="172"/>
      <c r="AK789" s="172"/>
      <c r="AL789" s="17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22"/>
      <c r="BL789" s="22"/>
      <c r="BM789" s="22"/>
      <c r="BN789" s="22"/>
      <c r="BO789" s="22"/>
      <c r="BP789" s="22"/>
      <c r="BQ789" s="22"/>
      <c r="BR789" s="22"/>
      <c r="BS789" s="22"/>
      <c r="BT789" s="22"/>
      <c r="BU789" s="22"/>
    </row>
    <row r="790" ht="16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172"/>
      <c r="AA790" s="172"/>
      <c r="AB790" s="172"/>
      <c r="AC790" s="22"/>
      <c r="AD790" s="22"/>
      <c r="AE790" s="22"/>
      <c r="AF790" s="22"/>
      <c r="AG790" s="172"/>
      <c r="AH790" s="172"/>
      <c r="AI790" s="172"/>
      <c r="AJ790" s="172"/>
      <c r="AK790" s="172"/>
      <c r="AL790" s="17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  <c r="BK790" s="22"/>
      <c r="BL790" s="22"/>
      <c r="BM790" s="22"/>
      <c r="BN790" s="22"/>
      <c r="BO790" s="22"/>
      <c r="BP790" s="22"/>
      <c r="BQ790" s="22"/>
      <c r="BR790" s="22"/>
      <c r="BS790" s="22"/>
      <c r="BT790" s="22"/>
      <c r="BU790" s="22"/>
    </row>
    <row r="791" ht="16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172"/>
      <c r="AA791" s="172"/>
      <c r="AB791" s="172"/>
      <c r="AC791" s="22"/>
      <c r="AD791" s="22"/>
      <c r="AE791" s="22"/>
      <c r="AF791" s="22"/>
      <c r="AG791" s="172"/>
      <c r="AH791" s="172"/>
      <c r="AI791" s="172"/>
      <c r="AJ791" s="172"/>
      <c r="AK791" s="172"/>
      <c r="AL791" s="17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</row>
    <row r="792" ht="16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172"/>
      <c r="AA792" s="172"/>
      <c r="AB792" s="172"/>
      <c r="AC792" s="22"/>
      <c r="AD792" s="22"/>
      <c r="AE792" s="22"/>
      <c r="AF792" s="22"/>
      <c r="AG792" s="172"/>
      <c r="AH792" s="172"/>
      <c r="AI792" s="172"/>
      <c r="AJ792" s="172"/>
      <c r="AK792" s="172"/>
      <c r="AL792" s="17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  <c r="BK792" s="22"/>
      <c r="BL792" s="22"/>
      <c r="BM792" s="22"/>
      <c r="BN792" s="22"/>
      <c r="BO792" s="22"/>
      <c r="BP792" s="22"/>
      <c r="BQ792" s="22"/>
      <c r="BR792" s="22"/>
      <c r="BS792" s="22"/>
      <c r="BT792" s="22"/>
      <c r="BU792" s="22"/>
    </row>
    <row r="793" ht="16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172"/>
      <c r="AA793" s="172"/>
      <c r="AB793" s="172"/>
      <c r="AC793" s="22"/>
      <c r="AD793" s="22"/>
      <c r="AE793" s="22"/>
      <c r="AF793" s="22"/>
      <c r="AG793" s="172"/>
      <c r="AH793" s="172"/>
      <c r="AI793" s="172"/>
      <c r="AJ793" s="172"/>
      <c r="AK793" s="172"/>
      <c r="AL793" s="17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  <c r="BK793" s="22"/>
      <c r="BL793" s="22"/>
      <c r="BM793" s="22"/>
      <c r="BN793" s="22"/>
      <c r="BO793" s="22"/>
      <c r="BP793" s="22"/>
      <c r="BQ793" s="22"/>
      <c r="BR793" s="22"/>
      <c r="BS793" s="22"/>
      <c r="BT793" s="22"/>
      <c r="BU793" s="22"/>
    </row>
    <row r="794" ht="16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172"/>
      <c r="AA794" s="172"/>
      <c r="AB794" s="172"/>
      <c r="AC794" s="22"/>
      <c r="AD794" s="22"/>
      <c r="AE794" s="22"/>
      <c r="AF794" s="22"/>
      <c r="AG794" s="172"/>
      <c r="AH794" s="172"/>
      <c r="AI794" s="172"/>
      <c r="AJ794" s="172"/>
      <c r="AK794" s="172"/>
      <c r="AL794" s="17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  <c r="BK794" s="22"/>
      <c r="BL794" s="22"/>
      <c r="BM794" s="22"/>
      <c r="BN794" s="22"/>
      <c r="BO794" s="22"/>
      <c r="BP794" s="22"/>
      <c r="BQ794" s="22"/>
      <c r="BR794" s="22"/>
      <c r="BS794" s="22"/>
      <c r="BT794" s="22"/>
      <c r="BU794" s="22"/>
    </row>
    <row r="795" ht="16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172"/>
      <c r="AA795" s="172"/>
      <c r="AB795" s="172"/>
      <c r="AC795" s="22"/>
      <c r="AD795" s="22"/>
      <c r="AE795" s="22"/>
      <c r="AF795" s="22"/>
      <c r="AG795" s="172"/>
      <c r="AH795" s="172"/>
      <c r="AI795" s="172"/>
      <c r="AJ795" s="172"/>
      <c r="AK795" s="172"/>
      <c r="AL795" s="17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  <c r="BO795" s="22"/>
      <c r="BP795" s="22"/>
      <c r="BQ795" s="22"/>
      <c r="BR795" s="22"/>
      <c r="BS795" s="22"/>
      <c r="BT795" s="22"/>
      <c r="BU795" s="22"/>
    </row>
    <row r="796" ht="16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172"/>
      <c r="AA796" s="172"/>
      <c r="AB796" s="172"/>
      <c r="AC796" s="22"/>
      <c r="AD796" s="22"/>
      <c r="AE796" s="22"/>
      <c r="AF796" s="22"/>
      <c r="AG796" s="172"/>
      <c r="AH796" s="172"/>
      <c r="AI796" s="172"/>
      <c r="AJ796" s="172"/>
      <c r="AK796" s="172"/>
      <c r="AL796" s="17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  <c r="BK796" s="22"/>
      <c r="BL796" s="22"/>
      <c r="BM796" s="22"/>
      <c r="BN796" s="22"/>
      <c r="BO796" s="22"/>
      <c r="BP796" s="22"/>
      <c r="BQ796" s="22"/>
      <c r="BR796" s="22"/>
      <c r="BS796" s="22"/>
      <c r="BT796" s="22"/>
      <c r="BU796" s="22"/>
    </row>
    <row r="797" ht="16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172"/>
      <c r="AA797" s="172"/>
      <c r="AB797" s="172"/>
      <c r="AC797" s="22"/>
      <c r="AD797" s="22"/>
      <c r="AE797" s="22"/>
      <c r="AF797" s="22"/>
      <c r="AG797" s="172"/>
      <c r="AH797" s="172"/>
      <c r="AI797" s="172"/>
      <c r="AJ797" s="172"/>
      <c r="AK797" s="172"/>
      <c r="AL797" s="17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  <c r="BK797" s="22"/>
      <c r="BL797" s="22"/>
      <c r="BM797" s="22"/>
      <c r="BN797" s="22"/>
      <c r="BO797" s="22"/>
      <c r="BP797" s="22"/>
      <c r="BQ797" s="22"/>
      <c r="BR797" s="22"/>
      <c r="BS797" s="22"/>
      <c r="BT797" s="22"/>
      <c r="BU797" s="22"/>
    </row>
    <row r="798" ht="16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172"/>
      <c r="AA798" s="172"/>
      <c r="AB798" s="172"/>
      <c r="AC798" s="22"/>
      <c r="AD798" s="22"/>
      <c r="AE798" s="22"/>
      <c r="AF798" s="22"/>
      <c r="AG798" s="172"/>
      <c r="AH798" s="172"/>
      <c r="AI798" s="172"/>
      <c r="AJ798" s="172"/>
      <c r="AK798" s="172"/>
      <c r="AL798" s="17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22"/>
      <c r="BL798" s="22"/>
      <c r="BM798" s="22"/>
      <c r="BN798" s="22"/>
      <c r="BO798" s="22"/>
      <c r="BP798" s="22"/>
      <c r="BQ798" s="22"/>
      <c r="BR798" s="22"/>
      <c r="BS798" s="22"/>
      <c r="BT798" s="22"/>
      <c r="BU798" s="22"/>
    </row>
    <row r="799" ht="16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172"/>
      <c r="AA799" s="172"/>
      <c r="AB799" s="172"/>
      <c r="AC799" s="22"/>
      <c r="AD799" s="22"/>
      <c r="AE799" s="22"/>
      <c r="AF799" s="22"/>
      <c r="AG799" s="172"/>
      <c r="AH799" s="172"/>
      <c r="AI799" s="172"/>
      <c r="AJ799" s="172"/>
      <c r="AK799" s="172"/>
      <c r="AL799" s="17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</row>
    <row r="800" ht="16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172"/>
      <c r="AA800" s="172"/>
      <c r="AB800" s="172"/>
      <c r="AC800" s="22"/>
      <c r="AD800" s="22"/>
      <c r="AE800" s="22"/>
      <c r="AF800" s="22"/>
      <c r="AG800" s="172"/>
      <c r="AH800" s="172"/>
      <c r="AI800" s="172"/>
      <c r="AJ800" s="172"/>
      <c r="AK800" s="172"/>
      <c r="AL800" s="17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  <c r="BK800" s="22"/>
      <c r="BL800" s="22"/>
      <c r="BM800" s="22"/>
      <c r="BN800" s="22"/>
      <c r="BO800" s="22"/>
      <c r="BP800" s="22"/>
      <c r="BQ800" s="22"/>
      <c r="BR800" s="22"/>
      <c r="BS800" s="22"/>
      <c r="BT800" s="22"/>
      <c r="BU800" s="22"/>
    </row>
    <row r="801" ht="16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172"/>
      <c r="AA801" s="172"/>
      <c r="AB801" s="172"/>
      <c r="AC801" s="22"/>
      <c r="AD801" s="22"/>
      <c r="AE801" s="22"/>
      <c r="AF801" s="22"/>
      <c r="AG801" s="172"/>
      <c r="AH801" s="172"/>
      <c r="AI801" s="172"/>
      <c r="AJ801" s="172"/>
      <c r="AK801" s="172"/>
      <c r="AL801" s="17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  <c r="BG801" s="22"/>
      <c r="BH801" s="22"/>
      <c r="BI801" s="22"/>
      <c r="BJ801" s="22"/>
      <c r="BK801" s="22"/>
      <c r="BL801" s="22"/>
      <c r="BM801" s="22"/>
      <c r="BN801" s="22"/>
      <c r="BO801" s="22"/>
      <c r="BP801" s="22"/>
      <c r="BQ801" s="22"/>
      <c r="BR801" s="22"/>
      <c r="BS801" s="22"/>
      <c r="BT801" s="22"/>
      <c r="BU801" s="22"/>
    </row>
    <row r="802" ht="16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172"/>
      <c r="AA802" s="172"/>
      <c r="AB802" s="172"/>
      <c r="AC802" s="22"/>
      <c r="AD802" s="22"/>
      <c r="AE802" s="22"/>
      <c r="AF802" s="22"/>
      <c r="AG802" s="172"/>
      <c r="AH802" s="172"/>
      <c r="AI802" s="172"/>
      <c r="AJ802" s="172"/>
      <c r="AK802" s="172"/>
      <c r="AL802" s="17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22"/>
      <c r="BM802" s="22"/>
      <c r="BN802" s="22"/>
      <c r="BO802" s="22"/>
      <c r="BP802" s="22"/>
      <c r="BQ802" s="22"/>
      <c r="BR802" s="22"/>
      <c r="BS802" s="22"/>
      <c r="BT802" s="22"/>
      <c r="BU802" s="22"/>
    </row>
    <row r="803" ht="16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172"/>
      <c r="AA803" s="172"/>
      <c r="AB803" s="172"/>
      <c r="AC803" s="22"/>
      <c r="AD803" s="22"/>
      <c r="AE803" s="22"/>
      <c r="AF803" s="22"/>
      <c r="AG803" s="172"/>
      <c r="AH803" s="172"/>
      <c r="AI803" s="172"/>
      <c r="AJ803" s="172"/>
      <c r="AK803" s="172"/>
      <c r="AL803" s="17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  <c r="BK803" s="22"/>
      <c r="BL803" s="22"/>
      <c r="BM803" s="22"/>
      <c r="BN803" s="22"/>
      <c r="BO803" s="22"/>
      <c r="BP803" s="22"/>
      <c r="BQ803" s="22"/>
      <c r="BR803" s="22"/>
      <c r="BS803" s="22"/>
      <c r="BT803" s="22"/>
      <c r="BU803" s="22"/>
    </row>
    <row r="804" ht="16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172"/>
      <c r="AA804" s="172"/>
      <c r="AB804" s="172"/>
      <c r="AC804" s="22"/>
      <c r="AD804" s="22"/>
      <c r="AE804" s="22"/>
      <c r="AF804" s="22"/>
      <c r="AG804" s="172"/>
      <c r="AH804" s="172"/>
      <c r="AI804" s="172"/>
      <c r="AJ804" s="172"/>
      <c r="AK804" s="172"/>
      <c r="AL804" s="17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  <c r="BK804" s="22"/>
      <c r="BL804" s="22"/>
      <c r="BM804" s="22"/>
      <c r="BN804" s="22"/>
      <c r="BO804" s="22"/>
      <c r="BP804" s="22"/>
      <c r="BQ804" s="22"/>
      <c r="BR804" s="22"/>
      <c r="BS804" s="22"/>
      <c r="BT804" s="22"/>
      <c r="BU804" s="22"/>
    </row>
    <row r="805" ht="16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172"/>
      <c r="AA805" s="172"/>
      <c r="AB805" s="172"/>
      <c r="AC805" s="22"/>
      <c r="AD805" s="22"/>
      <c r="AE805" s="22"/>
      <c r="AF805" s="22"/>
      <c r="AG805" s="172"/>
      <c r="AH805" s="172"/>
      <c r="AI805" s="172"/>
      <c r="AJ805" s="172"/>
      <c r="AK805" s="172"/>
      <c r="AL805" s="17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  <c r="BK805" s="22"/>
      <c r="BL805" s="22"/>
      <c r="BM805" s="22"/>
      <c r="BN805" s="22"/>
      <c r="BO805" s="22"/>
      <c r="BP805" s="22"/>
      <c r="BQ805" s="22"/>
      <c r="BR805" s="22"/>
      <c r="BS805" s="22"/>
      <c r="BT805" s="22"/>
      <c r="BU805" s="22"/>
    </row>
    <row r="806" ht="16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172"/>
      <c r="AA806" s="172"/>
      <c r="AB806" s="172"/>
      <c r="AC806" s="22"/>
      <c r="AD806" s="22"/>
      <c r="AE806" s="22"/>
      <c r="AF806" s="22"/>
      <c r="AG806" s="172"/>
      <c r="AH806" s="172"/>
      <c r="AI806" s="172"/>
      <c r="AJ806" s="172"/>
      <c r="AK806" s="172"/>
      <c r="AL806" s="17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</row>
    <row r="807" ht="16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172"/>
      <c r="AA807" s="172"/>
      <c r="AB807" s="172"/>
      <c r="AC807" s="22"/>
      <c r="AD807" s="22"/>
      <c r="AE807" s="22"/>
      <c r="AF807" s="22"/>
      <c r="AG807" s="172"/>
      <c r="AH807" s="172"/>
      <c r="AI807" s="172"/>
      <c r="AJ807" s="172"/>
      <c r="AK807" s="172"/>
      <c r="AL807" s="17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</row>
    <row r="808" ht="16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172"/>
      <c r="AA808" s="172"/>
      <c r="AB808" s="172"/>
      <c r="AC808" s="22"/>
      <c r="AD808" s="22"/>
      <c r="AE808" s="22"/>
      <c r="AF808" s="22"/>
      <c r="AG808" s="172"/>
      <c r="AH808" s="172"/>
      <c r="AI808" s="172"/>
      <c r="AJ808" s="172"/>
      <c r="AK808" s="172"/>
      <c r="AL808" s="17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  <c r="BT808" s="22"/>
      <c r="BU808" s="22"/>
    </row>
    <row r="809" ht="16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172"/>
      <c r="AA809" s="172"/>
      <c r="AB809" s="172"/>
      <c r="AC809" s="22"/>
      <c r="AD809" s="22"/>
      <c r="AE809" s="22"/>
      <c r="AF809" s="22"/>
      <c r="AG809" s="172"/>
      <c r="AH809" s="172"/>
      <c r="AI809" s="172"/>
      <c r="AJ809" s="172"/>
      <c r="AK809" s="172"/>
      <c r="AL809" s="17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  <c r="BK809" s="22"/>
      <c r="BL809" s="22"/>
      <c r="BM809" s="22"/>
      <c r="BN809" s="22"/>
      <c r="BO809" s="22"/>
      <c r="BP809" s="22"/>
      <c r="BQ809" s="22"/>
      <c r="BR809" s="22"/>
      <c r="BS809" s="22"/>
      <c r="BT809" s="22"/>
      <c r="BU809" s="22"/>
    </row>
    <row r="810" ht="16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172"/>
      <c r="AA810" s="172"/>
      <c r="AB810" s="172"/>
      <c r="AC810" s="22"/>
      <c r="AD810" s="22"/>
      <c r="AE810" s="22"/>
      <c r="AF810" s="22"/>
      <c r="AG810" s="172"/>
      <c r="AH810" s="172"/>
      <c r="AI810" s="172"/>
      <c r="AJ810" s="172"/>
      <c r="AK810" s="172"/>
      <c r="AL810" s="17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  <c r="BT810" s="22"/>
      <c r="BU810" s="22"/>
    </row>
    <row r="811" ht="16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172"/>
      <c r="AA811" s="172"/>
      <c r="AB811" s="172"/>
      <c r="AC811" s="22"/>
      <c r="AD811" s="22"/>
      <c r="AE811" s="22"/>
      <c r="AF811" s="22"/>
      <c r="AG811" s="172"/>
      <c r="AH811" s="172"/>
      <c r="AI811" s="172"/>
      <c r="AJ811" s="172"/>
      <c r="AK811" s="172"/>
      <c r="AL811" s="17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  <c r="BK811" s="22"/>
      <c r="BL811" s="22"/>
      <c r="BM811" s="22"/>
      <c r="BN811" s="22"/>
      <c r="BO811" s="22"/>
      <c r="BP811" s="22"/>
      <c r="BQ811" s="22"/>
      <c r="BR811" s="22"/>
      <c r="BS811" s="22"/>
      <c r="BT811" s="22"/>
      <c r="BU811" s="22"/>
    </row>
    <row r="812" ht="16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172"/>
      <c r="AA812" s="172"/>
      <c r="AB812" s="172"/>
      <c r="AC812" s="22"/>
      <c r="AD812" s="22"/>
      <c r="AE812" s="22"/>
      <c r="AF812" s="22"/>
      <c r="AG812" s="172"/>
      <c r="AH812" s="172"/>
      <c r="AI812" s="172"/>
      <c r="AJ812" s="172"/>
      <c r="AK812" s="172"/>
      <c r="AL812" s="17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  <c r="BT812" s="22"/>
      <c r="BU812" s="22"/>
    </row>
    <row r="813" ht="16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172"/>
      <c r="AA813" s="172"/>
      <c r="AB813" s="172"/>
      <c r="AC813" s="22"/>
      <c r="AD813" s="22"/>
      <c r="AE813" s="22"/>
      <c r="AF813" s="22"/>
      <c r="AG813" s="172"/>
      <c r="AH813" s="172"/>
      <c r="AI813" s="172"/>
      <c r="AJ813" s="172"/>
      <c r="AK813" s="172"/>
      <c r="AL813" s="17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  <c r="BK813" s="22"/>
      <c r="BL813" s="22"/>
      <c r="BM813" s="22"/>
      <c r="BN813" s="22"/>
      <c r="BO813" s="22"/>
      <c r="BP813" s="22"/>
      <c r="BQ813" s="22"/>
      <c r="BR813" s="22"/>
      <c r="BS813" s="22"/>
      <c r="BT813" s="22"/>
      <c r="BU813" s="22"/>
    </row>
    <row r="814" ht="16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172"/>
      <c r="AA814" s="172"/>
      <c r="AB814" s="172"/>
      <c r="AC814" s="22"/>
      <c r="AD814" s="22"/>
      <c r="AE814" s="22"/>
      <c r="AF814" s="22"/>
      <c r="AG814" s="172"/>
      <c r="AH814" s="172"/>
      <c r="AI814" s="172"/>
      <c r="AJ814" s="172"/>
      <c r="AK814" s="172"/>
      <c r="AL814" s="17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</row>
    <row r="815" ht="16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172"/>
      <c r="AA815" s="172"/>
      <c r="AB815" s="172"/>
      <c r="AC815" s="22"/>
      <c r="AD815" s="22"/>
      <c r="AE815" s="22"/>
      <c r="AF815" s="22"/>
      <c r="AG815" s="172"/>
      <c r="AH815" s="172"/>
      <c r="AI815" s="172"/>
      <c r="AJ815" s="172"/>
      <c r="AK815" s="172"/>
      <c r="AL815" s="17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22"/>
      <c r="BL815" s="22"/>
      <c r="BM815" s="22"/>
      <c r="BN815" s="22"/>
      <c r="BO815" s="22"/>
      <c r="BP815" s="22"/>
      <c r="BQ815" s="22"/>
      <c r="BR815" s="22"/>
      <c r="BS815" s="22"/>
      <c r="BT815" s="22"/>
      <c r="BU815" s="22"/>
    </row>
    <row r="816" ht="16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172"/>
      <c r="AA816" s="172"/>
      <c r="AB816" s="172"/>
      <c r="AC816" s="22"/>
      <c r="AD816" s="22"/>
      <c r="AE816" s="22"/>
      <c r="AF816" s="22"/>
      <c r="AG816" s="172"/>
      <c r="AH816" s="172"/>
      <c r="AI816" s="172"/>
      <c r="AJ816" s="172"/>
      <c r="AK816" s="172"/>
      <c r="AL816" s="17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  <c r="BK816" s="22"/>
      <c r="BL816" s="22"/>
      <c r="BM816" s="22"/>
      <c r="BN816" s="22"/>
      <c r="BO816" s="22"/>
      <c r="BP816" s="22"/>
      <c r="BQ816" s="22"/>
      <c r="BR816" s="22"/>
      <c r="BS816" s="22"/>
      <c r="BT816" s="22"/>
      <c r="BU816" s="22"/>
    </row>
    <row r="817" ht="16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172"/>
      <c r="AA817" s="172"/>
      <c r="AB817" s="172"/>
      <c r="AC817" s="22"/>
      <c r="AD817" s="22"/>
      <c r="AE817" s="22"/>
      <c r="AF817" s="22"/>
      <c r="AG817" s="172"/>
      <c r="AH817" s="172"/>
      <c r="AI817" s="172"/>
      <c r="AJ817" s="172"/>
      <c r="AK817" s="172"/>
      <c r="AL817" s="17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  <c r="BK817" s="22"/>
      <c r="BL817" s="22"/>
      <c r="BM817" s="22"/>
      <c r="BN817" s="22"/>
      <c r="BO817" s="22"/>
      <c r="BP817" s="22"/>
      <c r="BQ817" s="22"/>
      <c r="BR817" s="22"/>
      <c r="BS817" s="22"/>
      <c r="BT817" s="22"/>
      <c r="BU817" s="22"/>
    </row>
    <row r="818" ht="16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172"/>
      <c r="AA818" s="172"/>
      <c r="AB818" s="172"/>
      <c r="AC818" s="22"/>
      <c r="AD818" s="22"/>
      <c r="AE818" s="22"/>
      <c r="AF818" s="22"/>
      <c r="AG818" s="172"/>
      <c r="AH818" s="172"/>
      <c r="AI818" s="172"/>
      <c r="AJ818" s="172"/>
      <c r="AK818" s="172"/>
      <c r="AL818" s="17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  <c r="BK818" s="22"/>
      <c r="BL818" s="22"/>
      <c r="BM818" s="22"/>
      <c r="BN818" s="22"/>
      <c r="BO818" s="22"/>
      <c r="BP818" s="22"/>
      <c r="BQ818" s="22"/>
      <c r="BR818" s="22"/>
      <c r="BS818" s="22"/>
      <c r="BT818" s="22"/>
      <c r="BU818" s="22"/>
    </row>
    <row r="819" ht="16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172"/>
      <c r="AA819" s="172"/>
      <c r="AB819" s="172"/>
      <c r="AC819" s="22"/>
      <c r="AD819" s="22"/>
      <c r="AE819" s="22"/>
      <c r="AF819" s="22"/>
      <c r="AG819" s="172"/>
      <c r="AH819" s="172"/>
      <c r="AI819" s="172"/>
      <c r="AJ819" s="172"/>
      <c r="AK819" s="172"/>
      <c r="AL819" s="17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  <c r="BK819" s="22"/>
      <c r="BL819" s="22"/>
      <c r="BM819" s="22"/>
      <c r="BN819" s="22"/>
      <c r="BO819" s="22"/>
      <c r="BP819" s="22"/>
      <c r="BQ819" s="22"/>
      <c r="BR819" s="22"/>
      <c r="BS819" s="22"/>
      <c r="BT819" s="22"/>
      <c r="BU819" s="22"/>
    </row>
    <row r="820" ht="16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172"/>
      <c r="AA820" s="172"/>
      <c r="AB820" s="172"/>
      <c r="AC820" s="22"/>
      <c r="AD820" s="22"/>
      <c r="AE820" s="22"/>
      <c r="AF820" s="22"/>
      <c r="AG820" s="172"/>
      <c r="AH820" s="172"/>
      <c r="AI820" s="172"/>
      <c r="AJ820" s="172"/>
      <c r="AK820" s="172"/>
      <c r="AL820" s="17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22"/>
      <c r="BM820" s="22"/>
      <c r="BN820" s="22"/>
      <c r="BO820" s="22"/>
      <c r="BP820" s="22"/>
      <c r="BQ820" s="22"/>
      <c r="BR820" s="22"/>
      <c r="BS820" s="22"/>
      <c r="BT820" s="22"/>
      <c r="BU820" s="22"/>
    </row>
    <row r="821" ht="16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172"/>
      <c r="AA821" s="172"/>
      <c r="AB821" s="172"/>
      <c r="AC821" s="22"/>
      <c r="AD821" s="22"/>
      <c r="AE821" s="22"/>
      <c r="AF821" s="22"/>
      <c r="AG821" s="172"/>
      <c r="AH821" s="172"/>
      <c r="AI821" s="172"/>
      <c r="AJ821" s="172"/>
      <c r="AK821" s="172"/>
      <c r="AL821" s="17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</row>
    <row r="822" ht="16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172"/>
      <c r="AA822" s="172"/>
      <c r="AB822" s="172"/>
      <c r="AC822" s="22"/>
      <c r="AD822" s="22"/>
      <c r="AE822" s="22"/>
      <c r="AF822" s="22"/>
      <c r="AG822" s="172"/>
      <c r="AH822" s="172"/>
      <c r="AI822" s="172"/>
      <c r="AJ822" s="172"/>
      <c r="AK822" s="172"/>
      <c r="AL822" s="17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  <c r="BK822" s="22"/>
      <c r="BL822" s="22"/>
      <c r="BM822" s="22"/>
      <c r="BN822" s="22"/>
      <c r="BO822" s="22"/>
      <c r="BP822" s="22"/>
      <c r="BQ822" s="22"/>
      <c r="BR822" s="22"/>
      <c r="BS822" s="22"/>
      <c r="BT822" s="22"/>
      <c r="BU822" s="22"/>
    </row>
    <row r="823" ht="16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172"/>
      <c r="AA823" s="172"/>
      <c r="AB823" s="172"/>
      <c r="AC823" s="22"/>
      <c r="AD823" s="22"/>
      <c r="AE823" s="22"/>
      <c r="AF823" s="22"/>
      <c r="AG823" s="172"/>
      <c r="AH823" s="172"/>
      <c r="AI823" s="172"/>
      <c r="AJ823" s="172"/>
      <c r="AK823" s="172"/>
      <c r="AL823" s="17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  <c r="BK823" s="22"/>
      <c r="BL823" s="22"/>
      <c r="BM823" s="22"/>
      <c r="BN823" s="22"/>
      <c r="BO823" s="22"/>
      <c r="BP823" s="22"/>
      <c r="BQ823" s="22"/>
      <c r="BR823" s="22"/>
      <c r="BS823" s="22"/>
      <c r="BT823" s="22"/>
      <c r="BU823" s="22"/>
    </row>
    <row r="824" ht="16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172"/>
      <c r="AA824" s="172"/>
      <c r="AB824" s="172"/>
      <c r="AC824" s="22"/>
      <c r="AD824" s="22"/>
      <c r="AE824" s="22"/>
      <c r="AF824" s="22"/>
      <c r="AG824" s="172"/>
      <c r="AH824" s="172"/>
      <c r="AI824" s="172"/>
      <c r="AJ824" s="172"/>
      <c r="AK824" s="172"/>
      <c r="AL824" s="17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</row>
    <row r="825" ht="16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172"/>
      <c r="AA825" s="172"/>
      <c r="AB825" s="172"/>
      <c r="AC825" s="22"/>
      <c r="AD825" s="22"/>
      <c r="AE825" s="22"/>
      <c r="AF825" s="22"/>
      <c r="AG825" s="172"/>
      <c r="AH825" s="172"/>
      <c r="AI825" s="172"/>
      <c r="AJ825" s="172"/>
      <c r="AK825" s="172"/>
      <c r="AL825" s="17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  <c r="BK825" s="22"/>
      <c r="BL825" s="22"/>
      <c r="BM825" s="22"/>
      <c r="BN825" s="22"/>
      <c r="BO825" s="22"/>
      <c r="BP825" s="22"/>
      <c r="BQ825" s="22"/>
      <c r="BR825" s="22"/>
      <c r="BS825" s="22"/>
      <c r="BT825" s="22"/>
      <c r="BU825" s="22"/>
    </row>
    <row r="826" ht="16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172"/>
      <c r="AA826" s="172"/>
      <c r="AB826" s="172"/>
      <c r="AC826" s="22"/>
      <c r="AD826" s="22"/>
      <c r="AE826" s="22"/>
      <c r="AF826" s="22"/>
      <c r="AG826" s="172"/>
      <c r="AH826" s="172"/>
      <c r="AI826" s="172"/>
      <c r="AJ826" s="172"/>
      <c r="AK826" s="172"/>
      <c r="AL826" s="17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  <c r="BO826" s="22"/>
      <c r="BP826" s="22"/>
      <c r="BQ826" s="22"/>
      <c r="BR826" s="22"/>
      <c r="BS826" s="22"/>
      <c r="BT826" s="22"/>
      <c r="BU826" s="22"/>
    </row>
    <row r="827" ht="16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172"/>
      <c r="AA827" s="172"/>
      <c r="AB827" s="172"/>
      <c r="AC827" s="22"/>
      <c r="AD827" s="22"/>
      <c r="AE827" s="22"/>
      <c r="AF827" s="22"/>
      <c r="AG827" s="172"/>
      <c r="AH827" s="172"/>
      <c r="AI827" s="172"/>
      <c r="AJ827" s="172"/>
      <c r="AK827" s="172"/>
      <c r="AL827" s="17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</row>
    <row r="828" ht="16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172"/>
      <c r="AA828" s="172"/>
      <c r="AB828" s="172"/>
      <c r="AC828" s="22"/>
      <c r="AD828" s="22"/>
      <c r="AE828" s="22"/>
      <c r="AF828" s="22"/>
      <c r="AG828" s="172"/>
      <c r="AH828" s="172"/>
      <c r="AI828" s="172"/>
      <c r="AJ828" s="172"/>
      <c r="AK828" s="172"/>
      <c r="AL828" s="17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  <c r="BO828" s="22"/>
      <c r="BP828" s="22"/>
      <c r="BQ828" s="22"/>
      <c r="BR828" s="22"/>
      <c r="BS828" s="22"/>
      <c r="BT828" s="22"/>
      <c r="BU828" s="22"/>
    </row>
    <row r="829" ht="16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172"/>
      <c r="AA829" s="172"/>
      <c r="AB829" s="172"/>
      <c r="AC829" s="22"/>
      <c r="AD829" s="22"/>
      <c r="AE829" s="22"/>
      <c r="AF829" s="22"/>
      <c r="AG829" s="172"/>
      <c r="AH829" s="172"/>
      <c r="AI829" s="172"/>
      <c r="AJ829" s="172"/>
      <c r="AK829" s="172"/>
      <c r="AL829" s="17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  <c r="BK829" s="22"/>
      <c r="BL829" s="22"/>
      <c r="BM829" s="22"/>
      <c r="BN829" s="22"/>
      <c r="BO829" s="22"/>
      <c r="BP829" s="22"/>
      <c r="BQ829" s="22"/>
      <c r="BR829" s="22"/>
      <c r="BS829" s="22"/>
      <c r="BT829" s="22"/>
      <c r="BU829" s="22"/>
    </row>
    <row r="830" ht="16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172"/>
      <c r="AA830" s="172"/>
      <c r="AB830" s="172"/>
      <c r="AC830" s="22"/>
      <c r="AD830" s="22"/>
      <c r="AE830" s="22"/>
      <c r="AF830" s="22"/>
      <c r="AG830" s="172"/>
      <c r="AH830" s="172"/>
      <c r="AI830" s="172"/>
      <c r="AJ830" s="172"/>
      <c r="AK830" s="172"/>
      <c r="AL830" s="17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  <c r="BK830" s="22"/>
      <c r="BL830" s="22"/>
      <c r="BM830" s="22"/>
      <c r="BN830" s="22"/>
      <c r="BO830" s="22"/>
      <c r="BP830" s="22"/>
      <c r="BQ830" s="22"/>
      <c r="BR830" s="22"/>
      <c r="BS830" s="22"/>
      <c r="BT830" s="22"/>
      <c r="BU830" s="22"/>
    </row>
    <row r="831" ht="16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172"/>
      <c r="AA831" s="172"/>
      <c r="AB831" s="172"/>
      <c r="AC831" s="22"/>
      <c r="AD831" s="22"/>
      <c r="AE831" s="22"/>
      <c r="AF831" s="22"/>
      <c r="AG831" s="172"/>
      <c r="AH831" s="172"/>
      <c r="AI831" s="172"/>
      <c r="AJ831" s="172"/>
      <c r="AK831" s="172"/>
      <c r="AL831" s="17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  <c r="BO831" s="22"/>
      <c r="BP831" s="22"/>
      <c r="BQ831" s="22"/>
      <c r="BR831" s="22"/>
      <c r="BS831" s="22"/>
      <c r="BT831" s="22"/>
      <c r="BU831" s="22"/>
    </row>
    <row r="832" ht="16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172"/>
      <c r="AA832" s="172"/>
      <c r="AB832" s="172"/>
      <c r="AC832" s="22"/>
      <c r="AD832" s="22"/>
      <c r="AE832" s="22"/>
      <c r="AF832" s="22"/>
      <c r="AG832" s="172"/>
      <c r="AH832" s="172"/>
      <c r="AI832" s="172"/>
      <c r="AJ832" s="172"/>
      <c r="AK832" s="172"/>
      <c r="AL832" s="17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</row>
    <row r="833" ht="16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172"/>
      <c r="AA833" s="172"/>
      <c r="AB833" s="172"/>
      <c r="AC833" s="22"/>
      <c r="AD833" s="22"/>
      <c r="AE833" s="22"/>
      <c r="AF833" s="22"/>
      <c r="AG833" s="172"/>
      <c r="AH833" s="172"/>
      <c r="AI833" s="172"/>
      <c r="AJ833" s="172"/>
      <c r="AK833" s="172"/>
      <c r="AL833" s="17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  <c r="BK833" s="22"/>
      <c r="BL833" s="22"/>
      <c r="BM833" s="22"/>
      <c r="BN833" s="22"/>
      <c r="BO833" s="22"/>
      <c r="BP833" s="22"/>
      <c r="BQ833" s="22"/>
      <c r="BR833" s="22"/>
      <c r="BS833" s="22"/>
      <c r="BT833" s="22"/>
      <c r="BU833" s="22"/>
    </row>
    <row r="834" ht="16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172"/>
      <c r="AA834" s="172"/>
      <c r="AB834" s="172"/>
      <c r="AC834" s="22"/>
      <c r="AD834" s="22"/>
      <c r="AE834" s="22"/>
      <c r="AF834" s="22"/>
      <c r="AG834" s="172"/>
      <c r="AH834" s="172"/>
      <c r="AI834" s="172"/>
      <c r="AJ834" s="172"/>
      <c r="AK834" s="172"/>
      <c r="AL834" s="17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  <c r="BT834" s="22"/>
      <c r="BU834" s="22"/>
    </row>
    <row r="835" ht="16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172"/>
      <c r="AA835" s="172"/>
      <c r="AB835" s="172"/>
      <c r="AC835" s="22"/>
      <c r="AD835" s="22"/>
      <c r="AE835" s="22"/>
      <c r="AF835" s="22"/>
      <c r="AG835" s="172"/>
      <c r="AH835" s="172"/>
      <c r="AI835" s="172"/>
      <c r="AJ835" s="172"/>
      <c r="AK835" s="172"/>
      <c r="AL835" s="17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</row>
    <row r="836" ht="16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172"/>
      <c r="AA836" s="172"/>
      <c r="AB836" s="172"/>
      <c r="AC836" s="22"/>
      <c r="AD836" s="22"/>
      <c r="AE836" s="22"/>
      <c r="AF836" s="22"/>
      <c r="AG836" s="172"/>
      <c r="AH836" s="172"/>
      <c r="AI836" s="172"/>
      <c r="AJ836" s="172"/>
      <c r="AK836" s="172"/>
      <c r="AL836" s="17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2"/>
    </row>
    <row r="837" ht="16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172"/>
      <c r="AA837" s="172"/>
      <c r="AB837" s="172"/>
      <c r="AC837" s="22"/>
      <c r="AD837" s="22"/>
      <c r="AE837" s="22"/>
      <c r="AF837" s="22"/>
      <c r="AG837" s="172"/>
      <c r="AH837" s="172"/>
      <c r="AI837" s="172"/>
      <c r="AJ837" s="172"/>
      <c r="AK837" s="172"/>
      <c r="AL837" s="17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</row>
    <row r="838" ht="16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172"/>
      <c r="AA838" s="172"/>
      <c r="AB838" s="172"/>
      <c r="AC838" s="22"/>
      <c r="AD838" s="22"/>
      <c r="AE838" s="22"/>
      <c r="AF838" s="22"/>
      <c r="AG838" s="172"/>
      <c r="AH838" s="172"/>
      <c r="AI838" s="172"/>
      <c r="AJ838" s="172"/>
      <c r="AK838" s="172"/>
      <c r="AL838" s="17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  <c r="BK838" s="22"/>
      <c r="BL838" s="22"/>
      <c r="BM838" s="22"/>
      <c r="BN838" s="22"/>
      <c r="BO838" s="22"/>
      <c r="BP838" s="22"/>
      <c r="BQ838" s="22"/>
      <c r="BR838" s="22"/>
      <c r="BS838" s="22"/>
      <c r="BT838" s="22"/>
      <c r="BU838" s="22"/>
    </row>
    <row r="839" ht="16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172"/>
      <c r="AA839" s="172"/>
      <c r="AB839" s="172"/>
      <c r="AC839" s="22"/>
      <c r="AD839" s="22"/>
      <c r="AE839" s="22"/>
      <c r="AF839" s="22"/>
      <c r="AG839" s="172"/>
      <c r="AH839" s="172"/>
      <c r="AI839" s="172"/>
      <c r="AJ839" s="172"/>
      <c r="AK839" s="172"/>
      <c r="AL839" s="17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  <c r="BP839" s="22"/>
      <c r="BQ839" s="22"/>
      <c r="BR839" s="22"/>
      <c r="BS839" s="22"/>
      <c r="BT839" s="22"/>
      <c r="BU839" s="22"/>
    </row>
    <row r="840" ht="16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172"/>
      <c r="AA840" s="172"/>
      <c r="AB840" s="172"/>
      <c r="AC840" s="22"/>
      <c r="AD840" s="22"/>
      <c r="AE840" s="22"/>
      <c r="AF840" s="22"/>
      <c r="AG840" s="172"/>
      <c r="AH840" s="172"/>
      <c r="AI840" s="172"/>
      <c r="AJ840" s="172"/>
      <c r="AK840" s="172"/>
      <c r="AL840" s="17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  <c r="BK840" s="22"/>
      <c r="BL840" s="22"/>
      <c r="BM840" s="22"/>
      <c r="BN840" s="22"/>
      <c r="BO840" s="22"/>
      <c r="BP840" s="22"/>
      <c r="BQ840" s="22"/>
      <c r="BR840" s="22"/>
      <c r="BS840" s="22"/>
      <c r="BT840" s="22"/>
      <c r="BU840" s="22"/>
    </row>
    <row r="841" ht="16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172"/>
      <c r="AA841" s="172"/>
      <c r="AB841" s="172"/>
      <c r="AC841" s="22"/>
      <c r="AD841" s="22"/>
      <c r="AE841" s="22"/>
      <c r="AF841" s="22"/>
      <c r="AG841" s="172"/>
      <c r="AH841" s="172"/>
      <c r="AI841" s="172"/>
      <c r="AJ841" s="172"/>
      <c r="AK841" s="172"/>
      <c r="AL841" s="17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  <c r="BK841" s="22"/>
      <c r="BL841" s="22"/>
      <c r="BM841" s="22"/>
      <c r="BN841" s="22"/>
      <c r="BO841" s="22"/>
      <c r="BP841" s="22"/>
      <c r="BQ841" s="22"/>
      <c r="BR841" s="22"/>
      <c r="BS841" s="22"/>
      <c r="BT841" s="22"/>
      <c r="BU841" s="22"/>
    </row>
    <row r="842" ht="16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172"/>
      <c r="AA842" s="172"/>
      <c r="AB842" s="172"/>
      <c r="AC842" s="22"/>
      <c r="AD842" s="22"/>
      <c r="AE842" s="22"/>
      <c r="AF842" s="22"/>
      <c r="AG842" s="172"/>
      <c r="AH842" s="172"/>
      <c r="AI842" s="172"/>
      <c r="AJ842" s="172"/>
      <c r="AK842" s="172"/>
      <c r="AL842" s="17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22"/>
      <c r="BM842" s="22"/>
      <c r="BN842" s="22"/>
      <c r="BO842" s="22"/>
      <c r="BP842" s="22"/>
      <c r="BQ842" s="22"/>
      <c r="BR842" s="22"/>
      <c r="BS842" s="22"/>
      <c r="BT842" s="22"/>
      <c r="BU842" s="22"/>
    </row>
    <row r="843" ht="16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172"/>
      <c r="AA843" s="172"/>
      <c r="AB843" s="172"/>
      <c r="AC843" s="22"/>
      <c r="AD843" s="22"/>
      <c r="AE843" s="22"/>
      <c r="AF843" s="22"/>
      <c r="AG843" s="172"/>
      <c r="AH843" s="172"/>
      <c r="AI843" s="172"/>
      <c r="AJ843" s="172"/>
      <c r="AK843" s="172"/>
      <c r="AL843" s="17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  <c r="BK843" s="22"/>
      <c r="BL843" s="22"/>
      <c r="BM843" s="22"/>
      <c r="BN843" s="22"/>
      <c r="BO843" s="22"/>
      <c r="BP843" s="22"/>
      <c r="BQ843" s="22"/>
      <c r="BR843" s="22"/>
      <c r="BS843" s="22"/>
      <c r="BT843" s="22"/>
      <c r="BU843" s="22"/>
    </row>
    <row r="844" ht="16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172"/>
      <c r="AA844" s="172"/>
      <c r="AB844" s="172"/>
      <c r="AC844" s="22"/>
      <c r="AD844" s="22"/>
      <c r="AE844" s="22"/>
      <c r="AF844" s="22"/>
      <c r="AG844" s="172"/>
      <c r="AH844" s="172"/>
      <c r="AI844" s="172"/>
      <c r="AJ844" s="172"/>
      <c r="AK844" s="172"/>
      <c r="AL844" s="17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  <c r="BT844" s="22"/>
      <c r="BU844" s="22"/>
    </row>
    <row r="845" ht="16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172"/>
      <c r="AA845" s="172"/>
      <c r="AB845" s="172"/>
      <c r="AC845" s="22"/>
      <c r="AD845" s="22"/>
      <c r="AE845" s="22"/>
      <c r="AF845" s="22"/>
      <c r="AG845" s="172"/>
      <c r="AH845" s="172"/>
      <c r="AI845" s="172"/>
      <c r="AJ845" s="172"/>
      <c r="AK845" s="172"/>
      <c r="AL845" s="17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  <c r="BO845" s="22"/>
      <c r="BP845" s="22"/>
      <c r="BQ845" s="22"/>
      <c r="BR845" s="22"/>
      <c r="BS845" s="22"/>
      <c r="BT845" s="22"/>
      <c r="BU845" s="22"/>
    </row>
    <row r="846" ht="16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172"/>
      <c r="AA846" s="172"/>
      <c r="AB846" s="172"/>
      <c r="AC846" s="22"/>
      <c r="AD846" s="22"/>
      <c r="AE846" s="22"/>
      <c r="AF846" s="22"/>
      <c r="AG846" s="172"/>
      <c r="AH846" s="172"/>
      <c r="AI846" s="172"/>
      <c r="AJ846" s="172"/>
      <c r="AK846" s="172"/>
      <c r="AL846" s="17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22"/>
      <c r="BM846" s="22"/>
      <c r="BN846" s="22"/>
      <c r="BO846" s="22"/>
      <c r="BP846" s="22"/>
      <c r="BQ846" s="22"/>
      <c r="BR846" s="22"/>
      <c r="BS846" s="22"/>
      <c r="BT846" s="22"/>
      <c r="BU846" s="22"/>
    </row>
    <row r="847" ht="16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172"/>
      <c r="AA847" s="172"/>
      <c r="AB847" s="172"/>
      <c r="AC847" s="22"/>
      <c r="AD847" s="22"/>
      <c r="AE847" s="22"/>
      <c r="AF847" s="22"/>
      <c r="AG847" s="172"/>
      <c r="AH847" s="172"/>
      <c r="AI847" s="172"/>
      <c r="AJ847" s="172"/>
      <c r="AK847" s="172"/>
      <c r="AL847" s="17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  <c r="BO847" s="22"/>
      <c r="BP847" s="22"/>
      <c r="BQ847" s="22"/>
      <c r="BR847" s="22"/>
      <c r="BS847" s="22"/>
      <c r="BT847" s="22"/>
      <c r="BU847" s="22"/>
    </row>
    <row r="848" ht="16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172"/>
      <c r="AA848" s="172"/>
      <c r="AB848" s="172"/>
      <c r="AC848" s="22"/>
      <c r="AD848" s="22"/>
      <c r="AE848" s="22"/>
      <c r="AF848" s="22"/>
      <c r="AG848" s="172"/>
      <c r="AH848" s="172"/>
      <c r="AI848" s="172"/>
      <c r="AJ848" s="172"/>
      <c r="AK848" s="172"/>
      <c r="AL848" s="17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  <c r="BT848" s="22"/>
      <c r="BU848" s="22"/>
    </row>
    <row r="849" ht="16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172"/>
      <c r="AA849" s="172"/>
      <c r="AB849" s="172"/>
      <c r="AC849" s="22"/>
      <c r="AD849" s="22"/>
      <c r="AE849" s="22"/>
      <c r="AF849" s="22"/>
      <c r="AG849" s="172"/>
      <c r="AH849" s="172"/>
      <c r="AI849" s="172"/>
      <c r="AJ849" s="172"/>
      <c r="AK849" s="172"/>
      <c r="AL849" s="17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  <c r="BO849" s="22"/>
      <c r="BP849" s="22"/>
      <c r="BQ849" s="22"/>
      <c r="BR849" s="22"/>
      <c r="BS849" s="22"/>
      <c r="BT849" s="22"/>
      <c r="BU849" s="22"/>
    </row>
    <row r="850" ht="16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172"/>
      <c r="AA850" s="172"/>
      <c r="AB850" s="172"/>
      <c r="AC850" s="22"/>
      <c r="AD850" s="22"/>
      <c r="AE850" s="22"/>
      <c r="AF850" s="22"/>
      <c r="AG850" s="172"/>
      <c r="AH850" s="172"/>
      <c r="AI850" s="172"/>
      <c r="AJ850" s="172"/>
      <c r="AK850" s="172"/>
      <c r="AL850" s="17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  <c r="BO850" s="22"/>
      <c r="BP850" s="22"/>
      <c r="BQ850" s="22"/>
      <c r="BR850" s="22"/>
      <c r="BS850" s="22"/>
      <c r="BT850" s="22"/>
      <c r="BU850" s="22"/>
    </row>
    <row r="851" ht="16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172"/>
      <c r="AA851" s="172"/>
      <c r="AB851" s="172"/>
      <c r="AC851" s="22"/>
      <c r="AD851" s="22"/>
      <c r="AE851" s="22"/>
      <c r="AF851" s="22"/>
      <c r="AG851" s="172"/>
      <c r="AH851" s="172"/>
      <c r="AI851" s="172"/>
      <c r="AJ851" s="172"/>
      <c r="AK851" s="172"/>
      <c r="AL851" s="17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  <c r="BK851" s="22"/>
      <c r="BL851" s="22"/>
      <c r="BM851" s="22"/>
      <c r="BN851" s="22"/>
      <c r="BO851" s="22"/>
      <c r="BP851" s="22"/>
      <c r="BQ851" s="22"/>
      <c r="BR851" s="22"/>
      <c r="BS851" s="22"/>
      <c r="BT851" s="22"/>
      <c r="BU851" s="22"/>
    </row>
    <row r="852" ht="16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172"/>
      <c r="AA852" s="172"/>
      <c r="AB852" s="172"/>
      <c r="AC852" s="22"/>
      <c r="AD852" s="22"/>
      <c r="AE852" s="22"/>
      <c r="AF852" s="22"/>
      <c r="AG852" s="172"/>
      <c r="AH852" s="172"/>
      <c r="AI852" s="172"/>
      <c r="AJ852" s="172"/>
      <c r="AK852" s="172"/>
      <c r="AL852" s="17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  <c r="BK852" s="22"/>
      <c r="BL852" s="22"/>
      <c r="BM852" s="22"/>
      <c r="BN852" s="22"/>
      <c r="BO852" s="22"/>
      <c r="BP852" s="22"/>
      <c r="BQ852" s="22"/>
      <c r="BR852" s="22"/>
      <c r="BS852" s="22"/>
      <c r="BT852" s="22"/>
      <c r="BU852" s="22"/>
    </row>
    <row r="853" ht="16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172"/>
      <c r="AA853" s="172"/>
      <c r="AB853" s="172"/>
      <c r="AC853" s="22"/>
      <c r="AD853" s="22"/>
      <c r="AE853" s="22"/>
      <c r="AF853" s="22"/>
      <c r="AG853" s="172"/>
      <c r="AH853" s="172"/>
      <c r="AI853" s="172"/>
      <c r="AJ853" s="172"/>
      <c r="AK853" s="172"/>
      <c r="AL853" s="17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  <c r="BK853" s="22"/>
      <c r="BL853" s="22"/>
      <c r="BM853" s="22"/>
      <c r="BN853" s="22"/>
      <c r="BO853" s="22"/>
      <c r="BP853" s="22"/>
      <c r="BQ853" s="22"/>
      <c r="BR853" s="22"/>
      <c r="BS853" s="22"/>
      <c r="BT853" s="22"/>
      <c r="BU853" s="22"/>
    </row>
    <row r="854" ht="16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172"/>
      <c r="AA854" s="172"/>
      <c r="AB854" s="172"/>
      <c r="AC854" s="22"/>
      <c r="AD854" s="22"/>
      <c r="AE854" s="22"/>
      <c r="AF854" s="22"/>
      <c r="AG854" s="172"/>
      <c r="AH854" s="172"/>
      <c r="AI854" s="172"/>
      <c r="AJ854" s="172"/>
      <c r="AK854" s="172"/>
      <c r="AL854" s="17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  <c r="BO854" s="22"/>
      <c r="BP854" s="22"/>
      <c r="BQ854" s="22"/>
      <c r="BR854" s="22"/>
      <c r="BS854" s="22"/>
      <c r="BT854" s="22"/>
      <c r="BU854" s="22"/>
    </row>
    <row r="855" ht="16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172"/>
      <c r="AA855" s="172"/>
      <c r="AB855" s="172"/>
      <c r="AC855" s="22"/>
      <c r="AD855" s="22"/>
      <c r="AE855" s="22"/>
      <c r="AF855" s="22"/>
      <c r="AG855" s="172"/>
      <c r="AH855" s="172"/>
      <c r="AI855" s="172"/>
      <c r="AJ855" s="172"/>
      <c r="AK855" s="172"/>
      <c r="AL855" s="17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  <c r="BO855" s="22"/>
      <c r="BP855" s="22"/>
      <c r="BQ855" s="22"/>
      <c r="BR855" s="22"/>
      <c r="BS855" s="22"/>
      <c r="BT855" s="22"/>
      <c r="BU855" s="22"/>
    </row>
    <row r="856" ht="16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172"/>
      <c r="AA856" s="172"/>
      <c r="AB856" s="172"/>
      <c r="AC856" s="22"/>
      <c r="AD856" s="22"/>
      <c r="AE856" s="22"/>
      <c r="AF856" s="22"/>
      <c r="AG856" s="172"/>
      <c r="AH856" s="172"/>
      <c r="AI856" s="172"/>
      <c r="AJ856" s="172"/>
      <c r="AK856" s="172"/>
      <c r="AL856" s="17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  <c r="BO856" s="22"/>
      <c r="BP856" s="22"/>
      <c r="BQ856" s="22"/>
      <c r="BR856" s="22"/>
      <c r="BS856" s="22"/>
      <c r="BT856" s="22"/>
      <c r="BU856" s="22"/>
    </row>
    <row r="857" ht="16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172"/>
      <c r="AA857" s="172"/>
      <c r="AB857" s="172"/>
      <c r="AC857" s="22"/>
      <c r="AD857" s="22"/>
      <c r="AE857" s="22"/>
      <c r="AF857" s="22"/>
      <c r="AG857" s="172"/>
      <c r="AH857" s="172"/>
      <c r="AI857" s="172"/>
      <c r="AJ857" s="172"/>
      <c r="AK857" s="172"/>
      <c r="AL857" s="17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  <c r="BK857" s="22"/>
      <c r="BL857" s="22"/>
      <c r="BM857" s="22"/>
      <c r="BN857" s="22"/>
      <c r="BO857" s="22"/>
      <c r="BP857" s="22"/>
      <c r="BQ857" s="22"/>
      <c r="BR857" s="22"/>
      <c r="BS857" s="22"/>
      <c r="BT857" s="22"/>
      <c r="BU857" s="22"/>
    </row>
    <row r="858" ht="16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172"/>
      <c r="AA858" s="172"/>
      <c r="AB858" s="172"/>
      <c r="AC858" s="22"/>
      <c r="AD858" s="22"/>
      <c r="AE858" s="22"/>
      <c r="AF858" s="22"/>
      <c r="AG858" s="172"/>
      <c r="AH858" s="172"/>
      <c r="AI858" s="172"/>
      <c r="AJ858" s="172"/>
      <c r="AK858" s="172"/>
      <c r="AL858" s="17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  <c r="BK858" s="22"/>
      <c r="BL858" s="22"/>
      <c r="BM858" s="22"/>
      <c r="BN858" s="22"/>
      <c r="BO858" s="22"/>
      <c r="BP858" s="22"/>
      <c r="BQ858" s="22"/>
      <c r="BR858" s="22"/>
      <c r="BS858" s="22"/>
      <c r="BT858" s="22"/>
      <c r="BU858" s="22"/>
    </row>
    <row r="859" ht="16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172"/>
      <c r="AA859" s="172"/>
      <c r="AB859" s="172"/>
      <c r="AC859" s="22"/>
      <c r="AD859" s="22"/>
      <c r="AE859" s="22"/>
      <c r="AF859" s="22"/>
      <c r="AG859" s="172"/>
      <c r="AH859" s="172"/>
      <c r="AI859" s="172"/>
      <c r="AJ859" s="172"/>
      <c r="AK859" s="172"/>
      <c r="AL859" s="17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  <c r="BO859" s="22"/>
      <c r="BP859" s="22"/>
      <c r="BQ859" s="22"/>
      <c r="BR859" s="22"/>
      <c r="BS859" s="22"/>
      <c r="BT859" s="22"/>
      <c r="BU859" s="22"/>
    </row>
    <row r="860" ht="16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172"/>
      <c r="AA860" s="172"/>
      <c r="AB860" s="172"/>
      <c r="AC860" s="22"/>
      <c r="AD860" s="22"/>
      <c r="AE860" s="22"/>
      <c r="AF860" s="22"/>
      <c r="AG860" s="172"/>
      <c r="AH860" s="172"/>
      <c r="AI860" s="172"/>
      <c r="AJ860" s="172"/>
      <c r="AK860" s="172"/>
      <c r="AL860" s="17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  <c r="BO860" s="22"/>
      <c r="BP860" s="22"/>
      <c r="BQ860" s="22"/>
      <c r="BR860" s="22"/>
      <c r="BS860" s="22"/>
      <c r="BT860" s="22"/>
      <c r="BU860" s="22"/>
    </row>
    <row r="861" ht="16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172"/>
      <c r="AA861" s="172"/>
      <c r="AB861" s="172"/>
      <c r="AC861" s="22"/>
      <c r="AD861" s="22"/>
      <c r="AE861" s="22"/>
      <c r="AF861" s="22"/>
      <c r="AG861" s="172"/>
      <c r="AH861" s="172"/>
      <c r="AI861" s="172"/>
      <c r="AJ861" s="172"/>
      <c r="AK861" s="172"/>
      <c r="AL861" s="17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  <c r="BO861" s="22"/>
      <c r="BP861" s="22"/>
      <c r="BQ861" s="22"/>
      <c r="BR861" s="22"/>
      <c r="BS861" s="22"/>
      <c r="BT861" s="22"/>
      <c r="BU861" s="22"/>
    </row>
    <row r="862" ht="16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172"/>
      <c r="AA862" s="172"/>
      <c r="AB862" s="172"/>
      <c r="AC862" s="22"/>
      <c r="AD862" s="22"/>
      <c r="AE862" s="22"/>
      <c r="AF862" s="22"/>
      <c r="AG862" s="172"/>
      <c r="AH862" s="172"/>
      <c r="AI862" s="172"/>
      <c r="AJ862" s="172"/>
      <c r="AK862" s="172"/>
      <c r="AL862" s="17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  <c r="BK862" s="22"/>
      <c r="BL862" s="22"/>
      <c r="BM862" s="22"/>
      <c r="BN862" s="22"/>
      <c r="BO862" s="22"/>
      <c r="BP862" s="22"/>
      <c r="BQ862" s="22"/>
      <c r="BR862" s="22"/>
      <c r="BS862" s="22"/>
      <c r="BT862" s="22"/>
      <c r="BU862" s="22"/>
    </row>
    <row r="863" ht="16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172"/>
      <c r="AA863" s="172"/>
      <c r="AB863" s="172"/>
      <c r="AC863" s="22"/>
      <c r="AD863" s="22"/>
      <c r="AE863" s="22"/>
      <c r="AF863" s="22"/>
      <c r="AG863" s="172"/>
      <c r="AH863" s="172"/>
      <c r="AI863" s="172"/>
      <c r="AJ863" s="172"/>
      <c r="AK863" s="172"/>
      <c r="AL863" s="17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  <c r="BK863" s="22"/>
      <c r="BL863" s="22"/>
      <c r="BM863" s="22"/>
      <c r="BN863" s="22"/>
      <c r="BO863" s="22"/>
      <c r="BP863" s="22"/>
      <c r="BQ863" s="22"/>
      <c r="BR863" s="22"/>
      <c r="BS863" s="22"/>
      <c r="BT863" s="22"/>
      <c r="BU863" s="22"/>
    </row>
    <row r="864" ht="16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172"/>
      <c r="AA864" s="172"/>
      <c r="AB864" s="172"/>
      <c r="AC864" s="22"/>
      <c r="AD864" s="22"/>
      <c r="AE864" s="22"/>
      <c r="AF864" s="22"/>
      <c r="AG864" s="172"/>
      <c r="AH864" s="172"/>
      <c r="AI864" s="172"/>
      <c r="AJ864" s="172"/>
      <c r="AK864" s="172"/>
      <c r="AL864" s="17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  <c r="BK864" s="22"/>
      <c r="BL864" s="22"/>
      <c r="BM864" s="22"/>
      <c r="BN864" s="22"/>
      <c r="BO864" s="22"/>
      <c r="BP864" s="22"/>
      <c r="BQ864" s="22"/>
      <c r="BR864" s="22"/>
      <c r="BS864" s="22"/>
      <c r="BT864" s="22"/>
      <c r="BU864" s="22"/>
    </row>
    <row r="865" ht="16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172"/>
      <c r="AA865" s="172"/>
      <c r="AB865" s="172"/>
      <c r="AC865" s="22"/>
      <c r="AD865" s="22"/>
      <c r="AE865" s="22"/>
      <c r="AF865" s="22"/>
      <c r="AG865" s="172"/>
      <c r="AH865" s="172"/>
      <c r="AI865" s="172"/>
      <c r="AJ865" s="172"/>
      <c r="AK865" s="172"/>
      <c r="AL865" s="17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  <c r="BK865" s="22"/>
      <c r="BL865" s="22"/>
      <c r="BM865" s="22"/>
      <c r="BN865" s="22"/>
      <c r="BO865" s="22"/>
      <c r="BP865" s="22"/>
      <c r="BQ865" s="22"/>
      <c r="BR865" s="22"/>
      <c r="BS865" s="22"/>
      <c r="BT865" s="22"/>
      <c r="BU865" s="22"/>
    </row>
    <row r="866" ht="16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172"/>
      <c r="AA866" s="172"/>
      <c r="AB866" s="172"/>
      <c r="AC866" s="22"/>
      <c r="AD866" s="22"/>
      <c r="AE866" s="22"/>
      <c r="AF866" s="22"/>
      <c r="AG866" s="172"/>
      <c r="AH866" s="172"/>
      <c r="AI866" s="172"/>
      <c r="AJ866" s="172"/>
      <c r="AK866" s="172"/>
      <c r="AL866" s="17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  <c r="BK866" s="22"/>
      <c r="BL866" s="22"/>
      <c r="BM866" s="22"/>
      <c r="BN866" s="22"/>
      <c r="BO866" s="22"/>
      <c r="BP866" s="22"/>
      <c r="BQ866" s="22"/>
      <c r="BR866" s="22"/>
      <c r="BS866" s="22"/>
      <c r="BT866" s="22"/>
      <c r="BU866" s="22"/>
    </row>
    <row r="867" ht="16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172"/>
      <c r="AA867" s="172"/>
      <c r="AB867" s="172"/>
      <c r="AC867" s="22"/>
      <c r="AD867" s="22"/>
      <c r="AE867" s="22"/>
      <c r="AF867" s="22"/>
      <c r="AG867" s="172"/>
      <c r="AH867" s="172"/>
      <c r="AI867" s="172"/>
      <c r="AJ867" s="172"/>
      <c r="AK867" s="172"/>
      <c r="AL867" s="17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  <c r="BO867" s="22"/>
      <c r="BP867" s="22"/>
      <c r="BQ867" s="22"/>
      <c r="BR867" s="22"/>
      <c r="BS867" s="22"/>
      <c r="BT867" s="22"/>
      <c r="BU867" s="22"/>
    </row>
    <row r="868" ht="16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172"/>
      <c r="AA868" s="172"/>
      <c r="AB868" s="172"/>
      <c r="AC868" s="22"/>
      <c r="AD868" s="22"/>
      <c r="AE868" s="22"/>
      <c r="AF868" s="22"/>
      <c r="AG868" s="172"/>
      <c r="AH868" s="172"/>
      <c r="AI868" s="172"/>
      <c r="AJ868" s="172"/>
      <c r="AK868" s="172"/>
      <c r="AL868" s="17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  <c r="BO868" s="22"/>
      <c r="BP868" s="22"/>
      <c r="BQ868" s="22"/>
      <c r="BR868" s="22"/>
      <c r="BS868" s="22"/>
      <c r="BT868" s="22"/>
      <c r="BU868" s="22"/>
    </row>
    <row r="869" ht="16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172"/>
      <c r="AA869" s="172"/>
      <c r="AB869" s="172"/>
      <c r="AC869" s="22"/>
      <c r="AD869" s="22"/>
      <c r="AE869" s="22"/>
      <c r="AF869" s="22"/>
      <c r="AG869" s="172"/>
      <c r="AH869" s="172"/>
      <c r="AI869" s="172"/>
      <c r="AJ869" s="172"/>
      <c r="AK869" s="172"/>
      <c r="AL869" s="17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  <c r="BO869" s="22"/>
      <c r="BP869" s="22"/>
      <c r="BQ869" s="22"/>
      <c r="BR869" s="22"/>
      <c r="BS869" s="22"/>
      <c r="BT869" s="22"/>
      <c r="BU869" s="22"/>
    </row>
    <row r="870" ht="16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172"/>
      <c r="AA870" s="172"/>
      <c r="AB870" s="172"/>
      <c r="AC870" s="22"/>
      <c r="AD870" s="22"/>
      <c r="AE870" s="22"/>
      <c r="AF870" s="22"/>
      <c r="AG870" s="172"/>
      <c r="AH870" s="172"/>
      <c r="AI870" s="172"/>
      <c r="AJ870" s="172"/>
      <c r="AK870" s="172"/>
      <c r="AL870" s="17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  <c r="BO870" s="22"/>
      <c r="BP870" s="22"/>
      <c r="BQ870" s="22"/>
      <c r="BR870" s="22"/>
      <c r="BS870" s="22"/>
      <c r="BT870" s="22"/>
      <c r="BU870" s="22"/>
    </row>
    <row r="871" ht="16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172"/>
      <c r="AA871" s="172"/>
      <c r="AB871" s="172"/>
      <c r="AC871" s="22"/>
      <c r="AD871" s="22"/>
      <c r="AE871" s="22"/>
      <c r="AF871" s="22"/>
      <c r="AG871" s="172"/>
      <c r="AH871" s="172"/>
      <c r="AI871" s="172"/>
      <c r="AJ871" s="172"/>
      <c r="AK871" s="172"/>
      <c r="AL871" s="17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  <c r="BK871" s="22"/>
      <c r="BL871" s="22"/>
      <c r="BM871" s="22"/>
      <c r="BN871" s="22"/>
      <c r="BO871" s="22"/>
      <c r="BP871" s="22"/>
      <c r="BQ871" s="22"/>
      <c r="BR871" s="22"/>
      <c r="BS871" s="22"/>
      <c r="BT871" s="22"/>
      <c r="BU871" s="22"/>
    </row>
    <row r="872" ht="16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172"/>
      <c r="AA872" s="172"/>
      <c r="AB872" s="172"/>
      <c r="AC872" s="22"/>
      <c r="AD872" s="22"/>
      <c r="AE872" s="22"/>
      <c r="AF872" s="22"/>
      <c r="AG872" s="172"/>
      <c r="AH872" s="172"/>
      <c r="AI872" s="172"/>
      <c r="AJ872" s="172"/>
      <c r="AK872" s="172"/>
      <c r="AL872" s="17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22"/>
      <c r="BM872" s="22"/>
      <c r="BN872" s="22"/>
      <c r="BO872" s="22"/>
      <c r="BP872" s="22"/>
      <c r="BQ872" s="22"/>
      <c r="BR872" s="22"/>
      <c r="BS872" s="22"/>
      <c r="BT872" s="22"/>
      <c r="BU872" s="22"/>
    </row>
    <row r="873" ht="16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172"/>
      <c r="AA873" s="172"/>
      <c r="AB873" s="172"/>
      <c r="AC873" s="22"/>
      <c r="AD873" s="22"/>
      <c r="AE873" s="22"/>
      <c r="AF873" s="22"/>
      <c r="AG873" s="172"/>
      <c r="AH873" s="172"/>
      <c r="AI873" s="172"/>
      <c r="AJ873" s="172"/>
      <c r="AK873" s="172"/>
      <c r="AL873" s="17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  <c r="BO873" s="22"/>
      <c r="BP873" s="22"/>
      <c r="BQ873" s="22"/>
      <c r="BR873" s="22"/>
      <c r="BS873" s="22"/>
      <c r="BT873" s="22"/>
      <c r="BU873" s="22"/>
    </row>
    <row r="874" ht="16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172"/>
      <c r="AA874" s="172"/>
      <c r="AB874" s="172"/>
      <c r="AC874" s="22"/>
      <c r="AD874" s="22"/>
      <c r="AE874" s="22"/>
      <c r="AF874" s="22"/>
      <c r="AG874" s="172"/>
      <c r="AH874" s="172"/>
      <c r="AI874" s="172"/>
      <c r="AJ874" s="172"/>
      <c r="AK874" s="172"/>
      <c r="AL874" s="17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22"/>
      <c r="BM874" s="22"/>
      <c r="BN874" s="22"/>
      <c r="BO874" s="22"/>
      <c r="BP874" s="22"/>
      <c r="BQ874" s="22"/>
      <c r="BR874" s="22"/>
      <c r="BS874" s="22"/>
      <c r="BT874" s="22"/>
      <c r="BU874" s="22"/>
    </row>
    <row r="875" ht="16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172"/>
      <c r="AA875" s="172"/>
      <c r="AB875" s="172"/>
      <c r="AC875" s="22"/>
      <c r="AD875" s="22"/>
      <c r="AE875" s="22"/>
      <c r="AF875" s="22"/>
      <c r="AG875" s="172"/>
      <c r="AH875" s="172"/>
      <c r="AI875" s="172"/>
      <c r="AJ875" s="172"/>
      <c r="AK875" s="172"/>
      <c r="AL875" s="17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  <c r="BT875" s="22"/>
      <c r="BU875" s="22"/>
    </row>
    <row r="876" ht="16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172"/>
      <c r="AA876" s="172"/>
      <c r="AB876" s="172"/>
      <c r="AC876" s="22"/>
      <c r="AD876" s="22"/>
      <c r="AE876" s="22"/>
      <c r="AF876" s="22"/>
      <c r="AG876" s="172"/>
      <c r="AH876" s="172"/>
      <c r="AI876" s="172"/>
      <c r="AJ876" s="172"/>
      <c r="AK876" s="172"/>
      <c r="AL876" s="17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  <c r="BT876" s="22"/>
      <c r="BU876" s="22"/>
    </row>
    <row r="877" ht="16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172"/>
      <c r="AA877" s="172"/>
      <c r="AB877" s="172"/>
      <c r="AC877" s="22"/>
      <c r="AD877" s="22"/>
      <c r="AE877" s="22"/>
      <c r="AF877" s="22"/>
      <c r="AG877" s="172"/>
      <c r="AH877" s="172"/>
      <c r="AI877" s="172"/>
      <c r="AJ877" s="172"/>
      <c r="AK877" s="172"/>
      <c r="AL877" s="17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  <c r="BO877" s="22"/>
      <c r="BP877" s="22"/>
      <c r="BQ877" s="22"/>
      <c r="BR877" s="22"/>
      <c r="BS877" s="22"/>
      <c r="BT877" s="22"/>
      <c r="BU877" s="22"/>
    </row>
    <row r="878" ht="16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172"/>
      <c r="AA878" s="172"/>
      <c r="AB878" s="172"/>
      <c r="AC878" s="22"/>
      <c r="AD878" s="22"/>
      <c r="AE878" s="22"/>
      <c r="AF878" s="22"/>
      <c r="AG878" s="172"/>
      <c r="AH878" s="172"/>
      <c r="AI878" s="172"/>
      <c r="AJ878" s="172"/>
      <c r="AK878" s="172"/>
      <c r="AL878" s="17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  <c r="BO878" s="22"/>
      <c r="BP878" s="22"/>
      <c r="BQ878" s="22"/>
      <c r="BR878" s="22"/>
      <c r="BS878" s="22"/>
      <c r="BT878" s="22"/>
      <c r="BU878" s="22"/>
    </row>
    <row r="879" ht="16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172"/>
      <c r="AA879" s="172"/>
      <c r="AB879" s="172"/>
      <c r="AC879" s="22"/>
      <c r="AD879" s="22"/>
      <c r="AE879" s="22"/>
      <c r="AF879" s="22"/>
      <c r="AG879" s="172"/>
      <c r="AH879" s="172"/>
      <c r="AI879" s="172"/>
      <c r="AJ879" s="172"/>
      <c r="AK879" s="172"/>
      <c r="AL879" s="17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22"/>
      <c r="BM879" s="22"/>
      <c r="BN879" s="22"/>
      <c r="BO879" s="22"/>
      <c r="BP879" s="22"/>
      <c r="BQ879" s="22"/>
      <c r="BR879" s="22"/>
      <c r="BS879" s="22"/>
      <c r="BT879" s="22"/>
      <c r="BU879" s="22"/>
    </row>
    <row r="880" ht="16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172"/>
      <c r="AA880" s="172"/>
      <c r="AB880" s="172"/>
      <c r="AC880" s="22"/>
      <c r="AD880" s="22"/>
      <c r="AE880" s="22"/>
      <c r="AF880" s="22"/>
      <c r="AG880" s="172"/>
      <c r="AH880" s="172"/>
      <c r="AI880" s="172"/>
      <c r="AJ880" s="172"/>
      <c r="AK880" s="172"/>
      <c r="AL880" s="17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  <c r="BK880" s="22"/>
      <c r="BL880" s="22"/>
      <c r="BM880" s="22"/>
      <c r="BN880" s="22"/>
      <c r="BO880" s="22"/>
      <c r="BP880" s="22"/>
      <c r="BQ880" s="22"/>
      <c r="BR880" s="22"/>
      <c r="BS880" s="22"/>
      <c r="BT880" s="22"/>
      <c r="BU880" s="22"/>
    </row>
    <row r="881" ht="16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172"/>
      <c r="AA881" s="172"/>
      <c r="AB881" s="172"/>
      <c r="AC881" s="22"/>
      <c r="AD881" s="22"/>
      <c r="AE881" s="22"/>
      <c r="AF881" s="22"/>
      <c r="AG881" s="172"/>
      <c r="AH881" s="172"/>
      <c r="AI881" s="172"/>
      <c r="AJ881" s="172"/>
      <c r="AK881" s="172"/>
      <c r="AL881" s="17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22"/>
      <c r="BM881" s="22"/>
      <c r="BN881" s="22"/>
      <c r="BO881" s="22"/>
      <c r="BP881" s="22"/>
      <c r="BQ881" s="22"/>
      <c r="BR881" s="22"/>
      <c r="BS881" s="22"/>
      <c r="BT881" s="22"/>
      <c r="BU881" s="22"/>
    </row>
    <row r="882" ht="16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172"/>
      <c r="AA882" s="172"/>
      <c r="AB882" s="172"/>
      <c r="AC882" s="22"/>
      <c r="AD882" s="22"/>
      <c r="AE882" s="22"/>
      <c r="AF882" s="22"/>
      <c r="AG882" s="172"/>
      <c r="AH882" s="172"/>
      <c r="AI882" s="172"/>
      <c r="AJ882" s="172"/>
      <c r="AK882" s="172"/>
      <c r="AL882" s="17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  <c r="BT882" s="22"/>
      <c r="BU882" s="22"/>
    </row>
    <row r="883" ht="16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172"/>
      <c r="AA883" s="172"/>
      <c r="AB883" s="172"/>
      <c r="AC883" s="22"/>
      <c r="AD883" s="22"/>
      <c r="AE883" s="22"/>
      <c r="AF883" s="22"/>
      <c r="AG883" s="172"/>
      <c r="AH883" s="172"/>
      <c r="AI883" s="172"/>
      <c r="AJ883" s="172"/>
      <c r="AK883" s="172"/>
      <c r="AL883" s="17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  <c r="BO883" s="22"/>
      <c r="BP883" s="22"/>
      <c r="BQ883" s="22"/>
      <c r="BR883" s="22"/>
      <c r="BS883" s="22"/>
      <c r="BT883" s="22"/>
      <c r="BU883" s="22"/>
    </row>
    <row r="884" ht="16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172"/>
      <c r="AA884" s="172"/>
      <c r="AB884" s="172"/>
      <c r="AC884" s="22"/>
      <c r="AD884" s="22"/>
      <c r="AE884" s="22"/>
      <c r="AF884" s="22"/>
      <c r="AG884" s="172"/>
      <c r="AH884" s="172"/>
      <c r="AI884" s="172"/>
      <c r="AJ884" s="172"/>
      <c r="AK884" s="172"/>
      <c r="AL884" s="17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22"/>
      <c r="BM884" s="22"/>
      <c r="BN884" s="22"/>
      <c r="BO884" s="22"/>
      <c r="BP884" s="22"/>
      <c r="BQ884" s="22"/>
      <c r="BR884" s="22"/>
      <c r="BS884" s="22"/>
      <c r="BT884" s="22"/>
      <c r="BU884" s="22"/>
    </row>
    <row r="885" ht="16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172"/>
      <c r="AA885" s="172"/>
      <c r="AB885" s="172"/>
      <c r="AC885" s="22"/>
      <c r="AD885" s="22"/>
      <c r="AE885" s="22"/>
      <c r="AF885" s="22"/>
      <c r="AG885" s="172"/>
      <c r="AH885" s="172"/>
      <c r="AI885" s="172"/>
      <c r="AJ885" s="172"/>
      <c r="AK885" s="172"/>
      <c r="AL885" s="17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  <c r="BT885" s="22"/>
      <c r="BU885" s="22"/>
    </row>
    <row r="886" ht="16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172"/>
      <c r="AA886" s="172"/>
      <c r="AB886" s="172"/>
      <c r="AC886" s="22"/>
      <c r="AD886" s="22"/>
      <c r="AE886" s="22"/>
      <c r="AF886" s="22"/>
      <c r="AG886" s="172"/>
      <c r="AH886" s="172"/>
      <c r="AI886" s="172"/>
      <c r="AJ886" s="172"/>
      <c r="AK886" s="172"/>
      <c r="AL886" s="17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  <c r="BT886" s="22"/>
      <c r="BU886" s="22"/>
    </row>
    <row r="887" ht="16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172"/>
      <c r="AA887" s="172"/>
      <c r="AB887" s="172"/>
      <c r="AC887" s="22"/>
      <c r="AD887" s="22"/>
      <c r="AE887" s="22"/>
      <c r="AF887" s="22"/>
      <c r="AG887" s="172"/>
      <c r="AH887" s="172"/>
      <c r="AI887" s="172"/>
      <c r="AJ887" s="172"/>
      <c r="AK887" s="172"/>
      <c r="AL887" s="17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  <c r="BT887" s="22"/>
      <c r="BU887" s="22"/>
    </row>
    <row r="888" ht="16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172"/>
      <c r="AA888" s="172"/>
      <c r="AB888" s="172"/>
      <c r="AC888" s="22"/>
      <c r="AD888" s="22"/>
      <c r="AE888" s="22"/>
      <c r="AF888" s="22"/>
      <c r="AG888" s="172"/>
      <c r="AH888" s="172"/>
      <c r="AI888" s="172"/>
      <c r="AJ888" s="172"/>
      <c r="AK888" s="172"/>
      <c r="AL888" s="17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  <c r="BO888" s="22"/>
      <c r="BP888" s="22"/>
      <c r="BQ888" s="22"/>
      <c r="BR888" s="22"/>
      <c r="BS888" s="22"/>
      <c r="BT888" s="22"/>
      <c r="BU888" s="22"/>
    </row>
    <row r="889" ht="16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172"/>
      <c r="AA889" s="172"/>
      <c r="AB889" s="172"/>
      <c r="AC889" s="22"/>
      <c r="AD889" s="22"/>
      <c r="AE889" s="22"/>
      <c r="AF889" s="22"/>
      <c r="AG889" s="172"/>
      <c r="AH889" s="172"/>
      <c r="AI889" s="172"/>
      <c r="AJ889" s="172"/>
      <c r="AK889" s="172"/>
      <c r="AL889" s="17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  <c r="BT889" s="22"/>
      <c r="BU889" s="22"/>
    </row>
    <row r="890" ht="16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172"/>
      <c r="AA890" s="172"/>
      <c r="AB890" s="172"/>
      <c r="AC890" s="22"/>
      <c r="AD890" s="22"/>
      <c r="AE890" s="22"/>
      <c r="AF890" s="22"/>
      <c r="AG890" s="172"/>
      <c r="AH890" s="172"/>
      <c r="AI890" s="172"/>
      <c r="AJ890" s="172"/>
      <c r="AK890" s="172"/>
      <c r="AL890" s="17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</row>
    <row r="891" ht="16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172"/>
      <c r="AA891" s="172"/>
      <c r="AB891" s="172"/>
      <c r="AC891" s="22"/>
      <c r="AD891" s="22"/>
      <c r="AE891" s="22"/>
      <c r="AF891" s="22"/>
      <c r="AG891" s="172"/>
      <c r="AH891" s="172"/>
      <c r="AI891" s="172"/>
      <c r="AJ891" s="172"/>
      <c r="AK891" s="172"/>
      <c r="AL891" s="17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22"/>
      <c r="BM891" s="22"/>
      <c r="BN891" s="22"/>
      <c r="BO891" s="22"/>
      <c r="BP891" s="22"/>
      <c r="BQ891" s="22"/>
      <c r="BR891" s="22"/>
      <c r="BS891" s="22"/>
      <c r="BT891" s="22"/>
      <c r="BU891" s="22"/>
    </row>
    <row r="892" ht="16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172"/>
      <c r="AA892" s="172"/>
      <c r="AB892" s="172"/>
      <c r="AC892" s="22"/>
      <c r="AD892" s="22"/>
      <c r="AE892" s="22"/>
      <c r="AF892" s="22"/>
      <c r="AG892" s="172"/>
      <c r="AH892" s="172"/>
      <c r="AI892" s="172"/>
      <c r="AJ892" s="172"/>
      <c r="AK892" s="172"/>
      <c r="AL892" s="17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22"/>
      <c r="BM892" s="22"/>
      <c r="BN892" s="22"/>
      <c r="BO892" s="22"/>
      <c r="BP892" s="22"/>
      <c r="BQ892" s="22"/>
      <c r="BR892" s="22"/>
      <c r="BS892" s="22"/>
      <c r="BT892" s="22"/>
      <c r="BU892" s="22"/>
    </row>
    <row r="893" ht="16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172"/>
      <c r="AA893" s="172"/>
      <c r="AB893" s="172"/>
      <c r="AC893" s="22"/>
      <c r="AD893" s="22"/>
      <c r="AE893" s="22"/>
      <c r="AF893" s="22"/>
      <c r="AG893" s="172"/>
      <c r="AH893" s="172"/>
      <c r="AI893" s="172"/>
      <c r="AJ893" s="172"/>
      <c r="AK893" s="172"/>
      <c r="AL893" s="17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22"/>
      <c r="BM893" s="22"/>
      <c r="BN893" s="22"/>
      <c r="BO893" s="22"/>
      <c r="BP893" s="22"/>
      <c r="BQ893" s="22"/>
      <c r="BR893" s="22"/>
      <c r="BS893" s="22"/>
      <c r="BT893" s="22"/>
      <c r="BU893" s="22"/>
    </row>
    <row r="894" ht="16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172"/>
      <c r="AA894" s="172"/>
      <c r="AB894" s="172"/>
      <c r="AC894" s="22"/>
      <c r="AD894" s="22"/>
      <c r="AE894" s="22"/>
      <c r="AF894" s="22"/>
      <c r="AG894" s="172"/>
      <c r="AH894" s="172"/>
      <c r="AI894" s="172"/>
      <c r="AJ894" s="172"/>
      <c r="AK894" s="172"/>
      <c r="AL894" s="17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22"/>
      <c r="BL894" s="22"/>
      <c r="BM894" s="22"/>
      <c r="BN894" s="22"/>
      <c r="BO894" s="22"/>
      <c r="BP894" s="22"/>
      <c r="BQ894" s="22"/>
      <c r="BR894" s="22"/>
      <c r="BS894" s="22"/>
      <c r="BT894" s="22"/>
      <c r="BU894" s="22"/>
    </row>
    <row r="895" ht="16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172"/>
      <c r="AA895" s="172"/>
      <c r="AB895" s="172"/>
      <c r="AC895" s="22"/>
      <c r="AD895" s="22"/>
      <c r="AE895" s="22"/>
      <c r="AF895" s="22"/>
      <c r="AG895" s="172"/>
      <c r="AH895" s="172"/>
      <c r="AI895" s="172"/>
      <c r="AJ895" s="172"/>
      <c r="AK895" s="172"/>
      <c r="AL895" s="17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22"/>
      <c r="BL895" s="22"/>
      <c r="BM895" s="22"/>
      <c r="BN895" s="22"/>
      <c r="BO895" s="22"/>
      <c r="BP895" s="22"/>
      <c r="BQ895" s="22"/>
      <c r="BR895" s="22"/>
      <c r="BS895" s="22"/>
      <c r="BT895" s="22"/>
      <c r="BU895" s="22"/>
    </row>
    <row r="896" ht="16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172"/>
      <c r="AA896" s="172"/>
      <c r="AB896" s="172"/>
      <c r="AC896" s="22"/>
      <c r="AD896" s="22"/>
      <c r="AE896" s="22"/>
      <c r="AF896" s="22"/>
      <c r="AG896" s="172"/>
      <c r="AH896" s="172"/>
      <c r="AI896" s="172"/>
      <c r="AJ896" s="172"/>
      <c r="AK896" s="172"/>
      <c r="AL896" s="17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22"/>
      <c r="BL896" s="22"/>
      <c r="BM896" s="22"/>
      <c r="BN896" s="22"/>
      <c r="BO896" s="22"/>
      <c r="BP896" s="22"/>
      <c r="BQ896" s="22"/>
      <c r="BR896" s="22"/>
      <c r="BS896" s="22"/>
      <c r="BT896" s="22"/>
      <c r="BU896" s="22"/>
    </row>
    <row r="897" ht="16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172"/>
      <c r="AA897" s="172"/>
      <c r="AB897" s="172"/>
      <c r="AC897" s="22"/>
      <c r="AD897" s="22"/>
      <c r="AE897" s="22"/>
      <c r="AF897" s="22"/>
      <c r="AG897" s="172"/>
      <c r="AH897" s="172"/>
      <c r="AI897" s="172"/>
      <c r="AJ897" s="172"/>
      <c r="AK897" s="172"/>
      <c r="AL897" s="17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22"/>
      <c r="BL897" s="22"/>
      <c r="BM897" s="22"/>
      <c r="BN897" s="22"/>
      <c r="BO897" s="22"/>
      <c r="BP897" s="22"/>
      <c r="BQ897" s="22"/>
      <c r="BR897" s="22"/>
      <c r="BS897" s="22"/>
      <c r="BT897" s="22"/>
      <c r="BU897" s="22"/>
    </row>
    <row r="898" ht="16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172"/>
      <c r="AA898" s="172"/>
      <c r="AB898" s="172"/>
      <c r="AC898" s="22"/>
      <c r="AD898" s="22"/>
      <c r="AE898" s="22"/>
      <c r="AF898" s="22"/>
      <c r="AG898" s="172"/>
      <c r="AH898" s="172"/>
      <c r="AI898" s="172"/>
      <c r="AJ898" s="172"/>
      <c r="AK898" s="172"/>
      <c r="AL898" s="17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  <c r="BP898" s="22"/>
      <c r="BQ898" s="22"/>
      <c r="BR898" s="22"/>
      <c r="BS898" s="22"/>
      <c r="BT898" s="22"/>
      <c r="BU898" s="22"/>
    </row>
    <row r="899" ht="16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172"/>
      <c r="AA899" s="172"/>
      <c r="AB899" s="172"/>
      <c r="AC899" s="22"/>
      <c r="AD899" s="22"/>
      <c r="AE899" s="22"/>
      <c r="AF899" s="22"/>
      <c r="AG899" s="172"/>
      <c r="AH899" s="172"/>
      <c r="AI899" s="172"/>
      <c r="AJ899" s="172"/>
      <c r="AK899" s="172"/>
      <c r="AL899" s="17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  <c r="BP899" s="22"/>
      <c r="BQ899" s="22"/>
      <c r="BR899" s="22"/>
      <c r="BS899" s="22"/>
      <c r="BT899" s="22"/>
      <c r="BU899" s="22"/>
    </row>
    <row r="900" ht="16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172"/>
      <c r="AA900" s="172"/>
      <c r="AB900" s="172"/>
      <c r="AC900" s="22"/>
      <c r="AD900" s="22"/>
      <c r="AE900" s="22"/>
      <c r="AF900" s="22"/>
      <c r="AG900" s="172"/>
      <c r="AH900" s="172"/>
      <c r="AI900" s="172"/>
      <c r="AJ900" s="172"/>
      <c r="AK900" s="172"/>
      <c r="AL900" s="17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  <c r="BK900" s="22"/>
      <c r="BL900" s="22"/>
      <c r="BM900" s="22"/>
      <c r="BN900" s="22"/>
      <c r="BO900" s="22"/>
      <c r="BP900" s="22"/>
      <c r="BQ900" s="22"/>
      <c r="BR900" s="22"/>
      <c r="BS900" s="22"/>
      <c r="BT900" s="22"/>
      <c r="BU900" s="22"/>
    </row>
    <row r="901" ht="16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172"/>
      <c r="AA901" s="172"/>
      <c r="AB901" s="172"/>
      <c r="AC901" s="22"/>
      <c r="AD901" s="22"/>
      <c r="AE901" s="22"/>
      <c r="AF901" s="22"/>
      <c r="AG901" s="172"/>
      <c r="AH901" s="172"/>
      <c r="AI901" s="172"/>
      <c r="AJ901" s="172"/>
      <c r="AK901" s="172"/>
      <c r="AL901" s="17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  <c r="BK901" s="22"/>
      <c r="BL901" s="22"/>
      <c r="BM901" s="22"/>
      <c r="BN901" s="22"/>
      <c r="BO901" s="22"/>
      <c r="BP901" s="22"/>
      <c r="BQ901" s="22"/>
      <c r="BR901" s="22"/>
      <c r="BS901" s="22"/>
      <c r="BT901" s="22"/>
      <c r="BU901" s="22"/>
    </row>
    <row r="902" ht="16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172"/>
      <c r="AA902" s="172"/>
      <c r="AB902" s="172"/>
      <c r="AC902" s="22"/>
      <c r="AD902" s="22"/>
      <c r="AE902" s="22"/>
      <c r="AF902" s="22"/>
      <c r="AG902" s="172"/>
      <c r="AH902" s="172"/>
      <c r="AI902" s="172"/>
      <c r="AJ902" s="172"/>
      <c r="AK902" s="172"/>
      <c r="AL902" s="17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  <c r="BK902" s="22"/>
      <c r="BL902" s="22"/>
      <c r="BM902" s="22"/>
      <c r="BN902" s="22"/>
      <c r="BO902" s="22"/>
      <c r="BP902" s="22"/>
      <c r="BQ902" s="22"/>
      <c r="BR902" s="22"/>
      <c r="BS902" s="22"/>
      <c r="BT902" s="22"/>
      <c r="BU902" s="22"/>
    </row>
    <row r="903" ht="16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172"/>
      <c r="AA903" s="172"/>
      <c r="AB903" s="172"/>
      <c r="AC903" s="22"/>
      <c r="AD903" s="22"/>
      <c r="AE903" s="22"/>
      <c r="AF903" s="22"/>
      <c r="AG903" s="172"/>
      <c r="AH903" s="172"/>
      <c r="AI903" s="172"/>
      <c r="AJ903" s="172"/>
      <c r="AK903" s="172"/>
      <c r="AL903" s="17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  <c r="BK903" s="22"/>
      <c r="BL903" s="22"/>
      <c r="BM903" s="22"/>
      <c r="BN903" s="22"/>
      <c r="BO903" s="22"/>
      <c r="BP903" s="22"/>
      <c r="BQ903" s="22"/>
      <c r="BR903" s="22"/>
      <c r="BS903" s="22"/>
      <c r="BT903" s="22"/>
      <c r="BU903" s="22"/>
    </row>
    <row r="904" ht="16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172"/>
      <c r="AA904" s="172"/>
      <c r="AB904" s="172"/>
      <c r="AC904" s="22"/>
      <c r="AD904" s="22"/>
      <c r="AE904" s="22"/>
      <c r="AF904" s="22"/>
      <c r="AG904" s="172"/>
      <c r="AH904" s="172"/>
      <c r="AI904" s="172"/>
      <c r="AJ904" s="172"/>
      <c r="AK904" s="172"/>
      <c r="AL904" s="17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  <c r="BT904" s="22"/>
      <c r="BU904" s="22"/>
    </row>
    <row r="905" ht="16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172"/>
      <c r="AA905" s="172"/>
      <c r="AB905" s="172"/>
      <c r="AC905" s="22"/>
      <c r="AD905" s="22"/>
      <c r="AE905" s="22"/>
      <c r="AF905" s="22"/>
      <c r="AG905" s="172"/>
      <c r="AH905" s="172"/>
      <c r="AI905" s="172"/>
      <c r="AJ905" s="172"/>
      <c r="AK905" s="172"/>
      <c r="AL905" s="17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22"/>
      <c r="BL905" s="22"/>
      <c r="BM905" s="22"/>
      <c r="BN905" s="22"/>
      <c r="BO905" s="22"/>
      <c r="BP905" s="22"/>
      <c r="BQ905" s="22"/>
      <c r="BR905" s="22"/>
      <c r="BS905" s="22"/>
      <c r="BT905" s="22"/>
      <c r="BU905" s="22"/>
    </row>
    <row r="906" ht="16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172"/>
      <c r="AA906" s="172"/>
      <c r="AB906" s="172"/>
      <c r="AC906" s="22"/>
      <c r="AD906" s="22"/>
      <c r="AE906" s="22"/>
      <c r="AF906" s="22"/>
      <c r="AG906" s="172"/>
      <c r="AH906" s="172"/>
      <c r="AI906" s="172"/>
      <c r="AJ906" s="172"/>
      <c r="AK906" s="172"/>
      <c r="AL906" s="17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22"/>
      <c r="BM906" s="22"/>
      <c r="BN906" s="22"/>
      <c r="BO906" s="22"/>
      <c r="BP906" s="22"/>
      <c r="BQ906" s="22"/>
      <c r="BR906" s="22"/>
      <c r="BS906" s="22"/>
      <c r="BT906" s="22"/>
      <c r="BU906" s="22"/>
    </row>
    <row r="907" ht="16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172"/>
      <c r="AA907" s="172"/>
      <c r="AB907" s="172"/>
      <c r="AC907" s="22"/>
      <c r="AD907" s="22"/>
      <c r="AE907" s="22"/>
      <c r="AF907" s="22"/>
      <c r="AG907" s="172"/>
      <c r="AH907" s="172"/>
      <c r="AI907" s="172"/>
      <c r="AJ907" s="172"/>
      <c r="AK907" s="172"/>
      <c r="AL907" s="17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22"/>
      <c r="BM907" s="22"/>
      <c r="BN907" s="22"/>
      <c r="BO907" s="22"/>
      <c r="BP907" s="22"/>
      <c r="BQ907" s="22"/>
      <c r="BR907" s="22"/>
      <c r="BS907" s="22"/>
      <c r="BT907" s="22"/>
      <c r="BU907" s="22"/>
    </row>
    <row r="908" ht="16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172"/>
      <c r="AA908" s="172"/>
      <c r="AB908" s="172"/>
      <c r="AC908" s="22"/>
      <c r="AD908" s="22"/>
      <c r="AE908" s="22"/>
      <c r="AF908" s="22"/>
      <c r="AG908" s="172"/>
      <c r="AH908" s="172"/>
      <c r="AI908" s="172"/>
      <c r="AJ908" s="172"/>
      <c r="AK908" s="172"/>
      <c r="AL908" s="17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22"/>
      <c r="BM908" s="22"/>
      <c r="BN908" s="22"/>
      <c r="BO908" s="22"/>
      <c r="BP908" s="22"/>
      <c r="BQ908" s="22"/>
      <c r="BR908" s="22"/>
      <c r="BS908" s="22"/>
      <c r="BT908" s="22"/>
      <c r="BU908" s="22"/>
    </row>
    <row r="909" ht="16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172"/>
      <c r="AA909" s="172"/>
      <c r="AB909" s="172"/>
      <c r="AC909" s="22"/>
      <c r="AD909" s="22"/>
      <c r="AE909" s="22"/>
      <c r="AF909" s="22"/>
      <c r="AG909" s="172"/>
      <c r="AH909" s="172"/>
      <c r="AI909" s="172"/>
      <c r="AJ909" s="172"/>
      <c r="AK909" s="172"/>
      <c r="AL909" s="17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22"/>
      <c r="BL909" s="22"/>
      <c r="BM909" s="22"/>
      <c r="BN909" s="22"/>
      <c r="BO909" s="22"/>
      <c r="BP909" s="22"/>
      <c r="BQ909" s="22"/>
      <c r="BR909" s="22"/>
      <c r="BS909" s="22"/>
      <c r="BT909" s="22"/>
      <c r="BU909" s="22"/>
    </row>
    <row r="910" ht="16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172"/>
      <c r="AA910" s="172"/>
      <c r="AB910" s="172"/>
      <c r="AC910" s="22"/>
      <c r="AD910" s="22"/>
      <c r="AE910" s="22"/>
      <c r="AF910" s="22"/>
      <c r="AG910" s="172"/>
      <c r="AH910" s="172"/>
      <c r="AI910" s="172"/>
      <c r="AJ910" s="172"/>
      <c r="AK910" s="172"/>
      <c r="AL910" s="17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  <c r="BK910" s="22"/>
      <c r="BL910" s="22"/>
      <c r="BM910" s="22"/>
      <c r="BN910" s="22"/>
      <c r="BO910" s="22"/>
      <c r="BP910" s="22"/>
      <c r="BQ910" s="22"/>
      <c r="BR910" s="22"/>
      <c r="BS910" s="22"/>
      <c r="BT910" s="22"/>
      <c r="BU910" s="22"/>
    </row>
    <row r="911" ht="16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172"/>
      <c r="AA911" s="172"/>
      <c r="AB911" s="172"/>
      <c r="AC911" s="22"/>
      <c r="AD911" s="22"/>
      <c r="AE911" s="22"/>
      <c r="AF911" s="22"/>
      <c r="AG911" s="172"/>
      <c r="AH911" s="172"/>
      <c r="AI911" s="172"/>
      <c r="AJ911" s="172"/>
      <c r="AK911" s="172"/>
      <c r="AL911" s="17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  <c r="BK911" s="22"/>
      <c r="BL911" s="22"/>
      <c r="BM911" s="22"/>
      <c r="BN911" s="22"/>
      <c r="BO911" s="22"/>
      <c r="BP911" s="22"/>
      <c r="BQ911" s="22"/>
      <c r="BR911" s="22"/>
      <c r="BS911" s="22"/>
      <c r="BT911" s="22"/>
      <c r="BU911" s="22"/>
    </row>
    <row r="912" ht="16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172"/>
      <c r="AA912" s="172"/>
      <c r="AB912" s="172"/>
      <c r="AC912" s="22"/>
      <c r="AD912" s="22"/>
      <c r="AE912" s="22"/>
      <c r="AF912" s="22"/>
      <c r="AG912" s="172"/>
      <c r="AH912" s="172"/>
      <c r="AI912" s="172"/>
      <c r="AJ912" s="172"/>
      <c r="AK912" s="172"/>
      <c r="AL912" s="17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  <c r="BK912" s="22"/>
      <c r="BL912" s="22"/>
      <c r="BM912" s="22"/>
      <c r="BN912" s="22"/>
      <c r="BO912" s="22"/>
      <c r="BP912" s="22"/>
      <c r="BQ912" s="22"/>
      <c r="BR912" s="22"/>
      <c r="BS912" s="22"/>
      <c r="BT912" s="22"/>
      <c r="BU912" s="22"/>
    </row>
    <row r="913" ht="16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172"/>
      <c r="AA913" s="172"/>
      <c r="AB913" s="172"/>
      <c r="AC913" s="22"/>
      <c r="AD913" s="22"/>
      <c r="AE913" s="22"/>
      <c r="AF913" s="22"/>
      <c r="AG913" s="172"/>
      <c r="AH913" s="172"/>
      <c r="AI913" s="172"/>
      <c r="AJ913" s="172"/>
      <c r="AK913" s="172"/>
      <c r="AL913" s="17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22"/>
      <c r="BM913" s="22"/>
      <c r="BN913" s="22"/>
      <c r="BO913" s="22"/>
      <c r="BP913" s="22"/>
      <c r="BQ913" s="22"/>
      <c r="BR913" s="22"/>
      <c r="BS913" s="22"/>
      <c r="BT913" s="22"/>
      <c r="BU913" s="22"/>
    </row>
    <row r="914" ht="16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172"/>
      <c r="AA914" s="172"/>
      <c r="AB914" s="172"/>
      <c r="AC914" s="22"/>
      <c r="AD914" s="22"/>
      <c r="AE914" s="22"/>
      <c r="AF914" s="22"/>
      <c r="AG914" s="172"/>
      <c r="AH914" s="172"/>
      <c r="AI914" s="172"/>
      <c r="AJ914" s="172"/>
      <c r="AK914" s="172"/>
      <c r="AL914" s="17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  <c r="BT914" s="22"/>
      <c r="BU914" s="22"/>
    </row>
    <row r="915" ht="16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172"/>
      <c r="AA915" s="172"/>
      <c r="AB915" s="172"/>
      <c r="AC915" s="22"/>
      <c r="AD915" s="22"/>
      <c r="AE915" s="22"/>
      <c r="AF915" s="22"/>
      <c r="AG915" s="172"/>
      <c r="AH915" s="172"/>
      <c r="AI915" s="172"/>
      <c r="AJ915" s="172"/>
      <c r="AK915" s="172"/>
      <c r="AL915" s="17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  <c r="BK915" s="22"/>
      <c r="BL915" s="22"/>
      <c r="BM915" s="22"/>
      <c r="BN915" s="22"/>
      <c r="BO915" s="22"/>
      <c r="BP915" s="22"/>
      <c r="BQ915" s="22"/>
      <c r="BR915" s="22"/>
      <c r="BS915" s="22"/>
      <c r="BT915" s="22"/>
      <c r="BU915" s="22"/>
    </row>
    <row r="916" ht="16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172"/>
      <c r="AA916" s="172"/>
      <c r="AB916" s="172"/>
      <c r="AC916" s="22"/>
      <c r="AD916" s="22"/>
      <c r="AE916" s="22"/>
      <c r="AF916" s="22"/>
      <c r="AG916" s="172"/>
      <c r="AH916" s="172"/>
      <c r="AI916" s="172"/>
      <c r="AJ916" s="172"/>
      <c r="AK916" s="172"/>
      <c r="AL916" s="17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  <c r="BK916" s="22"/>
      <c r="BL916" s="22"/>
      <c r="BM916" s="22"/>
      <c r="BN916" s="22"/>
      <c r="BO916" s="22"/>
      <c r="BP916" s="22"/>
      <c r="BQ916" s="22"/>
      <c r="BR916" s="22"/>
      <c r="BS916" s="22"/>
      <c r="BT916" s="22"/>
      <c r="BU916" s="22"/>
    </row>
    <row r="917" ht="16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172"/>
      <c r="AA917" s="172"/>
      <c r="AB917" s="172"/>
      <c r="AC917" s="22"/>
      <c r="AD917" s="22"/>
      <c r="AE917" s="22"/>
      <c r="AF917" s="22"/>
      <c r="AG917" s="172"/>
      <c r="AH917" s="172"/>
      <c r="AI917" s="172"/>
      <c r="AJ917" s="172"/>
      <c r="AK917" s="172"/>
      <c r="AL917" s="17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  <c r="BK917" s="22"/>
      <c r="BL917" s="22"/>
      <c r="BM917" s="22"/>
      <c r="BN917" s="22"/>
      <c r="BO917" s="22"/>
      <c r="BP917" s="22"/>
      <c r="BQ917" s="22"/>
      <c r="BR917" s="22"/>
      <c r="BS917" s="22"/>
      <c r="BT917" s="22"/>
      <c r="BU917" s="22"/>
    </row>
    <row r="918" ht="16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172"/>
      <c r="AA918" s="172"/>
      <c r="AB918" s="172"/>
      <c r="AC918" s="22"/>
      <c r="AD918" s="22"/>
      <c r="AE918" s="22"/>
      <c r="AF918" s="22"/>
      <c r="AG918" s="172"/>
      <c r="AH918" s="172"/>
      <c r="AI918" s="172"/>
      <c r="AJ918" s="172"/>
      <c r="AK918" s="172"/>
      <c r="AL918" s="17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  <c r="BK918" s="22"/>
      <c r="BL918" s="22"/>
      <c r="BM918" s="22"/>
      <c r="BN918" s="22"/>
      <c r="BO918" s="22"/>
      <c r="BP918" s="22"/>
      <c r="BQ918" s="22"/>
      <c r="BR918" s="22"/>
      <c r="BS918" s="22"/>
      <c r="BT918" s="22"/>
      <c r="BU918" s="22"/>
    </row>
    <row r="919" ht="16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172"/>
      <c r="AA919" s="172"/>
      <c r="AB919" s="172"/>
      <c r="AC919" s="22"/>
      <c r="AD919" s="22"/>
      <c r="AE919" s="22"/>
      <c r="AF919" s="22"/>
      <c r="AG919" s="172"/>
      <c r="AH919" s="172"/>
      <c r="AI919" s="172"/>
      <c r="AJ919" s="172"/>
      <c r="AK919" s="172"/>
      <c r="AL919" s="17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  <c r="BK919" s="22"/>
      <c r="BL919" s="22"/>
      <c r="BM919" s="22"/>
      <c r="BN919" s="22"/>
      <c r="BO919" s="22"/>
      <c r="BP919" s="22"/>
      <c r="BQ919" s="22"/>
      <c r="BR919" s="22"/>
      <c r="BS919" s="22"/>
      <c r="BT919" s="22"/>
      <c r="BU919" s="22"/>
    </row>
    <row r="920" ht="16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172"/>
      <c r="AA920" s="172"/>
      <c r="AB920" s="172"/>
      <c r="AC920" s="22"/>
      <c r="AD920" s="22"/>
      <c r="AE920" s="22"/>
      <c r="AF920" s="22"/>
      <c r="AG920" s="172"/>
      <c r="AH920" s="172"/>
      <c r="AI920" s="172"/>
      <c r="AJ920" s="172"/>
      <c r="AK920" s="172"/>
      <c r="AL920" s="17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  <c r="BK920" s="22"/>
      <c r="BL920" s="22"/>
      <c r="BM920" s="22"/>
      <c r="BN920" s="22"/>
      <c r="BO920" s="22"/>
      <c r="BP920" s="22"/>
      <c r="BQ920" s="22"/>
      <c r="BR920" s="22"/>
      <c r="BS920" s="22"/>
      <c r="BT920" s="22"/>
      <c r="BU920" s="22"/>
    </row>
    <row r="921" ht="16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172"/>
      <c r="AA921" s="172"/>
      <c r="AB921" s="172"/>
      <c r="AC921" s="22"/>
      <c r="AD921" s="22"/>
      <c r="AE921" s="22"/>
      <c r="AF921" s="22"/>
      <c r="AG921" s="172"/>
      <c r="AH921" s="172"/>
      <c r="AI921" s="172"/>
      <c r="AJ921" s="172"/>
      <c r="AK921" s="172"/>
      <c r="AL921" s="17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  <c r="BK921" s="22"/>
      <c r="BL921" s="22"/>
      <c r="BM921" s="22"/>
      <c r="BN921" s="22"/>
      <c r="BO921" s="22"/>
      <c r="BP921" s="22"/>
      <c r="BQ921" s="22"/>
      <c r="BR921" s="22"/>
      <c r="BS921" s="22"/>
      <c r="BT921" s="22"/>
      <c r="BU921" s="22"/>
    </row>
    <row r="922" ht="16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172"/>
      <c r="AA922" s="172"/>
      <c r="AB922" s="172"/>
      <c r="AC922" s="22"/>
      <c r="AD922" s="22"/>
      <c r="AE922" s="22"/>
      <c r="AF922" s="22"/>
      <c r="AG922" s="172"/>
      <c r="AH922" s="172"/>
      <c r="AI922" s="172"/>
      <c r="AJ922" s="172"/>
      <c r="AK922" s="172"/>
      <c r="AL922" s="17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  <c r="BK922" s="22"/>
      <c r="BL922" s="22"/>
      <c r="BM922" s="22"/>
      <c r="BN922" s="22"/>
      <c r="BO922" s="22"/>
      <c r="BP922" s="22"/>
      <c r="BQ922" s="22"/>
      <c r="BR922" s="22"/>
      <c r="BS922" s="22"/>
      <c r="BT922" s="22"/>
      <c r="BU922" s="22"/>
    </row>
    <row r="923" ht="16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172"/>
      <c r="AA923" s="172"/>
      <c r="AB923" s="172"/>
      <c r="AC923" s="22"/>
      <c r="AD923" s="22"/>
      <c r="AE923" s="22"/>
      <c r="AF923" s="22"/>
      <c r="AG923" s="172"/>
      <c r="AH923" s="172"/>
      <c r="AI923" s="172"/>
      <c r="AJ923" s="172"/>
      <c r="AK923" s="172"/>
      <c r="AL923" s="17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  <c r="BK923" s="22"/>
      <c r="BL923" s="22"/>
      <c r="BM923" s="22"/>
      <c r="BN923" s="22"/>
      <c r="BO923" s="22"/>
      <c r="BP923" s="22"/>
      <c r="BQ923" s="22"/>
      <c r="BR923" s="22"/>
      <c r="BS923" s="22"/>
      <c r="BT923" s="22"/>
      <c r="BU923" s="22"/>
    </row>
    <row r="924" ht="16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172"/>
      <c r="AA924" s="172"/>
      <c r="AB924" s="172"/>
      <c r="AC924" s="22"/>
      <c r="AD924" s="22"/>
      <c r="AE924" s="22"/>
      <c r="AF924" s="22"/>
      <c r="AG924" s="172"/>
      <c r="AH924" s="172"/>
      <c r="AI924" s="172"/>
      <c r="AJ924" s="172"/>
      <c r="AK924" s="172"/>
      <c r="AL924" s="17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</row>
    <row r="925" ht="16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172"/>
      <c r="AA925" s="172"/>
      <c r="AB925" s="172"/>
      <c r="AC925" s="22"/>
      <c r="AD925" s="22"/>
      <c r="AE925" s="22"/>
      <c r="AF925" s="22"/>
      <c r="AG925" s="172"/>
      <c r="AH925" s="172"/>
      <c r="AI925" s="172"/>
      <c r="AJ925" s="172"/>
      <c r="AK925" s="172"/>
      <c r="AL925" s="17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  <c r="BK925" s="22"/>
      <c r="BL925" s="22"/>
      <c r="BM925" s="22"/>
      <c r="BN925" s="22"/>
      <c r="BO925" s="22"/>
      <c r="BP925" s="22"/>
      <c r="BQ925" s="22"/>
      <c r="BR925" s="22"/>
      <c r="BS925" s="22"/>
      <c r="BT925" s="22"/>
      <c r="BU925" s="22"/>
    </row>
    <row r="926" ht="16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172"/>
      <c r="AA926" s="172"/>
      <c r="AB926" s="172"/>
      <c r="AC926" s="22"/>
      <c r="AD926" s="22"/>
      <c r="AE926" s="22"/>
      <c r="AF926" s="22"/>
      <c r="AG926" s="172"/>
      <c r="AH926" s="172"/>
      <c r="AI926" s="172"/>
      <c r="AJ926" s="172"/>
      <c r="AK926" s="172"/>
      <c r="AL926" s="17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  <c r="BK926" s="22"/>
      <c r="BL926" s="22"/>
      <c r="BM926" s="22"/>
      <c r="BN926" s="22"/>
      <c r="BO926" s="22"/>
      <c r="BP926" s="22"/>
      <c r="BQ926" s="22"/>
      <c r="BR926" s="22"/>
      <c r="BS926" s="22"/>
      <c r="BT926" s="22"/>
      <c r="BU926" s="22"/>
    </row>
    <row r="927" ht="16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172"/>
      <c r="AA927" s="172"/>
      <c r="AB927" s="172"/>
      <c r="AC927" s="22"/>
      <c r="AD927" s="22"/>
      <c r="AE927" s="22"/>
      <c r="AF927" s="22"/>
      <c r="AG927" s="172"/>
      <c r="AH927" s="172"/>
      <c r="AI927" s="172"/>
      <c r="AJ927" s="172"/>
      <c r="AK927" s="172"/>
      <c r="AL927" s="17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</row>
    <row r="928" ht="16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172"/>
      <c r="AA928" s="172"/>
      <c r="AB928" s="172"/>
      <c r="AC928" s="22"/>
      <c r="AD928" s="22"/>
      <c r="AE928" s="22"/>
      <c r="AF928" s="22"/>
      <c r="AG928" s="172"/>
      <c r="AH928" s="172"/>
      <c r="AI928" s="172"/>
      <c r="AJ928" s="172"/>
      <c r="AK928" s="172"/>
      <c r="AL928" s="17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  <c r="BK928" s="22"/>
      <c r="BL928" s="22"/>
      <c r="BM928" s="22"/>
      <c r="BN928" s="22"/>
      <c r="BO928" s="22"/>
      <c r="BP928" s="22"/>
      <c r="BQ928" s="22"/>
      <c r="BR928" s="22"/>
      <c r="BS928" s="22"/>
      <c r="BT928" s="22"/>
      <c r="BU928" s="22"/>
    </row>
    <row r="929" ht="16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172"/>
      <c r="AA929" s="172"/>
      <c r="AB929" s="172"/>
      <c r="AC929" s="22"/>
      <c r="AD929" s="22"/>
      <c r="AE929" s="22"/>
      <c r="AF929" s="22"/>
      <c r="AG929" s="172"/>
      <c r="AH929" s="172"/>
      <c r="AI929" s="172"/>
      <c r="AJ929" s="172"/>
      <c r="AK929" s="172"/>
      <c r="AL929" s="17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  <c r="BK929" s="22"/>
      <c r="BL929" s="22"/>
      <c r="BM929" s="22"/>
      <c r="BN929" s="22"/>
      <c r="BO929" s="22"/>
      <c r="BP929" s="22"/>
      <c r="BQ929" s="22"/>
      <c r="BR929" s="22"/>
      <c r="BS929" s="22"/>
      <c r="BT929" s="22"/>
      <c r="BU929" s="22"/>
    </row>
    <row r="930" ht="16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172"/>
      <c r="AA930" s="172"/>
      <c r="AB930" s="172"/>
      <c r="AC930" s="22"/>
      <c r="AD930" s="22"/>
      <c r="AE930" s="22"/>
      <c r="AF930" s="22"/>
      <c r="AG930" s="172"/>
      <c r="AH930" s="172"/>
      <c r="AI930" s="172"/>
      <c r="AJ930" s="172"/>
      <c r="AK930" s="172"/>
      <c r="AL930" s="17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  <c r="BK930" s="22"/>
      <c r="BL930" s="22"/>
      <c r="BM930" s="22"/>
      <c r="BN930" s="22"/>
      <c r="BO930" s="22"/>
      <c r="BP930" s="22"/>
      <c r="BQ930" s="22"/>
      <c r="BR930" s="22"/>
      <c r="BS930" s="22"/>
      <c r="BT930" s="22"/>
      <c r="BU930" s="22"/>
    </row>
    <row r="931" ht="16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172"/>
      <c r="AA931" s="172"/>
      <c r="AB931" s="172"/>
      <c r="AC931" s="22"/>
      <c r="AD931" s="22"/>
      <c r="AE931" s="22"/>
      <c r="AF931" s="22"/>
      <c r="AG931" s="172"/>
      <c r="AH931" s="172"/>
      <c r="AI931" s="172"/>
      <c r="AJ931" s="172"/>
      <c r="AK931" s="172"/>
      <c r="AL931" s="17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  <c r="BK931" s="22"/>
      <c r="BL931" s="22"/>
      <c r="BM931" s="22"/>
      <c r="BN931" s="22"/>
      <c r="BO931" s="22"/>
      <c r="BP931" s="22"/>
      <c r="BQ931" s="22"/>
      <c r="BR931" s="22"/>
      <c r="BS931" s="22"/>
      <c r="BT931" s="22"/>
      <c r="BU931" s="22"/>
    </row>
    <row r="932" ht="16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172"/>
      <c r="AA932" s="172"/>
      <c r="AB932" s="172"/>
      <c r="AC932" s="22"/>
      <c r="AD932" s="22"/>
      <c r="AE932" s="22"/>
      <c r="AF932" s="22"/>
      <c r="AG932" s="172"/>
      <c r="AH932" s="172"/>
      <c r="AI932" s="172"/>
      <c r="AJ932" s="172"/>
      <c r="AK932" s="172"/>
      <c r="AL932" s="17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  <c r="BK932" s="22"/>
      <c r="BL932" s="22"/>
      <c r="BM932" s="22"/>
      <c r="BN932" s="22"/>
      <c r="BO932" s="22"/>
      <c r="BP932" s="22"/>
      <c r="BQ932" s="22"/>
      <c r="BR932" s="22"/>
      <c r="BS932" s="22"/>
      <c r="BT932" s="22"/>
      <c r="BU932" s="22"/>
    </row>
    <row r="933" ht="16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172"/>
      <c r="AA933" s="172"/>
      <c r="AB933" s="172"/>
      <c r="AC933" s="22"/>
      <c r="AD933" s="22"/>
      <c r="AE933" s="22"/>
      <c r="AF933" s="22"/>
      <c r="AG933" s="172"/>
      <c r="AH933" s="172"/>
      <c r="AI933" s="172"/>
      <c r="AJ933" s="172"/>
      <c r="AK933" s="172"/>
      <c r="AL933" s="17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22"/>
      <c r="BM933" s="22"/>
      <c r="BN933" s="22"/>
      <c r="BO933" s="22"/>
      <c r="BP933" s="22"/>
      <c r="BQ933" s="22"/>
      <c r="BR933" s="22"/>
      <c r="BS933" s="22"/>
      <c r="BT933" s="22"/>
      <c r="BU933" s="22"/>
    </row>
    <row r="934" ht="16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172"/>
      <c r="AA934" s="172"/>
      <c r="AB934" s="172"/>
      <c r="AC934" s="22"/>
      <c r="AD934" s="22"/>
      <c r="AE934" s="22"/>
      <c r="AF934" s="22"/>
      <c r="AG934" s="172"/>
      <c r="AH934" s="172"/>
      <c r="AI934" s="172"/>
      <c r="AJ934" s="172"/>
      <c r="AK934" s="172"/>
      <c r="AL934" s="17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  <c r="BK934" s="22"/>
      <c r="BL934" s="22"/>
      <c r="BM934" s="22"/>
      <c r="BN934" s="22"/>
      <c r="BO934" s="22"/>
      <c r="BP934" s="22"/>
      <c r="BQ934" s="22"/>
      <c r="BR934" s="22"/>
      <c r="BS934" s="22"/>
      <c r="BT934" s="22"/>
      <c r="BU934" s="22"/>
    </row>
    <row r="935" ht="16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172"/>
      <c r="AA935" s="172"/>
      <c r="AB935" s="172"/>
      <c r="AC935" s="22"/>
      <c r="AD935" s="22"/>
      <c r="AE935" s="22"/>
      <c r="AF935" s="22"/>
      <c r="AG935" s="172"/>
      <c r="AH935" s="172"/>
      <c r="AI935" s="172"/>
      <c r="AJ935" s="172"/>
      <c r="AK935" s="172"/>
      <c r="AL935" s="17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  <c r="BK935" s="22"/>
      <c r="BL935" s="22"/>
      <c r="BM935" s="22"/>
      <c r="BN935" s="22"/>
      <c r="BO935" s="22"/>
      <c r="BP935" s="22"/>
      <c r="BQ935" s="22"/>
      <c r="BR935" s="22"/>
      <c r="BS935" s="22"/>
      <c r="BT935" s="22"/>
      <c r="BU935" s="22"/>
    </row>
    <row r="936" ht="16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172"/>
      <c r="AA936" s="172"/>
      <c r="AB936" s="172"/>
      <c r="AC936" s="22"/>
      <c r="AD936" s="22"/>
      <c r="AE936" s="22"/>
      <c r="AF936" s="22"/>
      <c r="AG936" s="172"/>
      <c r="AH936" s="172"/>
      <c r="AI936" s="172"/>
      <c r="AJ936" s="172"/>
      <c r="AK936" s="172"/>
      <c r="AL936" s="17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22"/>
      <c r="BM936" s="22"/>
      <c r="BN936" s="22"/>
      <c r="BO936" s="22"/>
      <c r="BP936" s="22"/>
      <c r="BQ936" s="22"/>
      <c r="BR936" s="22"/>
      <c r="BS936" s="22"/>
      <c r="BT936" s="22"/>
      <c r="BU936" s="22"/>
    </row>
    <row r="937" ht="16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172"/>
      <c r="AA937" s="172"/>
      <c r="AB937" s="172"/>
      <c r="AC937" s="22"/>
      <c r="AD937" s="22"/>
      <c r="AE937" s="22"/>
      <c r="AF937" s="22"/>
      <c r="AG937" s="172"/>
      <c r="AH937" s="172"/>
      <c r="AI937" s="172"/>
      <c r="AJ937" s="172"/>
      <c r="AK937" s="172"/>
      <c r="AL937" s="17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22"/>
      <c r="BM937" s="22"/>
      <c r="BN937" s="22"/>
      <c r="BO937" s="22"/>
      <c r="BP937" s="22"/>
      <c r="BQ937" s="22"/>
      <c r="BR937" s="22"/>
      <c r="BS937" s="22"/>
      <c r="BT937" s="22"/>
      <c r="BU937" s="22"/>
    </row>
    <row r="938" ht="16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172"/>
      <c r="AA938" s="172"/>
      <c r="AB938" s="172"/>
      <c r="AC938" s="22"/>
      <c r="AD938" s="22"/>
      <c r="AE938" s="22"/>
      <c r="AF938" s="22"/>
      <c r="AG938" s="172"/>
      <c r="AH938" s="172"/>
      <c r="AI938" s="172"/>
      <c r="AJ938" s="172"/>
      <c r="AK938" s="172"/>
      <c r="AL938" s="17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22"/>
      <c r="BM938" s="22"/>
      <c r="BN938" s="22"/>
      <c r="BO938" s="22"/>
      <c r="BP938" s="22"/>
      <c r="BQ938" s="22"/>
      <c r="BR938" s="22"/>
      <c r="BS938" s="22"/>
      <c r="BT938" s="22"/>
      <c r="BU938" s="22"/>
    </row>
    <row r="939" ht="16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172"/>
      <c r="AA939" s="172"/>
      <c r="AB939" s="172"/>
      <c r="AC939" s="22"/>
      <c r="AD939" s="22"/>
      <c r="AE939" s="22"/>
      <c r="AF939" s="22"/>
      <c r="AG939" s="172"/>
      <c r="AH939" s="172"/>
      <c r="AI939" s="172"/>
      <c r="AJ939" s="172"/>
      <c r="AK939" s="172"/>
      <c r="AL939" s="17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  <c r="BK939" s="22"/>
      <c r="BL939" s="22"/>
      <c r="BM939" s="22"/>
      <c r="BN939" s="22"/>
      <c r="BO939" s="22"/>
      <c r="BP939" s="22"/>
      <c r="BQ939" s="22"/>
      <c r="BR939" s="22"/>
      <c r="BS939" s="22"/>
      <c r="BT939" s="22"/>
      <c r="BU939" s="22"/>
    </row>
    <row r="940" ht="16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172"/>
      <c r="AA940" s="172"/>
      <c r="AB940" s="172"/>
      <c r="AC940" s="22"/>
      <c r="AD940" s="22"/>
      <c r="AE940" s="22"/>
      <c r="AF940" s="22"/>
      <c r="AG940" s="172"/>
      <c r="AH940" s="172"/>
      <c r="AI940" s="172"/>
      <c r="AJ940" s="172"/>
      <c r="AK940" s="172"/>
      <c r="AL940" s="17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  <c r="BK940" s="22"/>
      <c r="BL940" s="22"/>
      <c r="BM940" s="22"/>
      <c r="BN940" s="22"/>
      <c r="BO940" s="22"/>
      <c r="BP940" s="22"/>
      <c r="BQ940" s="22"/>
      <c r="BR940" s="22"/>
      <c r="BS940" s="22"/>
      <c r="BT940" s="22"/>
      <c r="BU940" s="22"/>
    </row>
    <row r="941" ht="16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172"/>
      <c r="AA941" s="172"/>
      <c r="AB941" s="172"/>
      <c r="AC941" s="22"/>
      <c r="AD941" s="22"/>
      <c r="AE941" s="22"/>
      <c r="AF941" s="22"/>
      <c r="AG941" s="172"/>
      <c r="AH941" s="172"/>
      <c r="AI941" s="172"/>
      <c r="AJ941" s="172"/>
      <c r="AK941" s="172"/>
      <c r="AL941" s="17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22"/>
      <c r="BM941" s="22"/>
      <c r="BN941" s="22"/>
      <c r="BO941" s="22"/>
      <c r="BP941" s="22"/>
      <c r="BQ941" s="22"/>
      <c r="BR941" s="22"/>
      <c r="BS941" s="22"/>
      <c r="BT941" s="22"/>
      <c r="BU941" s="22"/>
    </row>
    <row r="942" ht="16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172"/>
      <c r="AA942" s="172"/>
      <c r="AB942" s="172"/>
      <c r="AC942" s="22"/>
      <c r="AD942" s="22"/>
      <c r="AE942" s="22"/>
      <c r="AF942" s="22"/>
      <c r="AG942" s="172"/>
      <c r="AH942" s="172"/>
      <c r="AI942" s="172"/>
      <c r="AJ942" s="172"/>
      <c r="AK942" s="172"/>
      <c r="AL942" s="17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</row>
    <row r="943" ht="16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172"/>
      <c r="AA943" s="172"/>
      <c r="AB943" s="172"/>
      <c r="AC943" s="22"/>
      <c r="AD943" s="22"/>
      <c r="AE943" s="22"/>
      <c r="AF943" s="22"/>
      <c r="AG943" s="172"/>
      <c r="AH943" s="172"/>
      <c r="AI943" s="172"/>
      <c r="AJ943" s="172"/>
      <c r="AK943" s="172"/>
      <c r="AL943" s="17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  <c r="BT943" s="22"/>
      <c r="BU943" s="22"/>
    </row>
    <row r="944" ht="16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172"/>
      <c r="AA944" s="172"/>
      <c r="AB944" s="172"/>
      <c r="AC944" s="22"/>
      <c r="AD944" s="22"/>
      <c r="AE944" s="22"/>
      <c r="AF944" s="22"/>
      <c r="AG944" s="172"/>
      <c r="AH944" s="172"/>
      <c r="AI944" s="172"/>
      <c r="AJ944" s="172"/>
      <c r="AK944" s="172"/>
      <c r="AL944" s="17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  <c r="BK944" s="22"/>
      <c r="BL944" s="22"/>
      <c r="BM944" s="22"/>
      <c r="BN944" s="22"/>
      <c r="BO944" s="22"/>
      <c r="BP944" s="22"/>
      <c r="BQ944" s="22"/>
      <c r="BR944" s="22"/>
      <c r="BS944" s="22"/>
      <c r="BT944" s="22"/>
      <c r="BU944" s="22"/>
    </row>
    <row r="945" ht="16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172"/>
      <c r="AA945" s="172"/>
      <c r="AB945" s="172"/>
      <c r="AC945" s="22"/>
      <c r="AD945" s="22"/>
      <c r="AE945" s="22"/>
      <c r="AF945" s="22"/>
      <c r="AG945" s="172"/>
      <c r="AH945" s="172"/>
      <c r="AI945" s="172"/>
      <c r="AJ945" s="172"/>
      <c r="AK945" s="172"/>
      <c r="AL945" s="17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22"/>
      <c r="BL945" s="22"/>
      <c r="BM945" s="22"/>
      <c r="BN945" s="22"/>
      <c r="BO945" s="22"/>
      <c r="BP945" s="22"/>
      <c r="BQ945" s="22"/>
      <c r="BR945" s="22"/>
      <c r="BS945" s="22"/>
      <c r="BT945" s="22"/>
      <c r="BU945" s="22"/>
    </row>
    <row r="946" ht="16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172"/>
      <c r="AA946" s="172"/>
      <c r="AB946" s="172"/>
      <c r="AC946" s="22"/>
      <c r="AD946" s="22"/>
      <c r="AE946" s="22"/>
      <c r="AF946" s="22"/>
      <c r="AG946" s="172"/>
      <c r="AH946" s="172"/>
      <c r="AI946" s="172"/>
      <c r="AJ946" s="172"/>
      <c r="AK946" s="172"/>
      <c r="AL946" s="17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  <c r="BK946" s="22"/>
      <c r="BL946" s="22"/>
      <c r="BM946" s="22"/>
      <c r="BN946" s="22"/>
      <c r="BO946" s="22"/>
      <c r="BP946" s="22"/>
      <c r="BQ946" s="22"/>
      <c r="BR946" s="22"/>
      <c r="BS946" s="22"/>
      <c r="BT946" s="22"/>
      <c r="BU946" s="22"/>
    </row>
    <row r="947" ht="16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172"/>
      <c r="AA947" s="172"/>
      <c r="AB947" s="172"/>
      <c r="AC947" s="22"/>
      <c r="AD947" s="22"/>
      <c r="AE947" s="22"/>
      <c r="AF947" s="22"/>
      <c r="AG947" s="172"/>
      <c r="AH947" s="172"/>
      <c r="AI947" s="172"/>
      <c r="AJ947" s="172"/>
      <c r="AK947" s="172"/>
      <c r="AL947" s="17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  <c r="BK947" s="22"/>
      <c r="BL947" s="22"/>
      <c r="BM947" s="22"/>
      <c r="BN947" s="22"/>
      <c r="BO947" s="22"/>
      <c r="BP947" s="22"/>
      <c r="BQ947" s="22"/>
      <c r="BR947" s="22"/>
      <c r="BS947" s="22"/>
      <c r="BT947" s="22"/>
      <c r="BU947" s="22"/>
    </row>
    <row r="948" ht="16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172"/>
      <c r="AA948" s="172"/>
      <c r="AB948" s="172"/>
      <c r="AC948" s="22"/>
      <c r="AD948" s="22"/>
      <c r="AE948" s="22"/>
      <c r="AF948" s="22"/>
      <c r="AG948" s="172"/>
      <c r="AH948" s="172"/>
      <c r="AI948" s="172"/>
      <c r="AJ948" s="172"/>
      <c r="AK948" s="172"/>
      <c r="AL948" s="17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  <c r="BK948" s="22"/>
      <c r="BL948" s="22"/>
      <c r="BM948" s="22"/>
      <c r="BN948" s="22"/>
      <c r="BO948" s="22"/>
      <c r="BP948" s="22"/>
      <c r="BQ948" s="22"/>
      <c r="BR948" s="22"/>
      <c r="BS948" s="22"/>
      <c r="BT948" s="22"/>
      <c r="BU948" s="22"/>
    </row>
    <row r="949" ht="16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172"/>
      <c r="AA949" s="172"/>
      <c r="AB949" s="172"/>
      <c r="AC949" s="22"/>
      <c r="AD949" s="22"/>
      <c r="AE949" s="22"/>
      <c r="AF949" s="22"/>
      <c r="AG949" s="172"/>
      <c r="AH949" s="172"/>
      <c r="AI949" s="172"/>
      <c r="AJ949" s="172"/>
      <c r="AK949" s="172"/>
      <c r="AL949" s="17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  <c r="BK949" s="22"/>
      <c r="BL949" s="22"/>
      <c r="BM949" s="22"/>
      <c r="BN949" s="22"/>
      <c r="BO949" s="22"/>
      <c r="BP949" s="22"/>
      <c r="BQ949" s="22"/>
      <c r="BR949" s="22"/>
      <c r="BS949" s="22"/>
      <c r="BT949" s="22"/>
      <c r="BU949" s="22"/>
    </row>
  </sheetData>
  <autoFilter ref="$A$2:$BR$32"/>
  <mergeCells count="16">
    <mergeCell ref="AP1:AQ1"/>
    <mergeCell ref="AR1:AS1"/>
    <mergeCell ref="AT1:AU1"/>
    <mergeCell ref="AV1:AW1"/>
    <mergeCell ref="AX1:AY1"/>
    <mergeCell ref="AZ1:BG1"/>
    <mergeCell ref="BH1:BL1"/>
    <mergeCell ref="B34:B35"/>
    <mergeCell ref="B39:B42"/>
    <mergeCell ref="AN1:AO1"/>
    <mergeCell ref="A27:B27"/>
    <mergeCell ref="C27:AF27"/>
    <mergeCell ref="A28:C32"/>
    <mergeCell ref="G28:X28"/>
    <mergeCell ref="A34:A35"/>
    <mergeCell ref="C34:C35"/>
  </mergeCells>
  <conditionalFormatting sqref="G29:L31 M29:V29">
    <cfRule type="containsText" dxfId="0" priority="1" operator="containsText" text="r">
      <formula>NOT(ISERROR(SEARCH(("r"),(G29))))</formula>
    </cfRule>
  </conditionalFormatting>
  <conditionalFormatting sqref="G29:L31 M29:V29">
    <cfRule type="cellIs" dxfId="1" priority="2" stopIfTrue="1" operator="equal">
      <formula>"X"</formula>
    </cfRule>
  </conditionalFormatting>
  <conditionalFormatting sqref="G30:L30">
    <cfRule type="cellIs" dxfId="1" priority="3" stopIfTrue="1" operator="equal">
      <formula>"X"</formula>
    </cfRule>
  </conditionalFormatting>
  <conditionalFormatting sqref="G31:L31">
    <cfRule type="containsText" dxfId="2" priority="4" operator="containsText" text="P">
      <formula>NOT(ISERROR(SEARCH(("P"),(G31))))</formula>
    </cfRule>
  </conditionalFormatting>
  <conditionalFormatting sqref="G31:L31">
    <cfRule type="containsText" dxfId="0" priority="5" operator="containsText" text="R">
      <formula>NOT(ISERROR(SEARCH(("R"),(G31))))</formula>
    </cfRule>
  </conditionalFormatting>
  <conditionalFormatting sqref="G31:L31">
    <cfRule type="containsText" dxfId="0" priority="6" operator="containsText" text="r">
      <formula>NOT(ISERROR(SEARCH(("r"),(G31))))</formula>
    </cfRule>
  </conditionalFormatting>
  <conditionalFormatting sqref="G31:L31">
    <cfRule type="containsText" dxfId="2" priority="7" operator="containsText" text="P">
      <formula>NOT(ISERROR(SEARCH(("P"),(G31))))</formula>
    </cfRule>
  </conditionalFormatting>
  <conditionalFormatting sqref="D38:AL38 D46:AL46 D52:AL52 D56:AL56 D60:AL60 D64:AL64">
    <cfRule type="cellIs" dxfId="3" priority="8" operator="notEqual">
      <formula>1</formula>
    </cfRule>
  </conditionalFormatting>
  <conditionalFormatting sqref="D39:AL39 D41:AL41">
    <cfRule type="cellIs" dxfId="4" priority="9" operator="equal">
      <formula>4</formula>
    </cfRule>
  </conditionalFormatting>
  <conditionalFormatting sqref="D39:AL39 D41:AL41">
    <cfRule type="cellIs" dxfId="5" priority="10" operator="greaterThan">
      <formula>5</formula>
    </cfRule>
  </conditionalFormatting>
  <conditionalFormatting sqref="D39:AL39 D41:AL41">
    <cfRule type="cellIs" dxfId="3" priority="11" operator="lessThan">
      <formula>4</formula>
    </cfRule>
  </conditionalFormatting>
  <conditionalFormatting sqref="D40:AL40 D44:AL44 D49:AL49 D54:AL54 D58:AL58 D62:AL62">
    <cfRule type="cellIs" dxfId="6" priority="12" operator="notEqual">
      <formula>0</formula>
    </cfRule>
  </conditionalFormatting>
  <conditionalFormatting sqref="D43:AL43 D45:AL45 D47:AL47 D50:AL50 D53:AL53 D55:AL55 D57:AL57 D59:AL59 D61:AL61 D63:AL63">
    <cfRule type="cellIs" dxfId="4" priority="13" operator="notEqual">
      <formula>2</formula>
    </cfRule>
  </conditionalFormatting>
  <conditionalFormatting sqref="D43:AL43 D45:AL45 D47:AL47 D50:AL50 D53:AL53 D55:AL55 D57:AL57 D59:AL59 D61:AL61 D63:AL63">
    <cfRule type="cellIs" dxfId="4" priority="14" operator="lessThan">
      <formula>1</formula>
    </cfRule>
  </conditionalFormatting>
  <conditionalFormatting sqref="AZ2">
    <cfRule type="expression" dxfId="7" priority="15">
      <formula>WEEKDAY(AZ$1,2)&gt;5</formula>
    </cfRule>
  </conditionalFormatting>
  <conditionalFormatting sqref="AZ2">
    <cfRule type="expression" dxfId="8" priority="16">
      <formula>MATCH(AZ$1,#REF!,0)</formula>
    </cfRule>
  </conditionalFormatting>
  <conditionalFormatting sqref="BM3:BQ26 D36:AL37 D48:AL48 D51:AL51">
    <cfRule type="cellIs" dxfId="4" priority="17" operator="notEqual">
      <formula>1</formula>
    </cfRule>
  </conditionalFormatting>
  <conditionalFormatting sqref="BR3:BR26">
    <cfRule type="cellIs" dxfId="4" priority="18" operator="notEqual">
      <formula>31</formula>
    </cfRule>
  </conditionalFormatting>
  <conditionalFormatting sqref="BT42 BS43 BU43 BT44 BS45 BU45 BT46 BS47 BU47 BT49 BS50 BU50 BT52 BS53 BU53 BT54 BS55 BU55 BT56 BS57 BU57 BT58 BS59 BU59 BT60 BS61 BU61 BT62 BS63 BU63">
    <cfRule type="cellIs" dxfId="4" priority="19" operator="notEqual">
      <formula>2</formula>
    </cfRule>
  </conditionalFormatting>
  <conditionalFormatting sqref="AT3:AU26">
    <cfRule type="cellIs" dxfId="3" priority="20" operator="notEqual">
      <formula>0</formula>
    </cfRule>
  </conditionalFormatting>
  <printOptions/>
  <pageMargins bottom="0.0" footer="0.0" header="0.0" left="0.5118110236220472" right="0.5118110236220472" top="0.7480314960629921"/>
  <pageSetup paperSize="8" orientation="landscape"/>
  <headerFooter>
    <oddHeader>&amp;C桃園捷運公司 運務處站務中心 115年5月員工輪值表(北段)</oddHeader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1.22" defaultRowHeight="15.0"/>
  <cols>
    <col customWidth="1" min="1" max="1" width="9.22"/>
    <col customWidth="1" min="2" max="2" width="15.67"/>
    <col customWidth="1" min="3" max="3" width="14.67"/>
    <col customWidth="1" min="4" max="36" width="12.78"/>
    <col customWidth="1" min="37" max="40" width="13.11"/>
  </cols>
  <sheetData>
    <row r="1" ht="63.75" customHeight="1">
      <c r="A1" s="173"/>
      <c r="B1" s="174" t="s">
        <v>0</v>
      </c>
      <c r="C1" s="3" t="s">
        <v>1</v>
      </c>
      <c r="D1" s="175">
        <v>46143.0</v>
      </c>
      <c r="E1" s="175">
        <f t="shared" ref="E1:AN1" si="1">D1+1</f>
        <v>46144</v>
      </c>
      <c r="F1" s="175">
        <f t="shared" si="1"/>
        <v>46145</v>
      </c>
      <c r="G1" s="175">
        <f t="shared" si="1"/>
        <v>46146</v>
      </c>
      <c r="H1" s="175">
        <f t="shared" si="1"/>
        <v>46147</v>
      </c>
      <c r="I1" s="175">
        <f t="shared" si="1"/>
        <v>46148</v>
      </c>
      <c r="J1" s="175">
        <f t="shared" si="1"/>
        <v>46149</v>
      </c>
      <c r="K1" s="175">
        <f t="shared" si="1"/>
        <v>46150</v>
      </c>
      <c r="L1" s="175">
        <f t="shared" si="1"/>
        <v>46151</v>
      </c>
      <c r="M1" s="175">
        <f t="shared" si="1"/>
        <v>46152</v>
      </c>
      <c r="N1" s="175">
        <f t="shared" si="1"/>
        <v>46153</v>
      </c>
      <c r="O1" s="175">
        <f t="shared" si="1"/>
        <v>46154</v>
      </c>
      <c r="P1" s="175">
        <f t="shared" si="1"/>
        <v>46155</v>
      </c>
      <c r="Q1" s="175">
        <f t="shared" si="1"/>
        <v>46156</v>
      </c>
      <c r="R1" s="175">
        <f t="shared" si="1"/>
        <v>46157</v>
      </c>
      <c r="S1" s="175">
        <f t="shared" si="1"/>
        <v>46158</v>
      </c>
      <c r="T1" s="175">
        <f t="shared" si="1"/>
        <v>46159</v>
      </c>
      <c r="U1" s="175">
        <f t="shared" si="1"/>
        <v>46160</v>
      </c>
      <c r="V1" s="175">
        <f t="shared" si="1"/>
        <v>46161</v>
      </c>
      <c r="W1" s="175">
        <f t="shared" si="1"/>
        <v>46162</v>
      </c>
      <c r="X1" s="175">
        <f t="shared" si="1"/>
        <v>46163</v>
      </c>
      <c r="Y1" s="175">
        <f t="shared" si="1"/>
        <v>46164</v>
      </c>
      <c r="Z1" s="175">
        <f t="shared" si="1"/>
        <v>46165</v>
      </c>
      <c r="AA1" s="175">
        <f t="shared" si="1"/>
        <v>46166</v>
      </c>
      <c r="AB1" s="175">
        <f t="shared" si="1"/>
        <v>46167</v>
      </c>
      <c r="AC1" s="176">
        <f t="shared" si="1"/>
        <v>46168</v>
      </c>
      <c r="AD1" s="176">
        <f t="shared" si="1"/>
        <v>46169</v>
      </c>
      <c r="AE1" s="176">
        <f t="shared" si="1"/>
        <v>46170</v>
      </c>
      <c r="AF1" s="176">
        <f t="shared" si="1"/>
        <v>46171</v>
      </c>
      <c r="AG1" s="176">
        <f t="shared" si="1"/>
        <v>46172</v>
      </c>
      <c r="AH1" s="176">
        <f t="shared" si="1"/>
        <v>46173</v>
      </c>
      <c r="AI1" s="176">
        <f t="shared" si="1"/>
        <v>46174</v>
      </c>
      <c r="AJ1" s="176">
        <f t="shared" si="1"/>
        <v>46175</v>
      </c>
      <c r="AK1" s="176">
        <f t="shared" si="1"/>
        <v>46176</v>
      </c>
      <c r="AL1" s="176">
        <f t="shared" si="1"/>
        <v>46177</v>
      </c>
      <c r="AM1" s="176">
        <f t="shared" si="1"/>
        <v>46178</v>
      </c>
      <c r="AN1" s="176">
        <f t="shared" si="1"/>
        <v>46179</v>
      </c>
    </row>
    <row r="2" ht="43.5" customHeight="1">
      <c r="A2" s="177"/>
      <c r="B2" s="178"/>
      <c r="C2" s="179"/>
      <c r="D2" s="180">
        <f t="shared" ref="D2:AN2" si="2">IFERROR(IF(WEEKDAY(D1,2)=7,"日",WEEKDAY(D1,2)),"")</f>
        <v>5</v>
      </c>
      <c r="E2" s="180">
        <f t="shared" si="2"/>
        <v>6</v>
      </c>
      <c r="F2" s="180" t="str">
        <f t="shared" si="2"/>
        <v>日</v>
      </c>
      <c r="G2" s="180">
        <f t="shared" si="2"/>
        <v>1</v>
      </c>
      <c r="H2" s="180">
        <f t="shared" si="2"/>
        <v>2</v>
      </c>
      <c r="I2" s="180">
        <f t="shared" si="2"/>
        <v>3</v>
      </c>
      <c r="J2" s="180">
        <f t="shared" si="2"/>
        <v>4</v>
      </c>
      <c r="K2" s="180">
        <f t="shared" si="2"/>
        <v>5</v>
      </c>
      <c r="L2" s="180">
        <f t="shared" si="2"/>
        <v>6</v>
      </c>
      <c r="M2" s="180" t="str">
        <f t="shared" si="2"/>
        <v>日</v>
      </c>
      <c r="N2" s="180">
        <f t="shared" si="2"/>
        <v>1</v>
      </c>
      <c r="O2" s="180">
        <f t="shared" si="2"/>
        <v>2</v>
      </c>
      <c r="P2" s="180">
        <f t="shared" si="2"/>
        <v>3</v>
      </c>
      <c r="Q2" s="180">
        <f t="shared" si="2"/>
        <v>4</v>
      </c>
      <c r="R2" s="180">
        <f t="shared" si="2"/>
        <v>5</v>
      </c>
      <c r="S2" s="180">
        <f t="shared" si="2"/>
        <v>6</v>
      </c>
      <c r="T2" s="180" t="str">
        <f t="shared" si="2"/>
        <v>日</v>
      </c>
      <c r="U2" s="180">
        <f t="shared" si="2"/>
        <v>1</v>
      </c>
      <c r="V2" s="180">
        <f t="shared" si="2"/>
        <v>2</v>
      </c>
      <c r="W2" s="180">
        <f t="shared" si="2"/>
        <v>3</v>
      </c>
      <c r="X2" s="180">
        <f t="shared" si="2"/>
        <v>4</v>
      </c>
      <c r="Y2" s="180">
        <f t="shared" si="2"/>
        <v>5</v>
      </c>
      <c r="Z2" s="180">
        <f t="shared" si="2"/>
        <v>6</v>
      </c>
      <c r="AA2" s="180" t="str">
        <f t="shared" si="2"/>
        <v>日</v>
      </c>
      <c r="AB2" s="180">
        <f t="shared" si="2"/>
        <v>1</v>
      </c>
      <c r="AC2" s="181">
        <f t="shared" si="2"/>
        <v>2</v>
      </c>
      <c r="AD2" s="181">
        <f t="shared" si="2"/>
        <v>3</v>
      </c>
      <c r="AE2" s="181">
        <f t="shared" si="2"/>
        <v>4</v>
      </c>
      <c r="AF2" s="181">
        <f t="shared" si="2"/>
        <v>5</v>
      </c>
      <c r="AG2" s="181">
        <f t="shared" si="2"/>
        <v>6</v>
      </c>
      <c r="AH2" s="181" t="str">
        <f t="shared" si="2"/>
        <v>日</v>
      </c>
      <c r="AI2" s="181">
        <f t="shared" si="2"/>
        <v>1</v>
      </c>
      <c r="AJ2" s="181">
        <f t="shared" si="2"/>
        <v>2</v>
      </c>
      <c r="AK2" s="181">
        <f t="shared" si="2"/>
        <v>3</v>
      </c>
      <c r="AL2" s="181">
        <f t="shared" si="2"/>
        <v>4</v>
      </c>
      <c r="AM2" s="181">
        <f t="shared" si="2"/>
        <v>5</v>
      </c>
      <c r="AN2" s="181">
        <f t="shared" si="2"/>
        <v>6</v>
      </c>
    </row>
    <row r="3" ht="43.5" customHeight="1">
      <c r="A3" s="182"/>
      <c r="B3" s="57" t="str">
        <f t="shared" ref="B3:B12" si="4">LEFT(#REF!,6)</f>
        <v>#REF!</v>
      </c>
      <c r="C3" s="61" t="str">
        <f>VLOOKUP(B3,'北段'!B:C,2,FALSE)</f>
        <v>#REF!</v>
      </c>
      <c r="D3" s="57" t="str">
        <f t="shared" ref="D3:AG3" si="3">LEFT(#REF!,4)</f>
        <v>#REF!</v>
      </c>
      <c r="E3" s="57" t="str">
        <f t="shared" si="3"/>
        <v>#REF!</v>
      </c>
      <c r="F3" s="57" t="str">
        <f t="shared" si="3"/>
        <v>#REF!</v>
      </c>
      <c r="G3" s="57" t="str">
        <f t="shared" si="3"/>
        <v>#REF!</v>
      </c>
      <c r="H3" s="57" t="str">
        <f t="shared" si="3"/>
        <v>#REF!</v>
      </c>
      <c r="I3" s="57" t="str">
        <f t="shared" si="3"/>
        <v>#REF!</v>
      </c>
      <c r="J3" s="57" t="str">
        <f t="shared" si="3"/>
        <v>#REF!</v>
      </c>
      <c r="K3" s="57" t="str">
        <f t="shared" si="3"/>
        <v>#REF!</v>
      </c>
      <c r="L3" s="57" t="str">
        <f t="shared" si="3"/>
        <v>#REF!</v>
      </c>
      <c r="M3" s="57" t="str">
        <f t="shared" si="3"/>
        <v>#REF!</v>
      </c>
      <c r="N3" s="57" t="str">
        <f t="shared" si="3"/>
        <v>#REF!</v>
      </c>
      <c r="O3" s="57" t="str">
        <f t="shared" si="3"/>
        <v>#REF!</v>
      </c>
      <c r="P3" s="57" t="str">
        <f t="shared" si="3"/>
        <v>#REF!</v>
      </c>
      <c r="Q3" s="57" t="str">
        <f t="shared" si="3"/>
        <v>#REF!</v>
      </c>
      <c r="R3" s="57" t="str">
        <f t="shared" si="3"/>
        <v>#REF!</v>
      </c>
      <c r="S3" s="57" t="str">
        <f t="shared" si="3"/>
        <v>#REF!</v>
      </c>
      <c r="T3" s="57" t="str">
        <f t="shared" si="3"/>
        <v>#REF!</v>
      </c>
      <c r="U3" s="57" t="str">
        <f t="shared" si="3"/>
        <v>#REF!</v>
      </c>
      <c r="V3" s="57" t="str">
        <f t="shared" si="3"/>
        <v>#REF!</v>
      </c>
      <c r="W3" s="57" t="str">
        <f t="shared" si="3"/>
        <v>#REF!</v>
      </c>
      <c r="X3" s="57" t="str">
        <f t="shared" si="3"/>
        <v>#REF!</v>
      </c>
      <c r="Y3" s="57" t="str">
        <f t="shared" si="3"/>
        <v>#REF!</v>
      </c>
      <c r="Z3" s="57" t="str">
        <f t="shared" si="3"/>
        <v>#REF!</v>
      </c>
      <c r="AA3" s="57" t="str">
        <f t="shared" si="3"/>
        <v>#REF!</v>
      </c>
      <c r="AB3" s="57" t="str">
        <f t="shared" si="3"/>
        <v>#REF!</v>
      </c>
      <c r="AC3" s="57" t="str">
        <f t="shared" si="3"/>
        <v>#REF!</v>
      </c>
      <c r="AD3" s="57" t="str">
        <f t="shared" si="3"/>
        <v>#REF!</v>
      </c>
      <c r="AE3" s="57" t="str">
        <f t="shared" si="3"/>
        <v>#REF!</v>
      </c>
      <c r="AF3" s="57" t="str">
        <f t="shared" si="3"/>
        <v>#REF!</v>
      </c>
      <c r="AG3" s="57" t="str">
        <f t="shared" si="3"/>
        <v>#REF!</v>
      </c>
      <c r="AH3" s="57" t="str">
        <f>LEFT(北段!#REF!,4)</f>
        <v>#ERROR!</v>
      </c>
      <c r="AI3" s="57" t="str">
        <f>LEFT(北段!#REF!,4)</f>
        <v>#ERROR!</v>
      </c>
      <c r="AJ3" s="57" t="str">
        <f>LEFT(北段!#REF!,4)</f>
        <v>#ERROR!</v>
      </c>
      <c r="AK3" s="57" t="str">
        <f>LEFT(北段!#REF!,4)</f>
        <v>#ERROR!</v>
      </c>
      <c r="AL3" s="57" t="str">
        <f>LEFT(北段!#REF!,4)</f>
        <v>#ERROR!</v>
      </c>
      <c r="AM3" s="57" t="str">
        <f>LEFT(北段!#REF!,4)</f>
        <v>#ERROR!</v>
      </c>
      <c r="AN3" s="57" t="str">
        <f>LEFT(北段!#REF!,4)</f>
        <v>#ERROR!</v>
      </c>
    </row>
    <row r="4" ht="43.5" customHeight="1">
      <c r="A4" s="182"/>
      <c r="B4" s="57" t="str">
        <f t="shared" si="4"/>
        <v>#REF!</v>
      </c>
      <c r="C4" s="61" t="str">
        <f>VLOOKUP(B4,'北段'!B:C,2,FALSE)</f>
        <v>#REF!</v>
      </c>
      <c r="D4" s="57" t="str">
        <f t="shared" ref="D4:I4" si="5">LEFT(#REF!,4)</f>
        <v>#REF!</v>
      </c>
      <c r="E4" s="57" t="str">
        <f t="shared" si="5"/>
        <v>#REF!</v>
      </c>
      <c r="F4" s="57" t="str">
        <f t="shared" si="5"/>
        <v>#REF!</v>
      </c>
      <c r="G4" s="57" t="str">
        <f t="shared" si="5"/>
        <v>#REF!</v>
      </c>
      <c r="H4" s="57" t="str">
        <f t="shared" si="5"/>
        <v>#REF!</v>
      </c>
      <c r="I4" s="57" t="str">
        <f t="shared" si="5"/>
        <v>#REF!</v>
      </c>
      <c r="J4" s="57" t="str">
        <f>LEFT(#REF!,3)</f>
        <v>#REF!</v>
      </c>
      <c r="K4" s="57" t="str">
        <f t="shared" ref="K4:AG4" si="6">LEFT(#REF!,4)</f>
        <v>#REF!</v>
      </c>
      <c r="L4" s="57" t="str">
        <f t="shared" si="6"/>
        <v>#REF!</v>
      </c>
      <c r="M4" s="57" t="str">
        <f t="shared" si="6"/>
        <v>#REF!</v>
      </c>
      <c r="N4" s="57" t="str">
        <f t="shared" si="6"/>
        <v>#REF!</v>
      </c>
      <c r="O4" s="57" t="str">
        <f t="shared" si="6"/>
        <v>#REF!</v>
      </c>
      <c r="P4" s="57" t="str">
        <f t="shared" si="6"/>
        <v>#REF!</v>
      </c>
      <c r="Q4" s="57" t="str">
        <f t="shared" si="6"/>
        <v>#REF!</v>
      </c>
      <c r="R4" s="57" t="str">
        <f t="shared" si="6"/>
        <v>#REF!</v>
      </c>
      <c r="S4" s="57" t="str">
        <f t="shared" si="6"/>
        <v>#REF!</v>
      </c>
      <c r="T4" s="57" t="str">
        <f t="shared" si="6"/>
        <v>#REF!</v>
      </c>
      <c r="U4" s="57" t="str">
        <f t="shared" si="6"/>
        <v>#REF!</v>
      </c>
      <c r="V4" s="57" t="str">
        <f t="shared" si="6"/>
        <v>#REF!</v>
      </c>
      <c r="W4" s="57" t="str">
        <f t="shared" si="6"/>
        <v>#REF!</v>
      </c>
      <c r="X4" s="57" t="str">
        <f t="shared" si="6"/>
        <v>#REF!</v>
      </c>
      <c r="Y4" s="57" t="str">
        <f t="shared" si="6"/>
        <v>#REF!</v>
      </c>
      <c r="Z4" s="57" t="str">
        <f t="shared" si="6"/>
        <v>#REF!</v>
      </c>
      <c r="AA4" s="57" t="str">
        <f t="shared" si="6"/>
        <v>#REF!</v>
      </c>
      <c r="AB4" s="57" t="str">
        <f t="shared" si="6"/>
        <v>#REF!</v>
      </c>
      <c r="AC4" s="57" t="str">
        <f t="shared" si="6"/>
        <v>#REF!</v>
      </c>
      <c r="AD4" s="57" t="str">
        <f t="shared" si="6"/>
        <v>#REF!</v>
      </c>
      <c r="AE4" s="57" t="str">
        <f t="shared" si="6"/>
        <v>#REF!</v>
      </c>
      <c r="AF4" s="57" t="str">
        <f t="shared" si="6"/>
        <v>#REF!</v>
      </c>
      <c r="AG4" s="57" t="str">
        <f t="shared" si="6"/>
        <v>#REF!</v>
      </c>
      <c r="AH4" s="57" t="str">
        <f>LEFT(北段!#REF!,4)</f>
        <v>#ERROR!</v>
      </c>
      <c r="AI4" s="57" t="str">
        <f>LEFT(北段!#REF!,4)</f>
        <v>#ERROR!</v>
      </c>
      <c r="AJ4" s="57" t="str">
        <f>LEFT(北段!#REF!,4)</f>
        <v>#ERROR!</v>
      </c>
      <c r="AK4" s="57" t="str">
        <f>LEFT(北段!#REF!,4)</f>
        <v>#ERROR!</v>
      </c>
      <c r="AL4" s="57" t="str">
        <f>LEFT(北段!#REF!,4)</f>
        <v>#ERROR!</v>
      </c>
      <c r="AM4" s="57" t="str">
        <f>LEFT(北段!#REF!,4)</f>
        <v>#ERROR!</v>
      </c>
      <c r="AN4" s="57" t="str">
        <f>LEFT(北段!#REF!,4)</f>
        <v>#ERROR!</v>
      </c>
    </row>
    <row r="5" ht="43.5" customHeight="1">
      <c r="A5" s="182"/>
      <c r="B5" s="57" t="str">
        <f t="shared" si="4"/>
        <v>#REF!</v>
      </c>
      <c r="C5" s="61" t="str">
        <f>VLOOKUP(B5,'北段'!B:C,2,FALSE)</f>
        <v>#REF!</v>
      </c>
      <c r="D5" s="57" t="str">
        <f t="shared" ref="D5:X5" si="7">LEFT(#REF!,4)</f>
        <v>#REF!</v>
      </c>
      <c r="E5" s="57" t="str">
        <f t="shared" si="7"/>
        <v>#REF!</v>
      </c>
      <c r="F5" s="57" t="str">
        <f t="shared" si="7"/>
        <v>#REF!</v>
      </c>
      <c r="G5" s="57" t="str">
        <f t="shared" si="7"/>
        <v>#REF!</v>
      </c>
      <c r="H5" s="57" t="str">
        <f t="shared" si="7"/>
        <v>#REF!</v>
      </c>
      <c r="I5" s="57" t="str">
        <f t="shared" si="7"/>
        <v>#REF!</v>
      </c>
      <c r="J5" s="57" t="str">
        <f t="shared" si="7"/>
        <v>#REF!</v>
      </c>
      <c r="K5" s="57" t="str">
        <f t="shared" si="7"/>
        <v>#REF!</v>
      </c>
      <c r="L5" s="57" t="str">
        <f t="shared" si="7"/>
        <v>#REF!</v>
      </c>
      <c r="M5" s="57" t="str">
        <f t="shared" si="7"/>
        <v>#REF!</v>
      </c>
      <c r="N5" s="57" t="str">
        <f t="shared" si="7"/>
        <v>#REF!</v>
      </c>
      <c r="O5" s="57" t="str">
        <f t="shared" si="7"/>
        <v>#REF!</v>
      </c>
      <c r="P5" s="57" t="str">
        <f t="shared" si="7"/>
        <v>#REF!</v>
      </c>
      <c r="Q5" s="57" t="str">
        <f t="shared" si="7"/>
        <v>#REF!</v>
      </c>
      <c r="R5" s="57" t="str">
        <f t="shared" si="7"/>
        <v>#REF!</v>
      </c>
      <c r="S5" s="57" t="str">
        <f t="shared" si="7"/>
        <v>#REF!</v>
      </c>
      <c r="T5" s="57" t="str">
        <f t="shared" si="7"/>
        <v>#REF!</v>
      </c>
      <c r="U5" s="57" t="str">
        <f t="shared" si="7"/>
        <v>#REF!</v>
      </c>
      <c r="V5" s="57" t="str">
        <f t="shared" si="7"/>
        <v>#REF!</v>
      </c>
      <c r="W5" s="57" t="str">
        <f t="shared" si="7"/>
        <v>#REF!</v>
      </c>
      <c r="X5" s="57" t="str">
        <f t="shared" si="7"/>
        <v>#REF!</v>
      </c>
      <c r="Y5" s="57" t="str">
        <f>LEFT(#REF!,3)</f>
        <v>#REF!</v>
      </c>
      <c r="Z5" s="57" t="str">
        <f t="shared" ref="Z5:AG5" si="8">LEFT(#REF!,4)</f>
        <v>#REF!</v>
      </c>
      <c r="AA5" s="57" t="str">
        <f t="shared" si="8"/>
        <v>#REF!</v>
      </c>
      <c r="AB5" s="57" t="str">
        <f t="shared" si="8"/>
        <v>#REF!</v>
      </c>
      <c r="AC5" s="57" t="str">
        <f t="shared" si="8"/>
        <v>#REF!</v>
      </c>
      <c r="AD5" s="57" t="str">
        <f t="shared" si="8"/>
        <v>#REF!</v>
      </c>
      <c r="AE5" s="57" t="str">
        <f t="shared" si="8"/>
        <v>#REF!</v>
      </c>
      <c r="AF5" s="57" t="str">
        <f t="shared" si="8"/>
        <v>#REF!</v>
      </c>
      <c r="AG5" s="57" t="str">
        <f t="shared" si="8"/>
        <v>#REF!</v>
      </c>
      <c r="AH5" s="57" t="str">
        <f>LEFT(北段!#REF!,4)</f>
        <v>#ERROR!</v>
      </c>
      <c r="AI5" s="57" t="str">
        <f>LEFT(北段!#REF!,4)</f>
        <v>#ERROR!</v>
      </c>
      <c r="AJ5" s="57" t="str">
        <f>LEFT(北段!#REF!,4)</f>
        <v>#ERROR!</v>
      </c>
      <c r="AK5" s="57" t="str">
        <f>LEFT(北段!#REF!,4)</f>
        <v>#ERROR!</v>
      </c>
      <c r="AL5" s="57" t="str">
        <f>LEFT(北段!#REF!,4)</f>
        <v>#ERROR!</v>
      </c>
      <c r="AM5" s="57" t="str">
        <f>LEFT(北段!#REF!,4)</f>
        <v>#ERROR!</v>
      </c>
      <c r="AN5" s="57" t="str">
        <f>LEFT(北段!#REF!,4)</f>
        <v>#ERROR!</v>
      </c>
    </row>
    <row r="6" ht="43.5" customHeight="1">
      <c r="A6" s="182"/>
      <c r="B6" s="57" t="str">
        <f t="shared" si="4"/>
        <v>#REF!</v>
      </c>
      <c r="C6" s="61" t="str">
        <f>VLOOKUP(B6,'北段'!B:C,2,FALSE)</f>
        <v>#REF!</v>
      </c>
      <c r="D6" s="57" t="str">
        <f t="shared" ref="D6:J6" si="9">LEFT(#REF!,4)</f>
        <v>#REF!</v>
      </c>
      <c r="E6" s="57" t="str">
        <f t="shared" si="9"/>
        <v>#REF!</v>
      </c>
      <c r="F6" s="57" t="str">
        <f t="shared" si="9"/>
        <v>#REF!</v>
      </c>
      <c r="G6" s="57" t="str">
        <f t="shared" si="9"/>
        <v>#REF!</v>
      </c>
      <c r="H6" s="57" t="str">
        <f t="shared" si="9"/>
        <v>#REF!</v>
      </c>
      <c r="I6" s="57" t="str">
        <f t="shared" si="9"/>
        <v>#REF!</v>
      </c>
      <c r="J6" s="57" t="str">
        <f t="shared" si="9"/>
        <v>#REF!</v>
      </c>
      <c r="K6" s="57" t="str">
        <f>LEFT(#REF!,3)</f>
        <v>#REF!</v>
      </c>
      <c r="L6" s="57" t="str">
        <f t="shared" ref="L6:P6" si="10">LEFT(#REF!,4)</f>
        <v>#REF!</v>
      </c>
      <c r="M6" s="57" t="str">
        <f t="shared" si="10"/>
        <v>#REF!</v>
      </c>
      <c r="N6" s="57" t="str">
        <f t="shared" si="10"/>
        <v>#REF!</v>
      </c>
      <c r="O6" s="57" t="str">
        <f t="shared" si="10"/>
        <v>#REF!</v>
      </c>
      <c r="P6" s="57" t="str">
        <f t="shared" si="10"/>
        <v>#REF!</v>
      </c>
      <c r="Q6" s="57" t="str">
        <f>LEFT(#REF!,3)</f>
        <v>#REF!</v>
      </c>
      <c r="R6" s="57" t="str">
        <f t="shared" ref="R6:AA6" si="11">LEFT(#REF!,4)</f>
        <v>#REF!</v>
      </c>
      <c r="S6" s="57" t="str">
        <f t="shared" si="11"/>
        <v>#REF!</v>
      </c>
      <c r="T6" s="57" t="str">
        <f t="shared" si="11"/>
        <v>#REF!</v>
      </c>
      <c r="U6" s="57" t="str">
        <f t="shared" si="11"/>
        <v>#REF!</v>
      </c>
      <c r="V6" s="57" t="str">
        <f t="shared" si="11"/>
        <v>#REF!</v>
      </c>
      <c r="W6" s="57" t="str">
        <f t="shared" si="11"/>
        <v>#REF!</v>
      </c>
      <c r="X6" s="57" t="str">
        <f t="shared" si="11"/>
        <v>#REF!</v>
      </c>
      <c r="Y6" s="57" t="str">
        <f t="shared" si="11"/>
        <v>#REF!</v>
      </c>
      <c r="Z6" s="57" t="str">
        <f t="shared" si="11"/>
        <v>#REF!</v>
      </c>
      <c r="AA6" s="57" t="str">
        <f t="shared" si="11"/>
        <v>#REF!</v>
      </c>
      <c r="AB6" s="57" t="str">
        <f>LEFT(#REF!,3)</f>
        <v>#REF!</v>
      </c>
      <c r="AC6" s="57" t="str">
        <f t="shared" ref="AC6:AG6" si="12">LEFT(#REF!,4)</f>
        <v>#REF!</v>
      </c>
      <c r="AD6" s="57" t="str">
        <f t="shared" si="12"/>
        <v>#REF!</v>
      </c>
      <c r="AE6" s="57" t="str">
        <f t="shared" si="12"/>
        <v>#REF!</v>
      </c>
      <c r="AF6" s="57" t="str">
        <f t="shared" si="12"/>
        <v>#REF!</v>
      </c>
      <c r="AG6" s="57" t="str">
        <f t="shared" si="12"/>
        <v>#REF!</v>
      </c>
      <c r="AH6" s="57" t="str">
        <f>LEFT(北段!#REF!,4)</f>
        <v>#ERROR!</v>
      </c>
      <c r="AI6" s="57" t="str">
        <f>LEFT(北段!#REF!,4)</f>
        <v>#ERROR!</v>
      </c>
      <c r="AJ6" s="57" t="str">
        <f>LEFT(北段!#REF!,4)</f>
        <v>#ERROR!</v>
      </c>
      <c r="AK6" s="57" t="str">
        <f>LEFT(北段!#REF!,4)</f>
        <v>#ERROR!</v>
      </c>
      <c r="AL6" s="57" t="str">
        <f>LEFT(北段!#REF!,4)</f>
        <v>#ERROR!</v>
      </c>
      <c r="AM6" s="57" t="str">
        <f>LEFT(北段!#REF!,4)</f>
        <v>#ERROR!</v>
      </c>
      <c r="AN6" s="57" t="str">
        <f>LEFT(北段!#REF!,4)</f>
        <v>#ERROR!</v>
      </c>
    </row>
    <row r="7" ht="43.5" customHeight="1">
      <c r="A7" s="182"/>
      <c r="B7" s="57" t="str">
        <f t="shared" si="4"/>
        <v>#REF!</v>
      </c>
      <c r="C7" s="61" t="str">
        <f>VLOOKUP(B7,'北段'!B:C,2,FALSE)</f>
        <v>#REF!</v>
      </c>
      <c r="D7" s="57" t="str">
        <f t="shared" ref="D7:U7" si="13">LEFT(#REF!,4)</f>
        <v>#REF!</v>
      </c>
      <c r="E7" s="57" t="str">
        <f t="shared" si="13"/>
        <v>#REF!</v>
      </c>
      <c r="F7" s="57" t="str">
        <f t="shared" si="13"/>
        <v>#REF!</v>
      </c>
      <c r="G7" s="57" t="str">
        <f t="shared" si="13"/>
        <v>#REF!</v>
      </c>
      <c r="H7" s="57" t="str">
        <f t="shared" si="13"/>
        <v>#REF!</v>
      </c>
      <c r="I7" s="57" t="str">
        <f t="shared" si="13"/>
        <v>#REF!</v>
      </c>
      <c r="J7" s="57" t="str">
        <f t="shared" si="13"/>
        <v>#REF!</v>
      </c>
      <c r="K7" s="57" t="str">
        <f t="shared" si="13"/>
        <v>#REF!</v>
      </c>
      <c r="L7" s="57" t="str">
        <f t="shared" si="13"/>
        <v>#REF!</v>
      </c>
      <c r="M7" s="57" t="str">
        <f t="shared" si="13"/>
        <v>#REF!</v>
      </c>
      <c r="N7" s="57" t="str">
        <f t="shared" si="13"/>
        <v>#REF!</v>
      </c>
      <c r="O7" s="57" t="str">
        <f t="shared" si="13"/>
        <v>#REF!</v>
      </c>
      <c r="P7" s="57" t="str">
        <f t="shared" si="13"/>
        <v>#REF!</v>
      </c>
      <c r="Q7" s="57" t="str">
        <f t="shared" si="13"/>
        <v>#REF!</v>
      </c>
      <c r="R7" s="57" t="str">
        <f t="shared" si="13"/>
        <v>#REF!</v>
      </c>
      <c r="S7" s="57" t="str">
        <f t="shared" si="13"/>
        <v>#REF!</v>
      </c>
      <c r="T7" s="57" t="str">
        <f t="shared" si="13"/>
        <v>#REF!</v>
      </c>
      <c r="U7" s="57" t="str">
        <f t="shared" si="13"/>
        <v>#REF!</v>
      </c>
      <c r="V7" s="57" t="str">
        <f>LEFT(#REF!,3)</f>
        <v>#REF!</v>
      </c>
      <c r="W7" s="57" t="str">
        <f t="shared" ref="W7:AG7" si="14">LEFT(#REF!,4)</f>
        <v>#REF!</v>
      </c>
      <c r="X7" s="57" t="str">
        <f t="shared" si="14"/>
        <v>#REF!</v>
      </c>
      <c r="Y7" s="57" t="str">
        <f t="shared" si="14"/>
        <v>#REF!</v>
      </c>
      <c r="Z7" s="57" t="str">
        <f t="shared" si="14"/>
        <v>#REF!</v>
      </c>
      <c r="AA7" s="57" t="str">
        <f t="shared" si="14"/>
        <v>#REF!</v>
      </c>
      <c r="AB7" s="57" t="str">
        <f t="shared" si="14"/>
        <v>#REF!</v>
      </c>
      <c r="AC7" s="57" t="str">
        <f t="shared" si="14"/>
        <v>#REF!</v>
      </c>
      <c r="AD7" s="57" t="str">
        <f t="shared" si="14"/>
        <v>#REF!</v>
      </c>
      <c r="AE7" s="57" t="str">
        <f t="shared" si="14"/>
        <v>#REF!</v>
      </c>
      <c r="AF7" s="57" t="str">
        <f t="shared" si="14"/>
        <v>#REF!</v>
      </c>
      <c r="AG7" s="57" t="str">
        <f t="shared" si="14"/>
        <v>#REF!</v>
      </c>
      <c r="AH7" s="57" t="str">
        <f>LEFT(北段!#REF!,4)</f>
        <v>#ERROR!</v>
      </c>
      <c r="AI7" s="57" t="str">
        <f>LEFT(北段!#REF!,4)</f>
        <v>#ERROR!</v>
      </c>
      <c r="AJ7" s="57" t="str">
        <f>LEFT(北段!#REF!,4)</f>
        <v>#ERROR!</v>
      </c>
      <c r="AK7" s="57" t="str">
        <f>LEFT(北段!#REF!,3)</f>
        <v>#ERROR!</v>
      </c>
      <c r="AL7" s="57" t="str">
        <f>LEFT(北段!#REF!,4)</f>
        <v>#ERROR!</v>
      </c>
      <c r="AM7" s="57" t="str">
        <f>LEFT(北段!#REF!,4)</f>
        <v>#ERROR!</v>
      </c>
      <c r="AN7" s="57" t="str">
        <f>LEFT(北段!#REF!,4)</f>
        <v>#ERROR!</v>
      </c>
    </row>
    <row r="8" ht="43.5" customHeight="1">
      <c r="A8" s="182"/>
      <c r="B8" s="57" t="str">
        <f t="shared" si="4"/>
        <v>#REF!</v>
      </c>
      <c r="C8" s="61" t="str">
        <f>VLOOKUP(B8,'北段'!B:C,2,FALSE)</f>
        <v>#REF!</v>
      </c>
      <c r="D8" s="57" t="str">
        <f t="shared" ref="D8:F8" si="15">LEFT(#REF!,4)</f>
        <v>#REF!</v>
      </c>
      <c r="E8" s="57" t="str">
        <f t="shared" si="15"/>
        <v>#REF!</v>
      </c>
      <c r="F8" s="57" t="str">
        <f t="shared" si="15"/>
        <v>#REF!</v>
      </c>
      <c r="G8" s="57" t="str">
        <f>LEFT(#REF!,3)</f>
        <v>#REF!</v>
      </c>
      <c r="H8" s="57" t="str">
        <f t="shared" ref="H8:W8" si="16">LEFT(#REF!,4)</f>
        <v>#REF!</v>
      </c>
      <c r="I8" s="57" t="str">
        <f t="shared" si="16"/>
        <v>#REF!</v>
      </c>
      <c r="J8" s="57" t="str">
        <f t="shared" si="16"/>
        <v>#REF!</v>
      </c>
      <c r="K8" s="57" t="str">
        <f t="shared" si="16"/>
        <v>#REF!</v>
      </c>
      <c r="L8" s="57" t="str">
        <f t="shared" si="16"/>
        <v>#REF!</v>
      </c>
      <c r="M8" s="57" t="str">
        <f t="shared" si="16"/>
        <v>#REF!</v>
      </c>
      <c r="N8" s="57" t="str">
        <f t="shared" si="16"/>
        <v>#REF!</v>
      </c>
      <c r="O8" s="57" t="str">
        <f t="shared" si="16"/>
        <v>#REF!</v>
      </c>
      <c r="P8" s="57" t="str">
        <f t="shared" si="16"/>
        <v>#REF!</v>
      </c>
      <c r="Q8" s="57" t="str">
        <f t="shared" si="16"/>
        <v>#REF!</v>
      </c>
      <c r="R8" s="57" t="str">
        <f t="shared" si="16"/>
        <v>#REF!</v>
      </c>
      <c r="S8" s="57" t="str">
        <f t="shared" si="16"/>
        <v>#REF!</v>
      </c>
      <c r="T8" s="57" t="str">
        <f t="shared" si="16"/>
        <v>#REF!</v>
      </c>
      <c r="U8" s="57" t="str">
        <f t="shared" si="16"/>
        <v>#REF!</v>
      </c>
      <c r="V8" s="57" t="str">
        <f t="shared" si="16"/>
        <v>#REF!</v>
      </c>
      <c r="W8" s="57" t="str">
        <f t="shared" si="16"/>
        <v>#REF!</v>
      </c>
      <c r="X8" s="57" t="str">
        <f>LEFT(#REF!,3)</f>
        <v>#REF!</v>
      </c>
      <c r="Y8" s="57" t="str">
        <f t="shared" ref="Y8:AG8" si="17">LEFT(#REF!,4)</f>
        <v>#REF!</v>
      </c>
      <c r="Z8" s="57" t="str">
        <f t="shared" si="17"/>
        <v>#REF!</v>
      </c>
      <c r="AA8" s="57" t="str">
        <f t="shared" si="17"/>
        <v>#REF!</v>
      </c>
      <c r="AB8" s="57" t="str">
        <f t="shared" si="17"/>
        <v>#REF!</v>
      </c>
      <c r="AC8" s="57" t="str">
        <f t="shared" si="17"/>
        <v>#REF!</v>
      </c>
      <c r="AD8" s="57" t="str">
        <f t="shared" si="17"/>
        <v>#REF!</v>
      </c>
      <c r="AE8" s="57" t="str">
        <f t="shared" si="17"/>
        <v>#REF!</v>
      </c>
      <c r="AF8" s="57" t="str">
        <f t="shared" si="17"/>
        <v>#REF!</v>
      </c>
      <c r="AG8" s="57" t="str">
        <f t="shared" si="17"/>
        <v>#REF!</v>
      </c>
      <c r="AH8" s="57" t="str">
        <f>LEFT(北段!#REF!,4)</f>
        <v>#ERROR!</v>
      </c>
      <c r="AI8" s="57" t="str">
        <f>LEFT(北段!#REF!,4)</f>
        <v>#ERROR!</v>
      </c>
      <c r="AJ8" s="57" t="str">
        <f>LEFT(北段!#REF!,4)</f>
        <v>#ERROR!</v>
      </c>
      <c r="AK8" s="57" t="str">
        <f>LEFT(北段!#REF!,4)</f>
        <v>#ERROR!</v>
      </c>
      <c r="AL8" s="57" t="str">
        <f>LEFT(北段!#REF!,4)</f>
        <v>#ERROR!</v>
      </c>
      <c r="AM8" s="57" t="str">
        <f>LEFT(北段!#REF!,4)</f>
        <v>#ERROR!</v>
      </c>
      <c r="AN8" s="57" t="str">
        <f>LEFT(北段!#REF!,4)</f>
        <v>#ERROR!</v>
      </c>
    </row>
    <row r="9" ht="43.5" customHeight="1">
      <c r="A9" s="182"/>
      <c r="B9" s="57" t="str">
        <f t="shared" si="4"/>
        <v>#REF!</v>
      </c>
      <c r="C9" s="61" t="str">
        <f>VLOOKUP(B9,'北段'!B:C,2,FALSE)</f>
        <v>#REF!</v>
      </c>
      <c r="D9" s="57" t="str">
        <f t="shared" ref="D9:AG9" si="18">LEFT(#REF!,8)</f>
        <v>#REF!</v>
      </c>
      <c r="E9" s="57" t="str">
        <f t="shared" si="18"/>
        <v>#REF!</v>
      </c>
      <c r="F9" s="57" t="str">
        <f t="shared" si="18"/>
        <v>#REF!</v>
      </c>
      <c r="G9" s="57" t="str">
        <f t="shared" si="18"/>
        <v>#REF!</v>
      </c>
      <c r="H9" s="57" t="str">
        <f t="shared" si="18"/>
        <v>#REF!</v>
      </c>
      <c r="I9" s="57" t="str">
        <f t="shared" si="18"/>
        <v>#REF!</v>
      </c>
      <c r="J9" s="57" t="str">
        <f t="shared" si="18"/>
        <v>#REF!</v>
      </c>
      <c r="K9" s="57" t="str">
        <f t="shared" si="18"/>
        <v>#REF!</v>
      </c>
      <c r="L9" s="57" t="str">
        <f t="shared" si="18"/>
        <v>#REF!</v>
      </c>
      <c r="M9" s="57" t="str">
        <f t="shared" si="18"/>
        <v>#REF!</v>
      </c>
      <c r="N9" s="57" t="str">
        <f t="shared" si="18"/>
        <v>#REF!</v>
      </c>
      <c r="O9" s="57" t="str">
        <f t="shared" si="18"/>
        <v>#REF!</v>
      </c>
      <c r="P9" s="57" t="str">
        <f t="shared" si="18"/>
        <v>#REF!</v>
      </c>
      <c r="Q9" s="57" t="str">
        <f t="shared" si="18"/>
        <v>#REF!</v>
      </c>
      <c r="R9" s="57" t="str">
        <f t="shared" si="18"/>
        <v>#REF!</v>
      </c>
      <c r="S9" s="57" t="str">
        <f t="shared" si="18"/>
        <v>#REF!</v>
      </c>
      <c r="T9" s="57" t="str">
        <f t="shared" si="18"/>
        <v>#REF!</v>
      </c>
      <c r="U9" s="57" t="str">
        <f t="shared" si="18"/>
        <v>#REF!</v>
      </c>
      <c r="V9" s="57" t="str">
        <f t="shared" si="18"/>
        <v>#REF!</v>
      </c>
      <c r="W9" s="57" t="str">
        <f t="shared" si="18"/>
        <v>#REF!</v>
      </c>
      <c r="X9" s="57" t="str">
        <f t="shared" si="18"/>
        <v>#REF!</v>
      </c>
      <c r="Y9" s="57" t="str">
        <f t="shared" si="18"/>
        <v>#REF!</v>
      </c>
      <c r="Z9" s="57" t="str">
        <f t="shared" si="18"/>
        <v>#REF!</v>
      </c>
      <c r="AA9" s="57" t="str">
        <f t="shared" si="18"/>
        <v>#REF!</v>
      </c>
      <c r="AB9" s="57" t="str">
        <f t="shared" si="18"/>
        <v>#REF!</v>
      </c>
      <c r="AC9" s="57" t="str">
        <f t="shared" si="18"/>
        <v>#REF!</v>
      </c>
      <c r="AD9" s="57" t="str">
        <f t="shared" si="18"/>
        <v>#REF!</v>
      </c>
      <c r="AE9" s="57" t="str">
        <f t="shared" si="18"/>
        <v>#REF!</v>
      </c>
      <c r="AF9" s="57" t="str">
        <f t="shared" si="18"/>
        <v>#REF!</v>
      </c>
      <c r="AG9" s="57" t="str">
        <f t="shared" si="18"/>
        <v>#REF!</v>
      </c>
      <c r="AH9" s="57" t="str">
        <f>LEFT(北段!#REF!,8)</f>
        <v>#ERROR!</v>
      </c>
      <c r="AI9" s="57" t="str">
        <f>LEFT(北段!#REF!,8)</f>
        <v>#ERROR!</v>
      </c>
      <c r="AJ9" s="57" t="str">
        <f>LEFT(北段!#REF!,8)</f>
        <v>#ERROR!</v>
      </c>
      <c r="AK9" s="57" t="str">
        <f>LEFT(北段!#REF!,8)</f>
        <v>#ERROR!</v>
      </c>
      <c r="AL9" s="57" t="str">
        <f>LEFT(北段!#REF!,8)</f>
        <v>#ERROR!</v>
      </c>
      <c r="AM9" s="57" t="str">
        <f>LEFT(北段!#REF!,8)</f>
        <v>#ERROR!</v>
      </c>
      <c r="AN9" s="57" t="str">
        <f>LEFT(北段!#REF!,8)</f>
        <v>#ERROR!</v>
      </c>
    </row>
    <row r="10" ht="43.5" customHeight="1">
      <c r="A10" s="182"/>
      <c r="B10" s="57" t="str">
        <f t="shared" si="4"/>
        <v>#REF!</v>
      </c>
      <c r="C10" s="61" t="str">
        <f>VLOOKUP(B10,'北段'!B:C,2,FALSE)</f>
        <v>#REF!</v>
      </c>
      <c r="D10" s="57" t="str">
        <f t="shared" ref="D10:U10" si="19">LEFT(#REF!,4)</f>
        <v>#REF!</v>
      </c>
      <c r="E10" s="57" t="str">
        <f t="shared" si="19"/>
        <v>#REF!</v>
      </c>
      <c r="F10" s="57" t="str">
        <f t="shared" si="19"/>
        <v>#REF!</v>
      </c>
      <c r="G10" s="57" t="str">
        <f t="shared" si="19"/>
        <v>#REF!</v>
      </c>
      <c r="H10" s="57" t="str">
        <f t="shared" si="19"/>
        <v>#REF!</v>
      </c>
      <c r="I10" s="57" t="str">
        <f t="shared" si="19"/>
        <v>#REF!</v>
      </c>
      <c r="J10" s="57" t="str">
        <f t="shared" si="19"/>
        <v>#REF!</v>
      </c>
      <c r="K10" s="57" t="str">
        <f t="shared" si="19"/>
        <v>#REF!</v>
      </c>
      <c r="L10" s="57" t="str">
        <f t="shared" si="19"/>
        <v>#REF!</v>
      </c>
      <c r="M10" s="57" t="str">
        <f t="shared" si="19"/>
        <v>#REF!</v>
      </c>
      <c r="N10" s="57" t="str">
        <f t="shared" si="19"/>
        <v>#REF!</v>
      </c>
      <c r="O10" s="57" t="str">
        <f t="shared" si="19"/>
        <v>#REF!</v>
      </c>
      <c r="P10" s="57" t="str">
        <f t="shared" si="19"/>
        <v>#REF!</v>
      </c>
      <c r="Q10" s="57" t="str">
        <f t="shared" si="19"/>
        <v>#REF!</v>
      </c>
      <c r="R10" s="57" t="str">
        <f t="shared" si="19"/>
        <v>#REF!</v>
      </c>
      <c r="S10" s="57" t="str">
        <f t="shared" si="19"/>
        <v>#REF!</v>
      </c>
      <c r="T10" s="57" t="str">
        <f t="shared" si="19"/>
        <v>#REF!</v>
      </c>
      <c r="U10" s="57" t="str">
        <f t="shared" si="19"/>
        <v>#REF!</v>
      </c>
      <c r="V10" s="57" t="str">
        <f>LEFT(#REF!,3)</f>
        <v>#REF!</v>
      </c>
      <c r="W10" s="57" t="str">
        <f t="shared" ref="W10:AG10" si="20">LEFT(#REF!,4)</f>
        <v>#REF!</v>
      </c>
      <c r="X10" s="57" t="str">
        <f t="shared" si="20"/>
        <v>#REF!</v>
      </c>
      <c r="Y10" s="57" t="str">
        <f t="shared" si="20"/>
        <v>#REF!</v>
      </c>
      <c r="Z10" s="57" t="str">
        <f t="shared" si="20"/>
        <v>#REF!</v>
      </c>
      <c r="AA10" s="57" t="str">
        <f t="shared" si="20"/>
        <v>#REF!</v>
      </c>
      <c r="AB10" s="57" t="str">
        <f t="shared" si="20"/>
        <v>#REF!</v>
      </c>
      <c r="AC10" s="57" t="str">
        <f t="shared" si="20"/>
        <v>#REF!</v>
      </c>
      <c r="AD10" s="57" t="str">
        <f t="shared" si="20"/>
        <v>#REF!</v>
      </c>
      <c r="AE10" s="57" t="str">
        <f t="shared" si="20"/>
        <v>#REF!</v>
      </c>
      <c r="AF10" s="57" t="str">
        <f t="shared" si="20"/>
        <v>#REF!</v>
      </c>
      <c r="AG10" s="57" t="str">
        <f t="shared" si="20"/>
        <v>#REF!</v>
      </c>
      <c r="AH10" s="57" t="str">
        <f>LEFT(北段!#REF!,4)</f>
        <v>#ERROR!</v>
      </c>
      <c r="AI10" s="57" t="str">
        <f>LEFT(北段!#REF!,4)</f>
        <v>#ERROR!</v>
      </c>
      <c r="AJ10" s="57" t="str">
        <f>LEFT(北段!#REF!,4)</f>
        <v>#ERROR!</v>
      </c>
      <c r="AK10" s="57" t="str">
        <f>LEFT(北段!#REF!,4)</f>
        <v>#ERROR!</v>
      </c>
      <c r="AL10" s="57" t="str">
        <f>LEFT(北段!#REF!,4)</f>
        <v>#ERROR!</v>
      </c>
      <c r="AM10" s="57" t="str">
        <f>LEFT(北段!#REF!,4)</f>
        <v>#ERROR!</v>
      </c>
      <c r="AN10" s="57" t="str">
        <f>LEFT(北段!#REF!,4)</f>
        <v>#ERROR!</v>
      </c>
    </row>
    <row r="11" ht="43.5" customHeight="1">
      <c r="A11" s="182"/>
      <c r="B11" s="57" t="str">
        <f t="shared" si="4"/>
        <v>#REF!</v>
      </c>
      <c r="C11" s="61" t="str">
        <f>VLOOKUP(B11,'北段'!B:C,2,FALSE)</f>
        <v>#REF!</v>
      </c>
      <c r="D11" s="57" t="str">
        <f t="shared" ref="D11:AG11" si="21">LEFT(#REF!,4)</f>
        <v>#REF!</v>
      </c>
      <c r="E11" s="57" t="str">
        <f t="shared" si="21"/>
        <v>#REF!</v>
      </c>
      <c r="F11" s="57" t="str">
        <f t="shared" si="21"/>
        <v>#REF!</v>
      </c>
      <c r="G11" s="57" t="str">
        <f t="shared" si="21"/>
        <v>#REF!</v>
      </c>
      <c r="H11" s="57" t="str">
        <f t="shared" si="21"/>
        <v>#REF!</v>
      </c>
      <c r="I11" s="57" t="str">
        <f t="shared" si="21"/>
        <v>#REF!</v>
      </c>
      <c r="J11" s="57" t="str">
        <f t="shared" si="21"/>
        <v>#REF!</v>
      </c>
      <c r="K11" s="57" t="str">
        <f t="shared" si="21"/>
        <v>#REF!</v>
      </c>
      <c r="L11" s="57" t="str">
        <f t="shared" si="21"/>
        <v>#REF!</v>
      </c>
      <c r="M11" s="57" t="str">
        <f t="shared" si="21"/>
        <v>#REF!</v>
      </c>
      <c r="N11" s="57" t="str">
        <f t="shared" si="21"/>
        <v>#REF!</v>
      </c>
      <c r="O11" s="57" t="str">
        <f t="shared" si="21"/>
        <v>#REF!</v>
      </c>
      <c r="P11" s="57" t="str">
        <f t="shared" si="21"/>
        <v>#REF!</v>
      </c>
      <c r="Q11" s="57" t="str">
        <f t="shared" si="21"/>
        <v>#REF!</v>
      </c>
      <c r="R11" s="57" t="str">
        <f t="shared" si="21"/>
        <v>#REF!</v>
      </c>
      <c r="S11" s="57" t="str">
        <f t="shared" si="21"/>
        <v>#REF!</v>
      </c>
      <c r="T11" s="57" t="str">
        <f t="shared" si="21"/>
        <v>#REF!</v>
      </c>
      <c r="U11" s="57" t="str">
        <f t="shared" si="21"/>
        <v>#REF!</v>
      </c>
      <c r="V11" s="57" t="str">
        <f t="shared" si="21"/>
        <v>#REF!</v>
      </c>
      <c r="W11" s="57" t="str">
        <f t="shared" si="21"/>
        <v>#REF!</v>
      </c>
      <c r="X11" s="57" t="str">
        <f t="shared" si="21"/>
        <v>#REF!</v>
      </c>
      <c r="Y11" s="57" t="str">
        <f t="shared" si="21"/>
        <v>#REF!</v>
      </c>
      <c r="Z11" s="57" t="str">
        <f t="shared" si="21"/>
        <v>#REF!</v>
      </c>
      <c r="AA11" s="57" t="str">
        <f t="shared" si="21"/>
        <v>#REF!</v>
      </c>
      <c r="AB11" s="57" t="str">
        <f t="shared" si="21"/>
        <v>#REF!</v>
      </c>
      <c r="AC11" s="57" t="str">
        <f t="shared" si="21"/>
        <v>#REF!</v>
      </c>
      <c r="AD11" s="57" t="str">
        <f t="shared" si="21"/>
        <v>#REF!</v>
      </c>
      <c r="AE11" s="57" t="str">
        <f t="shared" si="21"/>
        <v>#REF!</v>
      </c>
      <c r="AF11" s="57" t="str">
        <f t="shared" si="21"/>
        <v>#REF!</v>
      </c>
      <c r="AG11" s="57" t="str">
        <f t="shared" si="21"/>
        <v>#REF!</v>
      </c>
      <c r="AH11" s="57" t="str">
        <f>LEFT(北段!#REF!,4)</f>
        <v>#ERROR!</v>
      </c>
      <c r="AI11" s="57" t="str">
        <f>LEFT(北段!#REF!,4)</f>
        <v>#ERROR!</v>
      </c>
      <c r="AJ11" s="57" t="str">
        <f>LEFT(北段!#REF!,4)</f>
        <v>#ERROR!</v>
      </c>
      <c r="AK11" s="57" t="str">
        <f>LEFT(北段!#REF!,4)</f>
        <v>#ERROR!</v>
      </c>
      <c r="AL11" s="57" t="str">
        <f>LEFT(北段!#REF!,4)</f>
        <v>#ERROR!</v>
      </c>
      <c r="AM11" s="57" t="str">
        <f>LEFT(北段!#REF!,4)</f>
        <v>#ERROR!</v>
      </c>
      <c r="AN11" s="57" t="str">
        <f>LEFT(北段!#REF!,4)</f>
        <v>#ERROR!</v>
      </c>
    </row>
    <row r="12" ht="43.5" customHeight="1">
      <c r="A12" s="183"/>
      <c r="B12" s="169" t="str">
        <f t="shared" si="4"/>
        <v>#REF!</v>
      </c>
      <c r="C12" s="116" t="str">
        <f>VLOOKUP(B12,'北段'!B:C,2,FALSE)</f>
        <v>#REF!</v>
      </c>
      <c r="D12" s="57" t="str">
        <f t="shared" ref="D12:AG12" si="22">LEFT(#REF!,4)</f>
        <v>#REF!</v>
      </c>
      <c r="E12" s="57" t="str">
        <f t="shared" si="22"/>
        <v>#REF!</v>
      </c>
      <c r="F12" s="57" t="str">
        <f t="shared" si="22"/>
        <v>#REF!</v>
      </c>
      <c r="G12" s="57" t="str">
        <f t="shared" si="22"/>
        <v>#REF!</v>
      </c>
      <c r="H12" s="57" t="str">
        <f t="shared" si="22"/>
        <v>#REF!</v>
      </c>
      <c r="I12" s="57" t="str">
        <f t="shared" si="22"/>
        <v>#REF!</v>
      </c>
      <c r="J12" s="57" t="str">
        <f t="shared" si="22"/>
        <v>#REF!</v>
      </c>
      <c r="K12" s="57" t="str">
        <f t="shared" si="22"/>
        <v>#REF!</v>
      </c>
      <c r="L12" s="57" t="str">
        <f t="shared" si="22"/>
        <v>#REF!</v>
      </c>
      <c r="M12" s="57" t="str">
        <f t="shared" si="22"/>
        <v>#REF!</v>
      </c>
      <c r="N12" s="57" t="str">
        <f t="shared" si="22"/>
        <v>#REF!</v>
      </c>
      <c r="O12" s="57" t="str">
        <f t="shared" si="22"/>
        <v>#REF!</v>
      </c>
      <c r="P12" s="57" t="str">
        <f t="shared" si="22"/>
        <v>#REF!</v>
      </c>
      <c r="Q12" s="57" t="str">
        <f t="shared" si="22"/>
        <v>#REF!</v>
      </c>
      <c r="R12" s="57" t="str">
        <f t="shared" si="22"/>
        <v>#REF!</v>
      </c>
      <c r="S12" s="57" t="str">
        <f t="shared" si="22"/>
        <v>#REF!</v>
      </c>
      <c r="T12" s="57" t="str">
        <f t="shared" si="22"/>
        <v>#REF!</v>
      </c>
      <c r="U12" s="57" t="str">
        <f t="shared" si="22"/>
        <v>#REF!</v>
      </c>
      <c r="V12" s="57" t="str">
        <f t="shared" si="22"/>
        <v>#REF!</v>
      </c>
      <c r="W12" s="57" t="str">
        <f t="shared" si="22"/>
        <v>#REF!</v>
      </c>
      <c r="X12" s="57" t="str">
        <f t="shared" si="22"/>
        <v>#REF!</v>
      </c>
      <c r="Y12" s="57" t="str">
        <f t="shared" si="22"/>
        <v>#REF!</v>
      </c>
      <c r="Z12" s="57" t="str">
        <f t="shared" si="22"/>
        <v>#REF!</v>
      </c>
      <c r="AA12" s="57" t="str">
        <f t="shared" si="22"/>
        <v>#REF!</v>
      </c>
      <c r="AB12" s="57" t="str">
        <f t="shared" si="22"/>
        <v>#REF!</v>
      </c>
      <c r="AC12" s="57" t="str">
        <f t="shared" si="22"/>
        <v>#REF!</v>
      </c>
      <c r="AD12" s="57" t="str">
        <f t="shared" si="22"/>
        <v>#REF!</v>
      </c>
      <c r="AE12" s="57" t="str">
        <f t="shared" si="22"/>
        <v>#REF!</v>
      </c>
      <c r="AF12" s="57" t="str">
        <f t="shared" si="22"/>
        <v>#REF!</v>
      </c>
      <c r="AG12" s="57" t="str">
        <f t="shared" si="22"/>
        <v>#REF!</v>
      </c>
      <c r="AH12" s="57" t="str">
        <f>LEFT(北段!#REF!,4)</f>
        <v>#ERROR!</v>
      </c>
      <c r="AI12" s="57" t="str">
        <f>LEFT(北段!#REF!,4)</f>
        <v>#ERROR!</v>
      </c>
      <c r="AJ12" s="57" t="str">
        <f>LEFT(北段!#REF!,4)</f>
        <v>#ERROR!</v>
      </c>
      <c r="AK12" s="57" t="str">
        <f>LEFT(北段!#REF!,4)</f>
        <v>#ERROR!</v>
      </c>
      <c r="AL12" s="57" t="str">
        <f>LEFT(北段!#REF!,4)</f>
        <v>#ERROR!</v>
      </c>
      <c r="AM12" s="57" t="str">
        <f>LEFT(北段!#REF!,4)</f>
        <v>#ERROR!</v>
      </c>
      <c r="AN12" s="57" t="str">
        <f>LEFT(北段!#REF!,4)</f>
        <v>#ERROR!</v>
      </c>
    </row>
    <row r="13" ht="43.5" customHeight="1">
      <c r="A13" s="184"/>
      <c r="B13" s="167" t="str">
        <f>LEFT(北段!#REF!,6)</f>
        <v>#ERROR!</v>
      </c>
      <c r="C13" s="45" t="str">
        <f>VLOOKUP(B13,'北段'!B:C,2,FALSE)</f>
        <v>#ERROR!</v>
      </c>
      <c r="D13" s="57" t="str">
        <f>LEFT(北段!#REF!,3)</f>
        <v>#ERROR!</v>
      </c>
      <c r="E13" s="57" t="str">
        <f>LEFT(北段!#REF!,3)</f>
        <v>#ERROR!</v>
      </c>
      <c r="F13" s="57" t="str">
        <f>LEFT(北段!#REF!,3)</f>
        <v>#ERROR!</v>
      </c>
      <c r="G13" s="57" t="str">
        <f>LEFT(北段!#REF!,3)</f>
        <v>#ERROR!</v>
      </c>
      <c r="H13" s="57" t="str">
        <f>LEFT(北段!#REF!,3)</f>
        <v>#ERROR!</v>
      </c>
      <c r="I13" s="57" t="str">
        <f>LEFT(北段!#REF!,3)</f>
        <v>#ERROR!</v>
      </c>
      <c r="J13" s="57" t="str">
        <f>LEFT(北段!#REF!,3)</f>
        <v>#ERROR!</v>
      </c>
      <c r="K13" s="57" t="str">
        <f>LEFT(北段!#REF!,3)</f>
        <v>#ERROR!</v>
      </c>
      <c r="L13" s="57" t="str">
        <f>LEFT(北段!#REF!,3)</f>
        <v>#ERROR!</v>
      </c>
      <c r="M13" s="57" t="str">
        <f>LEFT(北段!#REF!,3)</f>
        <v>#ERROR!</v>
      </c>
      <c r="N13" s="57" t="str">
        <f>LEFT(北段!#REF!,3)</f>
        <v>#ERROR!</v>
      </c>
      <c r="O13" s="57" t="str">
        <f>LEFT(北段!#REF!,3)</f>
        <v>#ERROR!</v>
      </c>
      <c r="P13" s="57" t="str">
        <f>LEFT(北段!#REF!,3)</f>
        <v>#ERROR!</v>
      </c>
      <c r="Q13" s="57" t="str">
        <f>LEFT(北段!#REF!,3)</f>
        <v>#ERROR!</v>
      </c>
      <c r="R13" s="57" t="str">
        <f>LEFT(北段!#REF!,3)</f>
        <v>#ERROR!</v>
      </c>
      <c r="S13" s="57" t="str">
        <f>LEFT(北段!#REF!,3)</f>
        <v>#ERROR!</v>
      </c>
      <c r="T13" s="57" t="str">
        <f>LEFT(北段!#REF!,3)</f>
        <v>#ERROR!</v>
      </c>
      <c r="U13" s="57" t="str">
        <f>LEFT(北段!#REF!,3)</f>
        <v>#ERROR!</v>
      </c>
      <c r="V13" s="57" t="str">
        <f>LEFT(北段!#REF!,3)</f>
        <v>#ERROR!</v>
      </c>
      <c r="W13" s="57" t="str">
        <f>LEFT(北段!#REF!,3)</f>
        <v>#ERROR!</v>
      </c>
      <c r="X13" s="57" t="str">
        <f>LEFT(北段!#REF!,3)</f>
        <v>#ERROR!</v>
      </c>
      <c r="Y13" s="57" t="str">
        <f>LEFT(北段!#REF!,3)</f>
        <v>#ERROR!</v>
      </c>
      <c r="Z13" s="57" t="str">
        <f>LEFT(北段!#REF!,3)</f>
        <v>#ERROR!</v>
      </c>
      <c r="AA13" s="57" t="str">
        <f>LEFT(北段!#REF!,3)</f>
        <v>#ERROR!</v>
      </c>
      <c r="AB13" s="57" t="str">
        <f>LEFT(北段!#REF!,3)</f>
        <v>#ERROR!</v>
      </c>
      <c r="AC13" s="57" t="str">
        <f>LEFT(北段!#REF!,3)</f>
        <v>#ERROR!</v>
      </c>
      <c r="AD13" s="57" t="str">
        <f>LEFT(北段!#REF!,3)</f>
        <v>#ERROR!</v>
      </c>
      <c r="AE13" s="57" t="str">
        <f>LEFT(北段!#REF!,3)</f>
        <v>#ERROR!</v>
      </c>
      <c r="AF13" s="57" t="str">
        <f>LEFT(北段!#REF!,3)</f>
        <v>#ERROR!</v>
      </c>
      <c r="AG13" s="57" t="str">
        <f>LEFT(北段!#REF!,3)</f>
        <v>#ERROR!</v>
      </c>
      <c r="AH13" s="57" t="str">
        <f>LEFT(北段!#REF!,3)</f>
        <v>#ERROR!</v>
      </c>
      <c r="AI13" s="57" t="str">
        <f>LEFT(北段!#REF!,3)</f>
        <v>#ERROR!</v>
      </c>
      <c r="AJ13" s="57" t="str">
        <f>LEFT(北段!#REF!,3)</f>
        <v>#ERROR!</v>
      </c>
      <c r="AK13" s="57" t="str">
        <f>LEFT(北段!#REF!,3)</f>
        <v>#ERROR!</v>
      </c>
      <c r="AL13" s="57" t="str">
        <f>LEFT(北段!#REF!,3)</f>
        <v>#ERROR!</v>
      </c>
      <c r="AM13" s="57" t="str">
        <f>LEFT(北段!#REF!,3)</f>
        <v>#ERROR!</v>
      </c>
      <c r="AN13" s="57" t="str">
        <f>LEFT(北段!#REF!,3)</f>
        <v>#ERROR!</v>
      </c>
    </row>
    <row r="14" ht="43.5" customHeight="1">
      <c r="A14" s="185"/>
      <c r="B14" s="57" t="str">
        <f>LEFT('北段'!B4,6)</f>
        <v>T00509</v>
      </c>
      <c r="C14" s="61" t="str">
        <f>VLOOKUP(B14,'北段'!B:C,2,FALSE)</f>
        <v>郭秋儀</v>
      </c>
      <c r="D14" s="57" t="str">
        <f>LEFT('北段'!I4,3)</f>
        <v>01午</v>
      </c>
      <c r="E14" s="57" t="str">
        <f>LEFT('北段'!J4,3)</f>
        <v>01午</v>
      </c>
      <c r="F14" s="57" t="str">
        <f>LEFT('北段'!K4,3)</f>
        <v>R</v>
      </c>
      <c r="G14" s="57" t="str">
        <f>LEFT('北段'!L4,4)</f>
        <v>01早m</v>
      </c>
      <c r="H14" s="57" t="str">
        <f>LEFT('北段'!M4,3)</f>
        <v>r'</v>
      </c>
      <c r="I14" s="57" t="str">
        <f>LEFT('北段'!N4,3)</f>
        <v>01早</v>
      </c>
      <c r="J14" s="57" t="str">
        <f>LEFT('北段'!O4,3)</f>
        <v>01早</v>
      </c>
      <c r="K14" s="57" t="str">
        <f>LEFT('北段'!P4,3)</f>
        <v>01早</v>
      </c>
      <c r="L14" s="57" t="str">
        <f>LEFT('北段'!Q4,3)</f>
        <v>r'</v>
      </c>
      <c r="M14" s="57" t="str">
        <f>LEFT('北段'!R4,3)</f>
        <v>01夜</v>
      </c>
      <c r="N14" s="57" t="str">
        <f>LEFT('北段'!S4,3)</f>
        <v>01夜</v>
      </c>
      <c r="O14" s="57" t="str">
        <f>LEFT('北段'!T4,3)</f>
        <v>R</v>
      </c>
      <c r="P14" s="57" t="str">
        <f>LEFT('北段'!U4,3)</f>
        <v>L</v>
      </c>
      <c r="Q14" s="57" t="str">
        <f>LEFT('北段'!V4,3)</f>
        <v>L</v>
      </c>
      <c r="R14" s="57" t="str">
        <f>LEFT('北段'!W4,3)</f>
        <v>01早</v>
      </c>
      <c r="S14" s="57" t="str">
        <f>LEFT('北段'!X4,3)</f>
        <v>01早</v>
      </c>
      <c r="T14" s="57" t="str">
        <f>LEFT('北段'!Y4,3)</f>
        <v>01早</v>
      </c>
      <c r="U14" s="57" t="str">
        <f>LEFT('北段'!Z4,3)</f>
        <v>01早</v>
      </c>
      <c r="V14" s="57" t="str">
        <f>LEFT('北段'!AA4,3)</f>
        <v>R</v>
      </c>
      <c r="W14" s="57" t="str">
        <f>LEFT('北段'!AB4,3)</f>
        <v>01中</v>
      </c>
      <c r="X14" s="57" t="str">
        <f>LEFT('北段'!AC4,3)</f>
        <v>01夜</v>
      </c>
      <c r="Y14" s="57" t="str">
        <f>LEFT('北段'!AD4,3)</f>
        <v>01夜</v>
      </c>
      <c r="Z14" s="57" t="str">
        <f>LEFT('北段'!AE4,3)</f>
        <v>r'</v>
      </c>
      <c r="AA14" s="57" t="str">
        <f>LEFT('北段'!AF4,3)</f>
        <v>r'</v>
      </c>
      <c r="AB14" s="57" t="str">
        <f>LEFT('北段'!AG4,3)</f>
        <v>01早</v>
      </c>
      <c r="AC14" s="57" t="str">
        <f>LEFT('北段'!AH4,3)</f>
        <v>01早</v>
      </c>
      <c r="AD14" s="57" t="str">
        <f>LEFT('北段'!AI4,3)</f>
        <v>01早</v>
      </c>
      <c r="AE14" s="57" t="str">
        <f>LEFT('北段'!AJ4,4)</f>
        <v>R</v>
      </c>
      <c r="AF14" s="57" t="str">
        <f>LEFT('北段'!AK4,3)</f>
        <v>01早</v>
      </c>
      <c r="AG14" s="57" t="str">
        <f>LEFT('北段'!AL4,3)</f>
        <v>01早</v>
      </c>
      <c r="AH14" s="57" t="str">
        <f>LEFT(北段!#REF!,3)</f>
        <v>#ERROR!</v>
      </c>
      <c r="AI14" s="57" t="str">
        <f>LEFT(北段!#REF!,3)</f>
        <v>#ERROR!</v>
      </c>
      <c r="AJ14" s="57" t="str">
        <f>LEFT(北段!#REF!,3)</f>
        <v>#ERROR!</v>
      </c>
      <c r="AK14" s="57" t="str">
        <f>LEFT(北段!#REF!,3)</f>
        <v>#ERROR!</v>
      </c>
      <c r="AL14" s="57" t="str">
        <f>LEFT(北段!#REF!,3)</f>
        <v>#ERROR!</v>
      </c>
      <c r="AM14" s="57" t="str">
        <f>LEFT(北段!#REF!,4)</f>
        <v>#ERROR!</v>
      </c>
      <c r="AN14" s="57" t="str">
        <f>LEFT(北段!#REF!,3)</f>
        <v>#ERROR!</v>
      </c>
    </row>
    <row r="15" ht="43.5" customHeight="1">
      <c r="A15" s="185"/>
      <c r="B15" s="57" t="str">
        <f>LEFT('北段'!B3,6)</f>
        <v>T01028</v>
      </c>
      <c r="C15" s="61" t="str">
        <f>VLOOKUP(B15,'北段'!B:C,2,FALSE)</f>
        <v>林金緗</v>
      </c>
      <c r="D15" s="57" t="str">
        <f>LEFT('北段'!I3,3)</f>
        <v>01夜</v>
      </c>
      <c r="E15" s="57" t="str">
        <f>LEFT('北段'!J3,3)</f>
        <v>01夜</v>
      </c>
      <c r="F15" s="57" t="str">
        <f>LEFT('北段'!K3,3)</f>
        <v>r'</v>
      </c>
      <c r="G15" s="57" t="str">
        <f>LEFT('北段'!L3,3)</f>
        <v>r'</v>
      </c>
      <c r="H15" s="57" t="str">
        <f>LEFT('北段'!M3,4)</f>
        <v>01午M</v>
      </c>
      <c r="I15" s="57" t="str">
        <f>LEFT('北段'!N3,3)</f>
        <v>01午</v>
      </c>
      <c r="J15" s="57" t="str">
        <f>LEFT('北段'!O3,3)</f>
        <v>R</v>
      </c>
      <c r="K15" s="57" t="str">
        <f>LEFT('北段'!P3,3)</f>
        <v>01午</v>
      </c>
      <c r="L15" s="57" t="str">
        <f>LEFT('北段'!Q3,3)</f>
        <v>01午</v>
      </c>
      <c r="M15" s="57" t="str">
        <f>LEFT('北段'!R3,3)</f>
        <v>01午</v>
      </c>
      <c r="N15" s="57" t="str">
        <f>LEFT('北段'!S3,3)</f>
        <v>R</v>
      </c>
      <c r="O15" s="57" t="str">
        <f>LEFT('北段'!T3,3)</f>
        <v>01午</v>
      </c>
      <c r="P15" s="57" t="str">
        <f>LEFT('北段'!U3,3)</f>
        <v>01午</v>
      </c>
      <c r="Q15" s="57" t="str">
        <f>LEFT('北段'!V3,4)</f>
        <v>01午m</v>
      </c>
      <c r="R15" s="57" t="str">
        <f>LEFT('北段'!W3,3)</f>
        <v>01午</v>
      </c>
      <c r="S15" s="57" t="str">
        <f>LEFT('北段'!X3,3)</f>
        <v>01午</v>
      </c>
      <c r="T15" s="57" t="str">
        <f>LEFT('北段'!Y3,3)</f>
        <v>R</v>
      </c>
      <c r="U15" s="57" t="str">
        <f>LEFT('北段'!Z3,3)</f>
        <v>01午</v>
      </c>
      <c r="V15" s="57" t="str">
        <f>LEFT('北段'!AA3,3)</f>
        <v>01午</v>
      </c>
      <c r="W15" s="57" t="str">
        <f>LEFT('北段'!AB3,3)</f>
        <v>r'</v>
      </c>
      <c r="X15" s="57" t="str">
        <f>LEFT('北段'!AC3,4)</f>
        <v>01午m</v>
      </c>
      <c r="Y15" s="57" t="str">
        <f>LEFT('北段'!AD3,3)</f>
        <v>01午</v>
      </c>
      <c r="Z15" s="57" t="str">
        <f>LEFT('北段'!AE3,3)</f>
        <v>01午</v>
      </c>
      <c r="AA15" s="57" t="str">
        <f>LEFT('北段'!AF3,3)</f>
        <v>01午</v>
      </c>
      <c r="AB15" s="57" t="str">
        <f>LEFT('北段'!AG3,3)</f>
        <v>R</v>
      </c>
      <c r="AC15" s="57" t="str">
        <f>LEFT('北段'!AH3,3)</f>
        <v>L</v>
      </c>
      <c r="AD15" s="57" t="str">
        <f>LEFT('北段'!AI3,3)</f>
        <v>L</v>
      </c>
      <c r="AE15" s="57" t="str">
        <f>LEFT('北段'!AJ3,3)</f>
        <v>r'</v>
      </c>
      <c r="AF15" s="57" t="str">
        <f>LEFT('北段'!AK3,3)</f>
        <v>日</v>
      </c>
      <c r="AG15" s="57" t="str">
        <f>LEFT('北段'!AL3,3)</f>
        <v>01午</v>
      </c>
      <c r="AH15" s="57" t="str">
        <f>LEFT(北段!#REF!,3)</f>
        <v>#ERROR!</v>
      </c>
      <c r="AI15" s="57" t="str">
        <f>LEFT(北段!#REF!,3)</f>
        <v>#ERROR!</v>
      </c>
      <c r="AJ15" s="57" t="str">
        <f>LEFT(北段!#REF!,3)</f>
        <v>#ERROR!</v>
      </c>
      <c r="AK15" s="57" t="str">
        <f>LEFT(北段!#REF!,3)</f>
        <v>#ERROR!</v>
      </c>
      <c r="AL15" s="57" t="str">
        <f>LEFT(北段!#REF!,3)</f>
        <v>#ERROR!</v>
      </c>
      <c r="AM15" s="57" t="str">
        <f>LEFT(北段!#REF!,3)</f>
        <v>#ERROR!</v>
      </c>
      <c r="AN15" s="57" t="str">
        <f>LEFT(北段!#REF!,3)</f>
        <v>#ERROR!</v>
      </c>
    </row>
    <row r="16" ht="43.5" customHeight="1">
      <c r="A16" s="185"/>
      <c r="B16" s="57" t="str">
        <f>LEFT('北段'!B5,6)</f>
        <v>T01029</v>
      </c>
      <c r="C16" s="61" t="str">
        <f>VLOOKUP(B16,'北段'!B:C,2,FALSE)</f>
        <v>林雯琳</v>
      </c>
      <c r="D16" s="57" t="str">
        <f>LEFT('北段'!I5,3)</f>
        <v>01午</v>
      </c>
      <c r="E16" s="57" t="str">
        <f>LEFT('北段'!J5,3)</f>
        <v>01午</v>
      </c>
      <c r="F16" s="57" t="str">
        <f>LEFT('北段'!K5,3)</f>
        <v>R</v>
      </c>
      <c r="G16" s="57" t="str">
        <f>LEFT('北段'!L5,3)</f>
        <v>01午</v>
      </c>
      <c r="H16" s="57" t="str">
        <f>LEFT('北段'!M5,3)</f>
        <v>01午</v>
      </c>
      <c r="I16" s="57" t="str">
        <f>LEFT('北段'!N5,3)</f>
        <v>01午</v>
      </c>
      <c r="J16" s="57" t="str">
        <f>LEFT('北段'!O5,3)</f>
        <v>r'</v>
      </c>
      <c r="K16" s="57" t="str">
        <f>LEFT('北段'!P5,3)</f>
        <v>r'</v>
      </c>
      <c r="L16" s="57" t="str">
        <f>LEFT('北段'!Q5,3)</f>
        <v>01午</v>
      </c>
      <c r="M16" s="57" t="str">
        <f>LEFT('北段'!R5,3)</f>
        <v>01午</v>
      </c>
      <c r="N16" s="57" t="str">
        <f>LEFT('北段'!S5,3)</f>
        <v>01午</v>
      </c>
      <c r="O16" s="57" t="str">
        <f>LEFT('北段'!T5,3)</f>
        <v>R</v>
      </c>
      <c r="P16" s="57" t="str">
        <f>LEFT('北段'!U5,3)</f>
        <v>L</v>
      </c>
      <c r="Q16" s="57" t="str">
        <f>LEFT('北段'!V5,4)</f>
        <v>L</v>
      </c>
      <c r="R16" s="57" t="str">
        <f>LEFT('北段'!W5,3)</f>
        <v>01夜</v>
      </c>
      <c r="S16" s="57" t="str">
        <f>LEFT('北段'!X5,3)</f>
        <v>01夜</v>
      </c>
      <c r="T16" s="57" t="str">
        <f>LEFT('北段'!Y5,3)</f>
        <v>R</v>
      </c>
      <c r="U16" s="57" t="str">
        <f>LEFT('北段'!Z5,3)</f>
        <v>r'</v>
      </c>
      <c r="V16" s="57" t="str">
        <f>LEFT('北段'!AA5,3)</f>
        <v>01午</v>
      </c>
      <c r="W16" s="57" t="str">
        <f>LEFT('北段'!AB5,3)</f>
        <v>01午</v>
      </c>
      <c r="X16" s="57" t="str">
        <f>LEFT('北段'!AC5,3)</f>
        <v>01午</v>
      </c>
      <c r="Y16" s="57" t="str">
        <f>LEFT('北段'!AD5,3)</f>
        <v>01中</v>
      </c>
      <c r="Z16" s="57" t="str">
        <f>LEFT('北段'!AE5,3)</f>
        <v>L</v>
      </c>
      <c r="AA16" s="57" t="str">
        <f>LEFT('北段'!AF5,3)</f>
        <v>L</v>
      </c>
      <c r="AB16" s="57" t="str">
        <f>LEFT('北段'!AG5,3)</f>
        <v>R</v>
      </c>
      <c r="AC16" s="57" t="str">
        <f>LEFT('北段'!AH5,3)</f>
        <v>日</v>
      </c>
      <c r="AD16" s="57" t="str">
        <f>LEFT('北段'!AI5,3)</f>
        <v>01午</v>
      </c>
      <c r="AE16" s="57" t="str">
        <f>LEFT('北段'!AJ5,3)</f>
        <v>r'</v>
      </c>
      <c r="AF16" s="57" t="str">
        <f>LEFT('北段'!AK5,3)</f>
        <v>01夜</v>
      </c>
      <c r="AG16" s="57" t="str">
        <f>LEFT('北段'!AL5,3)</f>
        <v>01夜</v>
      </c>
      <c r="AH16" s="57" t="str">
        <f>LEFT(北段!#REF!,3)</f>
        <v>#ERROR!</v>
      </c>
      <c r="AI16" s="57" t="str">
        <f>LEFT(北段!#REF!,3)</f>
        <v>#ERROR!</v>
      </c>
      <c r="AJ16" s="57" t="str">
        <f>LEFT(北段!#REF!,3)</f>
        <v>#ERROR!</v>
      </c>
      <c r="AK16" s="57" t="str">
        <f>LEFT(北段!#REF!,3)</f>
        <v>#ERROR!</v>
      </c>
      <c r="AL16" s="57" t="str">
        <f>LEFT(北段!#REF!,3)</f>
        <v>#ERROR!</v>
      </c>
      <c r="AM16" s="57" t="str">
        <f>LEFT(北段!#REF!,3)</f>
        <v>#ERROR!</v>
      </c>
      <c r="AN16" s="57" t="str">
        <f>LEFT(北段!#REF!,3)</f>
        <v>#ERROR!</v>
      </c>
    </row>
    <row r="17" ht="43.5" customHeight="1">
      <c r="A17" s="185"/>
      <c r="B17" s="57" t="str">
        <f>LEFT('北段'!B6,6)</f>
        <v>T01734</v>
      </c>
      <c r="C17" s="61" t="str">
        <f>VLOOKUP(B17,'北段'!B:C,2,FALSE)</f>
        <v>黃冠銘</v>
      </c>
      <c r="D17" s="57" t="str">
        <f>LEFT('北段'!I6,3)</f>
        <v>01早</v>
      </c>
      <c r="E17" s="57" t="str">
        <f>LEFT('北段'!J6,3)</f>
        <v>01早</v>
      </c>
      <c r="F17" s="57" t="str">
        <f>LEFT('北段'!K6,3)</f>
        <v>r'</v>
      </c>
      <c r="G17" s="57" t="str">
        <f>LEFT('北段'!L6,3)</f>
        <v>R</v>
      </c>
      <c r="H17" s="57" t="str">
        <f>LEFT('北段'!M6,3)</f>
        <v>L</v>
      </c>
      <c r="I17" s="57" t="str">
        <f>LEFT('北段'!N6,3)</f>
        <v>L</v>
      </c>
      <c r="J17" s="57" t="str">
        <f>LEFT('北段'!O6,3)</f>
        <v>L</v>
      </c>
      <c r="K17" s="57" t="str">
        <f>LEFT('北段'!P6,3)</f>
        <v>01早</v>
      </c>
      <c r="L17" s="57" t="str">
        <f>LEFT('北段'!Q6,3)</f>
        <v>01早</v>
      </c>
      <c r="M17" s="57" t="str">
        <f>LEFT('北段'!R6,3)</f>
        <v>01早</v>
      </c>
      <c r="N17" s="57" t="str">
        <f>LEFT('北段'!S6,3)</f>
        <v>R</v>
      </c>
      <c r="O17" s="57" t="str">
        <f>LEFT('北段'!T6,3)</f>
        <v>01早</v>
      </c>
      <c r="P17" s="57" t="str">
        <f>LEFT('北段'!U6,3)</f>
        <v>01早</v>
      </c>
      <c r="Q17" s="57" t="str">
        <f>LEFT('北段'!V6,3)</f>
        <v>01夜</v>
      </c>
      <c r="R17" s="57" t="str">
        <f>LEFT('北段'!W6,3)</f>
        <v>01夜</v>
      </c>
      <c r="S17" s="57" t="str">
        <f>LEFT('北段'!X6,3)</f>
        <v>r'</v>
      </c>
      <c r="T17" s="57" t="str">
        <f>LEFT('北段'!Y6,3)</f>
        <v>R</v>
      </c>
      <c r="U17" s="57" t="str">
        <f>LEFT('北段'!Z6,3)</f>
        <v>01早</v>
      </c>
      <c r="V17" s="57" t="str">
        <f>LEFT('北段'!AA6,3)</f>
        <v>01早</v>
      </c>
      <c r="W17" s="57" t="str">
        <f>LEFT('北段'!AB6,3)</f>
        <v>01夜</v>
      </c>
      <c r="X17" s="57" t="str">
        <f>LEFT('北段'!AC6,3)</f>
        <v>01夜</v>
      </c>
      <c r="Y17" s="57" t="str">
        <f>LEFT('北段'!AD6,3)</f>
        <v>r'</v>
      </c>
      <c r="Z17" s="57" t="str">
        <f>LEFT('北段'!AE6,3)</f>
        <v>r'</v>
      </c>
      <c r="AA17" s="57" t="str">
        <f>LEFT('北段'!AF6,3)</f>
        <v>01早</v>
      </c>
      <c r="AB17" s="57" t="str">
        <f>LEFT('北段'!AG6,3)</f>
        <v>01早</v>
      </c>
      <c r="AC17" s="57" t="str">
        <f>LEFT('北段'!AH6,3)</f>
        <v>日</v>
      </c>
      <c r="AD17" s="57" t="str">
        <f>LEFT('北段'!AI6,3)</f>
        <v>R</v>
      </c>
      <c r="AE17" s="57" t="str">
        <f>LEFT('北段'!AJ6,3)</f>
        <v>01早</v>
      </c>
      <c r="AF17" s="57" t="str">
        <f>LEFT('北段'!AK6,3)</f>
        <v>01早</v>
      </c>
      <c r="AG17" s="57" t="str">
        <f>LEFT('北段'!AL6,3)</f>
        <v>01早</v>
      </c>
      <c r="AH17" s="57" t="str">
        <f>LEFT(北段!#REF!,3)</f>
        <v>#ERROR!</v>
      </c>
      <c r="AI17" s="57" t="str">
        <f>LEFT(北段!#REF!,3)</f>
        <v>#ERROR!</v>
      </c>
      <c r="AJ17" s="57" t="str">
        <f>LEFT(北段!#REF!,3)</f>
        <v>#ERROR!</v>
      </c>
      <c r="AK17" s="57" t="str">
        <f>LEFT(北段!#REF!,3)</f>
        <v>#ERROR!</v>
      </c>
      <c r="AL17" s="57" t="str">
        <f>LEFT(北段!#REF!,3)</f>
        <v>#ERROR!</v>
      </c>
      <c r="AM17" s="57" t="str">
        <f>LEFT(北段!#REF!,3)</f>
        <v>#ERROR!</v>
      </c>
      <c r="AN17" s="57" t="str">
        <f>LEFT(北段!#REF!,3)</f>
        <v>#ERROR!</v>
      </c>
    </row>
    <row r="18" ht="43.5" customHeight="1">
      <c r="A18" s="185"/>
      <c r="B18" s="57" t="str">
        <f>LEFT('北段'!B7,6)</f>
        <v>T02287</v>
      </c>
      <c r="C18" s="61" t="str">
        <f>VLOOKUP(B18,'北段'!B:C,2,FALSE)</f>
        <v>林江玉</v>
      </c>
      <c r="D18" s="57" t="str">
        <f>LEFT('北段'!I7,3)</f>
        <v>01早</v>
      </c>
      <c r="E18" s="57" t="str">
        <f>LEFT('北段'!J7,3)</f>
        <v>r'</v>
      </c>
      <c r="F18" s="57" t="str">
        <f>LEFT('北段'!K7,3)</f>
        <v>R</v>
      </c>
      <c r="G18" s="57" t="str">
        <f>LEFT('北段'!L7,3)</f>
        <v>L</v>
      </c>
      <c r="H18" s="57" t="str">
        <f>LEFT('北段'!M7,3)</f>
        <v>L</v>
      </c>
      <c r="I18" s="57" t="str">
        <f>LEFT('北段'!N7,3)</f>
        <v>L</v>
      </c>
      <c r="J18" s="57" t="str">
        <f>LEFT('北段'!O7,3)</f>
        <v>L</v>
      </c>
      <c r="K18" s="57" t="str">
        <f>LEFT('北段'!P7,3)</f>
        <v>L</v>
      </c>
      <c r="L18" s="57" t="str">
        <f>LEFT('北段'!Q7,3)</f>
        <v>r'</v>
      </c>
      <c r="M18" s="57" t="str">
        <f>LEFT('北段'!R7,3)</f>
        <v>R</v>
      </c>
      <c r="N18" s="57" t="str">
        <f>LEFT('北段'!S7,3)</f>
        <v>L</v>
      </c>
      <c r="O18" s="57" t="str">
        <f>LEFT('北段'!T7,3)</f>
        <v>L</v>
      </c>
      <c r="P18" s="57" t="str">
        <f>LEFT('北段'!U7,3)</f>
        <v>L</v>
      </c>
      <c r="Q18" s="57" t="str">
        <f>LEFT('北段'!V7,3)</f>
        <v>L</v>
      </c>
      <c r="R18" s="57" t="str">
        <f>LEFT('北段'!W7,3)</f>
        <v>L</v>
      </c>
      <c r="S18" s="57" t="str">
        <f>LEFT('北段'!X7,3)</f>
        <v>r'</v>
      </c>
      <c r="T18" s="57" t="str">
        <f>LEFT('北段'!Y7,3)</f>
        <v>R</v>
      </c>
      <c r="U18" s="57" t="str">
        <f>LEFT('北段'!Z7,3)</f>
        <v>L</v>
      </c>
      <c r="V18" s="57" t="str">
        <f>LEFT('北段'!AA7,3)</f>
        <v>日</v>
      </c>
      <c r="W18" s="57" t="str">
        <f>LEFT('北段'!AB7,3)</f>
        <v>01早</v>
      </c>
      <c r="X18" s="57" t="str">
        <f>LEFT('北段'!AC7,3)</f>
        <v>01中</v>
      </c>
      <c r="Y18" s="57" t="str">
        <f>LEFT('北段'!AD7,3)</f>
        <v>r'</v>
      </c>
      <c r="Z18" s="57" t="str">
        <f>LEFT('北段'!AE7,3)</f>
        <v>01早</v>
      </c>
      <c r="AA18" s="57" t="str">
        <f>LEFT('北段'!AF7,3)</f>
        <v>01早</v>
      </c>
      <c r="AB18" s="57" t="str">
        <f>LEFT('北段'!AG7,3)</f>
        <v>01夜</v>
      </c>
      <c r="AC18" s="57" t="str">
        <f>LEFT('北段'!AH7,3)</f>
        <v>01夜</v>
      </c>
      <c r="AD18" s="57" t="str">
        <f>LEFT('北段'!AI7,3)</f>
        <v>01夜</v>
      </c>
      <c r="AE18" s="57" t="str">
        <f>LEFT('北段'!AJ7,3)</f>
        <v>r'</v>
      </c>
      <c r="AF18" s="57" t="str">
        <f>LEFT('北段'!AK7,3)</f>
        <v>R</v>
      </c>
      <c r="AG18" s="57" t="str">
        <f>LEFT('北段'!AL7,3)</f>
        <v>01夜</v>
      </c>
      <c r="AH18" s="57" t="str">
        <f>LEFT(北段!#REF!,3)</f>
        <v>#ERROR!</v>
      </c>
      <c r="AI18" s="57" t="str">
        <f>LEFT(北段!#REF!,3)</f>
        <v>#ERROR!</v>
      </c>
      <c r="AJ18" s="57" t="str">
        <f>LEFT(北段!#REF!,3)</f>
        <v>#ERROR!</v>
      </c>
      <c r="AK18" s="57" t="str">
        <f>LEFT(北段!#REF!,3)</f>
        <v>#ERROR!</v>
      </c>
      <c r="AL18" s="57" t="str">
        <f>LEFT(北段!#REF!,3)</f>
        <v>#ERROR!</v>
      </c>
      <c r="AM18" s="57" t="str">
        <f>LEFT(北段!#REF!,3)</f>
        <v>#ERROR!</v>
      </c>
      <c r="AN18" s="57" t="str">
        <f>LEFT(北段!#REF!,3)</f>
        <v>#ERROR!</v>
      </c>
    </row>
    <row r="19" ht="43.5" customHeight="1">
      <c r="A19" s="185"/>
      <c r="B19" s="57" t="str">
        <f>LEFT('北段'!B8,6)</f>
        <v>T02359</v>
      </c>
      <c r="C19" s="61" t="str">
        <f>VLOOKUP(B19,'北段'!B:C,2,FALSE)</f>
        <v>陳佳婷</v>
      </c>
      <c r="D19" s="57" t="str">
        <f>LEFT('北段'!I8,3)</f>
        <v>r'</v>
      </c>
      <c r="E19" s="57" t="str">
        <f>LEFT('北段'!J8,3)</f>
        <v>01早</v>
      </c>
      <c r="F19" s="57" t="str">
        <f>LEFT('北段'!K8,3)</f>
        <v>01早</v>
      </c>
      <c r="G19" s="57" t="str">
        <f>LEFT('北段'!L8,3)</f>
        <v>01早</v>
      </c>
      <c r="H19" s="57" t="str">
        <f>LEFT('北段'!M8,3)</f>
        <v>01早</v>
      </c>
      <c r="I19" s="57" t="str">
        <f>LEFT('北段'!N8,3)</f>
        <v>R</v>
      </c>
      <c r="J19" s="57" t="str">
        <f>LEFT('北段'!O8,3)</f>
        <v>01早</v>
      </c>
      <c r="K19" s="57" t="str">
        <f>LEFT('北段'!P8,3)</f>
        <v>r'</v>
      </c>
      <c r="L19" s="57" t="str">
        <f>LEFT('北段'!Q8,3)</f>
        <v>01早</v>
      </c>
      <c r="M19" s="57" t="str">
        <f>LEFT('北段'!R8,3)</f>
        <v>01早</v>
      </c>
      <c r="N19" s="57" t="str">
        <f>LEFT('北段'!S8,3)</f>
        <v>01早</v>
      </c>
      <c r="O19" s="57" t="str">
        <f>LEFT('北段'!T8,3)</f>
        <v>01夜</v>
      </c>
      <c r="P19" s="57" t="str">
        <f>LEFT('北段'!U8,3)</f>
        <v>01夜</v>
      </c>
      <c r="Q19" s="57" t="str">
        <f>LEFT('北段'!V8,3)</f>
        <v>R</v>
      </c>
      <c r="R19" s="57" t="str">
        <f>LEFT('北段'!W8,3)</f>
        <v>r'</v>
      </c>
      <c r="S19" s="57" t="str">
        <f>LEFT('北段'!X8,3)</f>
        <v>01早</v>
      </c>
      <c r="T19" s="57" t="str">
        <f>LEFT('北段'!Y8,3)</f>
        <v>R</v>
      </c>
      <c r="U19" s="57" t="str">
        <f>LEFT('北段'!Z8,3)</f>
        <v>r'</v>
      </c>
      <c r="V19" s="57" t="str">
        <f>LEFT('北段'!AA8,3)</f>
        <v>01早</v>
      </c>
      <c r="W19" s="57" t="str">
        <f>LEFT('北段'!AB8,3)</f>
        <v>日</v>
      </c>
      <c r="X19" s="57" t="str">
        <f>LEFT('北段'!AC8,3)</f>
        <v>01早</v>
      </c>
      <c r="Y19" s="57" t="str">
        <f>LEFT('北段'!AD8,3)</f>
        <v>01早</v>
      </c>
      <c r="Z19" s="57" t="str">
        <f>LEFT('北段'!AE8,3)</f>
        <v>01早</v>
      </c>
      <c r="AA19" s="57" t="str">
        <f>LEFT('北段'!AF8,3)</f>
        <v>R</v>
      </c>
      <c r="AB19" s="57" t="str">
        <f>LEFT('北段'!AG8,3)</f>
        <v>01早</v>
      </c>
      <c r="AC19" s="57" t="str">
        <f>LEFT('北段'!AH8,3)</f>
        <v>01早</v>
      </c>
      <c r="AD19" s="57" t="str">
        <f>LEFT('北段'!AI8,4)</f>
        <v>01早m</v>
      </c>
      <c r="AE19" s="57" t="str">
        <f>LEFT('北段'!AJ8,3)</f>
        <v>01夜</v>
      </c>
      <c r="AF19" s="57" t="str">
        <f>LEFT('北段'!AK8,3)</f>
        <v>01夜</v>
      </c>
      <c r="AG19" s="57" t="str">
        <f>LEFT('北段'!AL8,3)</f>
        <v>r'</v>
      </c>
      <c r="AH19" s="57" t="str">
        <f>LEFT(北段!#REF!,3)</f>
        <v>#ERROR!</v>
      </c>
      <c r="AI19" s="57" t="str">
        <f>LEFT(北段!#REF!,3)</f>
        <v>#ERROR!</v>
      </c>
      <c r="AJ19" s="57" t="str">
        <f>LEFT(北段!#REF!,3)</f>
        <v>#ERROR!</v>
      </c>
      <c r="AK19" s="57" t="str">
        <f>LEFT(北段!#REF!,3)</f>
        <v>#ERROR!</v>
      </c>
      <c r="AL19" s="57" t="str">
        <f>LEFT(北段!#REF!,3)</f>
        <v>#ERROR!</v>
      </c>
      <c r="AM19" s="57" t="str">
        <f>LEFT(北段!#REF!,3)</f>
        <v>#ERROR!</v>
      </c>
      <c r="AN19" s="57" t="str">
        <f>LEFT(北段!#REF!,3)</f>
        <v>#ERROR!</v>
      </c>
    </row>
    <row r="20" ht="43.5" customHeight="1">
      <c r="A20" s="185"/>
      <c r="B20" s="57" t="str">
        <f>LEFT('北段'!B9,6)</f>
        <v>T02363</v>
      </c>
      <c r="C20" s="61" t="str">
        <f>VLOOKUP(B20,'北段'!B:C,2,FALSE)</f>
        <v>林孟錡</v>
      </c>
      <c r="D20" s="57" t="str">
        <f>LEFT('北段'!I9,3)</f>
        <v>01夜</v>
      </c>
      <c r="E20" s="57" t="str">
        <f>LEFT('北段'!J9,3)</f>
        <v>01夜</v>
      </c>
      <c r="F20" s="57" t="str">
        <f>LEFT('北段'!K9,3)</f>
        <v>01夜</v>
      </c>
      <c r="G20" s="57" t="str">
        <f>LEFT('北段'!L9,3)</f>
        <v>01夜</v>
      </c>
      <c r="H20" s="57" t="str">
        <f>LEFT('北段'!M9,3)</f>
        <v>01夜</v>
      </c>
      <c r="I20" s="57" t="str">
        <f>LEFT('北段'!N9,3)</f>
        <v>R</v>
      </c>
      <c r="J20" s="57" t="str">
        <f>LEFT('北段'!O9,3)</f>
        <v>r'</v>
      </c>
      <c r="K20" s="57" t="str">
        <f>LEFT('北段'!P9,3)</f>
        <v>r'</v>
      </c>
      <c r="L20" s="57" t="str">
        <f>LEFT('北段'!Q9,3)</f>
        <v>01夜</v>
      </c>
      <c r="M20" s="57" t="str">
        <f>LEFT('北段'!R9,3)</f>
        <v>01夜</v>
      </c>
      <c r="N20" s="57" t="str">
        <f>LEFT('北段'!S9,3)</f>
        <v>01夜</v>
      </c>
      <c r="O20" s="57" t="str">
        <f>LEFT('北段'!T9,3)</f>
        <v>01夜</v>
      </c>
      <c r="P20" s="57" t="str">
        <f>LEFT('北段'!U9,3)</f>
        <v>01夜</v>
      </c>
      <c r="Q20" s="57" t="str">
        <f>LEFT('北段'!V9,3)</f>
        <v>01夜</v>
      </c>
      <c r="R20" s="57" t="str">
        <f>LEFT('北段'!W9,3)</f>
        <v>R</v>
      </c>
      <c r="S20" s="57" t="str">
        <f>LEFT('北段'!X9,3)</f>
        <v>01夜</v>
      </c>
      <c r="T20" s="57" t="str">
        <f>LEFT('北段'!Y9,3)</f>
        <v>01夜</v>
      </c>
      <c r="U20" s="57" t="str">
        <f>LEFT('北段'!Z9,3)</f>
        <v>01夜</v>
      </c>
      <c r="V20" s="57" t="str">
        <f>LEFT('北段'!AA9,3)</f>
        <v>01夜</v>
      </c>
      <c r="W20" s="57" t="str">
        <f>LEFT('北段'!AB9,3)</f>
        <v>01夜</v>
      </c>
      <c r="X20" s="57" t="str">
        <f>LEFT('北段'!AC9,3)</f>
        <v>R</v>
      </c>
      <c r="Y20" s="57" t="str">
        <f>LEFT('北段'!AD9,3)</f>
        <v>01夜</v>
      </c>
      <c r="Z20" s="57" t="str">
        <f>LEFT('北段'!AE9,3)</f>
        <v>01夜</v>
      </c>
      <c r="AA20" s="57" t="str">
        <f>LEFT('北段'!AF9,3)</f>
        <v>01夜</v>
      </c>
      <c r="AB20" s="57" t="str">
        <f>LEFT('北段'!AG9,3)</f>
        <v>R</v>
      </c>
      <c r="AC20" s="57" t="str">
        <f>LEFT('北段'!AH9,3)</f>
        <v>01夜</v>
      </c>
      <c r="AD20" s="57" t="str">
        <f>LEFT('北段'!AI9,3)</f>
        <v>01夜</v>
      </c>
      <c r="AE20" s="57" t="str">
        <f>LEFT('北段'!AJ9,3)</f>
        <v>01夜</v>
      </c>
      <c r="AF20" s="57" t="str">
        <f>LEFT('北段'!AK9,3)</f>
        <v>r'</v>
      </c>
      <c r="AG20" s="57" t="str">
        <f>LEFT('北段'!AL9,3)</f>
        <v>r'</v>
      </c>
      <c r="AH20" s="57" t="str">
        <f>LEFT(北段!#REF!,3)</f>
        <v>#ERROR!</v>
      </c>
      <c r="AI20" s="57" t="str">
        <f>LEFT(北段!#REF!,3)</f>
        <v>#ERROR!</v>
      </c>
      <c r="AJ20" s="57" t="str">
        <f>LEFT(北段!#REF!,3)</f>
        <v>#ERROR!</v>
      </c>
      <c r="AK20" s="57" t="str">
        <f>LEFT(北段!#REF!,3)</f>
        <v>#ERROR!</v>
      </c>
      <c r="AL20" s="57" t="str">
        <f>LEFT(北段!#REF!,3)</f>
        <v>#ERROR!</v>
      </c>
      <c r="AM20" s="57" t="str">
        <f>LEFT(北段!#REF!,3)</f>
        <v>#ERROR!</v>
      </c>
      <c r="AN20" s="57" t="str">
        <f>LEFT(北段!#REF!,3)</f>
        <v>#ERROR!</v>
      </c>
    </row>
    <row r="21" ht="43.5" customHeight="1">
      <c r="A21" s="185"/>
      <c r="B21" s="57" t="str">
        <f>LEFT('北段'!B10,6)</f>
        <v>T02504</v>
      </c>
      <c r="C21" s="61" t="str">
        <f>VLOOKUP(B21,'北段'!B:C,2,FALSE)</f>
        <v>潘元浩</v>
      </c>
      <c r="D21" s="57" t="str">
        <f>LEFT('北段'!I10,3)</f>
        <v>01午</v>
      </c>
      <c r="E21" s="57" t="str">
        <f>LEFT('北段'!J10,3)</f>
        <v>01午</v>
      </c>
      <c r="F21" s="57" t="str">
        <f>LEFT('北段'!K10,3)</f>
        <v>01午</v>
      </c>
      <c r="G21" s="57" t="str">
        <f>LEFT('北段'!L10,3)</f>
        <v>R</v>
      </c>
      <c r="H21" s="57" t="str">
        <f>LEFT('北段'!M10,3)</f>
        <v>01夜</v>
      </c>
      <c r="I21" s="57" t="str">
        <f>LEFT('北段'!N10,3)</f>
        <v>01夜</v>
      </c>
      <c r="J21" s="57" t="str">
        <f>LEFT('北段'!O10,3)</f>
        <v>01夜</v>
      </c>
      <c r="K21" s="57" t="str">
        <f>LEFT('北段'!P10,3)</f>
        <v>01夜</v>
      </c>
      <c r="L21" s="57" t="str">
        <f>LEFT('北段'!Q10,3)</f>
        <v>r'</v>
      </c>
      <c r="M21" s="57" t="str">
        <f>LEFT('北段'!R10,3)</f>
        <v>R</v>
      </c>
      <c r="N21" s="57" t="str">
        <f>LEFT('北段'!S10,3)</f>
        <v>01午</v>
      </c>
      <c r="O21" s="57" t="str">
        <f>LEFT('北段'!T10,3)</f>
        <v>01午</v>
      </c>
      <c r="P21" s="57" t="str">
        <f>LEFT('北段'!U10,3)</f>
        <v>r'</v>
      </c>
      <c r="Q21" s="57" t="str">
        <f>LEFT('北段'!V10,3)</f>
        <v>01午</v>
      </c>
      <c r="R21" s="57" t="str">
        <f>LEFT('北段'!W10,3)</f>
        <v>01午</v>
      </c>
      <c r="S21" s="57" t="str">
        <f>LEFT('北段'!X10,3)</f>
        <v>01午</v>
      </c>
      <c r="T21" s="57" t="str">
        <f>LEFT('北段'!Y10,3)</f>
        <v>01午</v>
      </c>
      <c r="U21" s="57" t="str">
        <f>LEFT('北段'!Z10,3)</f>
        <v>r'</v>
      </c>
      <c r="V21" s="57" t="str">
        <f>LEFT('北段'!AA10,3)</f>
        <v>日</v>
      </c>
      <c r="W21" s="57" t="str">
        <f>LEFT('北段'!AB10,3)</f>
        <v>01午</v>
      </c>
      <c r="X21" s="57" t="str">
        <f>LEFT('北段'!AC10,3)</f>
        <v>R</v>
      </c>
      <c r="Y21" s="57" t="str">
        <f>LEFT('北段'!AD10,3)</f>
        <v>L</v>
      </c>
      <c r="Z21" s="57" t="str">
        <f>LEFT('北段'!AE10,3)</f>
        <v>L</v>
      </c>
      <c r="AA21" s="57" t="str">
        <f>LEFT('北段'!AF10,3)</f>
        <v>r'</v>
      </c>
      <c r="AB21" s="57" t="str">
        <f>LEFT('北段'!AG10,3)</f>
        <v>01午</v>
      </c>
      <c r="AC21" s="57" t="str">
        <f>LEFT('北段'!AH10,3)</f>
        <v>01午</v>
      </c>
      <c r="AD21" s="57" t="str">
        <f>LEFT('北段'!AI10,3)</f>
        <v>01中</v>
      </c>
      <c r="AE21" s="57" t="str">
        <f>LEFT('北段'!AJ10,3)</f>
        <v>01午</v>
      </c>
      <c r="AF21" s="57" t="str">
        <f>LEFT('北段'!AK10,3)</f>
        <v>01午</v>
      </c>
      <c r="AG21" s="57" t="str">
        <f>LEFT('北段'!AL10,3)</f>
        <v>R</v>
      </c>
      <c r="AH21" s="57" t="str">
        <f>LEFT(北段!#REF!,4)</f>
        <v>#ERROR!</v>
      </c>
      <c r="AI21" s="57" t="str">
        <f>LEFT(北段!#REF!,3)</f>
        <v>#ERROR!</v>
      </c>
      <c r="AJ21" s="57" t="str">
        <f>LEFT(北段!#REF!,3)</f>
        <v>#ERROR!</v>
      </c>
      <c r="AK21" s="57" t="str">
        <f>LEFT(北段!#REF!,3)</f>
        <v>#ERROR!</v>
      </c>
      <c r="AL21" s="57" t="str">
        <f>LEFT(北段!#REF!,3)</f>
        <v>#ERROR!</v>
      </c>
      <c r="AM21" s="57" t="str">
        <f>LEFT(北段!#REF!,3)</f>
        <v>#ERROR!</v>
      </c>
      <c r="AN21" s="57" t="str">
        <f>LEFT(北段!#REF!,3)</f>
        <v>#ERROR!</v>
      </c>
    </row>
    <row r="22" ht="43.5" customHeight="1">
      <c r="A22" s="185"/>
      <c r="B22" s="57" t="str">
        <f>LEFT('北段'!B11,6)</f>
        <v>T02505</v>
      </c>
      <c r="C22" s="61" t="str">
        <f>VLOOKUP(B22,'北段'!B:C,2,FALSE)</f>
        <v>李慧盺</v>
      </c>
      <c r="D22" s="57" t="str">
        <f>LEFT('北段'!I11,3)</f>
        <v>P</v>
      </c>
      <c r="E22" s="57" t="str">
        <f>LEFT('北段'!J11,3)</f>
        <v>r'</v>
      </c>
      <c r="F22" s="57" t="str">
        <f>LEFT('北段'!K11,3)</f>
        <v>01午</v>
      </c>
      <c r="G22" s="57" t="str">
        <f>LEFT('北段'!L11,3)</f>
        <v>01午</v>
      </c>
      <c r="H22" s="57" t="str">
        <f>LEFT('北段'!M11,3)</f>
        <v>R</v>
      </c>
      <c r="I22" s="57" t="str">
        <f>LEFT('北段'!N11,3)</f>
        <v>01夜</v>
      </c>
      <c r="J22" s="57" t="str">
        <f>LEFT('北段'!O11,3)</f>
        <v>01夜</v>
      </c>
      <c r="K22" s="57" t="str">
        <f>LEFT('北段'!P11,3)</f>
        <v>01夜</v>
      </c>
      <c r="L22" s="57" t="str">
        <f>LEFT('北段'!Q11,3)</f>
        <v>01夜</v>
      </c>
      <c r="M22" s="57" t="str">
        <f>LEFT('北段'!R11,3)</f>
        <v>r'</v>
      </c>
      <c r="N22" s="57" t="str">
        <f>LEFT('北段'!S11,3)</f>
        <v>r'</v>
      </c>
      <c r="O22" s="57" t="str">
        <f>LEFT('北段'!T11,3)</f>
        <v>01中</v>
      </c>
      <c r="P22" s="57" t="str">
        <f>LEFT('北段'!U11,3)</f>
        <v>01午</v>
      </c>
      <c r="Q22" s="57" t="str">
        <f>LEFT('北段'!V11,3)</f>
        <v>01午</v>
      </c>
      <c r="R22" s="57" t="str">
        <f>LEFT('北段'!W11,3)</f>
        <v>R</v>
      </c>
      <c r="S22" s="57" t="str">
        <f>LEFT('北段'!X11,3)</f>
        <v>01午</v>
      </c>
      <c r="T22" s="57" t="str">
        <f>LEFT('北段'!Y11,3)</f>
        <v>01午</v>
      </c>
      <c r="U22" s="57" t="str">
        <f>LEFT('北段'!Z11,3)</f>
        <v>01午</v>
      </c>
      <c r="V22" s="57" t="str">
        <f>LEFT('北段'!AA11,3)</f>
        <v>r'</v>
      </c>
      <c r="W22" s="57" t="str">
        <f>LEFT('北段'!AB11,3)</f>
        <v>日</v>
      </c>
      <c r="X22" s="57" t="str">
        <f>LEFT('北段'!AC11,3)</f>
        <v>R</v>
      </c>
      <c r="Y22" s="57" t="str">
        <f>LEFT('北段'!AD11,3)</f>
        <v>L</v>
      </c>
      <c r="Z22" s="57" t="str">
        <f>LEFT('北段'!AE11,3)</f>
        <v>L</v>
      </c>
      <c r="AA22" s="57" t="str">
        <f>LEFT('北段'!AF11,3)</f>
        <v>r'</v>
      </c>
      <c r="AB22" s="57" t="str">
        <f>LEFT('北段'!AG11,3)</f>
        <v>01午</v>
      </c>
      <c r="AC22" s="57" t="str">
        <f>LEFT('北段'!AH11,3)</f>
        <v>01午</v>
      </c>
      <c r="AD22" s="57" t="str">
        <f>LEFT('北段'!AI11,3)</f>
        <v>01午</v>
      </c>
      <c r="AE22" s="57" t="str">
        <f>LEFT('北段'!AJ11,3)</f>
        <v>01午</v>
      </c>
      <c r="AF22" s="57" t="str">
        <f>LEFT('北段'!AK11,4)</f>
        <v>01午B</v>
      </c>
      <c r="AG22" s="57" t="str">
        <f>LEFT('北段'!AL11,3)</f>
        <v>R</v>
      </c>
      <c r="AH22" s="57" t="str">
        <f>LEFT(北段!#REF!,3)</f>
        <v>#ERROR!</v>
      </c>
      <c r="AI22" s="57" t="str">
        <f>LEFT(北段!#REF!,3)</f>
        <v>#ERROR!</v>
      </c>
      <c r="AJ22" s="57" t="str">
        <f>LEFT(北段!#REF!,3)</f>
        <v>#ERROR!</v>
      </c>
      <c r="AK22" s="57" t="str">
        <f>LEFT(北段!#REF!,3)</f>
        <v>#ERROR!</v>
      </c>
      <c r="AL22" s="57" t="str">
        <f>LEFT(北段!#REF!,3)</f>
        <v>#ERROR!</v>
      </c>
      <c r="AM22" s="57" t="str">
        <f>LEFT(北段!#REF!,3)</f>
        <v>#ERROR!</v>
      </c>
      <c r="AN22" s="57" t="str">
        <f>LEFT(北段!#REF!,3)</f>
        <v>#ERROR!</v>
      </c>
    </row>
    <row r="23" ht="43.5" customHeight="1">
      <c r="A23" s="185"/>
      <c r="B23" s="57" t="str">
        <f>LEFT('北段'!B14,6)</f>
        <v>T00557</v>
      </c>
      <c r="C23" s="61" t="str">
        <f>VLOOKUP(B23,'北段'!B:C,2,FALSE)</f>
        <v>陳志明</v>
      </c>
      <c r="D23" s="57" t="str">
        <f>LEFT('北段'!I14,3)</f>
        <v>01早</v>
      </c>
      <c r="E23" s="57" t="str">
        <f>LEFT('北段'!J14,3)</f>
        <v>r'</v>
      </c>
      <c r="F23" s="57" t="str">
        <f>LEFT('北段'!K14,3)</f>
        <v>01早</v>
      </c>
      <c r="G23" s="57" t="str">
        <f>LEFT('北段'!L14,4)</f>
        <v>01早B</v>
      </c>
      <c r="H23" s="57" t="str">
        <f>LEFT('北段'!M14,3)</f>
        <v>01早</v>
      </c>
      <c r="I23" s="57" t="str">
        <f>LEFT('北段'!N14,3)</f>
        <v>01早</v>
      </c>
      <c r="J23" s="57" t="str">
        <f>LEFT('北段'!O14,3)</f>
        <v>01早</v>
      </c>
      <c r="K23" s="57" t="str">
        <f>LEFT('北段'!P14,3)</f>
        <v>L</v>
      </c>
      <c r="L23" s="57" t="str">
        <f>LEFT('北段'!Q14,3)</f>
        <v>R</v>
      </c>
      <c r="M23" s="57" t="str">
        <f>LEFT('北段'!R14,3)</f>
        <v>R</v>
      </c>
      <c r="N23" s="57" t="str">
        <f>LEFT('北段'!S14,3)</f>
        <v>01早</v>
      </c>
      <c r="O23" s="57" t="str">
        <f>LEFT('北段'!T14,3)</f>
        <v>01午</v>
      </c>
      <c r="P23" s="57" t="str">
        <f>LEFT('北段'!U14,3)</f>
        <v>01午</v>
      </c>
      <c r="Q23" s="57" t="str">
        <f>LEFT('北段'!V14,3)</f>
        <v>01中</v>
      </c>
      <c r="R23" s="57" t="str">
        <f>LEFT('北段'!W14,3)</f>
        <v>r'</v>
      </c>
      <c r="S23" s="57" t="str">
        <f>LEFT('北段'!X14,3)</f>
        <v>r'</v>
      </c>
      <c r="T23" s="57" t="str">
        <f>LEFT('北段'!Y14,3)</f>
        <v>01午</v>
      </c>
      <c r="U23" s="57" t="str">
        <f>LEFT('北段'!Z14,3)</f>
        <v>R</v>
      </c>
      <c r="V23" s="57" t="str">
        <f>LEFT('北段'!AA14,3)</f>
        <v>01午</v>
      </c>
      <c r="W23" s="57" t="str">
        <f>LEFT('北段'!AB14,3)</f>
        <v>日</v>
      </c>
      <c r="X23" s="57" t="str">
        <f>LEFT('北段'!AC14,3)</f>
        <v>r'</v>
      </c>
      <c r="Y23" s="57" t="str">
        <f>LEFT('北段'!AD14,3)</f>
        <v>r'</v>
      </c>
      <c r="Z23" s="57" t="str">
        <f>LEFT('北段'!AE14,3)</f>
        <v>01午</v>
      </c>
      <c r="AA23" s="57" t="str">
        <f>LEFT('北段'!AF14,3)</f>
        <v>01午</v>
      </c>
      <c r="AB23" s="57" t="str">
        <f>LEFT('北段'!AG14,3)</f>
        <v>01中</v>
      </c>
      <c r="AC23" s="57" t="str">
        <f>LEFT('北段'!AH14,3)</f>
        <v>R</v>
      </c>
      <c r="AD23" s="57" t="str">
        <f>LEFT('北段'!AI14,3)</f>
        <v>01早</v>
      </c>
      <c r="AE23" s="57" t="str">
        <f>LEFT('北段'!AJ14,3)</f>
        <v>01早</v>
      </c>
      <c r="AF23" s="57" t="str">
        <f>LEFT('北段'!AK14,3)</f>
        <v>P</v>
      </c>
      <c r="AG23" s="57" t="str">
        <f>LEFT('北段'!AL14,4)</f>
        <v>01午B</v>
      </c>
      <c r="AH23" s="57" t="str">
        <f>LEFT(北段!#REF!,3)</f>
        <v>#ERROR!</v>
      </c>
      <c r="AI23" s="57" t="str">
        <f>LEFT(北段!#REF!,3)</f>
        <v>#ERROR!</v>
      </c>
      <c r="AJ23" s="57" t="str">
        <f>LEFT(北段!#REF!,3)</f>
        <v>#ERROR!</v>
      </c>
      <c r="AK23" s="57" t="str">
        <f>LEFT(北段!#REF!,3)</f>
        <v>#ERROR!</v>
      </c>
      <c r="AL23" s="57" t="str">
        <f>LEFT(北段!#REF!,3)</f>
        <v>#ERROR!</v>
      </c>
      <c r="AM23" s="57" t="str">
        <f>LEFT(北段!#REF!,3)</f>
        <v>#ERROR!</v>
      </c>
      <c r="AN23" s="57" t="str">
        <f>LEFT(北段!#REF!,3)</f>
        <v>#ERROR!</v>
      </c>
    </row>
    <row r="24" ht="43.5" customHeight="1">
      <c r="A24" s="185"/>
      <c r="B24" s="57" t="str">
        <f>LEFT('北段'!B15,6)</f>
        <v>T00929</v>
      </c>
      <c r="C24" s="61" t="str">
        <f>VLOOKUP(B24,'北段'!B:C,2,FALSE)</f>
        <v>簡婉蓁</v>
      </c>
      <c r="D24" s="57" t="str">
        <f>LEFT('北段'!I15,3)</f>
        <v>01中</v>
      </c>
      <c r="E24" s="57" t="str">
        <f>LEFT('北段'!J15,3)</f>
        <v>r'</v>
      </c>
      <c r="F24" s="57" t="str">
        <f>LEFT('北段'!K15,3)</f>
        <v>r'</v>
      </c>
      <c r="G24" s="57" t="str">
        <f>LEFT('北段'!L15,3)</f>
        <v>R</v>
      </c>
      <c r="H24" s="57" t="str">
        <f>LEFT('北段'!M15,3)</f>
        <v>P</v>
      </c>
      <c r="I24" s="57" t="str">
        <f>LEFT('北段'!N15,3)</f>
        <v>P</v>
      </c>
      <c r="J24" s="57" t="str">
        <f>LEFT('北段'!O15,3)</f>
        <v>P</v>
      </c>
      <c r="K24" s="57" t="str">
        <f>LEFT('北段'!P15,3)</f>
        <v>P</v>
      </c>
      <c r="L24" s="57" t="str">
        <f>LEFT('北段'!Q15,3)</f>
        <v>r'</v>
      </c>
      <c r="M24" s="57" t="str">
        <f>LEFT('北段'!R15,3)</f>
        <v>R</v>
      </c>
      <c r="N24" s="57" t="str">
        <f>LEFT('北段'!S15,3)</f>
        <v>01早</v>
      </c>
      <c r="O24" s="57" t="str">
        <f>LEFT('北段'!T15,3)</f>
        <v>01早</v>
      </c>
      <c r="P24" s="57" t="str">
        <f>LEFT('北段'!U15,3)</f>
        <v>01早</v>
      </c>
      <c r="Q24" s="57" t="str">
        <f>LEFT('北段'!V15,3)</f>
        <v>01早</v>
      </c>
      <c r="R24" s="57" t="str">
        <f>LEFT('北段'!W15,3)</f>
        <v>01中</v>
      </c>
      <c r="S24" s="57" t="str">
        <f>LEFT('北段'!X15,3)</f>
        <v>01早</v>
      </c>
      <c r="T24" s="57" t="str">
        <f>LEFT('北段'!Y15,3)</f>
        <v>R</v>
      </c>
      <c r="U24" s="57" t="str">
        <f>LEFT('北段'!Z15,3)</f>
        <v>01早</v>
      </c>
      <c r="V24" s="57" t="str">
        <f>LEFT('北段'!AA15,3)</f>
        <v>01早</v>
      </c>
      <c r="W24" s="57" t="str">
        <f>LEFT('北段'!AB15,3)</f>
        <v>01早</v>
      </c>
      <c r="X24" s="57" t="str">
        <f>LEFT('北段'!AC15,3)</f>
        <v>日</v>
      </c>
      <c r="Y24" s="57" t="str">
        <f>LEFT('北段'!AD15,3)</f>
        <v>r'</v>
      </c>
      <c r="Z24" s="57" t="str">
        <f>LEFT('北段'!AE15,3)</f>
        <v>r'</v>
      </c>
      <c r="AA24" s="57" t="str">
        <f>LEFT('北段'!AF15,3)</f>
        <v>01早</v>
      </c>
      <c r="AB24" s="57" t="str">
        <f>LEFT('北段'!AG15,3)</f>
        <v>01早</v>
      </c>
      <c r="AC24" s="57" t="str">
        <f>LEFT('北段'!AH15,3)</f>
        <v>01早</v>
      </c>
      <c r="AD24" s="57" t="str">
        <f>LEFT('北段'!AI15,3)</f>
        <v>01早</v>
      </c>
      <c r="AE24" s="57" t="str">
        <f>LEFT('北段'!AJ15,3)</f>
        <v>01早</v>
      </c>
      <c r="AF24" s="57" t="str">
        <f>LEFT('北段'!AK15,3)</f>
        <v>R</v>
      </c>
      <c r="AG24" s="57" t="str">
        <f>LEFT('北段'!AL15,3)</f>
        <v>01早</v>
      </c>
      <c r="AH24" s="57" t="str">
        <f>LEFT(北段!#REF!,3)</f>
        <v>#ERROR!</v>
      </c>
      <c r="AI24" s="57" t="str">
        <f>LEFT(北段!#REF!,3)</f>
        <v>#ERROR!</v>
      </c>
      <c r="AJ24" s="57" t="str">
        <f>LEFT(北段!#REF!,3)</f>
        <v>#ERROR!</v>
      </c>
      <c r="AK24" s="57" t="str">
        <f>LEFT(北段!#REF!,3)</f>
        <v>#ERROR!</v>
      </c>
      <c r="AL24" s="57" t="str">
        <f>LEFT(北段!#REF!,3)</f>
        <v>#ERROR!</v>
      </c>
      <c r="AM24" s="57" t="str">
        <f>LEFT(北段!#REF!,3)</f>
        <v>#ERROR!</v>
      </c>
      <c r="AN24" s="57" t="str">
        <f>LEFT(北段!#REF!,3)</f>
        <v>#ERROR!</v>
      </c>
    </row>
    <row r="25" ht="43.5" customHeight="1">
      <c r="A25" s="185"/>
      <c r="B25" s="57" t="str">
        <f>LEFT('北段'!B16,6)</f>
        <v>T01459</v>
      </c>
      <c r="C25" s="61" t="str">
        <f>VLOOKUP(B25,'北段'!B:C,2,FALSE)</f>
        <v>林禹丞</v>
      </c>
      <c r="D25" s="57" t="str">
        <f>LEFT('北段'!I16,3)</f>
        <v>01午</v>
      </c>
      <c r="E25" s="57" t="str">
        <f>LEFT('北段'!J16,3)</f>
        <v>01午</v>
      </c>
      <c r="F25" s="57" t="str">
        <f>LEFT('北段'!K16,3)</f>
        <v>R</v>
      </c>
      <c r="G25" s="57" t="str">
        <f>LEFT('北段'!L16,3)</f>
        <v>r'</v>
      </c>
      <c r="H25" s="57" t="str">
        <f>LEFT('北段'!M16,3)</f>
        <v>01早</v>
      </c>
      <c r="I25" s="57" t="str">
        <f>LEFT('北段'!N16,3)</f>
        <v>01早</v>
      </c>
      <c r="J25" s="57" t="str">
        <f>LEFT('北段'!O16,3)</f>
        <v>01早</v>
      </c>
      <c r="K25" s="57" t="str">
        <f>LEFT('北段'!P16,3)</f>
        <v>01早</v>
      </c>
      <c r="L25" s="57" t="str">
        <f>LEFT('北段'!Q16,3)</f>
        <v>01早</v>
      </c>
      <c r="M25" s="57" t="str">
        <f>LEFT('北段'!R16,3)</f>
        <v>R</v>
      </c>
      <c r="N25" s="57" t="str">
        <f>LEFT('北段'!S16,3)</f>
        <v>L</v>
      </c>
      <c r="O25" s="57" t="str">
        <f>LEFT('北段'!T16,3)</f>
        <v>01早</v>
      </c>
      <c r="P25" s="57" t="str">
        <f>LEFT('北段'!U16,4)</f>
        <v>01中A</v>
      </c>
      <c r="Q25" s="57" t="str">
        <f>LEFT('北段'!V16,3)</f>
        <v>01早</v>
      </c>
      <c r="R25" s="57" t="str">
        <f>LEFT('北段'!W16,3)</f>
        <v>r'</v>
      </c>
      <c r="S25" s="57" t="str">
        <f>LEFT('北段'!X16,3)</f>
        <v>01早</v>
      </c>
      <c r="T25" s="57" t="str">
        <f>LEFT('北段'!Y16,3)</f>
        <v>R</v>
      </c>
      <c r="U25" s="57" t="str">
        <f>LEFT('北段'!Z16,3)</f>
        <v>r'</v>
      </c>
      <c r="V25" s="57" t="str">
        <f>LEFT('北段'!AA16,4)</f>
        <v>01早B</v>
      </c>
      <c r="W25" s="57" t="str">
        <f>LEFT('北段'!AB16,3)</f>
        <v>日</v>
      </c>
      <c r="X25" s="57" t="str">
        <f>LEFT('北段'!AC16,3)</f>
        <v>01早</v>
      </c>
      <c r="Y25" s="57" t="str">
        <f>LEFT('北段'!AD16,3)</f>
        <v>01早</v>
      </c>
      <c r="Z25" s="57" t="str">
        <f>LEFT('北段'!AE16,3)</f>
        <v>01早</v>
      </c>
      <c r="AA25" s="57" t="str">
        <f>LEFT('北段'!AF16,3)</f>
        <v>R</v>
      </c>
      <c r="AB25" s="57" t="str">
        <f>LEFT('北段'!AG16,3)</f>
        <v>L</v>
      </c>
      <c r="AC25" s="57" t="str">
        <f>LEFT('北段'!AH16,3)</f>
        <v>01早</v>
      </c>
      <c r="AD25" s="57" t="str">
        <f>LEFT('北段'!AI16,3)</f>
        <v>r'</v>
      </c>
      <c r="AE25" s="57" t="str">
        <f>LEFT('北段'!AJ16,3)</f>
        <v>01早</v>
      </c>
      <c r="AF25" s="57" t="str">
        <f>LEFT('北段'!AK16,3)</f>
        <v>01早</v>
      </c>
      <c r="AG25" s="57" t="str">
        <f>LEFT('北段'!AL16,3)</f>
        <v>01早</v>
      </c>
      <c r="AH25" s="57" t="str">
        <f>LEFT(北段!#REF!,3)</f>
        <v>#ERROR!</v>
      </c>
      <c r="AI25" s="57" t="str">
        <f>LEFT(北段!#REF!,3)</f>
        <v>#ERROR!</v>
      </c>
      <c r="AJ25" s="57" t="str">
        <f>LEFT(北段!#REF!,4)</f>
        <v>#ERROR!</v>
      </c>
      <c r="AK25" s="57" t="str">
        <f>LEFT(北段!#REF!,3)</f>
        <v>#ERROR!</v>
      </c>
      <c r="AL25" s="57" t="str">
        <f>LEFT(北段!#REF!,3)</f>
        <v>#ERROR!</v>
      </c>
      <c r="AM25" s="57" t="str">
        <f>LEFT(北段!#REF!,3)</f>
        <v>#ERROR!</v>
      </c>
      <c r="AN25" s="57" t="str">
        <f>LEFT(北段!#REF!,3)</f>
        <v>#ERROR!</v>
      </c>
    </row>
    <row r="26" ht="43.5" customHeight="1">
      <c r="A26" s="185"/>
      <c r="B26" s="57" t="str">
        <f>LEFT('北段'!B17,6)</f>
        <v>T01600</v>
      </c>
      <c r="C26" s="61" t="str">
        <f>VLOOKUP(B26,'北段'!B:C,2,FALSE)</f>
        <v>陳奎羽</v>
      </c>
      <c r="D26" s="57" t="str">
        <f>LEFT('北段'!I17,3)</f>
        <v>01早</v>
      </c>
      <c r="E26" s="57" t="str">
        <f>LEFT('北段'!J17,3)</f>
        <v>r'</v>
      </c>
      <c r="F26" s="57" t="str">
        <f>LEFT('北段'!K17,3)</f>
        <v>01早</v>
      </c>
      <c r="G26" s="57" t="str">
        <f>LEFT('北段'!L17,3)</f>
        <v>01早</v>
      </c>
      <c r="H26" s="57" t="str">
        <f>LEFT('北段'!M17,4)</f>
        <v>01早B</v>
      </c>
      <c r="I26" s="57" t="str">
        <f>LEFT('北段'!N17,3)</f>
        <v>01早</v>
      </c>
      <c r="J26" s="57" t="str">
        <f>LEFT('北段'!O17,3)</f>
        <v>01早</v>
      </c>
      <c r="K26" s="57" t="str">
        <f>LEFT('北段'!P17,3)</f>
        <v>R</v>
      </c>
      <c r="L26" s="57" t="str">
        <f>LEFT('北段'!Q17,3)</f>
        <v>01早</v>
      </c>
      <c r="M26" s="57" t="str">
        <f>LEFT('北段'!R17,3)</f>
        <v>01早</v>
      </c>
      <c r="N26" s="57" t="str">
        <f>LEFT('北段'!S17,3)</f>
        <v>01早</v>
      </c>
      <c r="O26" s="57" t="str">
        <f>LEFT('北段'!T17,3)</f>
        <v>01早</v>
      </c>
      <c r="P26" s="57" t="str">
        <f>LEFT('北段'!U17,3)</f>
        <v>r'</v>
      </c>
      <c r="Q26" s="57" t="str">
        <f>LEFT('北段'!V17,3)</f>
        <v>R</v>
      </c>
      <c r="R26" s="57" t="str">
        <f>LEFT('北段'!W17,3)</f>
        <v>01早</v>
      </c>
      <c r="S26" s="57" t="str">
        <f>LEFT('北段'!X17,3)</f>
        <v>r'</v>
      </c>
      <c r="T26" s="57" t="str">
        <f>LEFT('北段'!Y17,3)</f>
        <v>01早</v>
      </c>
      <c r="U26" s="57" t="str">
        <f>LEFT('北段'!Z17,3)</f>
        <v>r'</v>
      </c>
      <c r="V26" s="57" t="str">
        <f>LEFT('北段'!AA17,3)</f>
        <v>r'</v>
      </c>
      <c r="W26" s="57" t="str">
        <f>LEFT('北段'!AB17,3)</f>
        <v>01早</v>
      </c>
      <c r="X26" s="57" t="str">
        <f>LEFT('北段'!AC17,3)</f>
        <v>01早</v>
      </c>
      <c r="Y26" s="57" t="str">
        <f>LEFT('北段'!AD17,3)</f>
        <v>01早</v>
      </c>
      <c r="Z26" s="57" t="str">
        <f>LEFT('北段'!AE17,3)</f>
        <v>R</v>
      </c>
      <c r="AA26" s="57" t="str">
        <f>LEFT('北段'!AF17,3)</f>
        <v>L</v>
      </c>
      <c r="AB26" s="57" t="str">
        <f>LEFT('北段'!AG17,3)</f>
        <v>R</v>
      </c>
      <c r="AC26" s="57" t="str">
        <f>LEFT('北段'!AH17,3)</f>
        <v>01早</v>
      </c>
      <c r="AD26" s="57" t="str">
        <f>LEFT('北段'!AI17,3)</f>
        <v>01早</v>
      </c>
      <c r="AE26" s="57" t="str">
        <f>LEFT('北段'!AJ17,3)</f>
        <v>日</v>
      </c>
      <c r="AF26" s="57" t="str">
        <f>LEFT('北段'!AK17,3)</f>
        <v>01早</v>
      </c>
      <c r="AG26" s="57" t="str">
        <f>LEFT('北段'!AL17,3)</f>
        <v>L</v>
      </c>
      <c r="AH26" s="57" t="str">
        <f>LEFT(北段!#REF!,3)</f>
        <v>#ERROR!</v>
      </c>
      <c r="AI26" s="57" t="str">
        <f>LEFT(北段!#REF!,3)</f>
        <v>#ERROR!</v>
      </c>
      <c r="AJ26" s="57" t="str">
        <f>LEFT(北段!#REF!,3)</f>
        <v>#ERROR!</v>
      </c>
      <c r="AK26" s="57" t="str">
        <f>LEFT(北段!#REF!,3)</f>
        <v>#ERROR!</v>
      </c>
      <c r="AL26" s="57" t="str">
        <f>LEFT(北段!#REF!,3)</f>
        <v>#ERROR!</v>
      </c>
      <c r="AM26" s="57" t="str">
        <f>LEFT(北段!#REF!,3)</f>
        <v>#ERROR!</v>
      </c>
      <c r="AN26" s="57" t="str">
        <f>LEFT(北段!#REF!,3)</f>
        <v>#ERROR!</v>
      </c>
    </row>
    <row r="27" ht="43.5" customHeight="1">
      <c r="A27" s="185"/>
      <c r="B27" s="57" t="str">
        <f>LEFT('北段'!B18,6)</f>
        <v>T01795</v>
      </c>
      <c r="C27" s="61" t="str">
        <f>VLOOKUP(B27,'北段'!B:C,2,FALSE)</f>
        <v>黃羿綾</v>
      </c>
      <c r="D27" s="57" t="str">
        <f>LEFT('北段'!I18,3)</f>
        <v>R</v>
      </c>
      <c r="E27" s="57" t="str">
        <f>LEFT('北段'!J18,3)</f>
        <v>r'</v>
      </c>
      <c r="F27" s="57" t="str">
        <f>LEFT('北段'!K18,3)</f>
        <v>r'</v>
      </c>
      <c r="G27" s="57" t="str">
        <f>LEFT('北段'!L18,3)</f>
        <v>R</v>
      </c>
      <c r="H27" s="57" t="str">
        <f>LEFT('北段'!M18,3)</f>
        <v>01午</v>
      </c>
      <c r="I27" s="57" t="str">
        <f>LEFT('北段'!N18,3)</f>
        <v>01午</v>
      </c>
      <c r="J27" s="57" t="str">
        <f>LEFT('北段'!O18,3)</f>
        <v>01午</v>
      </c>
      <c r="K27" s="57" t="str">
        <f>LEFT('北段'!P18,3)</f>
        <v>r'</v>
      </c>
      <c r="L27" s="57" t="str">
        <f>LEFT('北段'!Q18,3)</f>
        <v>P</v>
      </c>
      <c r="M27" s="57" t="str">
        <f>LEFT('北段'!R18,3)</f>
        <v>R</v>
      </c>
      <c r="N27" s="57" t="str">
        <f>LEFT('北段'!S18,3)</f>
        <v>01午</v>
      </c>
      <c r="O27" s="57" t="str">
        <f>LEFT('北段'!T18,3)</f>
        <v>01午</v>
      </c>
      <c r="P27" s="57" t="str">
        <f>LEFT('北段'!U18,3)</f>
        <v>01午</v>
      </c>
      <c r="Q27" s="57" t="str">
        <f>LEFT('北段'!V18,3)</f>
        <v>01午</v>
      </c>
      <c r="R27" s="57" t="str">
        <f>LEFT('北段'!W18,3)</f>
        <v>01午</v>
      </c>
      <c r="S27" s="57" t="str">
        <f>LEFT('北段'!X18,3)</f>
        <v>01午</v>
      </c>
      <c r="T27" s="57" t="str">
        <f>LEFT('北段'!Y18,3)</f>
        <v>R</v>
      </c>
      <c r="U27" s="57" t="str">
        <f>LEFT('北段'!Z18,4)</f>
        <v>01午B</v>
      </c>
      <c r="V27" s="57" t="str">
        <f>LEFT('北段'!AA18,3)</f>
        <v>01午</v>
      </c>
      <c r="W27" s="57" t="str">
        <f>LEFT('北段'!AB18,3)</f>
        <v>01午</v>
      </c>
      <c r="X27" s="57" t="str">
        <f>LEFT('北段'!AC18,3)</f>
        <v>01午</v>
      </c>
      <c r="Y27" s="57" t="str">
        <f>LEFT('北段'!AD18,3)</f>
        <v>01午</v>
      </c>
      <c r="Z27" s="57" t="str">
        <f>LEFT('北段'!AE18,3)</f>
        <v>01午</v>
      </c>
      <c r="AA27" s="57" t="str">
        <f>LEFT('北段'!AF18,3)</f>
        <v>r'</v>
      </c>
      <c r="AB27" s="57" t="str">
        <f>LEFT('北段'!AG18,3)</f>
        <v>日</v>
      </c>
      <c r="AC27" s="57" t="str">
        <f>LEFT('北段'!AH18,4)</f>
        <v>01午B</v>
      </c>
      <c r="AD27" s="57" t="str">
        <f>LEFT('北段'!AI18,3)</f>
        <v>01午</v>
      </c>
      <c r="AE27" s="57" t="str">
        <f>LEFT('北段'!AJ18,3)</f>
        <v>01中</v>
      </c>
      <c r="AF27" s="57" t="str">
        <f>LEFT('北段'!AK18,3)</f>
        <v>R</v>
      </c>
      <c r="AG27" s="57" t="str">
        <f>LEFT('北段'!AL18,3)</f>
        <v>r'</v>
      </c>
      <c r="AH27" s="57" t="str">
        <f>LEFT(北段!#REF!,3)</f>
        <v>#ERROR!</v>
      </c>
      <c r="AI27" s="57" t="str">
        <f>LEFT(北段!#REF!,3)</f>
        <v>#ERROR!</v>
      </c>
      <c r="AJ27" s="57" t="str">
        <f>LEFT(北段!#REF!,3)</f>
        <v>#ERROR!</v>
      </c>
      <c r="AK27" s="57" t="str">
        <f>LEFT(北段!#REF!,3)</f>
        <v>#ERROR!</v>
      </c>
      <c r="AL27" s="57" t="str">
        <f>LEFT(北段!#REF!,3)</f>
        <v>#ERROR!</v>
      </c>
      <c r="AM27" s="57" t="str">
        <f>LEFT(北段!#REF!,3)</f>
        <v>#ERROR!</v>
      </c>
      <c r="AN27" s="57" t="str">
        <f>LEFT(北段!#REF!,3)</f>
        <v>#ERROR!</v>
      </c>
    </row>
    <row r="28" ht="43.5" customHeight="1">
      <c r="A28" s="185"/>
      <c r="B28" s="57" t="str">
        <f>LEFT('北段'!B19,6)</f>
        <v>T02222</v>
      </c>
      <c r="C28" s="61" t="str">
        <f>VLOOKUP(B28,'北段'!B:C,2,FALSE)</f>
        <v>𡍼文妤</v>
      </c>
      <c r="D28" s="57" t="str">
        <f>LEFT('北段'!I19,3)</f>
        <v>R</v>
      </c>
      <c r="E28" s="57" t="str">
        <f>LEFT('北段'!J19,3)</f>
        <v>01早</v>
      </c>
      <c r="F28" s="57" t="str">
        <f>LEFT('北段'!K19,3)</f>
        <v>01早</v>
      </c>
      <c r="G28" s="57" t="str">
        <f>LEFT('北段'!L19,3)</f>
        <v>01早</v>
      </c>
      <c r="H28" s="57" t="str">
        <f>LEFT('北段'!M19,3)</f>
        <v>R</v>
      </c>
      <c r="I28" s="57" t="str">
        <f>LEFT('北段'!N19,3)</f>
        <v>r'</v>
      </c>
      <c r="J28" s="57" t="str">
        <f>LEFT('北段'!O19,3)</f>
        <v>01早</v>
      </c>
      <c r="K28" s="57" t="str">
        <f>LEFT('北段'!P19,3)</f>
        <v>01早</v>
      </c>
      <c r="L28" s="57" t="str">
        <f>LEFT('北段'!Q19,3)</f>
        <v>01早</v>
      </c>
      <c r="M28" s="57" t="str">
        <f>LEFT('北段'!R19,3)</f>
        <v>01早</v>
      </c>
      <c r="N28" s="57" t="str">
        <f>LEFT('北段'!S19,3)</f>
        <v>01早</v>
      </c>
      <c r="O28" s="57" t="str">
        <f>LEFT('北段'!T19,3)</f>
        <v>R</v>
      </c>
      <c r="P28" s="57" t="str">
        <f>LEFT('北段'!U19,3)</f>
        <v>r'</v>
      </c>
      <c r="Q28" s="57" t="str">
        <f>LEFT('北段'!V19,3)</f>
        <v>01早</v>
      </c>
      <c r="R28" s="57" t="str">
        <f>LEFT('北段'!W19,3)</f>
        <v>01早</v>
      </c>
      <c r="S28" s="57" t="str">
        <f>LEFT('北段'!X19,3)</f>
        <v>01早</v>
      </c>
      <c r="T28" s="57" t="str">
        <f>LEFT('北段'!Y19,3)</f>
        <v>01早</v>
      </c>
      <c r="U28" s="57" t="str">
        <f>LEFT('北段'!Z19,3)</f>
        <v>R</v>
      </c>
      <c r="V28" s="57" t="str">
        <f>LEFT('北段'!AA19,3)</f>
        <v>01中</v>
      </c>
      <c r="W28" s="57" t="str">
        <f>LEFT('北段'!AB19,4)</f>
        <v>01早B</v>
      </c>
      <c r="X28" s="57" t="str">
        <f>LEFT('北段'!AC19,3)</f>
        <v>01早</v>
      </c>
      <c r="Y28" s="57" t="str">
        <f>LEFT('北段'!AD19,3)</f>
        <v>01早</v>
      </c>
      <c r="Z28" s="57" t="str">
        <f>LEFT('北段'!AE19,3)</f>
        <v>01早</v>
      </c>
      <c r="AA28" s="57" t="str">
        <f>LEFT('北段'!AF19,3)</f>
        <v>R</v>
      </c>
      <c r="AB28" s="57" t="str">
        <f>LEFT('北段'!AG19,3)</f>
        <v>r'</v>
      </c>
      <c r="AC28" s="57" t="str">
        <f>LEFT('北段'!AH19,3)</f>
        <v>01早</v>
      </c>
      <c r="AD28" s="57" t="str">
        <f>LEFT('北段'!AI19,3)</f>
        <v>r'</v>
      </c>
      <c r="AE28" s="57" t="str">
        <f>LEFT('北段'!AJ19,3)</f>
        <v>01早</v>
      </c>
      <c r="AF28" s="57" t="str">
        <f>LEFT('北段'!AK19,3)</f>
        <v>01早</v>
      </c>
      <c r="AG28" s="57" t="str">
        <f>LEFT('北段'!AL19,3)</f>
        <v>日</v>
      </c>
      <c r="AH28" s="57" t="str">
        <f>LEFT(北段!#REF!,3)</f>
        <v>#ERROR!</v>
      </c>
      <c r="AI28" s="57" t="str">
        <f>LEFT(北段!#REF!,3)</f>
        <v>#ERROR!</v>
      </c>
      <c r="AJ28" s="57" t="str">
        <f>LEFT(北段!#REF!,3)</f>
        <v>#ERROR!</v>
      </c>
      <c r="AK28" s="57" t="str">
        <f>LEFT(北段!#REF!,3)</f>
        <v>#ERROR!</v>
      </c>
      <c r="AL28" s="57" t="str">
        <f>LEFT(北段!#REF!,4)</f>
        <v>#ERROR!</v>
      </c>
      <c r="AM28" s="57" t="str">
        <f>LEFT(北段!#REF!,3)</f>
        <v>#ERROR!</v>
      </c>
      <c r="AN28" s="57" t="str">
        <f>LEFT(北段!#REF!,3)</f>
        <v>#ERROR!</v>
      </c>
    </row>
    <row r="29" ht="43.5" customHeight="1">
      <c r="A29" s="185"/>
      <c r="B29" s="57" t="str">
        <f>LEFT('北段'!B20,6)</f>
        <v>T02233</v>
      </c>
      <c r="C29" s="61" t="str">
        <f>VLOOKUP(B29,'北段'!B:C,2,FALSE)</f>
        <v>簡悅如</v>
      </c>
      <c r="D29" s="57" t="str">
        <f>LEFT('北段'!I20,3)</f>
        <v>01早</v>
      </c>
      <c r="E29" s="57" t="str">
        <f>LEFT('北段'!J20,3)</f>
        <v>01早</v>
      </c>
      <c r="F29" s="57" t="str">
        <f>LEFT('北段'!K20,3)</f>
        <v>01早</v>
      </c>
      <c r="G29" s="57" t="str">
        <f>LEFT('北段'!L20,3)</f>
        <v>r'</v>
      </c>
      <c r="H29" s="57" t="str">
        <f>LEFT('北段'!M20,3)</f>
        <v>L</v>
      </c>
      <c r="I29" s="57" t="str">
        <f>LEFT('北段'!N20,3)</f>
        <v>01早</v>
      </c>
      <c r="J29" s="57" t="str">
        <f>LEFT('北段'!O20,3)</f>
        <v>R</v>
      </c>
      <c r="K29" s="57" t="str">
        <f>LEFT('北段'!P20,3)</f>
        <v>01早</v>
      </c>
      <c r="L29" s="57" t="str">
        <f>LEFT('北段'!Q20,3)</f>
        <v>01早</v>
      </c>
      <c r="M29" s="57" t="str">
        <f>LEFT('北段'!R20,3)</f>
        <v>01早</v>
      </c>
      <c r="N29" s="57" t="str">
        <f>LEFT('北段'!S20,3)</f>
        <v>r'</v>
      </c>
      <c r="O29" s="57" t="str">
        <f>LEFT('北段'!T20,3)</f>
        <v>R</v>
      </c>
      <c r="P29" s="57" t="str">
        <f>LEFT('北段'!U20,3)</f>
        <v>01早</v>
      </c>
      <c r="Q29" s="57" t="str">
        <f>LEFT('北段'!V20,3)</f>
        <v>r'</v>
      </c>
      <c r="R29" s="57" t="str">
        <f>LEFT('北段'!W20,3)</f>
        <v>L</v>
      </c>
      <c r="S29" s="57" t="str">
        <f>LEFT('北段'!X20,3)</f>
        <v>L</v>
      </c>
      <c r="T29" s="57" t="str">
        <f>LEFT('北段'!Y20,3)</f>
        <v>L</v>
      </c>
      <c r="U29" s="57" t="str">
        <f>LEFT('北段'!Z20,3)</f>
        <v>01早</v>
      </c>
      <c r="V29" s="57" t="str">
        <f>LEFT('北段'!AA20,3)</f>
        <v>r'</v>
      </c>
      <c r="W29" s="57" t="str">
        <f>LEFT('北段'!AB20,3)</f>
        <v>01早</v>
      </c>
      <c r="X29" s="57" t="str">
        <f>LEFT('北段'!AC20,3)</f>
        <v>R</v>
      </c>
      <c r="Y29" s="57" t="str">
        <f>LEFT('北段'!AD20,3)</f>
        <v>r'</v>
      </c>
      <c r="Z29" s="57" t="str">
        <f>LEFT('北段'!AE20,4)</f>
        <v>01早B</v>
      </c>
      <c r="AA29" s="57" t="str">
        <f>LEFT('北段'!AF20,3)</f>
        <v>01早</v>
      </c>
      <c r="AB29" s="57" t="str">
        <f>LEFT('北段'!AG20,3)</f>
        <v>01早</v>
      </c>
      <c r="AC29" s="57" t="str">
        <f>LEFT('北段'!AH20,3)</f>
        <v>R</v>
      </c>
      <c r="AD29" s="57" t="str">
        <f>LEFT('北段'!AI20,3)</f>
        <v>01早</v>
      </c>
      <c r="AE29" s="57" t="str">
        <f>LEFT('北段'!AJ20,3)</f>
        <v>日</v>
      </c>
      <c r="AF29" s="57" t="str">
        <f>LEFT('北段'!AK20,1)</f>
        <v>0</v>
      </c>
      <c r="AG29" s="57" t="str">
        <f>LEFT('北段'!AL20,3)</f>
        <v>01早</v>
      </c>
      <c r="AH29" s="57" t="str">
        <f>LEFT(北段!#REF!,3)</f>
        <v>#ERROR!</v>
      </c>
      <c r="AI29" s="57" t="str">
        <f>LEFT(北段!#REF!,3)</f>
        <v>#ERROR!</v>
      </c>
      <c r="AJ29" s="57" t="str">
        <f>LEFT(北段!#REF!,3)</f>
        <v>#ERROR!</v>
      </c>
      <c r="AK29" s="57" t="str">
        <f>LEFT(北段!#REF!,3)</f>
        <v>#ERROR!</v>
      </c>
      <c r="AL29" s="57" t="str">
        <f>LEFT(北段!#REF!,4)</f>
        <v>#ERROR!</v>
      </c>
      <c r="AM29" s="57" t="str">
        <f>LEFT(北段!#REF!,1)</f>
        <v>#ERROR!</v>
      </c>
      <c r="AN29" s="57" t="str">
        <f>LEFT(北段!#REF!,3)</f>
        <v>#ERROR!</v>
      </c>
    </row>
    <row r="30" ht="43.5" customHeight="1">
      <c r="A30" s="185"/>
      <c r="B30" s="57" t="str">
        <f>LEFT('北段'!B21,6)</f>
        <v>T02498</v>
      </c>
      <c r="C30" s="61" t="str">
        <f>VLOOKUP(B30,'北段'!B:C,2,FALSE)</f>
        <v>張芯瑜</v>
      </c>
      <c r="D30" s="57" t="str">
        <f>LEFT('北段'!I21,3)</f>
        <v>01午</v>
      </c>
      <c r="E30" s="57" t="str">
        <f>LEFT('北段'!J21,3)</f>
        <v>R</v>
      </c>
      <c r="F30" s="57" t="str">
        <f>LEFT('北段'!K21,3)</f>
        <v>R</v>
      </c>
      <c r="G30" s="57" t="str">
        <f>LEFT('北段'!L21,3)</f>
        <v>r'</v>
      </c>
      <c r="H30" s="57" t="str">
        <f>LEFT('北段'!M21,3)</f>
        <v>L</v>
      </c>
      <c r="I30" s="57" t="str">
        <f>LEFT('北段'!N21,3)</f>
        <v>L</v>
      </c>
      <c r="J30" s="57" t="str">
        <f>LEFT('北段'!O21,3)</f>
        <v>P</v>
      </c>
      <c r="K30" s="57" t="str">
        <f>LEFT('北段'!P21,3)</f>
        <v>r'</v>
      </c>
      <c r="L30" s="57" t="str">
        <f>LEFT('北段'!Q21,3)</f>
        <v>01午</v>
      </c>
      <c r="M30" s="57" t="str">
        <f>LEFT('北段'!R21,3)</f>
        <v>01午</v>
      </c>
      <c r="N30" s="57" t="str">
        <f>LEFT('北段'!S21,4)</f>
        <v>01午B</v>
      </c>
      <c r="O30" s="57" t="str">
        <f>LEFT('北段'!T21,3)</f>
        <v>01午</v>
      </c>
      <c r="P30" s="57" t="str">
        <f>LEFT('北段'!U21,3)</f>
        <v>01午</v>
      </c>
      <c r="Q30" s="57" t="str">
        <f>LEFT('北段'!V21,3)</f>
        <v>R</v>
      </c>
      <c r="R30" s="57" t="str">
        <f>LEFT('北段'!W21,3)</f>
        <v>01午</v>
      </c>
      <c r="S30" s="57" t="str">
        <f>LEFT('北段'!X21,3)</f>
        <v>01午</v>
      </c>
      <c r="T30" s="57" t="str">
        <f>LEFT('北段'!Y21,3)</f>
        <v>01午</v>
      </c>
      <c r="U30" s="57" t="str">
        <f>LEFT('北段'!Z21,3)</f>
        <v>R</v>
      </c>
      <c r="V30" s="57" t="str">
        <f>LEFT('北段'!AA21,3)</f>
        <v>01早</v>
      </c>
      <c r="W30" s="57" t="str">
        <f>LEFT('北段'!AB21,3)</f>
        <v>01午</v>
      </c>
      <c r="X30" s="57" t="str">
        <f>LEFT('北段'!AC21,3)</f>
        <v>01午</v>
      </c>
      <c r="Y30" s="57" t="str">
        <f>LEFT('北段'!AD21,4)</f>
        <v>01午B</v>
      </c>
      <c r="Z30" s="57" t="str">
        <f>LEFT('北段'!AE21,3)</f>
        <v>01午</v>
      </c>
      <c r="AA30" s="57" t="str">
        <f>LEFT('北段'!AF21,3)</f>
        <v>r'</v>
      </c>
      <c r="AB30" s="57" t="str">
        <f>LEFT('北段'!AG21,3)</f>
        <v>日</v>
      </c>
      <c r="AC30" s="57" t="str">
        <f>LEFT('北段'!AH21,3)</f>
        <v>01午</v>
      </c>
      <c r="AD30" s="57" t="str">
        <f>LEFT('北段'!AI21,3)</f>
        <v>r'</v>
      </c>
      <c r="AE30" s="57" t="str">
        <f>LEFT('北段'!AJ21,3)</f>
        <v>01午</v>
      </c>
      <c r="AF30" s="57" t="str">
        <f>LEFT('北段'!AK21,3)</f>
        <v>01午</v>
      </c>
      <c r="AG30" s="57" t="str">
        <f>LEFT('北段'!AL21,3)</f>
        <v>R</v>
      </c>
      <c r="AH30" s="57" t="str">
        <f>LEFT(北段!#REF!,3)</f>
        <v>#ERROR!</v>
      </c>
      <c r="AI30" s="57" t="str">
        <f>LEFT(北段!#REF!,3)</f>
        <v>#ERROR!</v>
      </c>
      <c r="AJ30" s="57" t="str">
        <f>LEFT(北段!#REF!,3)</f>
        <v>#ERROR!</v>
      </c>
      <c r="AK30" s="57" t="str">
        <f>LEFT(北段!#REF!,3)</f>
        <v>#ERROR!</v>
      </c>
      <c r="AL30" s="57" t="str">
        <f>LEFT(北段!#REF!,3)</f>
        <v>#ERROR!</v>
      </c>
      <c r="AM30" s="57" t="str">
        <f>LEFT(北段!#REF!,3)</f>
        <v>#ERROR!</v>
      </c>
      <c r="AN30" s="57" t="str">
        <f>LEFT(北段!#REF!,3)</f>
        <v>#ERROR!</v>
      </c>
    </row>
    <row r="31" ht="43.5" customHeight="1">
      <c r="A31" s="185"/>
      <c r="B31" s="57" t="str">
        <f>LEFT(#REF!,6)</f>
        <v>#REF!</v>
      </c>
      <c r="C31" s="61" t="str">
        <f>VLOOKUP(B31,'北段'!B:C,2,FALSE)</f>
        <v>#REF!</v>
      </c>
      <c r="D31" s="57" t="str">
        <f t="shared" ref="D31:P31" si="23">LEFT(#REF!,3)</f>
        <v>#REF!</v>
      </c>
      <c r="E31" s="57" t="str">
        <f t="shared" si="23"/>
        <v>#REF!</v>
      </c>
      <c r="F31" s="57" t="str">
        <f t="shared" si="23"/>
        <v>#REF!</v>
      </c>
      <c r="G31" s="57" t="str">
        <f t="shared" si="23"/>
        <v>#REF!</v>
      </c>
      <c r="H31" s="57" t="str">
        <f t="shared" si="23"/>
        <v>#REF!</v>
      </c>
      <c r="I31" s="57" t="str">
        <f t="shared" si="23"/>
        <v>#REF!</v>
      </c>
      <c r="J31" s="57" t="str">
        <f t="shared" si="23"/>
        <v>#REF!</v>
      </c>
      <c r="K31" s="57" t="str">
        <f t="shared" si="23"/>
        <v>#REF!</v>
      </c>
      <c r="L31" s="57" t="str">
        <f t="shared" si="23"/>
        <v>#REF!</v>
      </c>
      <c r="M31" s="57" t="str">
        <f t="shared" si="23"/>
        <v>#REF!</v>
      </c>
      <c r="N31" s="57" t="str">
        <f t="shared" si="23"/>
        <v>#REF!</v>
      </c>
      <c r="O31" s="57" t="str">
        <f t="shared" si="23"/>
        <v>#REF!</v>
      </c>
      <c r="P31" s="57" t="str">
        <f t="shared" si="23"/>
        <v>#REF!</v>
      </c>
      <c r="Q31" s="57" t="str">
        <f t="shared" ref="Q31:R31" si="24">LEFT(#REF!,4)</f>
        <v>#REF!</v>
      </c>
      <c r="R31" s="57" t="str">
        <f t="shared" si="24"/>
        <v>#REF!</v>
      </c>
      <c r="S31" s="57" t="str">
        <f t="shared" ref="S31:Z31" si="25">LEFT(#REF!,3)</f>
        <v>#REF!</v>
      </c>
      <c r="T31" s="57" t="str">
        <f t="shared" si="25"/>
        <v>#REF!</v>
      </c>
      <c r="U31" s="57" t="str">
        <f t="shared" si="25"/>
        <v>#REF!</v>
      </c>
      <c r="V31" s="57" t="str">
        <f t="shared" si="25"/>
        <v>#REF!</v>
      </c>
      <c r="W31" s="57" t="str">
        <f t="shared" si="25"/>
        <v>#REF!</v>
      </c>
      <c r="X31" s="57" t="str">
        <f t="shared" si="25"/>
        <v>#REF!</v>
      </c>
      <c r="Y31" s="57" t="str">
        <f t="shared" si="25"/>
        <v>#REF!</v>
      </c>
      <c r="Z31" s="57" t="str">
        <f t="shared" si="25"/>
        <v>#REF!</v>
      </c>
      <c r="AA31" s="57" t="str">
        <f>LEFT(#REF!,4)</f>
        <v>#REF!</v>
      </c>
      <c r="AB31" s="57" t="str">
        <f t="shared" ref="AB31:AG31" si="26">LEFT(#REF!,3)</f>
        <v>#REF!</v>
      </c>
      <c r="AC31" s="57" t="str">
        <f t="shared" si="26"/>
        <v>#REF!</v>
      </c>
      <c r="AD31" s="57" t="str">
        <f t="shared" si="26"/>
        <v>#REF!</v>
      </c>
      <c r="AE31" s="57" t="str">
        <f t="shared" si="26"/>
        <v>#REF!</v>
      </c>
      <c r="AF31" s="57" t="str">
        <f t="shared" si="26"/>
        <v>#REF!</v>
      </c>
      <c r="AG31" s="57" t="str">
        <f t="shared" si="26"/>
        <v>#REF!</v>
      </c>
      <c r="AH31" s="57" t="str">
        <f>LEFT(北段!#REF!,3)</f>
        <v>#ERROR!</v>
      </c>
      <c r="AI31" s="57" t="str">
        <f>LEFT(北段!#REF!,4)</f>
        <v>#ERROR!</v>
      </c>
      <c r="AJ31" s="57" t="str">
        <f>LEFT(北段!#REF!,3)</f>
        <v>#ERROR!</v>
      </c>
      <c r="AK31" s="57" t="str">
        <f>LEFT(北段!#REF!,3)</f>
        <v>#ERROR!</v>
      </c>
      <c r="AL31" s="57" t="str">
        <f>LEFT(北段!#REF!,3)</f>
        <v>#ERROR!</v>
      </c>
      <c r="AM31" s="57" t="str">
        <f>LEFT(北段!#REF!,3)</f>
        <v>#ERROR!</v>
      </c>
      <c r="AN31" s="57" t="str">
        <f>LEFT(北段!#REF!,3)</f>
        <v>#ERROR!</v>
      </c>
    </row>
    <row r="32" ht="43.5" customHeight="1">
      <c r="A32" s="186"/>
      <c r="B32" s="169" t="str">
        <f>LEFT('北段'!B22,6)</f>
        <v>T02613</v>
      </c>
      <c r="C32" s="116" t="str">
        <f>VLOOKUP(B32,'北段'!B:C,2,FALSE)</f>
        <v>張雅荃</v>
      </c>
      <c r="D32" s="57" t="str">
        <f>LEFT('北段'!I22,3)</f>
        <v>r'</v>
      </c>
      <c r="E32" s="57" t="str">
        <f>LEFT('北段'!J22,3)</f>
        <v>01午</v>
      </c>
      <c r="F32" s="57" t="str">
        <f>LEFT('北段'!K22,3)</f>
        <v>01午</v>
      </c>
      <c r="G32" s="57" t="str">
        <f>LEFT('北段'!L22,3)</f>
        <v>01午</v>
      </c>
      <c r="H32" s="57" t="str">
        <f>LEFT('北段'!M22,3)</f>
        <v>01午</v>
      </c>
      <c r="I32" s="57" t="str">
        <f>LEFT('北段'!N22,3)</f>
        <v>R</v>
      </c>
      <c r="J32" s="57" t="str">
        <f>LEFT('北段'!O22,3)</f>
        <v>01午</v>
      </c>
      <c r="K32" s="57" t="str">
        <f>LEFT('北段'!P22,3)</f>
        <v>01午</v>
      </c>
      <c r="L32" s="57" t="str">
        <f>LEFT('北段'!Q22,3)</f>
        <v>01午</v>
      </c>
      <c r="M32" s="57" t="str">
        <f>LEFT('北段'!R22,3)</f>
        <v>01午</v>
      </c>
      <c r="N32" s="57" t="str">
        <f>LEFT('北段'!S22,3)</f>
        <v>01中</v>
      </c>
      <c r="O32" s="57" t="str">
        <f>LEFT('北段'!T22,3)</f>
        <v>r'</v>
      </c>
      <c r="P32" s="57" t="str">
        <f>LEFT('北段'!U22,3)</f>
        <v>R</v>
      </c>
      <c r="Q32" s="57" t="str">
        <f>LEFT('北段'!V22,4)</f>
        <v>01午B</v>
      </c>
      <c r="R32" s="57" t="str">
        <f>LEFT('北段'!W22,3)</f>
        <v>r'</v>
      </c>
      <c r="S32" s="57" t="str">
        <f>LEFT('北段'!X22,4)</f>
        <v>01午B</v>
      </c>
      <c r="T32" s="57" t="str">
        <f>LEFT('北段'!Y22,3)</f>
        <v>01午</v>
      </c>
      <c r="U32" s="57" t="str">
        <f>LEFT('北段'!Z22,3)</f>
        <v>01午</v>
      </c>
      <c r="V32" s="57" t="str">
        <f>LEFT('北段'!AA22,3)</f>
        <v>R</v>
      </c>
      <c r="W32" s="57" t="str">
        <f>LEFT('北段'!AB22,3)</f>
        <v>01午</v>
      </c>
      <c r="X32" s="57" t="str">
        <f>LEFT('北段'!AC22,3)</f>
        <v>01午</v>
      </c>
      <c r="Y32" s="57" t="str">
        <f>LEFT('北段'!AD22,3)</f>
        <v>01午</v>
      </c>
      <c r="Z32" s="57" t="str">
        <f>LEFT('北段'!AE22,3)</f>
        <v>r'</v>
      </c>
      <c r="AA32" s="57" t="str">
        <f>LEFT('北段'!AF22,3)</f>
        <v>r'</v>
      </c>
      <c r="AB32" s="57" t="str">
        <f>LEFT('北段'!AG22,3)</f>
        <v>01午</v>
      </c>
      <c r="AC32" s="57" t="str">
        <f>LEFT('北段'!AH22,3)</f>
        <v>01午</v>
      </c>
      <c r="AD32" s="57" t="str">
        <f>LEFT('北段'!AI22,3)</f>
        <v>P</v>
      </c>
      <c r="AE32" s="57" t="str">
        <f>LEFT('北段'!AJ22,3)</f>
        <v>01午</v>
      </c>
      <c r="AF32" s="57" t="str">
        <f>LEFT('北段'!AK22,3)</f>
        <v>R</v>
      </c>
      <c r="AG32" s="57" t="str">
        <f>LEFT('北段'!AL22,3)</f>
        <v>日</v>
      </c>
      <c r="AH32" s="57" t="str">
        <f>LEFT(北段!#REF!,3)</f>
        <v>#ERROR!</v>
      </c>
      <c r="AI32" s="57" t="str">
        <f>LEFT(北段!#REF!,3)</f>
        <v>#ERROR!</v>
      </c>
      <c r="AJ32" s="57" t="str">
        <f>LEFT(北段!#REF!,3)</f>
        <v>#ERROR!</v>
      </c>
      <c r="AK32" s="57" t="str">
        <f>LEFT(北段!#REF!,3)</f>
        <v>#ERROR!</v>
      </c>
      <c r="AL32" s="57" t="str">
        <f>LEFT(北段!#REF!,3)</f>
        <v>#ERROR!</v>
      </c>
      <c r="AM32" s="57" t="str">
        <f>LEFT(北段!#REF!,3)</f>
        <v>#ERROR!</v>
      </c>
      <c r="AN32" s="57" t="str">
        <f>LEFT(北段!#REF!,3)</f>
        <v>#ERROR!</v>
      </c>
    </row>
    <row r="33" ht="43.5" customHeight="1">
      <c r="A33" s="184"/>
      <c r="B33" s="167" t="str">
        <f t="shared" ref="B33:B69" si="32">LEFT(#REF!,6)</f>
        <v>#REF!</v>
      </c>
      <c r="C33" s="45" t="str">
        <f>VLOOKUP(B33,'北段'!B:C,2,FALSE)</f>
        <v>#REF!</v>
      </c>
      <c r="D33" s="57" t="str">
        <f t="shared" ref="D33:I33" si="27">LEFT(#REF!,4)</f>
        <v>#REF!</v>
      </c>
      <c r="E33" s="57" t="str">
        <f t="shared" si="27"/>
        <v>#REF!</v>
      </c>
      <c r="F33" s="57" t="str">
        <f t="shared" si="27"/>
        <v>#REF!</v>
      </c>
      <c r="G33" s="57" t="str">
        <f t="shared" si="27"/>
        <v>#REF!</v>
      </c>
      <c r="H33" s="57" t="str">
        <f t="shared" si="27"/>
        <v>#REF!</v>
      </c>
      <c r="I33" s="57" t="str">
        <f t="shared" si="27"/>
        <v>#REF!</v>
      </c>
      <c r="J33" s="57" t="str">
        <f>LEFT(#REF!,3)</f>
        <v>#REF!</v>
      </c>
      <c r="K33" s="57" t="str">
        <f>LEFT(#REF!,4)</f>
        <v>#REF!</v>
      </c>
      <c r="L33" s="57" t="str">
        <f>LEFT(#REF!,3)</f>
        <v>#REF!</v>
      </c>
      <c r="M33" s="57" t="str">
        <f t="shared" ref="M33:P33" si="28">LEFT(#REF!,4)</f>
        <v>#REF!</v>
      </c>
      <c r="N33" s="57" t="str">
        <f t="shared" si="28"/>
        <v>#REF!</v>
      </c>
      <c r="O33" s="57" t="str">
        <f t="shared" si="28"/>
        <v>#REF!</v>
      </c>
      <c r="P33" s="57" t="str">
        <f t="shared" si="28"/>
        <v>#REF!</v>
      </c>
      <c r="Q33" s="57" t="str">
        <f>LEFT(#REF!,3)</f>
        <v>#REF!</v>
      </c>
      <c r="R33" s="57" t="str">
        <f t="shared" ref="R33:X33" si="29">LEFT(#REF!,4)</f>
        <v>#REF!</v>
      </c>
      <c r="S33" s="57" t="str">
        <f t="shared" si="29"/>
        <v>#REF!</v>
      </c>
      <c r="T33" s="57" t="str">
        <f t="shared" si="29"/>
        <v>#REF!</v>
      </c>
      <c r="U33" s="57" t="str">
        <f t="shared" si="29"/>
        <v>#REF!</v>
      </c>
      <c r="V33" s="57" t="str">
        <f t="shared" si="29"/>
        <v>#REF!</v>
      </c>
      <c r="W33" s="57" t="str">
        <f t="shared" si="29"/>
        <v>#REF!</v>
      </c>
      <c r="X33" s="57" t="str">
        <f t="shared" si="29"/>
        <v>#REF!</v>
      </c>
      <c r="Y33" s="57" t="str">
        <f>LEFT(#REF!,3)</f>
        <v>#REF!</v>
      </c>
      <c r="Z33" s="57" t="str">
        <f t="shared" ref="Z33:AC33" si="30">LEFT(#REF!,4)</f>
        <v>#REF!</v>
      </c>
      <c r="AA33" s="57" t="str">
        <f t="shared" si="30"/>
        <v>#REF!</v>
      </c>
      <c r="AB33" s="57" t="str">
        <f t="shared" si="30"/>
        <v>#REF!</v>
      </c>
      <c r="AC33" s="57" t="str">
        <f t="shared" si="30"/>
        <v>#REF!</v>
      </c>
      <c r="AD33" s="57" t="str">
        <f>LEFT(#REF!,8)</f>
        <v>#REF!</v>
      </c>
      <c r="AE33" s="57" t="str">
        <f t="shared" ref="AE33:AG33" si="31">LEFT(#REF!,4)</f>
        <v>#REF!</v>
      </c>
      <c r="AF33" s="57" t="str">
        <f t="shared" si="31"/>
        <v>#REF!</v>
      </c>
      <c r="AG33" s="57" t="str">
        <f t="shared" si="31"/>
        <v>#REF!</v>
      </c>
      <c r="AH33" s="57" t="str">
        <f>LEFT(北段!#REF!,4)</f>
        <v>#ERROR!</v>
      </c>
      <c r="AI33" s="57" t="str">
        <f>LEFT(北段!#REF!,4)</f>
        <v>#ERROR!</v>
      </c>
      <c r="AJ33" s="57" t="str">
        <f>LEFT(北段!#REF!,4)</f>
        <v>#ERROR!</v>
      </c>
      <c r="AK33" s="57" t="str">
        <f>LEFT(北段!#REF!,4)</f>
        <v>#ERROR!</v>
      </c>
      <c r="AL33" s="57" t="str">
        <f>LEFT(北段!#REF!,4)</f>
        <v>#ERROR!</v>
      </c>
      <c r="AM33" s="57" t="str">
        <f>LEFT(北段!#REF!,4)</f>
        <v>#ERROR!</v>
      </c>
      <c r="AN33" s="57" t="str">
        <f>LEFT(北段!#REF!,4)</f>
        <v>#ERROR!</v>
      </c>
    </row>
    <row r="34" ht="43.5" customHeight="1">
      <c r="A34" s="185"/>
      <c r="B34" s="57" t="str">
        <f t="shared" si="32"/>
        <v>#REF!</v>
      </c>
      <c r="C34" s="61" t="str">
        <f>VLOOKUP(B34,'北段'!B:C,2,FALSE)</f>
        <v>#REF!</v>
      </c>
      <c r="D34" s="57" t="str">
        <f t="shared" ref="D34:F34" si="33">LEFT(#REF!,4)</f>
        <v>#REF!</v>
      </c>
      <c r="E34" s="57" t="str">
        <f t="shared" si="33"/>
        <v>#REF!</v>
      </c>
      <c r="F34" s="57" t="str">
        <f t="shared" si="33"/>
        <v>#REF!</v>
      </c>
      <c r="G34" s="57" t="str">
        <f t="shared" ref="G34:H34" si="34">LEFT(#REF!,3)</f>
        <v>#REF!</v>
      </c>
      <c r="H34" s="57" t="str">
        <f t="shared" si="34"/>
        <v>#REF!</v>
      </c>
      <c r="I34" s="57" t="str">
        <f t="shared" ref="I34:N34" si="35">LEFT(#REF!,4)</f>
        <v>#REF!</v>
      </c>
      <c r="J34" s="57" t="str">
        <f t="shared" si="35"/>
        <v>#REF!</v>
      </c>
      <c r="K34" s="57" t="str">
        <f t="shared" si="35"/>
        <v>#REF!</v>
      </c>
      <c r="L34" s="57" t="str">
        <f t="shared" si="35"/>
        <v>#REF!</v>
      </c>
      <c r="M34" s="57" t="str">
        <f t="shared" si="35"/>
        <v>#REF!</v>
      </c>
      <c r="N34" s="57" t="str">
        <f t="shared" si="35"/>
        <v>#REF!</v>
      </c>
      <c r="O34" s="57" t="str">
        <f>LEFT(#REF!,3)</f>
        <v>#REF!</v>
      </c>
      <c r="P34" s="57" t="str">
        <f t="shared" ref="P34:AG34" si="36">LEFT(#REF!,4)</f>
        <v>#REF!</v>
      </c>
      <c r="Q34" s="57" t="str">
        <f t="shared" si="36"/>
        <v>#REF!</v>
      </c>
      <c r="R34" s="57" t="str">
        <f t="shared" si="36"/>
        <v>#REF!</v>
      </c>
      <c r="S34" s="57" t="str">
        <f t="shared" si="36"/>
        <v>#REF!</v>
      </c>
      <c r="T34" s="57" t="str">
        <f t="shared" si="36"/>
        <v>#REF!</v>
      </c>
      <c r="U34" s="57" t="str">
        <f t="shared" si="36"/>
        <v>#REF!</v>
      </c>
      <c r="V34" s="57" t="str">
        <f t="shared" si="36"/>
        <v>#REF!</v>
      </c>
      <c r="W34" s="57" t="str">
        <f t="shared" si="36"/>
        <v>#REF!</v>
      </c>
      <c r="X34" s="57" t="str">
        <f t="shared" si="36"/>
        <v>#REF!</v>
      </c>
      <c r="Y34" s="57" t="str">
        <f t="shared" si="36"/>
        <v>#REF!</v>
      </c>
      <c r="Z34" s="57" t="str">
        <f t="shared" si="36"/>
        <v>#REF!</v>
      </c>
      <c r="AA34" s="57" t="str">
        <f t="shared" si="36"/>
        <v>#REF!</v>
      </c>
      <c r="AB34" s="57" t="str">
        <f t="shared" si="36"/>
        <v>#REF!</v>
      </c>
      <c r="AC34" s="57" t="str">
        <f t="shared" si="36"/>
        <v>#REF!</v>
      </c>
      <c r="AD34" s="57" t="str">
        <f t="shared" si="36"/>
        <v>#REF!</v>
      </c>
      <c r="AE34" s="57" t="str">
        <f t="shared" si="36"/>
        <v>#REF!</v>
      </c>
      <c r="AF34" s="57" t="str">
        <f t="shared" si="36"/>
        <v>#REF!</v>
      </c>
      <c r="AG34" s="57" t="str">
        <f t="shared" si="36"/>
        <v>#REF!</v>
      </c>
      <c r="AH34" s="57" t="str">
        <f>LEFT(北段!#REF!,4)</f>
        <v>#ERROR!</v>
      </c>
      <c r="AI34" s="57" t="str">
        <f>LEFT(北段!#REF!,4)</f>
        <v>#ERROR!</v>
      </c>
      <c r="AJ34" s="57" t="str">
        <f>LEFT(北段!#REF!,4)</f>
        <v>#ERROR!</v>
      </c>
      <c r="AK34" s="57" t="str">
        <f>LEFT(北段!#REF!,4)</f>
        <v>#ERROR!</v>
      </c>
      <c r="AL34" s="57" t="str">
        <f>LEFT(北段!#REF!,4)</f>
        <v>#ERROR!</v>
      </c>
      <c r="AM34" s="57" t="str">
        <f>LEFT(北段!#REF!,4)</f>
        <v>#ERROR!</v>
      </c>
      <c r="AN34" s="57" t="str">
        <f>LEFT(北段!#REF!,4)</f>
        <v>#ERROR!</v>
      </c>
    </row>
    <row r="35" ht="43.5" customHeight="1">
      <c r="A35" s="185"/>
      <c r="B35" s="57" t="str">
        <f t="shared" si="32"/>
        <v>#REF!</v>
      </c>
      <c r="C35" s="61" t="str">
        <f>VLOOKUP(B35,'北段'!B:C,2,FALSE)</f>
        <v>#REF!</v>
      </c>
      <c r="D35" s="57" t="str">
        <f t="shared" ref="D35:I35" si="37">LEFT(#REF!,4)</f>
        <v>#REF!</v>
      </c>
      <c r="E35" s="57" t="str">
        <f t="shared" si="37"/>
        <v>#REF!</v>
      </c>
      <c r="F35" s="57" t="str">
        <f t="shared" si="37"/>
        <v>#REF!</v>
      </c>
      <c r="G35" s="57" t="str">
        <f t="shared" si="37"/>
        <v>#REF!</v>
      </c>
      <c r="H35" s="57" t="str">
        <f t="shared" si="37"/>
        <v>#REF!</v>
      </c>
      <c r="I35" s="57" t="str">
        <f t="shared" si="37"/>
        <v>#REF!</v>
      </c>
      <c r="J35" s="57" t="str">
        <f>LEFT(#REF!,3)</f>
        <v>#REF!</v>
      </c>
      <c r="K35" s="57" t="str">
        <f>LEFT(#REF!,4)</f>
        <v>#REF!</v>
      </c>
      <c r="L35" s="57" t="str">
        <f>LEFT(#REF!,3)</f>
        <v>#REF!</v>
      </c>
      <c r="M35" s="57" t="str">
        <f t="shared" ref="M35:X35" si="38">LEFT(#REF!,4)</f>
        <v>#REF!</v>
      </c>
      <c r="N35" s="57" t="str">
        <f t="shared" si="38"/>
        <v>#REF!</v>
      </c>
      <c r="O35" s="57" t="str">
        <f t="shared" si="38"/>
        <v>#REF!</v>
      </c>
      <c r="P35" s="57" t="str">
        <f t="shared" si="38"/>
        <v>#REF!</v>
      </c>
      <c r="Q35" s="57" t="str">
        <f t="shared" si="38"/>
        <v>#REF!</v>
      </c>
      <c r="R35" s="57" t="str">
        <f t="shared" si="38"/>
        <v>#REF!</v>
      </c>
      <c r="S35" s="57" t="str">
        <f t="shared" si="38"/>
        <v>#REF!</v>
      </c>
      <c r="T35" s="57" t="str">
        <f t="shared" si="38"/>
        <v>#REF!</v>
      </c>
      <c r="U35" s="57" t="str">
        <f t="shared" si="38"/>
        <v>#REF!</v>
      </c>
      <c r="V35" s="57" t="str">
        <f t="shared" si="38"/>
        <v>#REF!</v>
      </c>
      <c r="W35" s="57" t="str">
        <f t="shared" si="38"/>
        <v>#REF!</v>
      </c>
      <c r="X35" s="57" t="str">
        <f t="shared" si="38"/>
        <v>#REF!</v>
      </c>
      <c r="Y35" s="57" t="str">
        <f t="shared" ref="Y35:Z35" si="39">LEFT(#REF!,3)</f>
        <v>#REF!</v>
      </c>
      <c r="Z35" s="57" t="str">
        <f t="shared" si="39"/>
        <v>#REF!</v>
      </c>
      <c r="AA35" s="57" t="str">
        <f t="shared" ref="AA35:AG35" si="40">LEFT(#REF!,4)</f>
        <v>#REF!</v>
      </c>
      <c r="AB35" s="57" t="str">
        <f t="shared" si="40"/>
        <v>#REF!</v>
      </c>
      <c r="AC35" s="57" t="str">
        <f t="shared" si="40"/>
        <v>#REF!</v>
      </c>
      <c r="AD35" s="57" t="str">
        <f t="shared" si="40"/>
        <v>#REF!</v>
      </c>
      <c r="AE35" s="57" t="str">
        <f t="shared" si="40"/>
        <v>#REF!</v>
      </c>
      <c r="AF35" s="57" t="str">
        <f t="shared" si="40"/>
        <v>#REF!</v>
      </c>
      <c r="AG35" s="57" t="str">
        <f t="shared" si="40"/>
        <v>#REF!</v>
      </c>
      <c r="AH35" s="57" t="str">
        <f>LEFT(北段!#REF!,4)</f>
        <v>#ERROR!</v>
      </c>
      <c r="AI35" s="57" t="str">
        <f>LEFT(北段!#REF!,4)</f>
        <v>#ERROR!</v>
      </c>
      <c r="AJ35" s="57" t="str">
        <f>LEFT(北段!#REF!,4)</f>
        <v>#ERROR!</v>
      </c>
      <c r="AK35" s="57" t="str">
        <f>LEFT(北段!#REF!,4)</f>
        <v>#ERROR!</v>
      </c>
      <c r="AL35" s="57" t="str">
        <f>LEFT(北段!#REF!,4)</f>
        <v>#ERROR!</v>
      </c>
      <c r="AM35" s="57" t="str">
        <f>LEFT(北段!#REF!,4)</f>
        <v>#ERROR!</v>
      </c>
      <c r="AN35" s="57" t="str">
        <f>LEFT(北段!#REF!,4)</f>
        <v>#ERROR!</v>
      </c>
    </row>
    <row r="36" ht="43.5" customHeight="1">
      <c r="A36" s="185"/>
      <c r="B36" s="57" t="str">
        <f t="shared" si="32"/>
        <v>#REF!</v>
      </c>
      <c r="C36" s="61" t="str">
        <f>VLOOKUP(B36,'北段'!B:C,2,FALSE)</f>
        <v>#REF!</v>
      </c>
      <c r="D36" s="57" t="str">
        <f t="shared" ref="D36:N36" si="41">LEFT(#REF!,4)</f>
        <v>#REF!</v>
      </c>
      <c r="E36" s="57" t="str">
        <f t="shared" si="41"/>
        <v>#REF!</v>
      </c>
      <c r="F36" s="57" t="str">
        <f t="shared" si="41"/>
        <v>#REF!</v>
      </c>
      <c r="G36" s="57" t="str">
        <f t="shared" si="41"/>
        <v>#REF!</v>
      </c>
      <c r="H36" s="57" t="str">
        <f t="shared" si="41"/>
        <v>#REF!</v>
      </c>
      <c r="I36" s="57" t="str">
        <f t="shared" si="41"/>
        <v>#REF!</v>
      </c>
      <c r="J36" s="57" t="str">
        <f t="shared" si="41"/>
        <v>#REF!</v>
      </c>
      <c r="K36" s="57" t="str">
        <f t="shared" si="41"/>
        <v>#REF!</v>
      </c>
      <c r="L36" s="57" t="str">
        <f t="shared" si="41"/>
        <v>#REF!</v>
      </c>
      <c r="M36" s="57" t="str">
        <f t="shared" si="41"/>
        <v>#REF!</v>
      </c>
      <c r="N36" s="57" t="str">
        <f t="shared" si="41"/>
        <v>#REF!</v>
      </c>
      <c r="O36" s="57" t="str">
        <f>LEFT(#REF!,3)</f>
        <v>#REF!</v>
      </c>
      <c r="P36" s="57" t="str">
        <f t="shared" ref="P36:Q36" si="42">LEFT(#REF!,4)</f>
        <v>#REF!</v>
      </c>
      <c r="Q36" s="57" t="str">
        <f t="shared" si="42"/>
        <v>#REF!</v>
      </c>
      <c r="R36" s="57" t="str">
        <f>LEFT(#REF!,1)</f>
        <v>#REF!</v>
      </c>
      <c r="S36" s="57" t="str">
        <f t="shared" ref="S36:Y36" si="43">LEFT(#REF!,4)</f>
        <v>#REF!</v>
      </c>
      <c r="T36" s="57" t="str">
        <f t="shared" si="43"/>
        <v>#REF!</v>
      </c>
      <c r="U36" s="57" t="str">
        <f t="shared" si="43"/>
        <v>#REF!</v>
      </c>
      <c r="V36" s="57" t="str">
        <f t="shared" si="43"/>
        <v>#REF!</v>
      </c>
      <c r="W36" s="57" t="str">
        <f t="shared" si="43"/>
        <v>#REF!</v>
      </c>
      <c r="X36" s="57" t="str">
        <f t="shared" si="43"/>
        <v>#REF!</v>
      </c>
      <c r="Y36" s="57" t="str">
        <f t="shared" si="43"/>
        <v>#REF!</v>
      </c>
      <c r="Z36" s="57" t="str">
        <f t="shared" ref="Z36:AA36" si="44">LEFT(#REF!,3)</f>
        <v>#REF!</v>
      </c>
      <c r="AA36" s="57" t="str">
        <f t="shared" si="44"/>
        <v>#REF!</v>
      </c>
      <c r="AB36" s="57" t="str">
        <f t="shared" ref="AB36:AG36" si="45">LEFT(#REF!,4)</f>
        <v>#REF!</v>
      </c>
      <c r="AC36" s="57" t="str">
        <f t="shared" si="45"/>
        <v>#REF!</v>
      </c>
      <c r="AD36" s="57" t="str">
        <f t="shared" si="45"/>
        <v>#REF!</v>
      </c>
      <c r="AE36" s="57" t="str">
        <f t="shared" si="45"/>
        <v>#REF!</v>
      </c>
      <c r="AF36" s="57" t="str">
        <f t="shared" si="45"/>
        <v>#REF!</v>
      </c>
      <c r="AG36" s="57" t="str">
        <f t="shared" si="45"/>
        <v>#REF!</v>
      </c>
      <c r="AH36" s="57" t="str">
        <f>LEFT(北段!#REF!,4)</f>
        <v>#ERROR!</v>
      </c>
      <c r="AI36" s="57" t="str">
        <f>LEFT(北段!#REF!,4)</f>
        <v>#ERROR!</v>
      </c>
      <c r="AJ36" s="57" t="str">
        <f>LEFT(北段!#REF!,4)</f>
        <v>#ERROR!</v>
      </c>
      <c r="AK36" s="57" t="str">
        <f>LEFT(北段!#REF!,4)</f>
        <v>#ERROR!</v>
      </c>
      <c r="AL36" s="57" t="str">
        <f>LEFT(北段!#REF!,4)</f>
        <v>#ERROR!</v>
      </c>
      <c r="AM36" s="57" t="str">
        <f>LEFT(北段!#REF!,4)</f>
        <v>#ERROR!</v>
      </c>
      <c r="AN36" s="57" t="str">
        <f>LEFT(北段!#REF!,4)</f>
        <v>#ERROR!</v>
      </c>
    </row>
    <row r="37" ht="43.5" customHeight="1">
      <c r="A37" s="185"/>
      <c r="B37" s="57" t="str">
        <f t="shared" si="32"/>
        <v>#REF!</v>
      </c>
      <c r="C37" s="61" t="str">
        <f>VLOOKUP(B37,'北段'!B:C,2,FALSE)</f>
        <v>#REF!</v>
      </c>
      <c r="D37" s="57" t="str">
        <f t="shared" ref="D37:F37" si="46">LEFT(#REF!,4)</f>
        <v>#REF!</v>
      </c>
      <c r="E37" s="57" t="str">
        <f t="shared" si="46"/>
        <v>#REF!</v>
      </c>
      <c r="F37" s="57" t="str">
        <f t="shared" si="46"/>
        <v>#REF!</v>
      </c>
      <c r="G37" s="57" t="str">
        <f t="shared" ref="G37:H37" si="47">LEFT(#REF!,3)</f>
        <v>#REF!</v>
      </c>
      <c r="H37" s="57" t="str">
        <f t="shared" si="47"/>
        <v>#REF!</v>
      </c>
      <c r="I37" s="57" t="str">
        <f t="shared" ref="I37:X37" si="48">LEFT(#REF!,4)</f>
        <v>#REF!</v>
      </c>
      <c r="J37" s="57" t="str">
        <f t="shared" si="48"/>
        <v>#REF!</v>
      </c>
      <c r="K37" s="57" t="str">
        <f t="shared" si="48"/>
        <v>#REF!</v>
      </c>
      <c r="L37" s="57" t="str">
        <f t="shared" si="48"/>
        <v>#REF!</v>
      </c>
      <c r="M37" s="57" t="str">
        <f t="shared" si="48"/>
        <v>#REF!</v>
      </c>
      <c r="N37" s="57" t="str">
        <f t="shared" si="48"/>
        <v>#REF!</v>
      </c>
      <c r="O37" s="57" t="str">
        <f t="shared" si="48"/>
        <v>#REF!</v>
      </c>
      <c r="P37" s="57" t="str">
        <f t="shared" si="48"/>
        <v>#REF!</v>
      </c>
      <c r="Q37" s="57" t="str">
        <f t="shared" si="48"/>
        <v>#REF!</v>
      </c>
      <c r="R37" s="57" t="str">
        <f t="shared" si="48"/>
        <v>#REF!</v>
      </c>
      <c r="S37" s="57" t="str">
        <f t="shared" si="48"/>
        <v>#REF!</v>
      </c>
      <c r="T37" s="57" t="str">
        <f t="shared" si="48"/>
        <v>#REF!</v>
      </c>
      <c r="U37" s="57" t="str">
        <f t="shared" si="48"/>
        <v>#REF!</v>
      </c>
      <c r="V37" s="57" t="str">
        <f t="shared" si="48"/>
        <v>#REF!</v>
      </c>
      <c r="W37" s="57" t="str">
        <f t="shared" si="48"/>
        <v>#REF!</v>
      </c>
      <c r="X37" s="57" t="str">
        <f t="shared" si="48"/>
        <v>#REF!</v>
      </c>
      <c r="Y37" s="57" t="str">
        <f>LEFT(#REF!,3)</f>
        <v>#REF!</v>
      </c>
      <c r="Z37" s="57" t="str">
        <f t="shared" ref="Z37:AG37" si="49">LEFT(#REF!,4)</f>
        <v>#REF!</v>
      </c>
      <c r="AA37" s="57" t="str">
        <f t="shared" si="49"/>
        <v>#REF!</v>
      </c>
      <c r="AB37" s="57" t="str">
        <f t="shared" si="49"/>
        <v>#REF!</v>
      </c>
      <c r="AC37" s="57" t="str">
        <f t="shared" si="49"/>
        <v>#REF!</v>
      </c>
      <c r="AD37" s="57" t="str">
        <f t="shared" si="49"/>
        <v>#REF!</v>
      </c>
      <c r="AE37" s="57" t="str">
        <f t="shared" si="49"/>
        <v>#REF!</v>
      </c>
      <c r="AF37" s="57" t="str">
        <f t="shared" si="49"/>
        <v>#REF!</v>
      </c>
      <c r="AG37" s="57" t="str">
        <f t="shared" si="49"/>
        <v>#REF!</v>
      </c>
      <c r="AH37" s="57" t="str">
        <f>LEFT(北段!#REF!,4)</f>
        <v>#ERROR!</v>
      </c>
      <c r="AI37" s="57" t="str">
        <f>LEFT(北段!#REF!,4)</f>
        <v>#ERROR!</v>
      </c>
      <c r="AJ37" s="57" t="str">
        <f>LEFT(北段!#REF!,4)</f>
        <v>#ERROR!</v>
      </c>
      <c r="AK37" s="57" t="str">
        <f>LEFT(北段!#REF!,4)</f>
        <v>#ERROR!</v>
      </c>
      <c r="AL37" s="57" t="str">
        <f>LEFT(北段!#REF!,4)</f>
        <v>#ERROR!</v>
      </c>
      <c r="AM37" s="57" t="str">
        <f>LEFT(北段!#REF!,4)</f>
        <v>#ERROR!</v>
      </c>
      <c r="AN37" s="57" t="str">
        <f>LEFT(北段!#REF!,4)</f>
        <v>#ERROR!</v>
      </c>
    </row>
    <row r="38" ht="43.5" customHeight="1">
      <c r="A38" s="185"/>
      <c r="B38" s="57" t="str">
        <f t="shared" si="32"/>
        <v>#REF!</v>
      </c>
      <c r="C38" s="61" t="str">
        <f>VLOOKUP(B38,'北段'!B:C,2,FALSE)</f>
        <v>#REF!</v>
      </c>
      <c r="D38" s="57" t="str">
        <f t="shared" ref="D38:AG38" si="50">LEFT(#REF!,4)</f>
        <v>#REF!</v>
      </c>
      <c r="E38" s="57" t="str">
        <f t="shared" si="50"/>
        <v>#REF!</v>
      </c>
      <c r="F38" s="57" t="str">
        <f t="shared" si="50"/>
        <v>#REF!</v>
      </c>
      <c r="G38" s="57" t="str">
        <f t="shared" si="50"/>
        <v>#REF!</v>
      </c>
      <c r="H38" s="57" t="str">
        <f t="shared" si="50"/>
        <v>#REF!</v>
      </c>
      <c r="I38" s="57" t="str">
        <f t="shared" si="50"/>
        <v>#REF!</v>
      </c>
      <c r="J38" s="57" t="str">
        <f t="shared" si="50"/>
        <v>#REF!</v>
      </c>
      <c r="K38" s="57" t="str">
        <f t="shared" si="50"/>
        <v>#REF!</v>
      </c>
      <c r="L38" s="57" t="str">
        <f t="shared" si="50"/>
        <v>#REF!</v>
      </c>
      <c r="M38" s="57" t="str">
        <f t="shared" si="50"/>
        <v>#REF!</v>
      </c>
      <c r="N38" s="57" t="str">
        <f t="shared" si="50"/>
        <v>#REF!</v>
      </c>
      <c r="O38" s="57" t="str">
        <f t="shared" si="50"/>
        <v>#REF!</v>
      </c>
      <c r="P38" s="57" t="str">
        <f t="shared" si="50"/>
        <v>#REF!</v>
      </c>
      <c r="Q38" s="57" t="str">
        <f t="shared" si="50"/>
        <v>#REF!</v>
      </c>
      <c r="R38" s="57" t="str">
        <f t="shared" si="50"/>
        <v>#REF!</v>
      </c>
      <c r="S38" s="57" t="str">
        <f t="shared" si="50"/>
        <v>#REF!</v>
      </c>
      <c r="T38" s="57" t="str">
        <f t="shared" si="50"/>
        <v>#REF!</v>
      </c>
      <c r="U38" s="57" t="str">
        <f t="shared" si="50"/>
        <v>#REF!</v>
      </c>
      <c r="V38" s="57" t="str">
        <f t="shared" si="50"/>
        <v>#REF!</v>
      </c>
      <c r="W38" s="57" t="str">
        <f t="shared" si="50"/>
        <v>#REF!</v>
      </c>
      <c r="X38" s="57" t="str">
        <f t="shared" si="50"/>
        <v>#REF!</v>
      </c>
      <c r="Y38" s="57" t="str">
        <f t="shared" si="50"/>
        <v>#REF!</v>
      </c>
      <c r="Z38" s="57" t="str">
        <f t="shared" si="50"/>
        <v>#REF!</v>
      </c>
      <c r="AA38" s="57" t="str">
        <f t="shared" si="50"/>
        <v>#REF!</v>
      </c>
      <c r="AB38" s="57" t="str">
        <f t="shared" si="50"/>
        <v>#REF!</v>
      </c>
      <c r="AC38" s="57" t="str">
        <f t="shared" si="50"/>
        <v>#REF!</v>
      </c>
      <c r="AD38" s="57" t="str">
        <f t="shared" si="50"/>
        <v>#REF!</v>
      </c>
      <c r="AE38" s="57" t="str">
        <f t="shared" si="50"/>
        <v>#REF!</v>
      </c>
      <c r="AF38" s="57" t="str">
        <f t="shared" si="50"/>
        <v>#REF!</v>
      </c>
      <c r="AG38" s="57" t="str">
        <f t="shared" si="50"/>
        <v>#REF!</v>
      </c>
      <c r="AH38" s="57" t="str">
        <f>LEFT(北段!#REF!,4)</f>
        <v>#ERROR!</v>
      </c>
      <c r="AI38" s="57" t="str">
        <f>LEFT(北段!#REF!,4)</f>
        <v>#ERROR!</v>
      </c>
      <c r="AJ38" s="57" t="str">
        <f>LEFT(北段!#REF!,4)</f>
        <v>#ERROR!</v>
      </c>
      <c r="AK38" s="57" t="str">
        <f>LEFT(北段!#REF!,4)</f>
        <v>#ERROR!</v>
      </c>
      <c r="AL38" s="57" t="str">
        <f>LEFT(北段!#REF!,4)</f>
        <v>#ERROR!</v>
      </c>
      <c r="AM38" s="57" t="str">
        <f>LEFT(北段!#REF!,4)</f>
        <v>#ERROR!</v>
      </c>
      <c r="AN38" s="57" t="str">
        <f>LEFT(北段!#REF!,4)</f>
        <v>#ERROR!</v>
      </c>
    </row>
    <row r="39" ht="43.5" customHeight="1">
      <c r="A39" s="185"/>
      <c r="B39" s="57" t="str">
        <f t="shared" si="32"/>
        <v>#REF!</v>
      </c>
      <c r="C39" s="61" t="str">
        <f>VLOOKUP(B39,'北段'!B:C,2,FALSE)</f>
        <v>#REF!</v>
      </c>
      <c r="D39" s="57" t="str">
        <f t="shared" ref="D39:I39" si="51">LEFT(#REF!,4)</f>
        <v>#REF!</v>
      </c>
      <c r="E39" s="57" t="str">
        <f t="shared" si="51"/>
        <v>#REF!</v>
      </c>
      <c r="F39" s="57" t="str">
        <f t="shared" si="51"/>
        <v>#REF!</v>
      </c>
      <c r="G39" s="57" t="str">
        <f t="shared" si="51"/>
        <v>#REF!</v>
      </c>
      <c r="H39" s="57" t="str">
        <f t="shared" si="51"/>
        <v>#REF!</v>
      </c>
      <c r="I39" s="57" t="str">
        <f t="shared" si="51"/>
        <v>#REF!</v>
      </c>
      <c r="J39" s="57" t="str">
        <f>LEFT(#REF!,8)</f>
        <v>#REF!</v>
      </c>
      <c r="K39" s="57" t="str">
        <f t="shared" ref="K39:AG39" si="52">LEFT(#REF!,4)</f>
        <v>#REF!</v>
      </c>
      <c r="L39" s="57" t="str">
        <f t="shared" si="52"/>
        <v>#REF!</v>
      </c>
      <c r="M39" s="57" t="str">
        <f t="shared" si="52"/>
        <v>#REF!</v>
      </c>
      <c r="N39" s="57" t="str">
        <f t="shared" si="52"/>
        <v>#REF!</v>
      </c>
      <c r="O39" s="57" t="str">
        <f t="shared" si="52"/>
        <v>#REF!</v>
      </c>
      <c r="P39" s="57" t="str">
        <f t="shared" si="52"/>
        <v>#REF!</v>
      </c>
      <c r="Q39" s="57" t="str">
        <f t="shared" si="52"/>
        <v>#REF!</v>
      </c>
      <c r="R39" s="57" t="str">
        <f t="shared" si="52"/>
        <v>#REF!</v>
      </c>
      <c r="S39" s="57" t="str">
        <f t="shared" si="52"/>
        <v>#REF!</v>
      </c>
      <c r="T39" s="57" t="str">
        <f t="shared" si="52"/>
        <v>#REF!</v>
      </c>
      <c r="U39" s="57" t="str">
        <f t="shared" si="52"/>
        <v>#REF!</v>
      </c>
      <c r="V39" s="57" t="str">
        <f t="shared" si="52"/>
        <v>#REF!</v>
      </c>
      <c r="W39" s="57" t="str">
        <f t="shared" si="52"/>
        <v>#REF!</v>
      </c>
      <c r="X39" s="57" t="str">
        <f t="shared" si="52"/>
        <v>#REF!</v>
      </c>
      <c r="Y39" s="57" t="str">
        <f t="shared" si="52"/>
        <v>#REF!</v>
      </c>
      <c r="Z39" s="57" t="str">
        <f t="shared" si="52"/>
        <v>#REF!</v>
      </c>
      <c r="AA39" s="57" t="str">
        <f t="shared" si="52"/>
        <v>#REF!</v>
      </c>
      <c r="AB39" s="57" t="str">
        <f t="shared" si="52"/>
        <v>#REF!</v>
      </c>
      <c r="AC39" s="57" t="str">
        <f t="shared" si="52"/>
        <v>#REF!</v>
      </c>
      <c r="AD39" s="57" t="str">
        <f t="shared" si="52"/>
        <v>#REF!</v>
      </c>
      <c r="AE39" s="57" t="str">
        <f t="shared" si="52"/>
        <v>#REF!</v>
      </c>
      <c r="AF39" s="57" t="str">
        <f t="shared" si="52"/>
        <v>#REF!</v>
      </c>
      <c r="AG39" s="57" t="str">
        <f t="shared" si="52"/>
        <v>#REF!</v>
      </c>
      <c r="AH39" s="57" t="str">
        <f>LEFT(北段!#REF!,4)</f>
        <v>#ERROR!</v>
      </c>
      <c r="AI39" s="57" t="str">
        <f>LEFT(北段!#REF!,4)</f>
        <v>#ERROR!</v>
      </c>
      <c r="AJ39" s="57" t="str">
        <f>LEFT(北段!#REF!,4)</f>
        <v>#ERROR!</v>
      </c>
      <c r="AK39" s="57" t="str">
        <f>LEFT(北段!#REF!,4)</f>
        <v>#ERROR!</v>
      </c>
      <c r="AL39" s="57" t="str">
        <f>LEFT(北段!#REF!,4)</f>
        <v>#ERROR!</v>
      </c>
      <c r="AM39" s="57" t="str">
        <f>LEFT(北段!#REF!,4)</f>
        <v>#ERROR!</v>
      </c>
      <c r="AN39" s="57" t="str">
        <f>LEFT(北段!#REF!,4)</f>
        <v>#ERROR!</v>
      </c>
    </row>
    <row r="40" ht="43.5" customHeight="1">
      <c r="A40" s="185"/>
      <c r="B40" s="57" t="str">
        <f t="shared" si="32"/>
        <v>#REF!</v>
      </c>
      <c r="C40" s="61" t="str">
        <f>VLOOKUP(B40,'北段'!B:C,2,FALSE)</f>
        <v>#REF!</v>
      </c>
      <c r="D40" s="57" t="str">
        <f t="shared" ref="D40:M40" si="53">LEFT(#REF!,4)</f>
        <v>#REF!</v>
      </c>
      <c r="E40" s="57" t="str">
        <f t="shared" si="53"/>
        <v>#REF!</v>
      </c>
      <c r="F40" s="57" t="str">
        <f t="shared" si="53"/>
        <v>#REF!</v>
      </c>
      <c r="G40" s="57" t="str">
        <f t="shared" si="53"/>
        <v>#REF!</v>
      </c>
      <c r="H40" s="57" t="str">
        <f t="shared" si="53"/>
        <v>#REF!</v>
      </c>
      <c r="I40" s="57" t="str">
        <f t="shared" si="53"/>
        <v>#REF!</v>
      </c>
      <c r="J40" s="57" t="str">
        <f t="shared" si="53"/>
        <v>#REF!</v>
      </c>
      <c r="K40" s="57" t="str">
        <f t="shared" si="53"/>
        <v>#REF!</v>
      </c>
      <c r="L40" s="57" t="str">
        <f t="shared" si="53"/>
        <v>#REF!</v>
      </c>
      <c r="M40" s="57" t="str">
        <f t="shared" si="53"/>
        <v>#REF!</v>
      </c>
      <c r="N40" s="57" t="str">
        <f>LEFT(#REF!,3)</f>
        <v>#REF!</v>
      </c>
      <c r="O40" s="57" t="str">
        <f t="shared" ref="O40:AG40" si="54">LEFT(#REF!,4)</f>
        <v>#REF!</v>
      </c>
      <c r="P40" s="57" t="str">
        <f t="shared" si="54"/>
        <v>#REF!</v>
      </c>
      <c r="Q40" s="57" t="str">
        <f t="shared" si="54"/>
        <v>#REF!</v>
      </c>
      <c r="R40" s="57" t="str">
        <f t="shared" si="54"/>
        <v>#REF!</v>
      </c>
      <c r="S40" s="57" t="str">
        <f t="shared" si="54"/>
        <v>#REF!</v>
      </c>
      <c r="T40" s="57" t="str">
        <f t="shared" si="54"/>
        <v>#REF!</v>
      </c>
      <c r="U40" s="57" t="str">
        <f t="shared" si="54"/>
        <v>#REF!</v>
      </c>
      <c r="V40" s="57" t="str">
        <f t="shared" si="54"/>
        <v>#REF!</v>
      </c>
      <c r="W40" s="57" t="str">
        <f t="shared" si="54"/>
        <v>#REF!</v>
      </c>
      <c r="X40" s="57" t="str">
        <f t="shared" si="54"/>
        <v>#REF!</v>
      </c>
      <c r="Y40" s="57" t="str">
        <f t="shared" si="54"/>
        <v>#REF!</v>
      </c>
      <c r="Z40" s="57" t="str">
        <f t="shared" si="54"/>
        <v>#REF!</v>
      </c>
      <c r="AA40" s="57" t="str">
        <f t="shared" si="54"/>
        <v>#REF!</v>
      </c>
      <c r="AB40" s="57" t="str">
        <f t="shared" si="54"/>
        <v>#REF!</v>
      </c>
      <c r="AC40" s="57" t="str">
        <f t="shared" si="54"/>
        <v>#REF!</v>
      </c>
      <c r="AD40" s="57" t="str">
        <f t="shared" si="54"/>
        <v>#REF!</v>
      </c>
      <c r="AE40" s="57" t="str">
        <f t="shared" si="54"/>
        <v>#REF!</v>
      </c>
      <c r="AF40" s="57" t="str">
        <f t="shared" si="54"/>
        <v>#REF!</v>
      </c>
      <c r="AG40" s="57" t="str">
        <f t="shared" si="54"/>
        <v>#REF!</v>
      </c>
      <c r="AH40" s="57" t="str">
        <f>LEFT(北段!#REF!,4)</f>
        <v>#ERROR!</v>
      </c>
      <c r="AI40" s="57" t="str">
        <f>LEFT(北段!#REF!,4)</f>
        <v>#ERROR!</v>
      </c>
      <c r="AJ40" s="57" t="str">
        <f>LEFT(北段!#REF!,4)</f>
        <v>#ERROR!</v>
      </c>
      <c r="AK40" s="57" t="str">
        <f>LEFT(北段!#REF!,4)</f>
        <v>#ERROR!</v>
      </c>
      <c r="AL40" s="57" t="str">
        <f>LEFT(北段!#REF!,4)</f>
        <v>#ERROR!</v>
      </c>
      <c r="AM40" s="57" t="str">
        <f>LEFT(北段!#REF!,4)</f>
        <v>#ERROR!</v>
      </c>
      <c r="AN40" s="57" t="str">
        <f>LEFT(北段!#REF!,4)</f>
        <v>#ERROR!</v>
      </c>
    </row>
    <row r="41" ht="43.5" customHeight="1">
      <c r="A41" s="186"/>
      <c r="B41" s="169" t="str">
        <f t="shared" si="32"/>
        <v>#REF!</v>
      </c>
      <c r="C41" s="116" t="str">
        <f>VLOOKUP(B41,'北段'!B:C,2,FALSE)</f>
        <v>#REF!</v>
      </c>
      <c r="D41" s="57" t="str">
        <f t="shared" ref="D41:J41" si="55">LEFT(#REF!,4)</f>
        <v>#REF!</v>
      </c>
      <c r="E41" s="57" t="str">
        <f t="shared" si="55"/>
        <v>#REF!</v>
      </c>
      <c r="F41" s="57" t="str">
        <f t="shared" si="55"/>
        <v>#REF!</v>
      </c>
      <c r="G41" s="57" t="str">
        <f t="shared" si="55"/>
        <v>#REF!</v>
      </c>
      <c r="H41" s="57" t="str">
        <f t="shared" si="55"/>
        <v>#REF!</v>
      </c>
      <c r="I41" s="57" t="str">
        <f t="shared" si="55"/>
        <v>#REF!</v>
      </c>
      <c r="J41" s="57" t="str">
        <f t="shared" si="55"/>
        <v>#REF!</v>
      </c>
      <c r="K41" s="57" t="str">
        <f>LEFT(#REF!,3)</f>
        <v>#REF!</v>
      </c>
      <c r="L41" s="57" t="str">
        <f t="shared" ref="L41:Q41" si="56">LEFT(#REF!,4)</f>
        <v>#REF!</v>
      </c>
      <c r="M41" s="57" t="str">
        <f t="shared" si="56"/>
        <v>#REF!</v>
      </c>
      <c r="N41" s="57" t="str">
        <f t="shared" si="56"/>
        <v>#REF!</v>
      </c>
      <c r="O41" s="57" t="str">
        <f t="shared" si="56"/>
        <v>#REF!</v>
      </c>
      <c r="P41" s="57" t="str">
        <f t="shared" si="56"/>
        <v>#REF!</v>
      </c>
      <c r="Q41" s="57" t="str">
        <f t="shared" si="56"/>
        <v>#REF!</v>
      </c>
      <c r="R41" s="57" t="str">
        <f>LEFT(#REF!,8)</f>
        <v>#REF!</v>
      </c>
      <c r="S41" s="57" t="str">
        <f t="shared" ref="S41:AG41" si="57">LEFT(#REF!,4)</f>
        <v>#REF!</v>
      </c>
      <c r="T41" s="57" t="str">
        <f t="shared" si="57"/>
        <v>#REF!</v>
      </c>
      <c r="U41" s="57" t="str">
        <f t="shared" si="57"/>
        <v>#REF!</v>
      </c>
      <c r="V41" s="57" t="str">
        <f t="shared" si="57"/>
        <v>#REF!</v>
      </c>
      <c r="W41" s="57" t="str">
        <f t="shared" si="57"/>
        <v>#REF!</v>
      </c>
      <c r="X41" s="57" t="str">
        <f t="shared" si="57"/>
        <v>#REF!</v>
      </c>
      <c r="Y41" s="57" t="str">
        <f t="shared" si="57"/>
        <v>#REF!</v>
      </c>
      <c r="Z41" s="57" t="str">
        <f t="shared" si="57"/>
        <v>#REF!</v>
      </c>
      <c r="AA41" s="57" t="str">
        <f t="shared" si="57"/>
        <v>#REF!</v>
      </c>
      <c r="AB41" s="57" t="str">
        <f t="shared" si="57"/>
        <v>#REF!</v>
      </c>
      <c r="AC41" s="57" t="str">
        <f t="shared" si="57"/>
        <v>#REF!</v>
      </c>
      <c r="AD41" s="57" t="str">
        <f t="shared" si="57"/>
        <v>#REF!</v>
      </c>
      <c r="AE41" s="57" t="str">
        <f t="shared" si="57"/>
        <v>#REF!</v>
      </c>
      <c r="AF41" s="57" t="str">
        <f t="shared" si="57"/>
        <v>#REF!</v>
      </c>
      <c r="AG41" s="57" t="str">
        <f t="shared" si="57"/>
        <v>#REF!</v>
      </c>
      <c r="AH41" s="57" t="str">
        <f>LEFT(北段!#REF!,4)</f>
        <v>#ERROR!</v>
      </c>
      <c r="AI41" s="57" t="str">
        <f>LEFT(北段!#REF!,4)</f>
        <v>#ERROR!</v>
      </c>
      <c r="AJ41" s="57" t="str">
        <f>LEFT(北段!#REF!,4)</f>
        <v>#ERROR!</v>
      </c>
      <c r="AK41" s="57" t="str">
        <f>LEFT(北段!#REF!,4)</f>
        <v>#ERROR!</v>
      </c>
      <c r="AL41" s="57" t="str">
        <f>LEFT(北段!#REF!,4)</f>
        <v>#ERROR!</v>
      </c>
      <c r="AM41" s="57" t="str">
        <f>LEFT(北段!#REF!,4)</f>
        <v>#ERROR!</v>
      </c>
      <c r="AN41" s="57" t="str">
        <f>LEFT(北段!#REF!,4)</f>
        <v>#ERROR!</v>
      </c>
    </row>
    <row r="42" ht="43.5" customHeight="1">
      <c r="A42" s="184"/>
      <c r="B42" s="167" t="str">
        <f t="shared" si="32"/>
        <v>#REF!</v>
      </c>
      <c r="C42" s="45" t="str">
        <f>VLOOKUP(B42,'北段'!B:C,2,FALSE)</f>
        <v>#REF!</v>
      </c>
      <c r="D42" s="57" t="str">
        <f t="shared" ref="D42:F42" si="58">LEFT(#REF!,4)</f>
        <v>#REF!</v>
      </c>
      <c r="E42" s="57" t="str">
        <f t="shared" si="58"/>
        <v>#REF!</v>
      </c>
      <c r="F42" s="57" t="str">
        <f t="shared" si="58"/>
        <v>#REF!</v>
      </c>
      <c r="G42" s="57" t="str">
        <f t="shared" ref="G42:G44" si="65">LEFT(#REF!,3)</f>
        <v>#REF!</v>
      </c>
      <c r="H42" s="57" t="str">
        <f t="shared" ref="H42:H44" si="66">LEFT(#REF!,4)</f>
        <v>#REF!</v>
      </c>
      <c r="I42" s="57" t="str">
        <f>LEFT(#REF!,7)</f>
        <v>#REF!</v>
      </c>
      <c r="J42" s="57" t="str">
        <f t="shared" ref="J42:K42" si="59">LEFT(#REF!,8)</f>
        <v>#REF!</v>
      </c>
      <c r="K42" s="57" t="str">
        <f t="shared" si="59"/>
        <v>#REF!</v>
      </c>
      <c r="L42" s="57" t="str">
        <f>LEFT(#REF!,3)</f>
        <v>#REF!</v>
      </c>
      <c r="M42" s="57" t="str">
        <f t="shared" ref="M42:N42" si="60">LEFT(#REF!,4)</f>
        <v>#REF!</v>
      </c>
      <c r="N42" s="57" t="str">
        <f t="shared" si="60"/>
        <v>#REF!</v>
      </c>
      <c r="O42" s="57" t="str">
        <f t="shared" ref="O42:R42" si="61">LEFT(#REF!,3)</f>
        <v>#REF!</v>
      </c>
      <c r="P42" s="57" t="str">
        <f t="shared" si="61"/>
        <v>#REF!</v>
      </c>
      <c r="Q42" s="57" t="str">
        <f t="shared" si="61"/>
        <v>#REF!</v>
      </c>
      <c r="R42" s="57" t="str">
        <f t="shared" si="61"/>
        <v>#REF!</v>
      </c>
      <c r="S42" s="57" t="str">
        <f t="shared" ref="S42:X42" si="62">LEFT(#REF!,4)</f>
        <v>#REF!</v>
      </c>
      <c r="T42" s="57" t="str">
        <f t="shared" si="62"/>
        <v>#REF!</v>
      </c>
      <c r="U42" s="57" t="str">
        <f t="shared" si="62"/>
        <v>#REF!</v>
      </c>
      <c r="V42" s="57" t="str">
        <f t="shared" si="62"/>
        <v>#REF!</v>
      </c>
      <c r="W42" s="57" t="str">
        <f t="shared" si="62"/>
        <v>#REF!</v>
      </c>
      <c r="X42" s="57" t="str">
        <f t="shared" si="62"/>
        <v>#REF!</v>
      </c>
      <c r="Y42" s="57" t="str">
        <f t="shared" ref="Y42:Y43" si="68">LEFT(#REF!,3)</f>
        <v>#REF!</v>
      </c>
      <c r="Z42" s="57" t="str">
        <f>LEFT(#REF!,8)</f>
        <v>#REF!</v>
      </c>
      <c r="AA42" s="57" t="str">
        <f t="shared" ref="AA42:AG42" si="63">LEFT(#REF!,4)</f>
        <v>#REF!</v>
      </c>
      <c r="AB42" s="57" t="str">
        <f t="shared" si="63"/>
        <v>#REF!</v>
      </c>
      <c r="AC42" s="57" t="str">
        <f t="shared" si="63"/>
        <v>#REF!</v>
      </c>
      <c r="AD42" s="57" t="str">
        <f t="shared" si="63"/>
        <v>#REF!</v>
      </c>
      <c r="AE42" s="57" t="str">
        <f t="shared" si="63"/>
        <v>#REF!</v>
      </c>
      <c r="AF42" s="57" t="str">
        <f t="shared" si="63"/>
        <v>#REF!</v>
      </c>
      <c r="AG42" s="57" t="str">
        <f t="shared" si="63"/>
        <v>#REF!</v>
      </c>
      <c r="AH42" s="57" t="str">
        <f>LEFT(北段!#REF!,4)</f>
        <v>#ERROR!</v>
      </c>
      <c r="AI42" s="57" t="str">
        <f>LEFT(北段!#REF!,4)</f>
        <v>#ERROR!</v>
      </c>
      <c r="AJ42" s="57" t="str">
        <f>LEFT(北段!#REF!,4)</f>
        <v>#ERROR!</v>
      </c>
      <c r="AK42" s="57" t="str">
        <f>LEFT(北段!#REF!,4)</f>
        <v>#ERROR!</v>
      </c>
      <c r="AL42" s="57" t="str">
        <f>LEFT(北段!#REF!,4)</f>
        <v>#ERROR!</v>
      </c>
      <c r="AM42" s="57" t="str">
        <f>LEFT(北段!#REF!,4)</f>
        <v>#ERROR!</v>
      </c>
      <c r="AN42" s="57" t="str">
        <f>LEFT(北段!#REF!,4)</f>
        <v>#ERROR!</v>
      </c>
    </row>
    <row r="43" ht="43.5" customHeight="1">
      <c r="A43" s="185"/>
      <c r="B43" s="57" t="str">
        <f t="shared" si="32"/>
        <v>#REF!</v>
      </c>
      <c r="C43" s="61" t="str">
        <f>VLOOKUP(B43,'北段'!B:C,2,FALSE)</f>
        <v>#REF!</v>
      </c>
      <c r="D43" s="57" t="str">
        <f>LEFT(#REF!,7)</f>
        <v>#REF!</v>
      </c>
      <c r="E43" s="57" t="str">
        <f t="shared" ref="E43:F43" si="64">LEFT(#REF!,4)</f>
        <v>#REF!</v>
      </c>
      <c r="F43" s="57" t="str">
        <f t="shared" si="64"/>
        <v>#REF!</v>
      </c>
      <c r="G43" s="57" t="str">
        <f t="shared" si="65"/>
        <v>#REF!</v>
      </c>
      <c r="H43" s="57" t="str">
        <f t="shared" si="66"/>
        <v>#REF!</v>
      </c>
      <c r="I43" s="57" t="str">
        <f t="shared" ref="I43:X43" si="67">LEFT(#REF!,4)</f>
        <v>#REF!</v>
      </c>
      <c r="J43" s="57" t="str">
        <f t="shared" si="67"/>
        <v>#REF!</v>
      </c>
      <c r="K43" s="57" t="str">
        <f t="shared" si="67"/>
        <v>#REF!</v>
      </c>
      <c r="L43" s="57" t="str">
        <f t="shared" si="67"/>
        <v>#REF!</v>
      </c>
      <c r="M43" s="57" t="str">
        <f t="shared" si="67"/>
        <v>#REF!</v>
      </c>
      <c r="N43" s="57" t="str">
        <f t="shared" si="67"/>
        <v>#REF!</v>
      </c>
      <c r="O43" s="57" t="str">
        <f t="shared" si="67"/>
        <v>#REF!</v>
      </c>
      <c r="P43" s="57" t="str">
        <f t="shared" si="67"/>
        <v>#REF!</v>
      </c>
      <c r="Q43" s="57" t="str">
        <f t="shared" si="67"/>
        <v>#REF!</v>
      </c>
      <c r="R43" s="57" t="str">
        <f t="shared" si="67"/>
        <v>#REF!</v>
      </c>
      <c r="S43" s="57" t="str">
        <f t="shared" si="67"/>
        <v>#REF!</v>
      </c>
      <c r="T43" s="57" t="str">
        <f t="shared" si="67"/>
        <v>#REF!</v>
      </c>
      <c r="U43" s="57" t="str">
        <f t="shared" si="67"/>
        <v>#REF!</v>
      </c>
      <c r="V43" s="57" t="str">
        <f t="shared" si="67"/>
        <v>#REF!</v>
      </c>
      <c r="W43" s="57" t="str">
        <f t="shared" si="67"/>
        <v>#REF!</v>
      </c>
      <c r="X43" s="57" t="str">
        <f t="shared" si="67"/>
        <v>#REF!</v>
      </c>
      <c r="Y43" s="57" t="str">
        <f t="shared" si="68"/>
        <v>#REF!</v>
      </c>
      <c r="Z43" s="57" t="str">
        <f t="shared" ref="Z43:AG43" si="69">LEFT(#REF!,4)</f>
        <v>#REF!</v>
      </c>
      <c r="AA43" s="57" t="str">
        <f t="shared" si="69"/>
        <v>#REF!</v>
      </c>
      <c r="AB43" s="57" t="str">
        <f t="shared" si="69"/>
        <v>#REF!</v>
      </c>
      <c r="AC43" s="57" t="str">
        <f t="shared" si="69"/>
        <v>#REF!</v>
      </c>
      <c r="AD43" s="57" t="str">
        <f t="shared" si="69"/>
        <v>#REF!</v>
      </c>
      <c r="AE43" s="57" t="str">
        <f t="shared" si="69"/>
        <v>#REF!</v>
      </c>
      <c r="AF43" s="57" t="str">
        <f t="shared" si="69"/>
        <v>#REF!</v>
      </c>
      <c r="AG43" s="57" t="str">
        <f t="shared" si="69"/>
        <v>#REF!</v>
      </c>
      <c r="AH43" s="57" t="str">
        <f>LEFT(北段!#REF!,4)</f>
        <v>#ERROR!</v>
      </c>
      <c r="AI43" s="57" t="str">
        <f>LEFT(北段!#REF!,4)</f>
        <v>#ERROR!</v>
      </c>
      <c r="AJ43" s="57" t="str">
        <f>LEFT(北段!#REF!,4)</f>
        <v>#ERROR!</v>
      </c>
      <c r="AK43" s="57" t="str">
        <f>LEFT(北段!#REF!,4)</f>
        <v>#ERROR!</v>
      </c>
      <c r="AL43" s="57" t="str">
        <f>LEFT(北段!#REF!,4)</f>
        <v>#ERROR!</v>
      </c>
      <c r="AM43" s="57" t="str">
        <f>LEFT(北段!#REF!,4)</f>
        <v>#ERROR!</v>
      </c>
      <c r="AN43" s="57" t="str">
        <f>LEFT(北段!#REF!,4)</f>
        <v>#ERROR!</v>
      </c>
    </row>
    <row r="44" ht="43.5" customHeight="1">
      <c r="A44" s="185"/>
      <c r="B44" s="57" t="str">
        <f t="shared" si="32"/>
        <v>#REF!</v>
      </c>
      <c r="C44" s="61" t="str">
        <f>VLOOKUP(B44,'北段'!B:C,2,FALSE)</f>
        <v>#REF!</v>
      </c>
      <c r="D44" s="57" t="str">
        <f t="shared" ref="D44:F44" si="70">LEFT(#REF!,4)</f>
        <v>#REF!</v>
      </c>
      <c r="E44" s="57" t="str">
        <f t="shared" si="70"/>
        <v>#REF!</v>
      </c>
      <c r="F44" s="57" t="str">
        <f t="shared" si="70"/>
        <v>#REF!</v>
      </c>
      <c r="G44" s="57" t="str">
        <f t="shared" si="65"/>
        <v>#REF!</v>
      </c>
      <c r="H44" s="57" t="str">
        <f t="shared" si="66"/>
        <v>#REF!</v>
      </c>
      <c r="I44" s="57" t="str">
        <f>LEFT(#REF!,4)</f>
        <v>#REF!</v>
      </c>
      <c r="J44" s="57" t="str">
        <f>LEFT(#REF!,3)</f>
        <v>#REF!</v>
      </c>
      <c r="K44" s="57" t="str">
        <f>LEFT(#REF!,4)</f>
        <v>#REF!</v>
      </c>
      <c r="L44" s="57" t="str">
        <f>LEFT(#REF!,3)</f>
        <v>#REF!</v>
      </c>
      <c r="M44" s="57" t="str">
        <f t="shared" ref="M44:R44" si="71">LEFT(#REF!,4)</f>
        <v>#REF!</v>
      </c>
      <c r="N44" s="57" t="str">
        <f t="shared" si="71"/>
        <v>#REF!</v>
      </c>
      <c r="O44" s="57" t="str">
        <f t="shared" si="71"/>
        <v>#REF!</v>
      </c>
      <c r="P44" s="57" t="str">
        <f t="shared" si="71"/>
        <v>#REF!</v>
      </c>
      <c r="Q44" s="57" t="str">
        <f t="shared" si="71"/>
        <v>#REF!</v>
      </c>
      <c r="R44" s="57" t="str">
        <f t="shared" si="71"/>
        <v>#REF!</v>
      </c>
      <c r="S44" s="57" t="str">
        <f>LEFT(#REF!,8)</f>
        <v>#REF!</v>
      </c>
      <c r="T44" s="57" t="str">
        <f t="shared" ref="T44:AG44" si="72">LEFT(#REF!,4)</f>
        <v>#REF!</v>
      </c>
      <c r="U44" s="57" t="str">
        <f t="shared" si="72"/>
        <v>#REF!</v>
      </c>
      <c r="V44" s="57" t="str">
        <f t="shared" si="72"/>
        <v>#REF!</v>
      </c>
      <c r="W44" s="57" t="str">
        <f t="shared" si="72"/>
        <v>#REF!</v>
      </c>
      <c r="X44" s="57" t="str">
        <f t="shared" si="72"/>
        <v>#REF!</v>
      </c>
      <c r="Y44" s="57" t="str">
        <f t="shared" si="72"/>
        <v>#REF!</v>
      </c>
      <c r="Z44" s="57" t="str">
        <f t="shared" si="72"/>
        <v>#REF!</v>
      </c>
      <c r="AA44" s="57" t="str">
        <f t="shared" si="72"/>
        <v>#REF!</v>
      </c>
      <c r="AB44" s="57" t="str">
        <f t="shared" si="72"/>
        <v>#REF!</v>
      </c>
      <c r="AC44" s="57" t="str">
        <f t="shared" si="72"/>
        <v>#REF!</v>
      </c>
      <c r="AD44" s="57" t="str">
        <f t="shared" si="72"/>
        <v>#REF!</v>
      </c>
      <c r="AE44" s="57" t="str">
        <f t="shared" si="72"/>
        <v>#REF!</v>
      </c>
      <c r="AF44" s="57" t="str">
        <f t="shared" si="72"/>
        <v>#REF!</v>
      </c>
      <c r="AG44" s="57" t="str">
        <f t="shared" si="72"/>
        <v>#REF!</v>
      </c>
      <c r="AH44" s="57" t="str">
        <f>LEFT(北段!#REF!,4)</f>
        <v>#ERROR!</v>
      </c>
      <c r="AI44" s="57" t="str">
        <f>LEFT(北段!#REF!,4)</f>
        <v>#ERROR!</v>
      </c>
      <c r="AJ44" s="57" t="str">
        <f>LEFT(北段!#REF!,4)</f>
        <v>#ERROR!</v>
      </c>
      <c r="AK44" s="57" t="str">
        <f>LEFT(北段!#REF!,4)</f>
        <v>#ERROR!</v>
      </c>
      <c r="AL44" s="57" t="str">
        <f>LEFT(北段!#REF!,4)</f>
        <v>#ERROR!</v>
      </c>
      <c r="AM44" s="57" t="str">
        <f>LEFT(北段!#REF!,4)</f>
        <v>#ERROR!</v>
      </c>
      <c r="AN44" s="57" t="str">
        <f>LEFT(北段!#REF!,4)</f>
        <v>#ERROR!</v>
      </c>
    </row>
    <row r="45" ht="43.5" customHeight="1">
      <c r="A45" s="185"/>
      <c r="B45" s="57" t="str">
        <f t="shared" si="32"/>
        <v>#REF!</v>
      </c>
      <c r="C45" s="61" t="str">
        <f>VLOOKUP(B45,'北段'!B:C,2,FALSE)</f>
        <v>#REF!</v>
      </c>
      <c r="D45" s="57" t="str">
        <f t="shared" ref="D45:O45" si="73">LEFT(#REF!,4)</f>
        <v>#REF!</v>
      </c>
      <c r="E45" s="57" t="str">
        <f t="shared" si="73"/>
        <v>#REF!</v>
      </c>
      <c r="F45" s="57" t="str">
        <f t="shared" si="73"/>
        <v>#REF!</v>
      </c>
      <c r="G45" s="57" t="str">
        <f t="shared" si="73"/>
        <v>#REF!</v>
      </c>
      <c r="H45" s="57" t="str">
        <f t="shared" si="73"/>
        <v>#REF!</v>
      </c>
      <c r="I45" s="57" t="str">
        <f t="shared" si="73"/>
        <v>#REF!</v>
      </c>
      <c r="J45" s="57" t="str">
        <f t="shared" si="73"/>
        <v>#REF!</v>
      </c>
      <c r="K45" s="57" t="str">
        <f t="shared" si="73"/>
        <v>#REF!</v>
      </c>
      <c r="L45" s="57" t="str">
        <f t="shared" si="73"/>
        <v>#REF!</v>
      </c>
      <c r="M45" s="57" t="str">
        <f t="shared" si="73"/>
        <v>#REF!</v>
      </c>
      <c r="N45" s="57" t="str">
        <f t="shared" si="73"/>
        <v>#REF!</v>
      </c>
      <c r="O45" s="57" t="str">
        <f t="shared" si="73"/>
        <v>#REF!</v>
      </c>
      <c r="P45" s="57" t="str">
        <f>LEFT(#REF!,3)</f>
        <v>#REF!</v>
      </c>
      <c r="Q45" s="57" t="str">
        <f t="shared" ref="Q45:Y45" si="74">LEFT(#REF!,4)</f>
        <v>#REF!</v>
      </c>
      <c r="R45" s="57" t="str">
        <f t="shared" si="74"/>
        <v>#REF!</v>
      </c>
      <c r="S45" s="57" t="str">
        <f t="shared" si="74"/>
        <v>#REF!</v>
      </c>
      <c r="T45" s="57" t="str">
        <f t="shared" si="74"/>
        <v>#REF!</v>
      </c>
      <c r="U45" s="57" t="str">
        <f t="shared" si="74"/>
        <v>#REF!</v>
      </c>
      <c r="V45" s="57" t="str">
        <f t="shared" si="74"/>
        <v>#REF!</v>
      </c>
      <c r="W45" s="57" t="str">
        <f t="shared" si="74"/>
        <v>#REF!</v>
      </c>
      <c r="X45" s="57" t="str">
        <f t="shared" si="74"/>
        <v>#REF!</v>
      </c>
      <c r="Y45" s="57" t="str">
        <f t="shared" si="74"/>
        <v>#REF!</v>
      </c>
      <c r="Z45" s="57" t="str">
        <f>LEFT(#REF!,3)</f>
        <v>#REF!</v>
      </c>
      <c r="AA45" s="57" t="str">
        <f t="shared" ref="AA45:AG45" si="75">LEFT(#REF!,4)</f>
        <v>#REF!</v>
      </c>
      <c r="AB45" s="57" t="str">
        <f t="shared" si="75"/>
        <v>#REF!</v>
      </c>
      <c r="AC45" s="57" t="str">
        <f t="shared" si="75"/>
        <v>#REF!</v>
      </c>
      <c r="AD45" s="57" t="str">
        <f t="shared" si="75"/>
        <v>#REF!</v>
      </c>
      <c r="AE45" s="57" t="str">
        <f t="shared" si="75"/>
        <v>#REF!</v>
      </c>
      <c r="AF45" s="57" t="str">
        <f t="shared" si="75"/>
        <v>#REF!</v>
      </c>
      <c r="AG45" s="57" t="str">
        <f t="shared" si="75"/>
        <v>#REF!</v>
      </c>
      <c r="AH45" s="57" t="str">
        <f>LEFT(北段!#REF!,4)</f>
        <v>#ERROR!</v>
      </c>
      <c r="AI45" s="57" t="str">
        <f>LEFT(北段!#REF!,4)</f>
        <v>#ERROR!</v>
      </c>
      <c r="AJ45" s="57" t="str">
        <f>LEFT(北段!#REF!,4)</f>
        <v>#ERROR!</v>
      </c>
      <c r="AK45" s="57" t="str">
        <f>LEFT(北段!#REF!,4)</f>
        <v>#ERROR!</v>
      </c>
      <c r="AL45" s="57" t="str">
        <f>LEFT(北段!#REF!,4)</f>
        <v>#ERROR!</v>
      </c>
      <c r="AM45" s="57" t="str">
        <f>LEFT(北段!#REF!,4)</f>
        <v>#ERROR!</v>
      </c>
      <c r="AN45" s="57" t="str">
        <f>LEFT(北段!#REF!,4)</f>
        <v>#ERROR!</v>
      </c>
    </row>
    <row r="46" ht="43.5" customHeight="1">
      <c r="A46" s="185"/>
      <c r="B46" s="57" t="str">
        <f t="shared" si="32"/>
        <v>#REF!</v>
      </c>
      <c r="C46" s="61" t="str">
        <f>VLOOKUP(B46,'北段'!B:C,2,FALSE)</f>
        <v>#REF!</v>
      </c>
      <c r="D46" s="57" t="str">
        <f t="shared" ref="D46:G46" si="76">LEFT(#REF!,4)</f>
        <v>#REF!</v>
      </c>
      <c r="E46" s="57" t="str">
        <f t="shared" si="76"/>
        <v>#REF!</v>
      </c>
      <c r="F46" s="57" t="str">
        <f t="shared" si="76"/>
        <v>#REF!</v>
      </c>
      <c r="G46" s="57" t="str">
        <f t="shared" si="76"/>
        <v>#REF!</v>
      </c>
      <c r="H46" s="57" t="str">
        <f>LEFT(#REF!,3)</f>
        <v>#REF!</v>
      </c>
      <c r="I46" s="57" t="str">
        <f t="shared" ref="I46:Z46" si="77">LEFT(#REF!,4)</f>
        <v>#REF!</v>
      </c>
      <c r="J46" s="57" t="str">
        <f t="shared" si="77"/>
        <v>#REF!</v>
      </c>
      <c r="K46" s="57" t="str">
        <f t="shared" si="77"/>
        <v>#REF!</v>
      </c>
      <c r="L46" s="57" t="str">
        <f t="shared" si="77"/>
        <v>#REF!</v>
      </c>
      <c r="M46" s="57" t="str">
        <f t="shared" si="77"/>
        <v>#REF!</v>
      </c>
      <c r="N46" s="57" t="str">
        <f t="shared" si="77"/>
        <v>#REF!</v>
      </c>
      <c r="O46" s="57" t="str">
        <f t="shared" si="77"/>
        <v>#REF!</v>
      </c>
      <c r="P46" s="57" t="str">
        <f t="shared" si="77"/>
        <v>#REF!</v>
      </c>
      <c r="Q46" s="57" t="str">
        <f t="shared" si="77"/>
        <v>#REF!</v>
      </c>
      <c r="R46" s="57" t="str">
        <f t="shared" si="77"/>
        <v>#REF!</v>
      </c>
      <c r="S46" s="57" t="str">
        <f t="shared" si="77"/>
        <v>#REF!</v>
      </c>
      <c r="T46" s="57" t="str">
        <f t="shared" si="77"/>
        <v>#REF!</v>
      </c>
      <c r="U46" s="57" t="str">
        <f t="shared" si="77"/>
        <v>#REF!</v>
      </c>
      <c r="V46" s="57" t="str">
        <f t="shared" si="77"/>
        <v>#REF!</v>
      </c>
      <c r="W46" s="57" t="str">
        <f t="shared" si="77"/>
        <v>#REF!</v>
      </c>
      <c r="X46" s="57" t="str">
        <f t="shared" si="77"/>
        <v>#REF!</v>
      </c>
      <c r="Y46" s="57" t="str">
        <f t="shared" si="77"/>
        <v>#REF!</v>
      </c>
      <c r="Z46" s="57" t="str">
        <f t="shared" si="77"/>
        <v>#REF!</v>
      </c>
      <c r="AA46" s="57" t="str">
        <f>LEFT(#REF!,3)</f>
        <v>#REF!</v>
      </c>
      <c r="AB46" s="57" t="str">
        <f t="shared" ref="AB46:AG46" si="78">LEFT(#REF!,4)</f>
        <v>#REF!</v>
      </c>
      <c r="AC46" s="57" t="str">
        <f t="shared" si="78"/>
        <v>#REF!</v>
      </c>
      <c r="AD46" s="57" t="str">
        <f t="shared" si="78"/>
        <v>#REF!</v>
      </c>
      <c r="AE46" s="57" t="str">
        <f t="shared" si="78"/>
        <v>#REF!</v>
      </c>
      <c r="AF46" s="57" t="str">
        <f t="shared" si="78"/>
        <v>#REF!</v>
      </c>
      <c r="AG46" s="57" t="str">
        <f t="shared" si="78"/>
        <v>#REF!</v>
      </c>
      <c r="AH46" s="57" t="str">
        <f>LEFT(北段!#REF!,4)</f>
        <v>#ERROR!</v>
      </c>
      <c r="AI46" s="57" t="str">
        <f>LEFT(北段!#REF!,4)</f>
        <v>#ERROR!</v>
      </c>
      <c r="AJ46" s="57" t="str">
        <f>LEFT(北段!#REF!,4)</f>
        <v>#ERROR!</v>
      </c>
      <c r="AK46" s="57" t="str">
        <f>LEFT(北段!#REF!,4)</f>
        <v>#ERROR!</v>
      </c>
      <c r="AL46" s="57" t="str">
        <f>LEFT(北段!#REF!,4)</f>
        <v>#ERROR!</v>
      </c>
      <c r="AM46" s="57" t="str">
        <f>LEFT(北段!#REF!,4)</f>
        <v>#ERROR!</v>
      </c>
      <c r="AN46" s="57" t="str">
        <f>LEFT(北段!#REF!,4)</f>
        <v>#ERROR!</v>
      </c>
    </row>
    <row r="47" ht="43.5" customHeight="1">
      <c r="A47" s="185"/>
      <c r="B47" s="57" t="str">
        <f t="shared" si="32"/>
        <v>#REF!</v>
      </c>
      <c r="C47" s="61" t="str">
        <f>VLOOKUP(B47,'北段'!B:C,2,FALSE)</f>
        <v>#REF!</v>
      </c>
      <c r="D47" s="57" t="str">
        <f t="shared" ref="D47:P47" si="79">LEFT(#REF!,4)</f>
        <v>#REF!</v>
      </c>
      <c r="E47" s="57" t="str">
        <f t="shared" si="79"/>
        <v>#REF!</v>
      </c>
      <c r="F47" s="57" t="str">
        <f t="shared" si="79"/>
        <v>#REF!</v>
      </c>
      <c r="G47" s="57" t="str">
        <f t="shared" si="79"/>
        <v>#REF!</v>
      </c>
      <c r="H47" s="57" t="str">
        <f t="shared" si="79"/>
        <v>#REF!</v>
      </c>
      <c r="I47" s="57" t="str">
        <f t="shared" si="79"/>
        <v>#REF!</v>
      </c>
      <c r="J47" s="57" t="str">
        <f t="shared" si="79"/>
        <v>#REF!</v>
      </c>
      <c r="K47" s="57" t="str">
        <f t="shared" si="79"/>
        <v>#REF!</v>
      </c>
      <c r="L47" s="57" t="str">
        <f t="shared" si="79"/>
        <v>#REF!</v>
      </c>
      <c r="M47" s="57" t="str">
        <f t="shared" si="79"/>
        <v>#REF!</v>
      </c>
      <c r="N47" s="57" t="str">
        <f t="shared" si="79"/>
        <v>#REF!</v>
      </c>
      <c r="O47" s="57" t="str">
        <f t="shared" si="79"/>
        <v>#REF!</v>
      </c>
      <c r="P47" s="57" t="str">
        <f t="shared" si="79"/>
        <v>#REF!</v>
      </c>
      <c r="Q47" s="57" t="str">
        <f>LEFT(#REF!,3)</f>
        <v>#REF!</v>
      </c>
      <c r="R47" s="57" t="str">
        <f>LEFT(#REF!,1)</f>
        <v>#REF!</v>
      </c>
      <c r="S47" s="57" t="str">
        <f t="shared" ref="S47:AG47" si="80">LEFT(#REF!,4)</f>
        <v>#REF!</v>
      </c>
      <c r="T47" s="57" t="str">
        <f t="shared" si="80"/>
        <v>#REF!</v>
      </c>
      <c r="U47" s="57" t="str">
        <f t="shared" si="80"/>
        <v>#REF!</v>
      </c>
      <c r="V47" s="57" t="str">
        <f t="shared" si="80"/>
        <v>#REF!</v>
      </c>
      <c r="W47" s="57" t="str">
        <f t="shared" si="80"/>
        <v>#REF!</v>
      </c>
      <c r="X47" s="57" t="str">
        <f t="shared" si="80"/>
        <v>#REF!</v>
      </c>
      <c r="Y47" s="57" t="str">
        <f t="shared" si="80"/>
        <v>#REF!</v>
      </c>
      <c r="Z47" s="57" t="str">
        <f t="shared" si="80"/>
        <v>#REF!</v>
      </c>
      <c r="AA47" s="57" t="str">
        <f t="shared" si="80"/>
        <v>#REF!</v>
      </c>
      <c r="AB47" s="57" t="str">
        <f t="shared" si="80"/>
        <v>#REF!</v>
      </c>
      <c r="AC47" s="57" t="str">
        <f t="shared" si="80"/>
        <v>#REF!</v>
      </c>
      <c r="AD47" s="57" t="str">
        <f t="shared" si="80"/>
        <v>#REF!</v>
      </c>
      <c r="AE47" s="57" t="str">
        <f t="shared" si="80"/>
        <v>#REF!</v>
      </c>
      <c r="AF47" s="57" t="str">
        <f t="shared" si="80"/>
        <v>#REF!</v>
      </c>
      <c r="AG47" s="57" t="str">
        <f t="shared" si="80"/>
        <v>#REF!</v>
      </c>
      <c r="AH47" s="57" t="str">
        <f>LEFT(北段!#REF!,4)</f>
        <v>#ERROR!</v>
      </c>
      <c r="AI47" s="57" t="str">
        <f>LEFT(北段!#REF!,4)</f>
        <v>#ERROR!</v>
      </c>
      <c r="AJ47" s="57" t="str">
        <f>LEFT(北段!#REF!,4)</f>
        <v>#ERROR!</v>
      </c>
      <c r="AK47" s="57" t="str">
        <f>LEFT(北段!#REF!,4)</f>
        <v>#ERROR!</v>
      </c>
      <c r="AL47" s="57" t="str">
        <f>LEFT(北段!#REF!,4)</f>
        <v>#ERROR!</v>
      </c>
      <c r="AM47" s="57" t="str">
        <f>LEFT(北段!#REF!,4)</f>
        <v>#ERROR!</v>
      </c>
      <c r="AN47" s="57" t="str">
        <f>LEFT(北段!#REF!,4)</f>
        <v>#ERROR!</v>
      </c>
    </row>
    <row r="48" ht="43.5" customHeight="1">
      <c r="A48" s="185"/>
      <c r="B48" s="57" t="str">
        <f t="shared" si="32"/>
        <v>#REF!</v>
      </c>
      <c r="C48" s="61" t="str">
        <f>VLOOKUP(B48,'北段'!B:C,2,FALSE)</f>
        <v>#REF!</v>
      </c>
      <c r="D48" s="57" t="str">
        <f t="shared" ref="D48:F48" si="81">LEFT(#REF!,4)</f>
        <v>#REF!</v>
      </c>
      <c r="E48" s="57" t="str">
        <f t="shared" si="81"/>
        <v>#REF!</v>
      </c>
      <c r="F48" s="57" t="str">
        <f t="shared" si="81"/>
        <v>#REF!</v>
      </c>
      <c r="G48" s="57" t="str">
        <f>LEFT(#REF!,3)</f>
        <v>#REF!</v>
      </c>
      <c r="H48" s="57" t="str">
        <f t="shared" ref="H48:U48" si="82">LEFT(#REF!,4)</f>
        <v>#REF!</v>
      </c>
      <c r="I48" s="57" t="str">
        <f t="shared" si="82"/>
        <v>#REF!</v>
      </c>
      <c r="J48" s="57" t="str">
        <f t="shared" si="82"/>
        <v>#REF!</v>
      </c>
      <c r="K48" s="57" t="str">
        <f t="shared" si="82"/>
        <v>#REF!</v>
      </c>
      <c r="L48" s="57" t="str">
        <f t="shared" si="82"/>
        <v>#REF!</v>
      </c>
      <c r="M48" s="57" t="str">
        <f t="shared" si="82"/>
        <v>#REF!</v>
      </c>
      <c r="N48" s="57" t="str">
        <f t="shared" si="82"/>
        <v>#REF!</v>
      </c>
      <c r="O48" s="57" t="str">
        <f t="shared" si="82"/>
        <v>#REF!</v>
      </c>
      <c r="P48" s="57" t="str">
        <f t="shared" si="82"/>
        <v>#REF!</v>
      </c>
      <c r="Q48" s="57" t="str">
        <f t="shared" si="82"/>
        <v>#REF!</v>
      </c>
      <c r="R48" s="57" t="str">
        <f t="shared" si="82"/>
        <v>#REF!</v>
      </c>
      <c r="S48" s="57" t="str">
        <f t="shared" si="82"/>
        <v>#REF!</v>
      </c>
      <c r="T48" s="57" t="str">
        <f t="shared" si="82"/>
        <v>#REF!</v>
      </c>
      <c r="U48" s="57" t="str">
        <f t="shared" si="82"/>
        <v>#REF!</v>
      </c>
      <c r="V48" s="57" t="str">
        <f>LEFT(#REF!,3)</f>
        <v>#REF!</v>
      </c>
      <c r="W48" s="57" t="str">
        <f t="shared" ref="W48:AG48" si="83">LEFT(#REF!,4)</f>
        <v>#REF!</v>
      </c>
      <c r="X48" s="57" t="str">
        <f t="shared" si="83"/>
        <v>#REF!</v>
      </c>
      <c r="Y48" s="57" t="str">
        <f t="shared" si="83"/>
        <v>#REF!</v>
      </c>
      <c r="Z48" s="57" t="str">
        <f t="shared" si="83"/>
        <v>#REF!</v>
      </c>
      <c r="AA48" s="57" t="str">
        <f t="shared" si="83"/>
        <v>#REF!</v>
      </c>
      <c r="AB48" s="57" t="str">
        <f t="shared" si="83"/>
        <v>#REF!</v>
      </c>
      <c r="AC48" s="57" t="str">
        <f t="shared" si="83"/>
        <v>#REF!</v>
      </c>
      <c r="AD48" s="57" t="str">
        <f t="shared" si="83"/>
        <v>#REF!</v>
      </c>
      <c r="AE48" s="57" t="str">
        <f t="shared" si="83"/>
        <v>#REF!</v>
      </c>
      <c r="AF48" s="57" t="str">
        <f t="shared" si="83"/>
        <v>#REF!</v>
      </c>
      <c r="AG48" s="57" t="str">
        <f t="shared" si="83"/>
        <v>#REF!</v>
      </c>
      <c r="AH48" s="57" t="str">
        <f>LEFT(北段!#REF!,4)</f>
        <v>#ERROR!</v>
      </c>
      <c r="AI48" s="57" t="str">
        <f>LEFT(北段!#REF!,4)</f>
        <v>#ERROR!</v>
      </c>
      <c r="AJ48" s="57" t="str">
        <f>LEFT(北段!#REF!,4)</f>
        <v>#ERROR!</v>
      </c>
      <c r="AK48" s="57" t="str">
        <f>LEFT(北段!#REF!,4)</f>
        <v>#ERROR!</v>
      </c>
      <c r="AL48" s="57" t="str">
        <f>LEFT(北段!#REF!,4)</f>
        <v>#ERROR!</v>
      </c>
      <c r="AM48" s="57" t="str">
        <f>LEFT(北段!#REF!,4)</f>
        <v>#ERROR!</v>
      </c>
      <c r="AN48" s="57" t="str">
        <f>LEFT(北段!#REF!,4)</f>
        <v>#ERROR!</v>
      </c>
    </row>
    <row r="49" ht="43.5" customHeight="1">
      <c r="A49" s="185"/>
      <c r="B49" s="57" t="str">
        <f t="shared" si="32"/>
        <v>#REF!</v>
      </c>
      <c r="C49" s="61" t="str">
        <f>VLOOKUP(B49,'北段'!B:C,2,FALSE)</f>
        <v>#REF!</v>
      </c>
      <c r="D49" s="57" t="str">
        <f t="shared" ref="D49:G49" si="84">LEFT(#REF!,4)</f>
        <v>#REF!</v>
      </c>
      <c r="E49" s="57" t="str">
        <f t="shared" si="84"/>
        <v>#REF!</v>
      </c>
      <c r="F49" s="57" t="str">
        <f t="shared" si="84"/>
        <v>#REF!</v>
      </c>
      <c r="G49" s="57" t="str">
        <f t="shared" si="84"/>
        <v>#REF!</v>
      </c>
      <c r="H49" s="57" t="str">
        <f>LEFT(#REF!,3)</f>
        <v>#REF!</v>
      </c>
      <c r="I49" s="57" t="str">
        <f>LEFT(#REF!,4)</f>
        <v>#REF!</v>
      </c>
      <c r="J49" s="57" t="str">
        <f>LEFT(#REF!,3)</f>
        <v>#REF!</v>
      </c>
      <c r="K49" s="57" t="str">
        <f t="shared" ref="K49:AG49" si="85">LEFT(#REF!,4)</f>
        <v>#REF!</v>
      </c>
      <c r="L49" s="57" t="str">
        <f t="shared" si="85"/>
        <v>#REF!</v>
      </c>
      <c r="M49" s="57" t="str">
        <f t="shared" si="85"/>
        <v>#REF!</v>
      </c>
      <c r="N49" s="57" t="str">
        <f t="shared" si="85"/>
        <v>#REF!</v>
      </c>
      <c r="O49" s="57" t="str">
        <f t="shared" si="85"/>
        <v>#REF!</v>
      </c>
      <c r="P49" s="57" t="str">
        <f t="shared" si="85"/>
        <v>#REF!</v>
      </c>
      <c r="Q49" s="57" t="str">
        <f t="shared" si="85"/>
        <v>#REF!</v>
      </c>
      <c r="R49" s="57" t="str">
        <f t="shared" si="85"/>
        <v>#REF!</v>
      </c>
      <c r="S49" s="57" t="str">
        <f t="shared" si="85"/>
        <v>#REF!</v>
      </c>
      <c r="T49" s="57" t="str">
        <f t="shared" si="85"/>
        <v>#REF!</v>
      </c>
      <c r="U49" s="57" t="str">
        <f t="shared" si="85"/>
        <v>#REF!</v>
      </c>
      <c r="V49" s="57" t="str">
        <f t="shared" si="85"/>
        <v>#REF!</v>
      </c>
      <c r="W49" s="57" t="str">
        <f t="shared" si="85"/>
        <v>#REF!</v>
      </c>
      <c r="X49" s="57" t="str">
        <f t="shared" si="85"/>
        <v>#REF!</v>
      </c>
      <c r="Y49" s="57" t="str">
        <f t="shared" si="85"/>
        <v>#REF!</v>
      </c>
      <c r="Z49" s="57" t="str">
        <f t="shared" si="85"/>
        <v>#REF!</v>
      </c>
      <c r="AA49" s="57" t="str">
        <f t="shared" si="85"/>
        <v>#REF!</v>
      </c>
      <c r="AB49" s="57" t="str">
        <f t="shared" si="85"/>
        <v>#REF!</v>
      </c>
      <c r="AC49" s="57" t="str">
        <f t="shared" si="85"/>
        <v>#REF!</v>
      </c>
      <c r="AD49" s="57" t="str">
        <f t="shared" si="85"/>
        <v>#REF!</v>
      </c>
      <c r="AE49" s="57" t="str">
        <f t="shared" si="85"/>
        <v>#REF!</v>
      </c>
      <c r="AF49" s="57" t="str">
        <f t="shared" si="85"/>
        <v>#REF!</v>
      </c>
      <c r="AG49" s="57" t="str">
        <f t="shared" si="85"/>
        <v>#REF!</v>
      </c>
      <c r="AH49" s="57" t="str">
        <f>LEFT(北段!#REF!,4)</f>
        <v>#ERROR!</v>
      </c>
      <c r="AI49" s="57" t="str">
        <f>LEFT(北段!#REF!,4)</f>
        <v>#ERROR!</v>
      </c>
      <c r="AJ49" s="57" t="str">
        <f>LEFT(北段!#REF!,4)</f>
        <v>#ERROR!</v>
      </c>
      <c r="AK49" s="57" t="str">
        <f>LEFT(北段!#REF!,4)</f>
        <v>#ERROR!</v>
      </c>
      <c r="AL49" s="57" t="str">
        <f>LEFT(北段!#REF!,4)</f>
        <v>#ERROR!</v>
      </c>
      <c r="AM49" s="57" t="str">
        <f>LEFT(北段!#REF!,4)</f>
        <v>#ERROR!</v>
      </c>
      <c r="AN49" s="57" t="str">
        <f>LEFT(北段!#REF!,4)</f>
        <v>#ERROR!</v>
      </c>
    </row>
    <row r="50" ht="43.5" customHeight="1">
      <c r="A50" s="185"/>
      <c r="B50" s="57" t="str">
        <f t="shared" si="32"/>
        <v>#REF!</v>
      </c>
      <c r="C50" s="61" t="str">
        <f>VLOOKUP(B50,'北段'!B:C,2,FALSE)</f>
        <v>#REF!</v>
      </c>
      <c r="D50" s="57" t="str">
        <f t="shared" ref="D50:AG50" si="86">LEFT(#REF!,4)</f>
        <v>#REF!</v>
      </c>
      <c r="E50" s="57" t="str">
        <f t="shared" si="86"/>
        <v>#REF!</v>
      </c>
      <c r="F50" s="57" t="str">
        <f t="shared" si="86"/>
        <v>#REF!</v>
      </c>
      <c r="G50" s="57" t="str">
        <f t="shared" si="86"/>
        <v>#REF!</v>
      </c>
      <c r="H50" s="57" t="str">
        <f t="shared" si="86"/>
        <v>#REF!</v>
      </c>
      <c r="I50" s="57" t="str">
        <f t="shared" si="86"/>
        <v>#REF!</v>
      </c>
      <c r="J50" s="57" t="str">
        <f t="shared" si="86"/>
        <v>#REF!</v>
      </c>
      <c r="K50" s="57" t="str">
        <f t="shared" si="86"/>
        <v>#REF!</v>
      </c>
      <c r="L50" s="57" t="str">
        <f t="shared" si="86"/>
        <v>#REF!</v>
      </c>
      <c r="M50" s="57" t="str">
        <f t="shared" si="86"/>
        <v>#REF!</v>
      </c>
      <c r="N50" s="57" t="str">
        <f t="shared" si="86"/>
        <v>#REF!</v>
      </c>
      <c r="O50" s="57" t="str">
        <f t="shared" si="86"/>
        <v>#REF!</v>
      </c>
      <c r="P50" s="57" t="str">
        <f t="shared" si="86"/>
        <v>#REF!</v>
      </c>
      <c r="Q50" s="57" t="str">
        <f t="shared" si="86"/>
        <v>#REF!</v>
      </c>
      <c r="R50" s="57" t="str">
        <f t="shared" si="86"/>
        <v>#REF!</v>
      </c>
      <c r="S50" s="57" t="str">
        <f t="shared" si="86"/>
        <v>#REF!</v>
      </c>
      <c r="T50" s="57" t="str">
        <f t="shared" si="86"/>
        <v>#REF!</v>
      </c>
      <c r="U50" s="57" t="str">
        <f t="shared" si="86"/>
        <v>#REF!</v>
      </c>
      <c r="V50" s="57" t="str">
        <f t="shared" si="86"/>
        <v>#REF!</v>
      </c>
      <c r="W50" s="57" t="str">
        <f t="shared" si="86"/>
        <v>#REF!</v>
      </c>
      <c r="X50" s="57" t="str">
        <f t="shared" si="86"/>
        <v>#REF!</v>
      </c>
      <c r="Y50" s="57" t="str">
        <f t="shared" si="86"/>
        <v>#REF!</v>
      </c>
      <c r="Z50" s="57" t="str">
        <f t="shared" si="86"/>
        <v>#REF!</v>
      </c>
      <c r="AA50" s="57" t="str">
        <f t="shared" si="86"/>
        <v>#REF!</v>
      </c>
      <c r="AB50" s="57" t="str">
        <f t="shared" si="86"/>
        <v>#REF!</v>
      </c>
      <c r="AC50" s="57" t="str">
        <f t="shared" si="86"/>
        <v>#REF!</v>
      </c>
      <c r="AD50" s="57" t="str">
        <f t="shared" si="86"/>
        <v>#REF!</v>
      </c>
      <c r="AE50" s="57" t="str">
        <f t="shared" si="86"/>
        <v>#REF!</v>
      </c>
      <c r="AF50" s="57" t="str">
        <f t="shared" si="86"/>
        <v>#REF!</v>
      </c>
      <c r="AG50" s="57" t="str">
        <f t="shared" si="86"/>
        <v>#REF!</v>
      </c>
      <c r="AH50" s="57" t="str">
        <f>LEFT(北段!#REF!,4)</f>
        <v>#ERROR!</v>
      </c>
      <c r="AI50" s="57" t="str">
        <f>LEFT(北段!#REF!,4)</f>
        <v>#ERROR!</v>
      </c>
      <c r="AJ50" s="57" t="str">
        <f>LEFT(北段!#REF!,4)</f>
        <v>#ERROR!</v>
      </c>
      <c r="AK50" s="57" t="str">
        <f>LEFT(北段!#REF!,4)</f>
        <v>#ERROR!</v>
      </c>
      <c r="AL50" s="57" t="str">
        <f>LEFT(北段!#REF!,4)</f>
        <v>#ERROR!</v>
      </c>
      <c r="AM50" s="57" t="str">
        <f>LEFT(北段!#REF!,4)</f>
        <v>#ERROR!</v>
      </c>
      <c r="AN50" s="57" t="str">
        <f>LEFT(北段!#REF!,4)</f>
        <v>#ERROR!</v>
      </c>
    </row>
    <row r="51" ht="43.5" customHeight="1">
      <c r="A51" s="186"/>
      <c r="B51" s="169" t="str">
        <f t="shared" si="32"/>
        <v>#REF!</v>
      </c>
      <c r="C51" s="116" t="str">
        <f>VLOOKUP(B51,'北段'!B:C,2,FALSE)</f>
        <v>#REF!</v>
      </c>
      <c r="D51" s="57" t="str">
        <f t="shared" ref="D51:I51" si="87">LEFT(#REF!,4)</f>
        <v>#REF!</v>
      </c>
      <c r="E51" s="57" t="str">
        <f t="shared" si="87"/>
        <v>#REF!</v>
      </c>
      <c r="F51" s="57" t="str">
        <f t="shared" si="87"/>
        <v>#REF!</v>
      </c>
      <c r="G51" s="57" t="str">
        <f t="shared" si="87"/>
        <v>#REF!</v>
      </c>
      <c r="H51" s="57" t="str">
        <f t="shared" si="87"/>
        <v>#REF!</v>
      </c>
      <c r="I51" s="57" t="str">
        <f t="shared" si="87"/>
        <v>#REF!</v>
      </c>
      <c r="J51" s="57" t="str">
        <f>LEFT(#REF!,2)</f>
        <v>#REF!</v>
      </c>
      <c r="K51" s="57" t="str">
        <f t="shared" ref="K51:U51" si="88">LEFT(#REF!,4)</f>
        <v>#REF!</v>
      </c>
      <c r="L51" s="57" t="str">
        <f t="shared" si="88"/>
        <v>#REF!</v>
      </c>
      <c r="M51" s="57" t="str">
        <f t="shared" si="88"/>
        <v>#REF!</v>
      </c>
      <c r="N51" s="57" t="str">
        <f t="shared" si="88"/>
        <v>#REF!</v>
      </c>
      <c r="O51" s="57" t="str">
        <f t="shared" si="88"/>
        <v>#REF!</v>
      </c>
      <c r="P51" s="57" t="str">
        <f t="shared" si="88"/>
        <v>#REF!</v>
      </c>
      <c r="Q51" s="57" t="str">
        <f t="shared" si="88"/>
        <v>#REF!</v>
      </c>
      <c r="R51" s="57" t="str">
        <f t="shared" si="88"/>
        <v>#REF!</v>
      </c>
      <c r="S51" s="57" t="str">
        <f t="shared" si="88"/>
        <v>#REF!</v>
      </c>
      <c r="T51" s="57" t="str">
        <f t="shared" si="88"/>
        <v>#REF!</v>
      </c>
      <c r="U51" s="57" t="str">
        <f t="shared" si="88"/>
        <v>#REF!</v>
      </c>
      <c r="V51" s="57" t="str">
        <f>LEFT(#REF!,3)</f>
        <v>#REF!</v>
      </c>
      <c r="W51" s="57" t="str">
        <f t="shared" ref="W51:AG51" si="89">LEFT(#REF!,4)</f>
        <v>#REF!</v>
      </c>
      <c r="X51" s="57" t="str">
        <f t="shared" si="89"/>
        <v>#REF!</v>
      </c>
      <c r="Y51" s="57" t="str">
        <f t="shared" si="89"/>
        <v>#REF!</v>
      </c>
      <c r="Z51" s="57" t="str">
        <f t="shared" si="89"/>
        <v>#REF!</v>
      </c>
      <c r="AA51" s="57" t="str">
        <f t="shared" si="89"/>
        <v>#REF!</v>
      </c>
      <c r="AB51" s="57" t="str">
        <f t="shared" si="89"/>
        <v>#REF!</v>
      </c>
      <c r="AC51" s="57" t="str">
        <f t="shared" si="89"/>
        <v>#REF!</v>
      </c>
      <c r="AD51" s="57" t="str">
        <f t="shared" si="89"/>
        <v>#REF!</v>
      </c>
      <c r="AE51" s="57" t="str">
        <f t="shared" si="89"/>
        <v>#REF!</v>
      </c>
      <c r="AF51" s="57" t="str">
        <f t="shared" si="89"/>
        <v>#REF!</v>
      </c>
      <c r="AG51" s="57" t="str">
        <f t="shared" si="89"/>
        <v>#REF!</v>
      </c>
      <c r="AH51" s="57" t="str">
        <f>LEFT(北段!#REF!,4)</f>
        <v>#ERROR!</v>
      </c>
      <c r="AI51" s="57" t="str">
        <f>LEFT(北段!#REF!,4)</f>
        <v>#ERROR!</v>
      </c>
      <c r="AJ51" s="57" t="str">
        <f>LEFT(北段!#REF!,4)</f>
        <v>#ERROR!</v>
      </c>
      <c r="AK51" s="57" t="str">
        <f>LEFT(北段!#REF!,4)</f>
        <v>#ERROR!</v>
      </c>
      <c r="AL51" s="57" t="str">
        <f>LEFT(北段!#REF!,4)</f>
        <v>#ERROR!</v>
      </c>
      <c r="AM51" s="57" t="str">
        <f>LEFT(北段!#REF!,4)</f>
        <v>#ERROR!</v>
      </c>
      <c r="AN51" s="57" t="str">
        <f>LEFT(北段!#REF!,4)</f>
        <v>#ERROR!</v>
      </c>
    </row>
    <row r="52" ht="43.5" customHeight="1">
      <c r="A52" s="184"/>
      <c r="B52" s="167" t="str">
        <f t="shared" si="32"/>
        <v>#REF!</v>
      </c>
      <c r="C52" s="45" t="str">
        <f>VLOOKUP(B52,'北段'!B:C,2,FALSE)</f>
        <v>#REF!</v>
      </c>
      <c r="D52" s="57" t="str">
        <f t="shared" ref="D52:D69" si="97">LEFT(#REF!,4)</f>
        <v>#REF!</v>
      </c>
      <c r="E52" s="57" t="str">
        <f>LEFT(#REF!,7)</f>
        <v>#REF!</v>
      </c>
      <c r="F52" s="57" t="str">
        <f t="shared" ref="F52:G52" si="90">LEFT(#REF!,4)</f>
        <v>#REF!</v>
      </c>
      <c r="G52" s="57" t="str">
        <f t="shared" si="90"/>
        <v>#REF!</v>
      </c>
      <c r="H52" s="57" t="str">
        <f>LEFT(#REF!,3)</f>
        <v>#REF!</v>
      </c>
      <c r="I52" s="57" t="str">
        <f>LEFT(#REF!,4)</f>
        <v>#REF!</v>
      </c>
      <c r="J52" s="57" t="str">
        <f>LEFT(#REF!,7)</f>
        <v>#REF!</v>
      </c>
      <c r="K52" s="57" t="str">
        <f>LEFT(#REF!,4)</f>
        <v>#REF!</v>
      </c>
      <c r="L52" s="57" t="str">
        <f>LEFT(#REF!,3)</f>
        <v>#REF!</v>
      </c>
      <c r="M52" s="57" t="str">
        <f t="shared" ref="M52:O52" si="91">LEFT(#REF!,4)</f>
        <v>#REF!</v>
      </c>
      <c r="N52" s="57" t="str">
        <f t="shared" si="91"/>
        <v>#REF!</v>
      </c>
      <c r="O52" s="57" t="str">
        <f t="shared" si="91"/>
        <v>#REF!</v>
      </c>
      <c r="P52" s="57" t="str">
        <f>LEFT(#REF!,7)</f>
        <v>#REF!</v>
      </c>
      <c r="Q52" s="57" t="str">
        <f>LEFT(#REF!,3)</f>
        <v>#REF!</v>
      </c>
      <c r="R52" s="57" t="str">
        <f>LEFT(#REF!,2)</f>
        <v>#REF!</v>
      </c>
      <c r="S52" s="57" t="str">
        <f t="shared" ref="S52:Y52" si="92">LEFT(#REF!,4)</f>
        <v>#REF!</v>
      </c>
      <c r="T52" s="57" t="str">
        <f t="shared" si="92"/>
        <v>#REF!</v>
      </c>
      <c r="U52" s="57" t="str">
        <f t="shared" si="92"/>
        <v>#REF!</v>
      </c>
      <c r="V52" s="57" t="str">
        <f t="shared" si="92"/>
        <v>#REF!</v>
      </c>
      <c r="W52" s="57" t="str">
        <f t="shared" si="92"/>
        <v>#REF!</v>
      </c>
      <c r="X52" s="57" t="str">
        <f t="shared" si="92"/>
        <v>#REF!</v>
      </c>
      <c r="Y52" s="57" t="str">
        <f t="shared" si="92"/>
        <v>#REF!</v>
      </c>
      <c r="Z52" s="57" t="str">
        <f t="shared" ref="Z52:AA52" si="93">LEFT(#REF!,8)</f>
        <v>#REF!</v>
      </c>
      <c r="AA52" s="57" t="str">
        <f t="shared" si="93"/>
        <v>#REF!</v>
      </c>
      <c r="AB52" s="57" t="str">
        <f t="shared" ref="AB52:AC52" si="94">LEFT(#REF!,4)</f>
        <v>#REF!</v>
      </c>
      <c r="AC52" s="57" t="str">
        <f t="shared" si="94"/>
        <v>#REF!</v>
      </c>
      <c r="AD52" s="57" t="str">
        <f t="shared" ref="AD52:AE52" si="95">LEFT(#REF!,8)</f>
        <v>#REF!</v>
      </c>
      <c r="AE52" s="57" t="str">
        <f t="shared" si="95"/>
        <v>#REF!</v>
      </c>
      <c r="AF52" s="57" t="str">
        <f t="shared" ref="AF52:AG52" si="96">LEFT(#REF!,4)</f>
        <v>#REF!</v>
      </c>
      <c r="AG52" s="57" t="str">
        <f t="shared" si="96"/>
        <v>#REF!</v>
      </c>
      <c r="AH52" s="57" t="str">
        <f>LEFT(北段!#REF!,4)</f>
        <v>#ERROR!</v>
      </c>
      <c r="AI52" s="57" t="str">
        <f>LEFT(北段!#REF!,4)</f>
        <v>#ERROR!</v>
      </c>
      <c r="AJ52" s="57" t="str">
        <f>LEFT(北段!#REF!,4)</f>
        <v>#ERROR!</v>
      </c>
      <c r="AK52" s="57" t="str">
        <f>LEFT(北段!#REF!,4)</f>
        <v>#ERROR!</v>
      </c>
      <c r="AL52" s="57" t="str">
        <f>LEFT(北段!#REF!,8)</f>
        <v>#ERROR!</v>
      </c>
      <c r="AM52" s="57" t="str">
        <f>LEFT(北段!#REF!,4)</f>
        <v>#ERROR!</v>
      </c>
      <c r="AN52" s="57" t="str">
        <f>LEFT(北段!#REF!,4)</f>
        <v>#ERROR!</v>
      </c>
    </row>
    <row r="53" ht="43.5" customHeight="1">
      <c r="A53" s="185"/>
      <c r="B53" s="57" t="str">
        <f t="shared" si="32"/>
        <v>#REF!</v>
      </c>
      <c r="C53" s="61" t="str">
        <f>VLOOKUP(B53,'北段'!B:C,2,FALSE)</f>
        <v>#REF!</v>
      </c>
      <c r="D53" s="57" t="str">
        <f t="shared" si="97"/>
        <v>#REF!</v>
      </c>
      <c r="E53" s="57" t="str">
        <f t="shared" ref="E53:F53" si="98">LEFT(#REF!,4)</f>
        <v>#REF!</v>
      </c>
      <c r="F53" s="57" t="str">
        <f t="shared" si="98"/>
        <v>#REF!</v>
      </c>
      <c r="G53" s="57" t="str">
        <f>LEFT(#REF!,3)</f>
        <v>#REF!</v>
      </c>
      <c r="H53" s="57" t="str">
        <f t="shared" ref="H53:AG53" si="99">LEFT(#REF!,4)</f>
        <v>#REF!</v>
      </c>
      <c r="I53" s="57" t="str">
        <f t="shared" si="99"/>
        <v>#REF!</v>
      </c>
      <c r="J53" s="57" t="str">
        <f t="shared" si="99"/>
        <v>#REF!</v>
      </c>
      <c r="K53" s="57" t="str">
        <f t="shared" si="99"/>
        <v>#REF!</v>
      </c>
      <c r="L53" s="57" t="str">
        <f t="shared" si="99"/>
        <v>#REF!</v>
      </c>
      <c r="M53" s="57" t="str">
        <f t="shared" si="99"/>
        <v>#REF!</v>
      </c>
      <c r="N53" s="57" t="str">
        <f t="shared" si="99"/>
        <v>#REF!</v>
      </c>
      <c r="O53" s="57" t="str">
        <f t="shared" si="99"/>
        <v>#REF!</v>
      </c>
      <c r="P53" s="57" t="str">
        <f t="shared" si="99"/>
        <v>#REF!</v>
      </c>
      <c r="Q53" s="57" t="str">
        <f t="shared" si="99"/>
        <v>#REF!</v>
      </c>
      <c r="R53" s="57" t="str">
        <f t="shared" si="99"/>
        <v>#REF!</v>
      </c>
      <c r="S53" s="57" t="str">
        <f t="shared" si="99"/>
        <v>#REF!</v>
      </c>
      <c r="T53" s="57" t="str">
        <f t="shared" si="99"/>
        <v>#REF!</v>
      </c>
      <c r="U53" s="57" t="str">
        <f t="shared" si="99"/>
        <v>#REF!</v>
      </c>
      <c r="V53" s="57" t="str">
        <f t="shared" si="99"/>
        <v>#REF!</v>
      </c>
      <c r="W53" s="57" t="str">
        <f t="shared" si="99"/>
        <v>#REF!</v>
      </c>
      <c r="X53" s="57" t="str">
        <f t="shared" si="99"/>
        <v>#REF!</v>
      </c>
      <c r="Y53" s="57" t="str">
        <f t="shared" si="99"/>
        <v>#REF!</v>
      </c>
      <c r="Z53" s="57" t="str">
        <f t="shared" si="99"/>
        <v>#REF!</v>
      </c>
      <c r="AA53" s="57" t="str">
        <f t="shared" si="99"/>
        <v>#REF!</v>
      </c>
      <c r="AB53" s="57" t="str">
        <f t="shared" si="99"/>
        <v>#REF!</v>
      </c>
      <c r="AC53" s="57" t="str">
        <f t="shared" si="99"/>
        <v>#REF!</v>
      </c>
      <c r="AD53" s="57" t="str">
        <f t="shared" si="99"/>
        <v>#REF!</v>
      </c>
      <c r="AE53" s="57" t="str">
        <f t="shared" si="99"/>
        <v>#REF!</v>
      </c>
      <c r="AF53" s="57" t="str">
        <f t="shared" si="99"/>
        <v>#REF!</v>
      </c>
      <c r="AG53" s="57" t="str">
        <f t="shared" si="99"/>
        <v>#REF!</v>
      </c>
      <c r="AH53" s="57" t="str">
        <f>LEFT(北段!#REF!,4)</f>
        <v>#ERROR!</v>
      </c>
      <c r="AI53" s="57" t="str">
        <f>LEFT(北段!#REF!,4)</f>
        <v>#ERROR!</v>
      </c>
      <c r="AJ53" s="57" t="str">
        <f>LEFT(北段!#REF!,4)</f>
        <v>#ERROR!</v>
      </c>
      <c r="AK53" s="57" t="str">
        <f>LEFT(北段!#REF!,4)</f>
        <v>#ERROR!</v>
      </c>
      <c r="AL53" s="57" t="str">
        <f>LEFT(北段!#REF!,4)</f>
        <v>#ERROR!</v>
      </c>
      <c r="AM53" s="57" t="str">
        <f>LEFT(北段!#REF!,4)</f>
        <v>#ERROR!</v>
      </c>
      <c r="AN53" s="57" t="str">
        <f>LEFT(北段!#REF!,4)</f>
        <v>#ERROR!</v>
      </c>
    </row>
    <row r="54" ht="43.5" customHeight="1">
      <c r="A54" s="185"/>
      <c r="B54" s="57" t="str">
        <f t="shared" si="32"/>
        <v>#REF!</v>
      </c>
      <c r="C54" s="61" t="str">
        <f>VLOOKUP(B54,'北段'!B:C,2,FALSE)</f>
        <v>#REF!</v>
      </c>
      <c r="D54" s="57" t="str">
        <f t="shared" si="97"/>
        <v>#REF!</v>
      </c>
      <c r="E54" s="57" t="str">
        <f t="shared" ref="E54:I54" si="100">LEFT(#REF!,4)</f>
        <v>#REF!</v>
      </c>
      <c r="F54" s="57" t="str">
        <f t="shared" si="100"/>
        <v>#REF!</v>
      </c>
      <c r="G54" s="57" t="str">
        <f t="shared" si="100"/>
        <v>#REF!</v>
      </c>
      <c r="H54" s="57" t="str">
        <f t="shared" si="100"/>
        <v>#REF!</v>
      </c>
      <c r="I54" s="57" t="str">
        <f t="shared" si="100"/>
        <v>#REF!</v>
      </c>
      <c r="J54" s="57" t="str">
        <f>LEFT(#REF!,3)</f>
        <v>#REF!</v>
      </c>
      <c r="K54" s="57" t="str">
        <f t="shared" ref="K54:AG54" si="101">LEFT(#REF!,4)</f>
        <v>#REF!</v>
      </c>
      <c r="L54" s="57" t="str">
        <f t="shared" si="101"/>
        <v>#REF!</v>
      </c>
      <c r="M54" s="57" t="str">
        <f t="shared" si="101"/>
        <v>#REF!</v>
      </c>
      <c r="N54" s="57" t="str">
        <f t="shared" si="101"/>
        <v>#REF!</v>
      </c>
      <c r="O54" s="57" t="str">
        <f t="shared" si="101"/>
        <v>#REF!</v>
      </c>
      <c r="P54" s="57" t="str">
        <f t="shared" si="101"/>
        <v>#REF!</v>
      </c>
      <c r="Q54" s="57" t="str">
        <f t="shared" si="101"/>
        <v>#REF!</v>
      </c>
      <c r="R54" s="57" t="str">
        <f t="shared" si="101"/>
        <v>#REF!</v>
      </c>
      <c r="S54" s="57" t="str">
        <f t="shared" si="101"/>
        <v>#REF!</v>
      </c>
      <c r="T54" s="57" t="str">
        <f t="shared" si="101"/>
        <v>#REF!</v>
      </c>
      <c r="U54" s="57" t="str">
        <f t="shared" si="101"/>
        <v>#REF!</v>
      </c>
      <c r="V54" s="57" t="str">
        <f t="shared" si="101"/>
        <v>#REF!</v>
      </c>
      <c r="W54" s="57" t="str">
        <f t="shared" si="101"/>
        <v>#REF!</v>
      </c>
      <c r="X54" s="57" t="str">
        <f t="shared" si="101"/>
        <v>#REF!</v>
      </c>
      <c r="Y54" s="57" t="str">
        <f t="shared" si="101"/>
        <v>#REF!</v>
      </c>
      <c r="Z54" s="57" t="str">
        <f t="shared" si="101"/>
        <v>#REF!</v>
      </c>
      <c r="AA54" s="57" t="str">
        <f t="shared" si="101"/>
        <v>#REF!</v>
      </c>
      <c r="AB54" s="57" t="str">
        <f t="shared" si="101"/>
        <v>#REF!</v>
      </c>
      <c r="AC54" s="57" t="str">
        <f t="shared" si="101"/>
        <v>#REF!</v>
      </c>
      <c r="AD54" s="57" t="str">
        <f t="shared" si="101"/>
        <v>#REF!</v>
      </c>
      <c r="AE54" s="57" t="str">
        <f t="shared" si="101"/>
        <v>#REF!</v>
      </c>
      <c r="AF54" s="57" t="str">
        <f t="shared" si="101"/>
        <v>#REF!</v>
      </c>
      <c r="AG54" s="57" t="str">
        <f t="shared" si="101"/>
        <v>#REF!</v>
      </c>
      <c r="AH54" s="57" t="str">
        <f>LEFT(北段!#REF!,4)</f>
        <v>#ERROR!</v>
      </c>
      <c r="AI54" s="57" t="str">
        <f>LEFT(北段!#REF!,4)</f>
        <v>#ERROR!</v>
      </c>
      <c r="AJ54" s="57" t="str">
        <f>LEFT(北段!#REF!,4)</f>
        <v>#ERROR!</v>
      </c>
      <c r="AK54" s="57" t="str">
        <f>LEFT(北段!#REF!,4)</f>
        <v>#ERROR!</v>
      </c>
      <c r="AL54" s="57" t="str">
        <f>LEFT(北段!#REF!,4)</f>
        <v>#ERROR!</v>
      </c>
      <c r="AM54" s="57" t="str">
        <f>LEFT(北段!#REF!,4)</f>
        <v>#ERROR!</v>
      </c>
      <c r="AN54" s="57" t="str">
        <f>LEFT(北段!#REF!,4)</f>
        <v>#ERROR!</v>
      </c>
    </row>
    <row r="55" ht="43.5" customHeight="1">
      <c r="A55" s="185"/>
      <c r="B55" s="57" t="str">
        <f t="shared" si="32"/>
        <v>#REF!</v>
      </c>
      <c r="C55" s="61" t="str">
        <f>VLOOKUP(B55,'北段'!B:C,2,FALSE)</f>
        <v>#REF!</v>
      </c>
      <c r="D55" s="57" t="str">
        <f t="shared" si="97"/>
        <v>#REF!</v>
      </c>
      <c r="E55" s="57" t="str">
        <f t="shared" ref="E55:F55" si="102">LEFT(#REF!,4)</f>
        <v>#REF!</v>
      </c>
      <c r="F55" s="57" t="str">
        <f t="shared" si="102"/>
        <v>#REF!</v>
      </c>
      <c r="G55" s="57" t="str">
        <f>LEFT(#REF!,3)</f>
        <v>#REF!</v>
      </c>
      <c r="H55" s="57" t="str">
        <f t="shared" ref="H55:K55" si="103">LEFT(#REF!,4)</f>
        <v>#REF!</v>
      </c>
      <c r="I55" s="57" t="str">
        <f t="shared" si="103"/>
        <v>#REF!</v>
      </c>
      <c r="J55" s="57" t="str">
        <f t="shared" si="103"/>
        <v>#REF!</v>
      </c>
      <c r="K55" s="57" t="str">
        <f t="shared" si="103"/>
        <v>#REF!</v>
      </c>
      <c r="L55" s="57" t="str">
        <f>LEFT(#REF!,3)</f>
        <v>#REF!</v>
      </c>
      <c r="M55" s="57" t="str">
        <f t="shared" ref="M55:N55" si="104">LEFT(#REF!,4)</f>
        <v>#REF!</v>
      </c>
      <c r="N55" s="57" t="str">
        <f t="shared" si="104"/>
        <v>#REF!</v>
      </c>
      <c r="O55" s="57" t="str">
        <f>LEFT(#REF!,3)</f>
        <v>#REF!</v>
      </c>
      <c r="P55" s="57" t="str">
        <f>LEFT(#REF!,4)</f>
        <v>#REF!</v>
      </c>
      <c r="Q55" s="57" t="str">
        <f>LEFT(#REF!,3)</f>
        <v>#REF!</v>
      </c>
      <c r="R55" s="57" t="str">
        <f t="shared" ref="R55:Y55" si="105">LEFT(#REF!,4)</f>
        <v>#REF!</v>
      </c>
      <c r="S55" s="57" t="str">
        <f t="shared" si="105"/>
        <v>#REF!</v>
      </c>
      <c r="T55" s="57" t="str">
        <f t="shared" si="105"/>
        <v>#REF!</v>
      </c>
      <c r="U55" s="57" t="str">
        <f t="shared" si="105"/>
        <v>#REF!</v>
      </c>
      <c r="V55" s="57" t="str">
        <f t="shared" si="105"/>
        <v>#REF!</v>
      </c>
      <c r="W55" s="57" t="str">
        <f t="shared" si="105"/>
        <v>#REF!</v>
      </c>
      <c r="X55" s="57" t="str">
        <f t="shared" si="105"/>
        <v>#REF!</v>
      </c>
      <c r="Y55" s="57" t="str">
        <f t="shared" si="105"/>
        <v>#REF!</v>
      </c>
      <c r="Z55" s="57" t="str">
        <f>LEFT(#REF!,3)</f>
        <v>#REF!</v>
      </c>
      <c r="AA55" s="57" t="str">
        <f t="shared" ref="AA55:AG55" si="106">LEFT(#REF!,4)</f>
        <v>#REF!</v>
      </c>
      <c r="AB55" s="57" t="str">
        <f t="shared" si="106"/>
        <v>#REF!</v>
      </c>
      <c r="AC55" s="57" t="str">
        <f t="shared" si="106"/>
        <v>#REF!</v>
      </c>
      <c r="AD55" s="57" t="str">
        <f t="shared" si="106"/>
        <v>#REF!</v>
      </c>
      <c r="AE55" s="57" t="str">
        <f t="shared" si="106"/>
        <v>#REF!</v>
      </c>
      <c r="AF55" s="57" t="str">
        <f t="shared" si="106"/>
        <v>#REF!</v>
      </c>
      <c r="AG55" s="57" t="str">
        <f t="shared" si="106"/>
        <v>#REF!</v>
      </c>
      <c r="AH55" s="57" t="str">
        <f>LEFT(北段!#REF!,4)</f>
        <v>#ERROR!</v>
      </c>
      <c r="AI55" s="57" t="str">
        <f>LEFT(北段!#REF!,4)</f>
        <v>#ERROR!</v>
      </c>
      <c r="AJ55" s="57" t="str">
        <f>LEFT(北段!#REF!,4)</f>
        <v>#ERROR!</v>
      </c>
      <c r="AK55" s="57" t="str">
        <f>LEFT(北段!#REF!,4)</f>
        <v>#ERROR!</v>
      </c>
      <c r="AL55" s="57" t="str">
        <f>LEFT(北段!#REF!,4)</f>
        <v>#ERROR!</v>
      </c>
      <c r="AM55" s="57" t="str">
        <f>LEFT(北段!#REF!,4)</f>
        <v>#ERROR!</v>
      </c>
      <c r="AN55" s="57" t="str">
        <f>LEFT(北段!#REF!,4)</f>
        <v>#ERROR!</v>
      </c>
    </row>
    <row r="56" ht="43.5" customHeight="1">
      <c r="A56" s="185"/>
      <c r="B56" s="57" t="str">
        <f t="shared" si="32"/>
        <v>#REF!</v>
      </c>
      <c r="C56" s="61" t="str">
        <f>VLOOKUP(B56,'北段'!B:C,2,FALSE)</f>
        <v>#REF!</v>
      </c>
      <c r="D56" s="57" t="str">
        <f t="shared" si="97"/>
        <v>#REF!</v>
      </c>
      <c r="E56" s="57" t="str">
        <f t="shared" ref="E56:I56" si="107">LEFT(#REF!,4)</f>
        <v>#REF!</v>
      </c>
      <c r="F56" s="57" t="str">
        <f t="shared" si="107"/>
        <v>#REF!</v>
      </c>
      <c r="G56" s="57" t="str">
        <f t="shared" si="107"/>
        <v>#REF!</v>
      </c>
      <c r="H56" s="57" t="str">
        <f t="shared" si="107"/>
        <v>#REF!</v>
      </c>
      <c r="I56" s="57" t="str">
        <f t="shared" si="107"/>
        <v>#REF!</v>
      </c>
      <c r="J56" s="57" t="str">
        <f>LEFT(#REF!,1)</f>
        <v>#REF!</v>
      </c>
      <c r="K56" s="57" t="str">
        <f t="shared" ref="K56:AG56" si="108">LEFT(#REF!,4)</f>
        <v>#REF!</v>
      </c>
      <c r="L56" s="57" t="str">
        <f t="shared" si="108"/>
        <v>#REF!</v>
      </c>
      <c r="M56" s="57" t="str">
        <f t="shared" si="108"/>
        <v>#REF!</v>
      </c>
      <c r="N56" s="57" t="str">
        <f t="shared" si="108"/>
        <v>#REF!</v>
      </c>
      <c r="O56" s="57" t="str">
        <f t="shared" si="108"/>
        <v>#REF!</v>
      </c>
      <c r="P56" s="57" t="str">
        <f t="shared" si="108"/>
        <v>#REF!</v>
      </c>
      <c r="Q56" s="57" t="str">
        <f t="shared" si="108"/>
        <v>#REF!</v>
      </c>
      <c r="R56" s="57" t="str">
        <f t="shared" si="108"/>
        <v>#REF!</v>
      </c>
      <c r="S56" s="57" t="str">
        <f t="shared" si="108"/>
        <v>#REF!</v>
      </c>
      <c r="T56" s="57" t="str">
        <f t="shared" si="108"/>
        <v>#REF!</v>
      </c>
      <c r="U56" s="57" t="str">
        <f t="shared" si="108"/>
        <v>#REF!</v>
      </c>
      <c r="V56" s="57" t="str">
        <f t="shared" si="108"/>
        <v>#REF!</v>
      </c>
      <c r="W56" s="57" t="str">
        <f t="shared" si="108"/>
        <v>#REF!</v>
      </c>
      <c r="X56" s="57" t="str">
        <f t="shared" si="108"/>
        <v>#REF!</v>
      </c>
      <c r="Y56" s="57" t="str">
        <f t="shared" si="108"/>
        <v>#REF!</v>
      </c>
      <c r="Z56" s="57" t="str">
        <f t="shared" si="108"/>
        <v>#REF!</v>
      </c>
      <c r="AA56" s="57" t="str">
        <f t="shared" si="108"/>
        <v>#REF!</v>
      </c>
      <c r="AB56" s="57" t="str">
        <f t="shared" si="108"/>
        <v>#REF!</v>
      </c>
      <c r="AC56" s="57" t="str">
        <f t="shared" si="108"/>
        <v>#REF!</v>
      </c>
      <c r="AD56" s="57" t="str">
        <f t="shared" si="108"/>
        <v>#REF!</v>
      </c>
      <c r="AE56" s="57" t="str">
        <f t="shared" si="108"/>
        <v>#REF!</v>
      </c>
      <c r="AF56" s="57" t="str">
        <f t="shared" si="108"/>
        <v>#REF!</v>
      </c>
      <c r="AG56" s="57" t="str">
        <f t="shared" si="108"/>
        <v>#REF!</v>
      </c>
      <c r="AH56" s="57" t="str">
        <f>LEFT(北段!#REF!,4)</f>
        <v>#ERROR!</v>
      </c>
      <c r="AI56" s="57" t="str">
        <f>LEFT(北段!#REF!,4)</f>
        <v>#ERROR!</v>
      </c>
      <c r="AJ56" s="57" t="str">
        <f>LEFT(北段!#REF!,4)</f>
        <v>#ERROR!</v>
      </c>
      <c r="AK56" s="57" t="str">
        <f>LEFT(北段!#REF!,4)</f>
        <v>#ERROR!</v>
      </c>
      <c r="AL56" s="57" t="str">
        <f>LEFT(北段!#REF!,4)</f>
        <v>#ERROR!</v>
      </c>
      <c r="AM56" s="57" t="str">
        <f>LEFT(北段!#REF!,4)</f>
        <v>#ERROR!</v>
      </c>
      <c r="AN56" s="57" t="str">
        <f>LEFT(北段!#REF!,4)</f>
        <v>#ERROR!</v>
      </c>
    </row>
    <row r="57" ht="43.5" customHeight="1">
      <c r="A57" s="185"/>
      <c r="B57" s="57" t="str">
        <f t="shared" si="32"/>
        <v>#REF!</v>
      </c>
      <c r="C57" s="61" t="str">
        <f>VLOOKUP(B57,'北段'!B:C,2,FALSE)</f>
        <v>#REF!</v>
      </c>
      <c r="D57" s="57" t="str">
        <f t="shared" si="97"/>
        <v>#REF!</v>
      </c>
      <c r="E57" s="57" t="str">
        <f t="shared" ref="E57:AG57" si="109">LEFT(#REF!,4)</f>
        <v>#REF!</v>
      </c>
      <c r="F57" s="57" t="str">
        <f t="shared" si="109"/>
        <v>#REF!</v>
      </c>
      <c r="G57" s="57" t="str">
        <f t="shared" si="109"/>
        <v>#REF!</v>
      </c>
      <c r="H57" s="57" t="str">
        <f t="shared" si="109"/>
        <v>#REF!</v>
      </c>
      <c r="I57" s="57" t="str">
        <f t="shared" si="109"/>
        <v>#REF!</v>
      </c>
      <c r="J57" s="57" t="str">
        <f t="shared" si="109"/>
        <v>#REF!</v>
      </c>
      <c r="K57" s="57" t="str">
        <f t="shared" si="109"/>
        <v>#REF!</v>
      </c>
      <c r="L57" s="57" t="str">
        <f t="shared" si="109"/>
        <v>#REF!</v>
      </c>
      <c r="M57" s="57" t="str">
        <f t="shared" si="109"/>
        <v>#REF!</v>
      </c>
      <c r="N57" s="57" t="str">
        <f t="shared" si="109"/>
        <v>#REF!</v>
      </c>
      <c r="O57" s="57" t="str">
        <f t="shared" si="109"/>
        <v>#REF!</v>
      </c>
      <c r="P57" s="57" t="str">
        <f t="shared" si="109"/>
        <v>#REF!</v>
      </c>
      <c r="Q57" s="57" t="str">
        <f t="shared" si="109"/>
        <v>#REF!</v>
      </c>
      <c r="R57" s="57" t="str">
        <f t="shared" si="109"/>
        <v>#REF!</v>
      </c>
      <c r="S57" s="57" t="str">
        <f t="shared" si="109"/>
        <v>#REF!</v>
      </c>
      <c r="T57" s="57" t="str">
        <f t="shared" si="109"/>
        <v>#REF!</v>
      </c>
      <c r="U57" s="57" t="str">
        <f t="shared" si="109"/>
        <v>#REF!</v>
      </c>
      <c r="V57" s="57" t="str">
        <f t="shared" si="109"/>
        <v>#REF!</v>
      </c>
      <c r="W57" s="57" t="str">
        <f t="shared" si="109"/>
        <v>#REF!</v>
      </c>
      <c r="X57" s="57" t="str">
        <f t="shared" si="109"/>
        <v>#REF!</v>
      </c>
      <c r="Y57" s="57" t="str">
        <f t="shared" si="109"/>
        <v>#REF!</v>
      </c>
      <c r="Z57" s="57" t="str">
        <f t="shared" si="109"/>
        <v>#REF!</v>
      </c>
      <c r="AA57" s="57" t="str">
        <f t="shared" si="109"/>
        <v>#REF!</v>
      </c>
      <c r="AB57" s="57" t="str">
        <f t="shared" si="109"/>
        <v>#REF!</v>
      </c>
      <c r="AC57" s="57" t="str">
        <f t="shared" si="109"/>
        <v>#REF!</v>
      </c>
      <c r="AD57" s="57" t="str">
        <f t="shared" si="109"/>
        <v>#REF!</v>
      </c>
      <c r="AE57" s="57" t="str">
        <f t="shared" si="109"/>
        <v>#REF!</v>
      </c>
      <c r="AF57" s="57" t="str">
        <f t="shared" si="109"/>
        <v>#REF!</v>
      </c>
      <c r="AG57" s="57" t="str">
        <f t="shared" si="109"/>
        <v>#REF!</v>
      </c>
      <c r="AH57" s="57" t="str">
        <f>LEFT(北段!#REF!,4)</f>
        <v>#ERROR!</v>
      </c>
      <c r="AI57" s="57" t="str">
        <f>LEFT(北段!#REF!,4)</f>
        <v>#ERROR!</v>
      </c>
      <c r="AJ57" s="57" t="str">
        <f>LEFT(北段!#REF!,4)</f>
        <v>#ERROR!</v>
      </c>
      <c r="AK57" s="57" t="str">
        <f>LEFT(北段!#REF!,4)</f>
        <v>#ERROR!</v>
      </c>
      <c r="AL57" s="57" t="str">
        <f>LEFT(北段!#REF!,4)</f>
        <v>#ERROR!</v>
      </c>
      <c r="AM57" s="57" t="str">
        <f>LEFT(北段!#REF!,4)</f>
        <v>#ERROR!</v>
      </c>
      <c r="AN57" s="57" t="str">
        <f>LEFT(北段!#REF!,4)</f>
        <v>#ERROR!</v>
      </c>
    </row>
    <row r="58" ht="43.5" customHeight="1">
      <c r="A58" s="185"/>
      <c r="B58" s="57" t="str">
        <f t="shared" si="32"/>
        <v>#REF!</v>
      </c>
      <c r="C58" s="61" t="str">
        <f>VLOOKUP(B58,'北段'!B:C,2,FALSE)</f>
        <v>#REF!</v>
      </c>
      <c r="D58" s="57" t="str">
        <f t="shared" si="97"/>
        <v>#REF!</v>
      </c>
      <c r="E58" s="57" t="str">
        <f t="shared" ref="E58:I58" si="110">LEFT(#REF!,4)</f>
        <v>#REF!</v>
      </c>
      <c r="F58" s="57" t="str">
        <f t="shared" si="110"/>
        <v>#REF!</v>
      </c>
      <c r="G58" s="57" t="str">
        <f t="shared" si="110"/>
        <v>#REF!</v>
      </c>
      <c r="H58" s="57" t="str">
        <f t="shared" si="110"/>
        <v>#REF!</v>
      </c>
      <c r="I58" s="57" t="str">
        <f t="shared" si="110"/>
        <v>#REF!</v>
      </c>
      <c r="J58" s="57" t="str">
        <f>LEFT(#REF!,3)</f>
        <v>#REF!</v>
      </c>
      <c r="K58" s="57" t="str">
        <f t="shared" ref="K58:P58" si="111">LEFT(#REF!,4)</f>
        <v>#REF!</v>
      </c>
      <c r="L58" s="57" t="str">
        <f t="shared" si="111"/>
        <v>#REF!</v>
      </c>
      <c r="M58" s="57" t="str">
        <f t="shared" si="111"/>
        <v>#REF!</v>
      </c>
      <c r="N58" s="57" t="str">
        <f t="shared" si="111"/>
        <v>#REF!</v>
      </c>
      <c r="O58" s="57" t="str">
        <f t="shared" si="111"/>
        <v>#REF!</v>
      </c>
      <c r="P58" s="57" t="str">
        <f t="shared" si="111"/>
        <v>#REF!</v>
      </c>
      <c r="Q58" s="57" t="str">
        <f>LEFT(#REF!,3)</f>
        <v>#REF!</v>
      </c>
      <c r="R58" s="57" t="str">
        <f t="shared" ref="R58:AG58" si="112">LEFT(#REF!,4)</f>
        <v>#REF!</v>
      </c>
      <c r="S58" s="57" t="str">
        <f t="shared" si="112"/>
        <v>#REF!</v>
      </c>
      <c r="T58" s="57" t="str">
        <f t="shared" si="112"/>
        <v>#REF!</v>
      </c>
      <c r="U58" s="57" t="str">
        <f t="shared" si="112"/>
        <v>#REF!</v>
      </c>
      <c r="V58" s="57" t="str">
        <f t="shared" si="112"/>
        <v>#REF!</v>
      </c>
      <c r="W58" s="57" t="str">
        <f t="shared" si="112"/>
        <v>#REF!</v>
      </c>
      <c r="X58" s="57" t="str">
        <f t="shared" si="112"/>
        <v>#REF!</v>
      </c>
      <c r="Y58" s="57" t="str">
        <f t="shared" si="112"/>
        <v>#REF!</v>
      </c>
      <c r="Z58" s="57" t="str">
        <f t="shared" si="112"/>
        <v>#REF!</v>
      </c>
      <c r="AA58" s="57" t="str">
        <f t="shared" si="112"/>
        <v>#REF!</v>
      </c>
      <c r="AB58" s="57" t="str">
        <f t="shared" si="112"/>
        <v>#REF!</v>
      </c>
      <c r="AC58" s="57" t="str">
        <f t="shared" si="112"/>
        <v>#REF!</v>
      </c>
      <c r="AD58" s="57" t="str">
        <f t="shared" si="112"/>
        <v>#REF!</v>
      </c>
      <c r="AE58" s="57" t="str">
        <f t="shared" si="112"/>
        <v>#REF!</v>
      </c>
      <c r="AF58" s="57" t="str">
        <f t="shared" si="112"/>
        <v>#REF!</v>
      </c>
      <c r="AG58" s="57" t="str">
        <f t="shared" si="112"/>
        <v>#REF!</v>
      </c>
      <c r="AH58" s="57" t="str">
        <f>LEFT(北段!#REF!,4)</f>
        <v>#ERROR!</v>
      </c>
      <c r="AI58" s="57" t="str">
        <f>LEFT(北段!#REF!,4)</f>
        <v>#ERROR!</v>
      </c>
      <c r="AJ58" s="57" t="str">
        <f>LEFT(北段!#REF!,4)</f>
        <v>#ERROR!</v>
      </c>
      <c r="AK58" s="57" t="str">
        <f>LEFT(北段!#REF!,4)</f>
        <v>#ERROR!</v>
      </c>
      <c r="AL58" s="57" t="str">
        <f>LEFT(北段!#REF!,4)</f>
        <v>#ERROR!</v>
      </c>
      <c r="AM58" s="57" t="str">
        <f>LEFT(北段!#REF!,4)</f>
        <v>#ERROR!</v>
      </c>
      <c r="AN58" s="57" t="str">
        <f>LEFT(北段!#REF!,4)</f>
        <v>#ERROR!</v>
      </c>
    </row>
    <row r="59" ht="43.5" customHeight="1">
      <c r="A59" s="186"/>
      <c r="B59" s="169" t="str">
        <f t="shared" si="32"/>
        <v>#REF!</v>
      </c>
      <c r="C59" s="116" t="str">
        <f>VLOOKUP(B59,'北段'!B:C,2,FALSE)</f>
        <v>#REF!</v>
      </c>
      <c r="D59" s="57" t="str">
        <f t="shared" si="97"/>
        <v>#REF!</v>
      </c>
      <c r="E59" s="57" t="str">
        <f t="shared" ref="E59:AG59" si="113">LEFT(#REF!,4)</f>
        <v>#REF!</v>
      </c>
      <c r="F59" s="57" t="str">
        <f t="shared" si="113"/>
        <v>#REF!</v>
      </c>
      <c r="G59" s="57" t="str">
        <f t="shared" si="113"/>
        <v>#REF!</v>
      </c>
      <c r="H59" s="57" t="str">
        <f t="shared" si="113"/>
        <v>#REF!</v>
      </c>
      <c r="I59" s="57" t="str">
        <f t="shared" si="113"/>
        <v>#REF!</v>
      </c>
      <c r="J59" s="57" t="str">
        <f t="shared" si="113"/>
        <v>#REF!</v>
      </c>
      <c r="K59" s="57" t="str">
        <f t="shared" si="113"/>
        <v>#REF!</v>
      </c>
      <c r="L59" s="57" t="str">
        <f t="shared" si="113"/>
        <v>#REF!</v>
      </c>
      <c r="M59" s="57" t="str">
        <f t="shared" si="113"/>
        <v>#REF!</v>
      </c>
      <c r="N59" s="57" t="str">
        <f t="shared" si="113"/>
        <v>#REF!</v>
      </c>
      <c r="O59" s="57" t="str">
        <f t="shared" si="113"/>
        <v>#REF!</v>
      </c>
      <c r="P59" s="57" t="str">
        <f t="shared" si="113"/>
        <v>#REF!</v>
      </c>
      <c r="Q59" s="57" t="str">
        <f t="shared" si="113"/>
        <v>#REF!</v>
      </c>
      <c r="R59" s="57" t="str">
        <f t="shared" si="113"/>
        <v>#REF!</v>
      </c>
      <c r="S59" s="57" t="str">
        <f t="shared" si="113"/>
        <v>#REF!</v>
      </c>
      <c r="T59" s="57" t="str">
        <f t="shared" si="113"/>
        <v>#REF!</v>
      </c>
      <c r="U59" s="57" t="str">
        <f t="shared" si="113"/>
        <v>#REF!</v>
      </c>
      <c r="V59" s="57" t="str">
        <f t="shared" si="113"/>
        <v>#REF!</v>
      </c>
      <c r="W59" s="57" t="str">
        <f t="shared" si="113"/>
        <v>#REF!</v>
      </c>
      <c r="X59" s="57" t="str">
        <f t="shared" si="113"/>
        <v>#REF!</v>
      </c>
      <c r="Y59" s="57" t="str">
        <f t="shared" si="113"/>
        <v>#REF!</v>
      </c>
      <c r="Z59" s="57" t="str">
        <f t="shared" si="113"/>
        <v>#REF!</v>
      </c>
      <c r="AA59" s="57" t="str">
        <f t="shared" si="113"/>
        <v>#REF!</v>
      </c>
      <c r="AB59" s="57" t="str">
        <f t="shared" si="113"/>
        <v>#REF!</v>
      </c>
      <c r="AC59" s="57" t="str">
        <f t="shared" si="113"/>
        <v>#REF!</v>
      </c>
      <c r="AD59" s="57" t="str">
        <f t="shared" si="113"/>
        <v>#REF!</v>
      </c>
      <c r="AE59" s="57" t="str">
        <f t="shared" si="113"/>
        <v>#REF!</v>
      </c>
      <c r="AF59" s="57" t="str">
        <f t="shared" si="113"/>
        <v>#REF!</v>
      </c>
      <c r="AG59" s="57" t="str">
        <f t="shared" si="113"/>
        <v>#REF!</v>
      </c>
      <c r="AH59" s="57" t="str">
        <f>LEFT(北段!#REF!,4)</f>
        <v>#ERROR!</v>
      </c>
      <c r="AI59" s="57" t="str">
        <f>LEFT(北段!#REF!,4)</f>
        <v>#ERROR!</v>
      </c>
      <c r="AJ59" s="57" t="str">
        <f>LEFT(北段!#REF!,4)</f>
        <v>#ERROR!</v>
      </c>
      <c r="AK59" s="57" t="str">
        <f>LEFT(北段!#REF!,4)</f>
        <v>#ERROR!</v>
      </c>
      <c r="AL59" s="57" t="str">
        <f>LEFT(北段!#REF!,4)</f>
        <v>#ERROR!</v>
      </c>
      <c r="AM59" s="57" t="str">
        <f>LEFT(北段!#REF!,4)</f>
        <v>#ERROR!</v>
      </c>
      <c r="AN59" s="57" t="str">
        <f>LEFT(北段!#REF!,4)</f>
        <v>#ERROR!</v>
      </c>
    </row>
    <row r="60" ht="43.5" customHeight="1">
      <c r="A60" s="184"/>
      <c r="B60" s="167" t="str">
        <f t="shared" si="32"/>
        <v>#REF!</v>
      </c>
      <c r="C60" s="45" t="str">
        <f>VLOOKUP(B60,'北段'!B:C,2,FALSE)</f>
        <v>#REF!</v>
      </c>
      <c r="D60" s="57" t="str">
        <f t="shared" si="97"/>
        <v>#REF!</v>
      </c>
      <c r="E60" s="57" t="str">
        <f t="shared" ref="E60:F60" si="114">LEFT(#REF!,4)</f>
        <v>#REF!</v>
      </c>
      <c r="F60" s="57" t="str">
        <f t="shared" si="114"/>
        <v>#REF!</v>
      </c>
      <c r="G60" s="57" t="str">
        <f t="shared" ref="G60:G61" si="117">LEFT(#REF!,3)</f>
        <v>#REF!</v>
      </c>
      <c r="H60" s="57" t="str">
        <f t="shared" ref="H60:AG60" si="115">LEFT(#REF!,4)</f>
        <v>#REF!</v>
      </c>
      <c r="I60" s="57" t="str">
        <f t="shared" si="115"/>
        <v>#REF!</v>
      </c>
      <c r="J60" s="57" t="str">
        <f t="shared" si="115"/>
        <v>#REF!</v>
      </c>
      <c r="K60" s="57" t="str">
        <f t="shared" si="115"/>
        <v>#REF!</v>
      </c>
      <c r="L60" s="57" t="str">
        <f t="shared" si="115"/>
        <v>#REF!</v>
      </c>
      <c r="M60" s="57" t="str">
        <f t="shared" si="115"/>
        <v>#REF!</v>
      </c>
      <c r="N60" s="57" t="str">
        <f t="shared" si="115"/>
        <v>#REF!</v>
      </c>
      <c r="O60" s="57" t="str">
        <f t="shared" si="115"/>
        <v>#REF!</v>
      </c>
      <c r="P60" s="57" t="str">
        <f t="shared" si="115"/>
        <v>#REF!</v>
      </c>
      <c r="Q60" s="57" t="str">
        <f t="shared" si="115"/>
        <v>#REF!</v>
      </c>
      <c r="R60" s="57" t="str">
        <f t="shared" si="115"/>
        <v>#REF!</v>
      </c>
      <c r="S60" s="57" t="str">
        <f t="shared" si="115"/>
        <v>#REF!</v>
      </c>
      <c r="T60" s="57" t="str">
        <f t="shared" si="115"/>
        <v>#REF!</v>
      </c>
      <c r="U60" s="57" t="str">
        <f t="shared" si="115"/>
        <v>#REF!</v>
      </c>
      <c r="V60" s="57" t="str">
        <f t="shared" si="115"/>
        <v>#REF!</v>
      </c>
      <c r="W60" s="57" t="str">
        <f t="shared" si="115"/>
        <v>#REF!</v>
      </c>
      <c r="X60" s="57" t="str">
        <f t="shared" si="115"/>
        <v>#REF!</v>
      </c>
      <c r="Y60" s="57" t="str">
        <f t="shared" si="115"/>
        <v>#REF!</v>
      </c>
      <c r="Z60" s="57" t="str">
        <f t="shared" si="115"/>
        <v>#REF!</v>
      </c>
      <c r="AA60" s="57" t="str">
        <f t="shared" si="115"/>
        <v>#REF!</v>
      </c>
      <c r="AB60" s="57" t="str">
        <f t="shared" si="115"/>
        <v>#REF!</v>
      </c>
      <c r="AC60" s="57" t="str">
        <f t="shared" si="115"/>
        <v>#REF!</v>
      </c>
      <c r="AD60" s="57" t="str">
        <f t="shared" si="115"/>
        <v>#REF!</v>
      </c>
      <c r="AE60" s="57" t="str">
        <f t="shared" si="115"/>
        <v>#REF!</v>
      </c>
      <c r="AF60" s="57" t="str">
        <f t="shared" si="115"/>
        <v>#REF!</v>
      </c>
      <c r="AG60" s="57" t="str">
        <f t="shared" si="115"/>
        <v>#REF!</v>
      </c>
      <c r="AH60" s="57" t="str">
        <f>LEFT(北段!#REF!,4)</f>
        <v>#ERROR!</v>
      </c>
      <c r="AI60" s="57" t="str">
        <f>LEFT(北段!#REF!,4)</f>
        <v>#ERROR!</v>
      </c>
      <c r="AJ60" s="57" t="str">
        <f>LEFT(北段!#REF!,4)</f>
        <v>#ERROR!</v>
      </c>
      <c r="AK60" s="57" t="str">
        <f>LEFT(北段!#REF!,4)</f>
        <v>#ERROR!</v>
      </c>
      <c r="AL60" s="57" t="str">
        <f>LEFT(北段!#REF!,8)</f>
        <v>#ERROR!</v>
      </c>
      <c r="AM60" s="57" t="str">
        <f>LEFT(北段!#REF!,4)</f>
        <v>#ERROR!</v>
      </c>
      <c r="AN60" s="57" t="str">
        <f>LEFT(北段!#REF!,4)</f>
        <v>#ERROR!</v>
      </c>
    </row>
    <row r="61" ht="43.5" customHeight="1">
      <c r="A61" s="185"/>
      <c r="B61" s="57" t="str">
        <f t="shared" si="32"/>
        <v>#REF!</v>
      </c>
      <c r="C61" s="61" t="str">
        <f>VLOOKUP(B61,'北段'!B:C,2,FALSE)</f>
        <v>#REF!</v>
      </c>
      <c r="D61" s="57" t="str">
        <f t="shared" si="97"/>
        <v>#REF!</v>
      </c>
      <c r="E61" s="57" t="str">
        <f t="shared" ref="E61:F61" si="116">LEFT(#REF!,4)</f>
        <v>#REF!</v>
      </c>
      <c r="F61" s="57" t="str">
        <f t="shared" si="116"/>
        <v>#REF!</v>
      </c>
      <c r="G61" s="57" t="str">
        <f t="shared" si="117"/>
        <v>#REF!</v>
      </c>
      <c r="H61" s="57" t="str">
        <f t="shared" ref="H61:L61" si="118">LEFT(#REF!,4)</f>
        <v>#REF!</v>
      </c>
      <c r="I61" s="57" t="str">
        <f t="shared" si="118"/>
        <v>#REF!</v>
      </c>
      <c r="J61" s="57" t="str">
        <f t="shared" si="118"/>
        <v>#REF!</v>
      </c>
      <c r="K61" s="57" t="str">
        <f t="shared" si="118"/>
        <v>#REF!</v>
      </c>
      <c r="L61" s="57" t="str">
        <f t="shared" si="118"/>
        <v>#REF!</v>
      </c>
      <c r="M61" s="57" t="str">
        <f>LEFT(#REF!,8)</f>
        <v>#REF!</v>
      </c>
      <c r="N61" s="57" t="str">
        <f t="shared" ref="N61:AG61" si="119">LEFT(#REF!,4)</f>
        <v>#REF!</v>
      </c>
      <c r="O61" s="57" t="str">
        <f t="shared" si="119"/>
        <v>#REF!</v>
      </c>
      <c r="P61" s="57" t="str">
        <f t="shared" si="119"/>
        <v>#REF!</v>
      </c>
      <c r="Q61" s="57" t="str">
        <f t="shared" si="119"/>
        <v>#REF!</v>
      </c>
      <c r="R61" s="57" t="str">
        <f t="shared" si="119"/>
        <v>#REF!</v>
      </c>
      <c r="S61" s="57" t="str">
        <f t="shared" si="119"/>
        <v>#REF!</v>
      </c>
      <c r="T61" s="57" t="str">
        <f t="shared" si="119"/>
        <v>#REF!</v>
      </c>
      <c r="U61" s="57" t="str">
        <f t="shared" si="119"/>
        <v>#REF!</v>
      </c>
      <c r="V61" s="57" t="str">
        <f t="shared" si="119"/>
        <v>#REF!</v>
      </c>
      <c r="W61" s="57" t="str">
        <f t="shared" si="119"/>
        <v>#REF!</v>
      </c>
      <c r="X61" s="57" t="str">
        <f t="shared" si="119"/>
        <v>#REF!</v>
      </c>
      <c r="Y61" s="57" t="str">
        <f t="shared" si="119"/>
        <v>#REF!</v>
      </c>
      <c r="Z61" s="57" t="str">
        <f t="shared" si="119"/>
        <v>#REF!</v>
      </c>
      <c r="AA61" s="57" t="str">
        <f t="shared" si="119"/>
        <v>#REF!</v>
      </c>
      <c r="AB61" s="57" t="str">
        <f t="shared" si="119"/>
        <v>#REF!</v>
      </c>
      <c r="AC61" s="57" t="str">
        <f t="shared" si="119"/>
        <v>#REF!</v>
      </c>
      <c r="AD61" s="57" t="str">
        <f t="shared" si="119"/>
        <v>#REF!</v>
      </c>
      <c r="AE61" s="57" t="str">
        <f t="shared" si="119"/>
        <v>#REF!</v>
      </c>
      <c r="AF61" s="57" t="str">
        <f t="shared" si="119"/>
        <v>#REF!</v>
      </c>
      <c r="AG61" s="57" t="str">
        <f t="shared" si="119"/>
        <v>#REF!</v>
      </c>
      <c r="AH61" s="57" t="str">
        <f>LEFT(北段!#REF!,4)</f>
        <v>#ERROR!</v>
      </c>
      <c r="AI61" s="57" t="str">
        <f>LEFT(北段!#REF!,4)</f>
        <v>#ERROR!</v>
      </c>
      <c r="AJ61" s="57" t="str">
        <f>LEFT(北段!#REF!,4)</f>
        <v>#ERROR!</v>
      </c>
      <c r="AK61" s="57" t="str">
        <f>LEFT(北段!#REF!,4)</f>
        <v>#ERROR!</v>
      </c>
      <c r="AL61" s="57" t="str">
        <f>LEFT(北段!#REF!,4)</f>
        <v>#ERROR!</v>
      </c>
      <c r="AM61" s="57" t="str">
        <f>LEFT(北段!#REF!,4)</f>
        <v>#ERROR!</v>
      </c>
      <c r="AN61" s="57" t="str">
        <f>LEFT(北段!#REF!,4)</f>
        <v>#ERROR!</v>
      </c>
    </row>
    <row r="62" ht="43.5" customHeight="1">
      <c r="A62" s="185"/>
      <c r="B62" s="57" t="str">
        <f t="shared" si="32"/>
        <v>#REF!</v>
      </c>
      <c r="C62" s="61" t="str">
        <f>VLOOKUP(B62,'北段'!B:C,2,FALSE)</f>
        <v>#REF!</v>
      </c>
      <c r="D62" s="57" t="str">
        <f t="shared" si="97"/>
        <v>#REF!</v>
      </c>
      <c r="E62" s="57" t="str">
        <f t="shared" ref="E62:AG62" si="120">LEFT(#REF!,4)</f>
        <v>#REF!</v>
      </c>
      <c r="F62" s="57" t="str">
        <f t="shared" si="120"/>
        <v>#REF!</v>
      </c>
      <c r="G62" s="57" t="str">
        <f t="shared" si="120"/>
        <v>#REF!</v>
      </c>
      <c r="H62" s="57" t="str">
        <f t="shared" si="120"/>
        <v>#REF!</v>
      </c>
      <c r="I62" s="57" t="str">
        <f t="shared" si="120"/>
        <v>#REF!</v>
      </c>
      <c r="J62" s="57" t="str">
        <f t="shared" si="120"/>
        <v>#REF!</v>
      </c>
      <c r="K62" s="57" t="str">
        <f t="shared" si="120"/>
        <v>#REF!</v>
      </c>
      <c r="L62" s="57" t="str">
        <f t="shared" si="120"/>
        <v>#REF!</v>
      </c>
      <c r="M62" s="57" t="str">
        <f t="shared" si="120"/>
        <v>#REF!</v>
      </c>
      <c r="N62" s="57" t="str">
        <f t="shared" si="120"/>
        <v>#REF!</v>
      </c>
      <c r="O62" s="57" t="str">
        <f t="shared" si="120"/>
        <v>#REF!</v>
      </c>
      <c r="P62" s="57" t="str">
        <f t="shared" si="120"/>
        <v>#REF!</v>
      </c>
      <c r="Q62" s="57" t="str">
        <f t="shared" si="120"/>
        <v>#REF!</v>
      </c>
      <c r="R62" s="57" t="str">
        <f t="shared" si="120"/>
        <v>#REF!</v>
      </c>
      <c r="S62" s="57" t="str">
        <f t="shared" si="120"/>
        <v>#REF!</v>
      </c>
      <c r="T62" s="57" t="str">
        <f t="shared" si="120"/>
        <v>#REF!</v>
      </c>
      <c r="U62" s="57" t="str">
        <f t="shared" si="120"/>
        <v>#REF!</v>
      </c>
      <c r="V62" s="57" t="str">
        <f t="shared" si="120"/>
        <v>#REF!</v>
      </c>
      <c r="W62" s="57" t="str">
        <f t="shared" si="120"/>
        <v>#REF!</v>
      </c>
      <c r="X62" s="57" t="str">
        <f t="shared" si="120"/>
        <v>#REF!</v>
      </c>
      <c r="Y62" s="57" t="str">
        <f t="shared" si="120"/>
        <v>#REF!</v>
      </c>
      <c r="Z62" s="57" t="str">
        <f t="shared" si="120"/>
        <v>#REF!</v>
      </c>
      <c r="AA62" s="57" t="str">
        <f t="shared" si="120"/>
        <v>#REF!</v>
      </c>
      <c r="AB62" s="57" t="str">
        <f t="shared" si="120"/>
        <v>#REF!</v>
      </c>
      <c r="AC62" s="57" t="str">
        <f t="shared" si="120"/>
        <v>#REF!</v>
      </c>
      <c r="AD62" s="57" t="str">
        <f t="shared" si="120"/>
        <v>#REF!</v>
      </c>
      <c r="AE62" s="57" t="str">
        <f t="shared" si="120"/>
        <v>#REF!</v>
      </c>
      <c r="AF62" s="57" t="str">
        <f t="shared" si="120"/>
        <v>#REF!</v>
      </c>
      <c r="AG62" s="57" t="str">
        <f t="shared" si="120"/>
        <v>#REF!</v>
      </c>
      <c r="AH62" s="57" t="str">
        <f>LEFT(北段!#REF!,4)</f>
        <v>#ERROR!</v>
      </c>
      <c r="AI62" s="57" t="str">
        <f>LEFT(北段!#REF!,4)</f>
        <v>#ERROR!</v>
      </c>
      <c r="AJ62" s="57" t="str">
        <f>LEFT(北段!#REF!,4)</f>
        <v>#ERROR!</v>
      </c>
      <c r="AK62" s="57" t="str">
        <f>LEFT(北段!#REF!,4)</f>
        <v>#ERROR!</v>
      </c>
      <c r="AL62" s="57" t="str">
        <f>LEFT(北段!#REF!,4)</f>
        <v>#ERROR!</v>
      </c>
      <c r="AM62" s="57" t="str">
        <f>LEFT(北段!#REF!,4)</f>
        <v>#ERROR!</v>
      </c>
      <c r="AN62" s="57" t="str">
        <f>LEFT(北段!#REF!,4)</f>
        <v>#ERROR!</v>
      </c>
    </row>
    <row r="63" ht="43.5" customHeight="1">
      <c r="A63" s="185"/>
      <c r="B63" s="57" t="str">
        <f t="shared" si="32"/>
        <v>#REF!</v>
      </c>
      <c r="C63" s="61" t="str">
        <f>VLOOKUP(B63,'北段'!B:C,2,FALSE)</f>
        <v>#REF!</v>
      </c>
      <c r="D63" s="57" t="str">
        <f t="shared" si="97"/>
        <v>#REF!</v>
      </c>
      <c r="E63" s="57" t="str">
        <f t="shared" ref="E63:AG63" si="121">LEFT(#REF!,4)</f>
        <v>#REF!</v>
      </c>
      <c r="F63" s="57" t="str">
        <f t="shared" si="121"/>
        <v>#REF!</v>
      </c>
      <c r="G63" s="57" t="str">
        <f t="shared" si="121"/>
        <v>#REF!</v>
      </c>
      <c r="H63" s="57" t="str">
        <f t="shared" si="121"/>
        <v>#REF!</v>
      </c>
      <c r="I63" s="57" t="str">
        <f t="shared" si="121"/>
        <v>#REF!</v>
      </c>
      <c r="J63" s="57" t="str">
        <f t="shared" si="121"/>
        <v>#REF!</v>
      </c>
      <c r="K63" s="57" t="str">
        <f t="shared" si="121"/>
        <v>#REF!</v>
      </c>
      <c r="L63" s="57" t="str">
        <f t="shared" si="121"/>
        <v>#REF!</v>
      </c>
      <c r="M63" s="57" t="str">
        <f t="shared" si="121"/>
        <v>#REF!</v>
      </c>
      <c r="N63" s="57" t="str">
        <f t="shared" si="121"/>
        <v>#REF!</v>
      </c>
      <c r="O63" s="57" t="str">
        <f t="shared" si="121"/>
        <v>#REF!</v>
      </c>
      <c r="P63" s="57" t="str">
        <f t="shared" si="121"/>
        <v>#REF!</v>
      </c>
      <c r="Q63" s="57" t="str">
        <f t="shared" si="121"/>
        <v>#REF!</v>
      </c>
      <c r="R63" s="57" t="str">
        <f t="shared" si="121"/>
        <v>#REF!</v>
      </c>
      <c r="S63" s="57" t="str">
        <f t="shared" si="121"/>
        <v>#REF!</v>
      </c>
      <c r="T63" s="57" t="str">
        <f t="shared" si="121"/>
        <v>#REF!</v>
      </c>
      <c r="U63" s="57" t="str">
        <f t="shared" si="121"/>
        <v>#REF!</v>
      </c>
      <c r="V63" s="57" t="str">
        <f t="shared" si="121"/>
        <v>#REF!</v>
      </c>
      <c r="W63" s="57" t="str">
        <f t="shared" si="121"/>
        <v>#REF!</v>
      </c>
      <c r="X63" s="57" t="str">
        <f t="shared" si="121"/>
        <v>#REF!</v>
      </c>
      <c r="Y63" s="57" t="str">
        <f t="shared" si="121"/>
        <v>#REF!</v>
      </c>
      <c r="Z63" s="57" t="str">
        <f t="shared" si="121"/>
        <v>#REF!</v>
      </c>
      <c r="AA63" s="57" t="str">
        <f t="shared" si="121"/>
        <v>#REF!</v>
      </c>
      <c r="AB63" s="57" t="str">
        <f t="shared" si="121"/>
        <v>#REF!</v>
      </c>
      <c r="AC63" s="57" t="str">
        <f t="shared" si="121"/>
        <v>#REF!</v>
      </c>
      <c r="AD63" s="57" t="str">
        <f t="shared" si="121"/>
        <v>#REF!</v>
      </c>
      <c r="AE63" s="57" t="str">
        <f t="shared" si="121"/>
        <v>#REF!</v>
      </c>
      <c r="AF63" s="57" t="str">
        <f t="shared" si="121"/>
        <v>#REF!</v>
      </c>
      <c r="AG63" s="57" t="str">
        <f t="shared" si="121"/>
        <v>#REF!</v>
      </c>
      <c r="AH63" s="57" t="str">
        <f>LEFT(北段!#REF!,4)</f>
        <v>#ERROR!</v>
      </c>
      <c r="AI63" s="57" t="str">
        <f>LEFT(北段!#REF!,4)</f>
        <v>#ERROR!</v>
      </c>
      <c r="AJ63" s="57" t="str">
        <f>LEFT(北段!#REF!,4)</f>
        <v>#ERROR!</v>
      </c>
      <c r="AK63" s="57" t="str">
        <f>LEFT(北段!#REF!,4)</f>
        <v>#ERROR!</v>
      </c>
      <c r="AL63" s="57" t="str">
        <f>LEFT(北段!#REF!,4)</f>
        <v>#ERROR!</v>
      </c>
      <c r="AM63" s="57" t="str">
        <f>LEFT(北段!#REF!,4)</f>
        <v>#ERROR!</v>
      </c>
      <c r="AN63" s="57" t="str">
        <f>LEFT(北段!#REF!,4)</f>
        <v>#ERROR!</v>
      </c>
    </row>
    <row r="64" ht="43.5" customHeight="1">
      <c r="A64" s="185"/>
      <c r="B64" s="57" t="str">
        <f t="shared" si="32"/>
        <v>#REF!</v>
      </c>
      <c r="C64" s="61" t="str">
        <f>VLOOKUP(B64,'北段'!B:C,2,FALSE)</f>
        <v>#REF!</v>
      </c>
      <c r="D64" s="57" t="str">
        <f t="shared" si="97"/>
        <v>#REF!</v>
      </c>
      <c r="E64" s="57" t="str">
        <f t="shared" ref="E64:G64" si="122">LEFT(#REF!,4)</f>
        <v>#REF!</v>
      </c>
      <c r="F64" s="57" t="str">
        <f t="shared" si="122"/>
        <v>#REF!</v>
      </c>
      <c r="G64" s="57" t="str">
        <f t="shared" si="122"/>
        <v>#REF!</v>
      </c>
      <c r="H64" s="57" t="str">
        <f t="shared" ref="H64:H65" si="126">LEFT(#REF!,3)</f>
        <v>#REF!</v>
      </c>
      <c r="I64" s="57" t="str">
        <f t="shared" ref="I64:U64" si="123">LEFT(#REF!,4)</f>
        <v>#REF!</v>
      </c>
      <c r="J64" s="57" t="str">
        <f t="shared" si="123"/>
        <v>#REF!</v>
      </c>
      <c r="K64" s="57" t="str">
        <f t="shared" si="123"/>
        <v>#REF!</v>
      </c>
      <c r="L64" s="57" t="str">
        <f t="shared" si="123"/>
        <v>#REF!</v>
      </c>
      <c r="M64" s="57" t="str">
        <f t="shared" si="123"/>
        <v>#REF!</v>
      </c>
      <c r="N64" s="57" t="str">
        <f t="shared" si="123"/>
        <v>#REF!</v>
      </c>
      <c r="O64" s="57" t="str">
        <f t="shared" si="123"/>
        <v>#REF!</v>
      </c>
      <c r="P64" s="57" t="str">
        <f t="shared" si="123"/>
        <v>#REF!</v>
      </c>
      <c r="Q64" s="57" t="str">
        <f t="shared" si="123"/>
        <v>#REF!</v>
      </c>
      <c r="R64" s="57" t="str">
        <f t="shared" si="123"/>
        <v>#REF!</v>
      </c>
      <c r="S64" s="57" t="str">
        <f t="shared" si="123"/>
        <v>#REF!</v>
      </c>
      <c r="T64" s="57" t="str">
        <f t="shared" si="123"/>
        <v>#REF!</v>
      </c>
      <c r="U64" s="57" t="str">
        <f t="shared" si="123"/>
        <v>#REF!</v>
      </c>
      <c r="V64" s="57" t="str">
        <f t="shared" ref="V64:V66" si="128">LEFT(#REF!,3)</f>
        <v>#REF!</v>
      </c>
      <c r="W64" s="57" t="str">
        <f t="shared" ref="W64:AG64" si="124">LEFT(#REF!,4)</f>
        <v>#REF!</v>
      </c>
      <c r="X64" s="57" t="str">
        <f t="shared" si="124"/>
        <v>#REF!</v>
      </c>
      <c r="Y64" s="57" t="str">
        <f t="shared" si="124"/>
        <v>#REF!</v>
      </c>
      <c r="Z64" s="57" t="str">
        <f t="shared" si="124"/>
        <v>#REF!</v>
      </c>
      <c r="AA64" s="57" t="str">
        <f t="shared" si="124"/>
        <v>#REF!</v>
      </c>
      <c r="AB64" s="57" t="str">
        <f t="shared" si="124"/>
        <v>#REF!</v>
      </c>
      <c r="AC64" s="57" t="str">
        <f t="shared" si="124"/>
        <v>#REF!</v>
      </c>
      <c r="AD64" s="57" t="str">
        <f t="shared" si="124"/>
        <v>#REF!</v>
      </c>
      <c r="AE64" s="57" t="str">
        <f t="shared" si="124"/>
        <v>#REF!</v>
      </c>
      <c r="AF64" s="57" t="str">
        <f t="shared" si="124"/>
        <v>#REF!</v>
      </c>
      <c r="AG64" s="57" t="str">
        <f t="shared" si="124"/>
        <v>#REF!</v>
      </c>
      <c r="AH64" s="57" t="str">
        <f>LEFT(北段!#REF!,4)</f>
        <v>#ERROR!</v>
      </c>
      <c r="AI64" s="57" t="str">
        <f>LEFT(北段!#REF!,4)</f>
        <v>#ERROR!</v>
      </c>
      <c r="AJ64" s="57" t="str">
        <f>LEFT(北段!#REF!,4)</f>
        <v>#ERROR!</v>
      </c>
      <c r="AK64" s="57" t="str">
        <f>LEFT(北段!#REF!,4)</f>
        <v>#ERROR!</v>
      </c>
      <c r="AL64" s="57" t="str">
        <f>LEFT(北段!#REF!,4)</f>
        <v>#ERROR!</v>
      </c>
      <c r="AM64" s="57" t="str">
        <f>LEFT(北段!#REF!,4)</f>
        <v>#ERROR!</v>
      </c>
      <c r="AN64" s="57" t="str">
        <f>LEFT(北段!#REF!,4)</f>
        <v>#ERROR!</v>
      </c>
    </row>
    <row r="65" ht="43.5" customHeight="1">
      <c r="A65" s="186"/>
      <c r="B65" s="169" t="str">
        <f t="shared" si="32"/>
        <v>#REF!</v>
      </c>
      <c r="C65" s="116" t="str">
        <f>VLOOKUP(B65,'北段'!B:C,2,FALSE)</f>
        <v>#REF!</v>
      </c>
      <c r="D65" s="57" t="str">
        <f t="shared" si="97"/>
        <v>#REF!</v>
      </c>
      <c r="E65" s="57" t="str">
        <f t="shared" ref="E65:G65" si="125">LEFT(#REF!,4)</f>
        <v>#REF!</v>
      </c>
      <c r="F65" s="57" t="str">
        <f t="shared" si="125"/>
        <v>#REF!</v>
      </c>
      <c r="G65" s="57" t="str">
        <f t="shared" si="125"/>
        <v>#REF!</v>
      </c>
      <c r="H65" s="57" t="str">
        <f t="shared" si="126"/>
        <v>#REF!</v>
      </c>
      <c r="I65" s="57" t="str">
        <f t="shared" ref="I65:U65" si="127">LEFT(#REF!,4)</f>
        <v>#REF!</v>
      </c>
      <c r="J65" s="57" t="str">
        <f t="shared" si="127"/>
        <v>#REF!</v>
      </c>
      <c r="K65" s="57" t="str">
        <f t="shared" si="127"/>
        <v>#REF!</v>
      </c>
      <c r="L65" s="57" t="str">
        <f t="shared" si="127"/>
        <v>#REF!</v>
      </c>
      <c r="M65" s="57" t="str">
        <f t="shared" si="127"/>
        <v>#REF!</v>
      </c>
      <c r="N65" s="57" t="str">
        <f t="shared" si="127"/>
        <v>#REF!</v>
      </c>
      <c r="O65" s="57" t="str">
        <f t="shared" si="127"/>
        <v>#REF!</v>
      </c>
      <c r="P65" s="57" t="str">
        <f t="shared" si="127"/>
        <v>#REF!</v>
      </c>
      <c r="Q65" s="57" t="str">
        <f t="shared" si="127"/>
        <v>#REF!</v>
      </c>
      <c r="R65" s="57" t="str">
        <f t="shared" si="127"/>
        <v>#REF!</v>
      </c>
      <c r="S65" s="57" t="str">
        <f t="shared" si="127"/>
        <v>#REF!</v>
      </c>
      <c r="T65" s="57" t="str">
        <f t="shared" si="127"/>
        <v>#REF!</v>
      </c>
      <c r="U65" s="57" t="str">
        <f t="shared" si="127"/>
        <v>#REF!</v>
      </c>
      <c r="V65" s="57" t="str">
        <f t="shared" si="128"/>
        <v>#REF!</v>
      </c>
      <c r="W65" s="57" t="str">
        <f t="shared" ref="W65:AG65" si="129">LEFT(#REF!,4)</f>
        <v>#REF!</v>
      </c>
      <c r="X65" s="57" t="str">
        <f t="shared" si="129"/>
        <v>#REF!</v>
      </c>
      <c r="Y65" s="57" t="str">
        <f t="shared" si="129"/>
        <v>#REF!</v>
      </c>
      <c r="Z65" s="57" t="str">
        <f t="shared" si="129"/>
        <v>#REF!</v>
      </c>
      <c r="AA65" s="57" t="str">
        <f t="shared" si="129"/>
        <v>#REF!</v>
      </c>
      <c r="AB65" s="57" t="str">
        <f t="shared" si="129"/>
        <v>#REF!</v>
      </c>
      <c r="AC65" s="57" t="str">
        <f t="shared" si="129"/>
        <v>#REF!</v>
      </c>
      <c r="AD65" s="57" t="str">
        <f t="shared" si="129"/>
        <v>#REF!</v>
      </c>
      <c r="AE65" s="57" t="str">
        <f t="shared" si="129"/>
        <v>#REF!</v>
      </c>
      <c r="AF65" s="57" t="str">
        <f t="shared" si="129"/>
        <v>#REF!</v>
      </c>
      <c r="AG65" s="57" t="str">
        <f t="shared" si="129"/>
        <v>#REF!</v>
      </c>
      <c r="AH65" s="57" t="str">
        <f>LEFT(北段!#REF!,4)</f>
        <v>#ERROR!</v>
      </c>
      <c r="AI65" s="57" t="str">
        <f>LEFT(北段!#REF!,4)</f>
        <v>#ERROR!</v>
      </c>
      <c r="AJ65" s="57" t="str">
        <f>LEFT(北段!#REF!,4)</f>
        <v>#ERROR!</v>
      </c>
      <c r="AK65" s="57" t="str">
        <f>LEFT(北段!#REF!,4)</f>
        <v>#ERROR!</v>
      </c>
      <c r="AL65" s="57" t="str">
        <f>LEFT(北段!#REF!,4)</f>
        <v>#ERROR!</v>
      </c>
      <c r="AM65" s="57" t="str">
        <f>LEFT(北段!#REF!,4)</f>
        <v>#ERROR!</v>
      </c>
      <c r="AN65" s="57" t="str">
        <f>LEFT(北段!#REF!,4)</f>
        <v>#ERROR!</v>
      </c>
    </row>
    <row r="66" ht="43.5" customHeight="1">
      <c r="A66" s="184"/>
      <c r="B66" s="167" t="str">
        <f t="shared" si="32"/>
        <v>#REF!</v>
      </c>
      <c r="C66" s="45" t="str">
        <f>VLOOKUP(B66,'北段'!B:C,2,FALSE)</f>
        <v>#REF!</v>
      </c>
      <c r="D66" s="57" t="str">
        <f t="shared" si="97"/>
        <v>#REF!</v>
      </c>
      <c r="E66" s="57" t="str">
        <f t="shared" ref="E66:F66" si="130">LEFT(#REF!,4)</f>
        <v>#REF!</v>
      </c>
      <c r="F66" s="57" t="str">
        <f t="shared" si="130"/>
        <v>#REF!</v>
      </c>
      <c r="G66" s="57" t="str">
        <f t="shared" ref="G66:H66" si="131">LEFT(#REF!,3)</f>
        <v>#REF!</v>
      </c>
      <c r="H66" s="57" t="str">
        <f t="shared" si="131"/>
        <v>#REF!</v>
      </c>
      <c r="I66" s="57" t="str">
        <f>LEFT(#REF!,4)</f>
        <v>#REF!</v>
      </c>
      <c r="J66" s="57" t="str">
        <f>LEFT(#REF!,2)</f>
        <v>#REF!</v>
      </c>
      <c r="K66" s="57" t="str">
        <f>LEFT(#REF!,4)</f>
        <v>#REF!</v>
      </c>
      <c r="L66" s="57" t="str">
        <f t="shared" ref="L66:L67" si="136">LEFT(#REF!,3)</f>
        <v>#REF!</v>
      </c>
      <c r="M66" s="57" t="str">
        <f t="shared" ref="M66:N66" si="132">LEFT(#REF!,4)</f>
        <v>#REF!</v>
      </c>
      <c r="N66" s="57" t="str">
        <f t="shared" si="132"/>
        <v>#REF!</v>
      </c>
      <c r="O66" s="57" t="str">
        <f t="shared" ref="O66:O67" si="138">LEFT(#REF!,3)</f>
        <v>#REF!</v>
      </c>
      <c r="P66" s="57" t="str">
        <f t="shared" ref="P66:P67" si="139">LEFT(#REF!,4)</f>
        <v>#REF!</v>
      </c>
      <c r="Q66" s="57" t="str">
        <f>LEFT(#REF!,3)</f>
        <v>#REF!</v>
      </c>
      <c r="R66" s="57" t="str">
        <f t="shared" ref="R66:U66" si="133">LEFT(#REF!,4)</f>
        <v>#REF!</v>
      </c>
      <c r="S66" s="57" t="str">
        <f t="shared" si="133"/>
        <v>#REF!</v>
      </c>
      <c r="T66" s="57" t="str">
        <f t="shared" si="133"/>
        <v>#REF!</v>
      </c>
      <c r="U66" s="57" t="str">
        <f t="shared" si="133"/>
        <v>#REF!</v>
      </c>
      <c r="V66" s="57" t="str">
        <f t="shared" si="128"/>
        <v>#REF!</v>
      </c>
      <c r="W66" s="57" t="str">
        <f t="shared" ref="W66:AG66" si="134">LEFT(#REF!,4)</f>
        <v>#REF!</v>
      </c>
      <c r="X66" s="57" t="str">
        <f t="shared" si="134"/>
        <v>#REF!</v>
      </c>
      <c r="Y66" s="57" t="str">
        <f t="shared" si="134"/>
        <v>#REF!</v>
      </c>
      <c r="Z66" s="57" t="str">
        <f t="shared" si="134"/>
        <v>#REF!</v>
      </c>
      <c r="AA66" s="57" t="str">
        <f t="shared" si="134"/>
        <v>#REF!</v>
      </c>
      <c r="AB66" s="57" t="str">
        <f t="shared" si="134"/>
        <v>#REF!</v>
      </c>
      <c r="AC66" s="57" t="str">
        <f t="shared" si="134"/>
        <v>#REF!</v>
      </c>
      <c r="AD66" s="57" t="str">
        <f t="shared" si="134"/>
        <v>#REF!</v>
      </c>
      <c r="AE66" s="57" t="str">
        <f t="shared" si="134"/>
        <v>#REF!</v>
      </c>
      <c r="AF66" s="57" t="str">
        <f t="shared" si="134"/>
        <v>#REF!</v>
      </c>
      <c r="AG66" s="57" t="str">
        <f t="shared" si="134"/>
        <v>#REF!</v>
      </c>
      <c r="AH66" s="57" t="str">
        <f>LEFT(北段!#REF!,4)</f>
        <v>#ERROR!</v>
      </c>
      <c r="AI66" s="57" t="str">
        <f>LEFT(北段!#REF!,4)</f>
        <v>#ERROR!</v>
      </c>
      <c r="AJ66" s="57" t="str">
        <f>LEFT(北段!#REF!,4)</f>
        <v>#ERROR!</v>
      </c>
      <c r="AK66" s="57" t="str">
        <f>LEFT(北段!#REF!,4)</f>
        <v>#ERROR!</v>
      </c>
      <c r="AL66" s="57" t="str">
        <f>LEFT(北段!#REF!,4)</f>
        <v>#ERROR!</v>
      </c>
      <c r="AM66" s="57" t="str">
        <f>LEFT(北段!#REF!,4)</f>
        <v>#ERROR!</v>
      </c>
      <c r="AN66" s="57" t="str">
        <f>LEFT(北段!#REF!,4)</f>
        <v>#ERROR!</v>
      </c>
    </row>
    <row r="67" ht="43.5" customHeight="1">
      <c r="A67" s="185"/>
      <c r="B67" s="57" t="str">
        <f t="shared" si="32"/>
        <v>#REF!</v>
      </c>
      <c r="C67" s="61" t="str">
        <f>VLOOKUP(B67,'北段'!B:C,2,FALSE)</f>
        <v>#REF!</v>
      </c>
      <c r="D67" s="57" t="str">
        <f t="shared" si="97"/>
        <v>#REF!</v>
      </c>
      <c r="E67" s="57" t="str">
        <f t="shared" ref="E67:K67" si="135">LEFT(#REF!,4)</f>
        <v>#REF!</v>
      </c>
      <c r="F67" s="57" t="str">
        <f t="shared" si="135"/>
        <v>#REF!</v>
      </c>
      <c r="G67" s="57" t="str">
        <f t="shared" si="135"/>
        <v>#REF!</v>
      </c>
      <c r="H67" s="57" t="str">
        <f t="shared" si="135"/>
        <v>#REF!</v>
      </c>
      <c r="I67" s="57" t="str">
        <f t="shared" si="135"/>
        <v>#REF!</v>
      </c>
      <c r="J67" s="57" t="str">
        <f t="shared" si="135"/>
        <v>#REF!</v>
      </c>
      <c r="K67" s="57" t="str">
        <f t="shared" si="135"/>
        <v>#REF!</v>
      </c>
      <c r="L67" s="57" t="str">
        <f t="shared" si="136"/>
        <v>#REF!</v>
      </c>
      <c r="M67" s="57" t="str">
        <f t="shared" ref="M67:N67" si="137">LEFT(#REF!,4)</f>
        <v>#REF!</v>
      </c>
      <c r="N67" s="57" t="str">
        <f t="shared" si="137"/>
        <v>#REF!</v>
      </c>
      <c r="O67" s="57" t="str">
        <f t="shared" si="138"/>
        <v>#REF!</v>
      </c>
      <c r="P67" s="57" t="str">
        <f t="shared" si="139"/>
        <v>#REF!</v>
      </c>
      <c r="Q67" s="57" t="str">
        <f>LEFT(#REF!,4)</f>
        <v>#REF!</v>
      </c>
      <c r="R67" s="57" t="str">
        <f>LEFT(#REF!,3)</f>
        <v>#REF!</v>
      </c>
      <c r="S67" s="57" t="str">
        <f t="shared" ref="S67:X67" si="140">LEFT(#REF!,4)</f>
        <v>#REF!</v>
      </c>
      <c r="T67" s="57" t="str">
        <f t="shared" si="140"/>
        <v>#REF!</v>
      </c>
      <c r="U67" s="57" t="str">
        <f t="shared" si="140"/>
        <v>#REF!</v>
      </c>
      <c r="V67" s="57" t="str">
        <f t="shared" si="140"/>
        <v>#REF!</v>
      </c>
      <c r="W67" s="57" t="str">
        <f t="shared" si="140"/>
        <v>#REF!</v>
      </c>
      <c r="X67" s="57" t="str">
        <f t="shared" si="140"/>
        <v>#REF!</v>
      </c>
      <c r="Y67" s="57" t="str">
        <f t="shared" ref="Y67:Z67" si="141">LEFT(#REF!,3)</f>
        <v>#REF!</v>
      </c>
      <c r="Z67" s="57" t="str">
        <f t="shared" si="141"/>
        <v>#REF!</v>
      </c>
      <c r="AA67" s="57" t="str">
        <f t="shared" ref="AA67:AG67" si="142">LEFT(#REF!,4)</f>
        <v>#REF!</v>
      </c>
      <c r="AB67" s="57" t="str">
        <f t="shared" si="142"/>
        <v>#REF!</v>
      </c>
      <c r="AC67" s="57" t="str">
        <f t="shared" si="142"/>
        <v>#REF!</v>
      </c>
      <c r="AD67" s="57" t="str">
        <f t="shared" si="142"/>
        <v>#REF!</v>
      </c>
      <c r="AE67" s="57" t="str">
        <f t="shared" si="142"/>
        <v>#REF!</v>
      </c>
      <c r="AF67" s="57" t="str">
        <f t="shared" si="142"/>
        <v>#REF!</v>
      </c>
      <c r="AG67" s="57" t="str">
        <f t="shared" si="142"/>
        <v>#REF!</v>
      </c>
      <c r="AH67" s="57" t="str">
        <f>LEFT(北段!#REF!,4)</f>
        <v>#ERROR!</v>
      </c>
      <c r="AI67" s="57" t="str">
        <f>LEFT(北段!#REF!,4)</f>
        <v>#ERROR!</v>
      </c>
      <c r="AJ67" s="57" t="str">
        <f>LEFT(北段!#REF!,4)</f>
        <v>#ERROR!</v>
      </c>
      <c r="AK67" s="57" t="str">
        <f>LEFT(北段!#REF!,4)</f>
        <v>#ERROR!</v>
      </c>
      <c r="AL67" s="57" t="str">
        <f>LEFT(北段!#REF!,4)</f>
        <v>#ERROR!</v>
      </c>
      <c r="AM67" s="57" t="str">
        <f>LEFT(北段!#REF!,4)</f>
        <v>#ERROR!</v>
      </c>
      <c r="AN67" s="57" t="str">
        <f>LEFT(北段!#REF!,4)</f>
        <v>#ERROR!</v>
      </c>
    </row>
    <row r="68" ht="43.5" customHeight="1">
      <c r="A68" s="185"/>
      <c r="B68" s="57" t="str">
        <f t="shared" si="32"/>
        <v>#REF!</v>
      </c>
      <c r="C68" s="61" t="str">
        <f>VLOOKUP(B68,'北段'!B:C,2,FALSE)</f>
        <v>#REF!</v>
      </c>
      <c r="D68" s="57" t="str">
        <f t="shared" si="97"/>
        <v>#REF!</v>
      </c>
      <c r="E68" s="57" t="str">
        <f t="shared" ref="E68:F68" si="143">LEFT(#REF!,4)</f>
        <v>#REF!</v>
      </c>
      <c r="F68" s="57" t="str">
        <f t="shared" si="143"/>
        <v>#REF!</v>
      </c>
      <c r="G68" s="57" t="str">
        <f>LEFT(#REF!,3)</f>
        <v>#REF!</v>
      </c>
      <c r="H68" s="57" t="str">
        <f t="shared" ref="H68:X68" si="144">LEFT(#REF!,4)</f>
        <v>#REF!</v>
      </c>
      <c r="I68" s="57" t="str">
        <f t="shared" si="144"/>
        <v>#REF!</v>
      </c>
      <c r="J68" s="57" t="str">
        <f t="shared" si="144"/>
        <v>#REF!</v>
      </c>
      <c r="K68" s="57" t="str">
        <f t="shared" si="144"/>
        <v>#REF!</v>
      </c>
      <c r="L68" s="57" t="str">
        <f t="shared" si="144"/>
        <v>#REF!</v>
      </c>
      <c r="M68" s="57" t="str">
        <f t="shared" si="144"/>
        <v>#REF!</v>
      </c>
      <c r="N68" s="57" t="str">
        <f t="shared" si="144"/>
        <v>#REF!</v>
      </c>
      <c r="O68" s="57" t="str">
        <f t="shared" si="144"/>
        <v>#REF!</v>
      </c>
      <c r="P68" s="57" t="str">
        <f t="shared" si="144"/>
        <v>#REF!</v>
      </c>
      <c r="Q68" s="57" t="str">
        <f t="shared" si="144"/>
        <v>#REF!</v>
      </c>
      <c r="R68" s="57" t="str">
        <f t="shared" si="144"/>
        <v>#REF!</v>
      </c>
      <c r="S68" s="57" t="str">
        <f t="shared" si="144"/>
        <v>#REF!</v>
      </c>
      <c r="T68" s="57" t="str">
        <f t="shared" si="144"/>
        <v>#REF!</v>
      </c>
      <c r="U68" s="57" t="str">
        <f t="shared" si="144"/>
        <v>#REF!</v>
      </c>
      <c r="V68" s="57" t="str">
        <f t="shared" si="144"/>
        <v>#REF!</v>
      </c>
      <c r="W68" s="57" t="str">
        <f t="shared" si="144"/>
        <v>#REF!</v>
      </c>
      <c r="X68" s="57" t="str">
        <f t="shared" si="144"/>
        <v>#REF!</v>
      </c>
      <c r="Y68" s="57" t="str">
        <f>LEFT(#REF!,3)</f>
        <v>#REF!</v>
      </c>
      <c r="Z68" s="57" t="str">
        <f t="shared" ref="Z68:AG68" si="145">LEFT(#REF!,4)</f>
        <v>#REF!</v>
      </c>
      <c r="AA68" s="57" t="str">
        <f t="shared" si="145"/>
        <v>#REF!</v>
      </c>
      <c r="AB68" s="57" t="str">
        <f t="shared" si="145"/>
        <v>#REF!</v>
      </c>
      <c r="AC68" s="57" t="str">
        <f t="shared" si="145"/>
        <v>#REF!</v>
      </c>
      <c r="AD68" s="57" t="str">
        <f t="shared" si="145"/>
        <v>#REF!</v>
      </c>
      <c r="AE68" s="57" t="str">
        <f t="shared" si="145"/>
        <v>#REF!</v>
      </c>
      <c r="AF68" s="57" t="str">
        <f t="shared" si="145"/>
        <v>#REF!</v>
      </c>
      <c r="AG68" s="57" t="str">
        <f t="shared" si="145"/>
        <v>#REF!</v>
      </c>
      <c r="AH68" s="57" t="str">
        <f>LEFT(北段!#REF!,4)</f>
        <v>#ERROR!</v>
      </c>
      <c r="AI68" s="57" t="str">
        <f>LEFT(北段!#REF!,4)</f>
        <v>#ERROR!</v>
      </c>
      <c r="AJ68" s="57" t="str">
        <f>LEFT(北段!#REF!,4)</f>
        <v>#ERROR!</v>
      </c>
      <c r="AK68" s="57" t="str">
        <f>LEFT(北段!#REF!,4)</f>
        <v>#ERROR!</v>
      </c>
      <c r="AL68" s="57" t="str">
        <f>LEFT(北段!#REF!,4)</f>
        <v>#ERROR!</v>
      </c>
      <c r="AM68" s="57" t="str">
        <f>LEFT(北段!#REF!,4)</f>
        <v>#ERROR!</v>
      </c>
      <c r="AN68" s="57" t="str">
        <f>LEFT(北段!#REF!,4)</f>
        <v>#ERROR!</v>
      </c>
    </row>
    <row r="69" ht="43.5" customHeight="1">
      <c r="A69" s="185"/>
      <c r="B69" s="57" t="str">
        <f t="shared" si="32"/>
        <v>#REF!</v>
      </c>
      <c r="C69" s="61" t="str">
        <f>VLOOKUP(B69,'北段'!B:C,2,FALSE)</f>
        <v>#REF!</v>
      </c>
      <c r="D69" s="57" t="str">
        <f t="shared" si="97"/>
        <v>#REF!</v>
      </c>
      <c r="E69" s="57" t="str">
        <f t="shared" ref="E69:I69" si="146">LEFT(#REF!,4)</f>
        <v>#REF!</v>
      </c>
      <c r="F69" s="57" t="str">
        <f t="shared" si="146"/>
        <v>#REF!</v>
      </c>
      <c r="G69" s="57" t="str">
        <f t="shared" si="146"/>
        <v>#REF!</v>
      </c>
      <c r="H69" s="57" t="str">
        <f t="shared" si="146"/>
        <v>#REF!</v>
      </c>
      <c r="I69" s="57" t="str">
        <f t="shared" si="146"/>
        <v>#REF!</v>
      </c>
      <c r="J69" s="57" t="str">
        <f>LEFT(#REF!,3)</f>
        <v>#REF!</v>
      </c>
      <c r="K69" s="57" t="str">
        <f t="shared" ref="K69:U69" si="147">LEFT(#REF!,4)</f>
        <v>#REF!</v>
      </c>
      <c r="L69" s="57" t="str">
        <f t="shared" si="147"/>
        <v>#REF!</v>
      </c>
      <c r="M69" s="57" t="str">
        <f t="shared" si="147"/>
        <v>#REF!</v>
      </c>
      <c r="N69" s="57" t="str">
        <f t="shared" si="147"/>
        <v>#REF!</v>
      </c>
      <c r="O69" s="57" t="str">
        <f t="shared" si="147"/>
        <v>#REF!</v>
      </c>
      <c r="P69" s="57" t="str">
        <f t="shared" si="147"/>
        <v>#REF!</v>
      </c>
      <c r="Q69" s="57" t="str">
        <f t="shared" si="147"/>
        <v>#REF!</v>
      </c>
      <c r="R69" s="57" t="str">
        <f t="shared" si="147"/>
        <v>#REF!</v>
      </c>
      <c r="S69" s="57" t="str">
        <f t="shared" si="147"/>
        <v>#REF!</v>
      </c>
      <c r="T69" s="57" t="str">
        <f t="shared" si="147"/>
        <v>#REF!</v>
      </c>
      <c r="U69" s="57" t="str">
        <f t="shared" si="147"/>
        <v>#REF!</v>
      </c>
      <c r="V69" s="57" t="str">
        <f>LEFT(#REF!,3)</f>
        <v>#REF!</v>
      </c>
      <c r="W69" s="57" t="str">
        <f t="shared" ref="W69:AG69" si="148">LEFT(#REF!,4)</f>
        <v>#REF!</v>
      </c>
      <c r="X69" s="57" t="str">
        <f t="shared" si="148"/>
        <v>#REF!</v>
      </c>
      <c r="Y69" s="57" t="str">
        <f t="shared" si="148"/>
        <v>#REF!</v>
      </c>
      <c r="Z69" s="57" t="str">
        <f t="shared" si="148"/>
        <v>#REF!</v>
      </c>
      <c r="AA69" s="57" t="str">
        <f t="shared" si="148"/>
        <v>#REF!</v>
      </c>
      <c r="AB69" s="57" t="str">
        <f t="shared" si="148"/>
        <v>#REF!</v>
      </c>
      <c r="AC69" s="57" t="str">
        <f t="shared" si="148"/>
        <v>#REF!</v>
      </c>
      <c r="AD69" s="57" t="str">
        <f t="shared" si="148"/>
        <v>#REF!</v>
      </c>
      <c r="AE69" s="57" t="str">
        <f t="shared" si="148"/>
        <v>#REF!</v>
      </c>
      <c r="AF69" s="57" t="str">
        <f t="shared" si="148"/>
        <v>#REF!</v>
      </c>
      <c r="AG69" s="57" t="str">
        <f t="shared" si="148"/>
        <v>#REF!</v>
      </c>
      <c r="AH69" s="57" t="str">
        <f>LEFT(北段!#REF!,4)</f>
        <v>#ERROR!</v>
      </c>
      <c r="AI69" s="57" t="str">
        <f>LEFT(北段!#REF!,4)</f>
        <v>#ERROR!</v>
      </c>
      <c r="AJ69" s="57" t="str">
        <f>LEFT(北段!#REF!,4)</f>
        <v>#ERROR!</v>
      </c>
      <c r="AK69" s="57" t="str">
        <f>LEFT(北段!#REF!,4)</f>
        <v>#ERROR!</v>
      </c>
      <c r="AL69" s="57" t="str">
        <f>LEFT(北段!#REF!,4)</f>
        <v>#ERROR!</v>
      </c>
      <c r="AM69" s="57" t="str">
        <f>LEFT(北段!#REF!,4)</f>
        <v>#ERROR!</v>
      </c>
      <c r="AN69" s="57" t="str">
        <f>LEFT(北段!#REF!,4)</f>
        <v>#ERROR!</v>
      </c>
    </row>
    <row r="70" ht="43.5" customHeight="1">
      <c r="A70" s="60"/>
      <c r="B70" s="57" t="str">
        <f>LEFT(北段!#REF!,6)</f>
        <v>#ERROR!</v>
      </c>
      <c r="C70" s="61" t="str">
        <f>VLOOKUP(B70,'北段'!B:C,2,FALSE)</f>
        <v>#ERROR!</v>
      </c>
      <c r="D70" s="57" t="str">
        <f>LEFT(北段!#REF!,4)</f>
        <v>#ERROR!</v>
      </c>
      <c r="E70" s="57" t="str">
        <f>LEFT(北段!#REF!,4)</f>
        <v>#ERROR!</v>
      </c>
      <c r="F70" s="57" t="str">
        <f>LEFT(北段!#REF!,4)</f>
        <v>#ERROR!</v>
      </c>
      <c r="G70" s="57" t="str">
        <f>LEFT(北段!#REF!,4)</f>
        <v>#ERROR!</v>
      </c>
      <c r="H70" s="57" t="str">
        <f>LEFT(北段!#REF!,3)</f>
        <v>#ERROR!</v>
      </c>
      <c r="I70" s="57" t="str">
        <f>LEFT(北段!#REF!,4)</f>
        <v>#ERROR!</v>
      </c>
      <c r="J70" s="57" t="str">
        <f>LEFT(北段!#REF!,4)</f>
        <v>#ERROR!</v>
      </c>
      <c r="K70" s="57" t="str">
        <f>LEFT(北段!#REF!,4)</f>
        <v>#ERROR!</v>
      </c>
      <c r="L70" s="57" t="str">
        <f>LEFT(北段!#REF!,4)</f>
        <v>#ERROR!</v>
      </c>
      <c r="M70" s="57" t="str">
        <f>LEFT(北段!#REF!,4)</f>
        <v>#ERROR!</v>
      </c>
      <c r="N70" s="57" t="str">
        <f>LEFT(北段!#REF!,4)</f>
        <v>#ERROR!</v>
      </c>
      <c r="O70" s="57" t="str">
        <f>LEFT(北段!#REF!,4)</f>
        <v>#ERROR!</v>
      </c>
      <c r="P70" s="57" t="str">
        <f>LEFT(北段!#REF!,4)</f>
        <v>#ERROR!</v>
      </c>
      <c r="Q70" s="57" t="str">
        <f>LEFT(北段!#REF!,4)</f>
        <v>#ERROR!</v>
      </c>
      <c r="R70" s="57" t="str">
        <f>LEFT(北段!#REF!,4)</f>
        <v>#ERROR!</v>
      </c>
      <c r="S70" s="57" t="str">
        <f>LEFT(北段!#REF!,4)</f>
        <v>#ERROR!</v>
      </c>
      <c r="T70" s="57" t="str">
        <f>LEFT(北段!#REF!,4)</f>
        <v>#ERROR!</v>
      </c>
      <c r="U70" s="57" t="str">
        <f>LEFT(北段!#REF!,3)</f>
        <v>#ERROR!</v>
      </c>
      <c r="V70" s="57" t="str">
        <f>LEFT(北段!#REF!,4)</f>
        <v>#ERROR!</v>
      </c>
      <c r="W70" s="57" t="str">
        <f>LEFT(北段!#REF!,4)</f>
        <v>#ERROR!</v>
      </c>
      <c r="X70" s="57" t="str">
        <f>LEFT(北段!#REF!,4)</f>
        <v>#ERROR!</v>
      </c>
      <c r="Y70" s="57" t="str">
        <f>LEFT(北段!#REF!,4)</f>
        <v>#ERROR!</v>
      </c>
      <c r="Z70" s="57" t="str">
        <f>LEFT(北段!#REF!,4)</f>
        <v>#ERROR!</v>
      </c>
      <c r="AA70" s="57" t="str">
        <f>LEFT(北段!#REF!,4)</f>
        <v>#ERROR!</v>
      </c>
      <c r="AB70" s="57" t="str">
        <f>LEFT(北段!#REF!,4)</f>
        <v>#ERROR!</v>
      </c>
      <c r="AC70" s="57" t="str">
        <f>LEFT(北段!#REF!,4)</f>
        <v>#ERROR!</v>
      </c>
      <c r="AD70" s="57" t="str">
        <f>LEFT(北段!#REF!,4)</f>
        <v>#ERROR!</v>
      </c>
      <c r="AE70" s="57" t="str">
        <f>LEFT(北段!#REF!,4)</f>
        <v>#ERROR!</v>
      </c>
      <c r="AF70" s="57" t="str">
        <f>LEFT(北段!#REF!,4)</f>
        <v>#ERROR!</v>
      </c>
      <c r="AG70" s="57" t="str">
        <f>LEFT(北段!#REF!,4)</f>
        <v>#ERROR!</v>
      </c>
      <c r="AH70" s="57" t="str">
        <f>LEFT(北段!#REF!,4)</f>
        <v>#ERROR!</v>
      </c>
      <c r="AI70" s="57" t="str">
        <f>LEFT(北段!#REF!,4)</f>
        <v>#ERROR!</v>
      </c>
      <c r="AJ70" s="57" t="str">
        <f>LEFT(北段!#REF!,4)</f>
        <v>#ERROR!</v>
      </c>
      <c r="AK70" s="57" t="str">
        <f>LEFT(北段!#REF!,4)</f>
        <v>#ERROR!</v>
      </c>
      <c r="AL70" s="57" t="str">
        <f>LEFT(北段!#REF!,4)</f>
        <v>#ERROR!</v>
      </c>
      <c r="AM70" s="57" t="str">
        <f>LEFT(北段!#REF!,4)</f>
        <v>#ERROR!</v>
      </c>
      <c r="AN70" s="57" t="str">
        <f>LEFT(北段!#REF!,4)</f>
        <v>#ERROR!</v>
      </c>
    </row>
    <row r="71" ht="43.5" customHeight="1">
      <c r="A71" s="187"/>
      <c r="B71" s="57" t="str">
        <f t="shared" ref="B71:B73" si="150">LEFT(#REF!,6)</f>
        <v>#REF!</v>
      </c>
      <c r="C71" s="61" t="str">
        <f>VLOOKUP(B71,'北段'!B:C,2,FALSE)</f>
        <v>#REF!</v>
      </c>
      <c r="D71" s="57" t="str">
        <f t="shared" ref="D71:AG71" si="149">LEFT(#REF!,4)</f>
        <v>#REF!</v>
      </c>
      <c r="E71" s="57" t="str">
        <f t="shared" si="149"/>
        <v>#REF!</v>
      </c>
      <c r="F71" s="57" t="str">
        <f t="shared" si="149"/>
        <v>#REF!</v>
      </c>
      <c r="G71" s="57" t="str">
        <f t="shared" si="149"/>
        <v>#REF!</v>
      </c>
      <c r="H71" s="57" t="str">
        <f t="shared" si="149"/>
        <v>#REF!</v>
      </c>
      <c r="I71" s="57" t="str">
        <f t="shared" si="149"/>
        <v>#REF!</v>
      </c>
      <c r="J71" s="57" t="str">
        <f t="shared" si="149"/>
        <v>#REF!</v>
      </c>
      <c r="K71" s="57" t="str">
        <f t="shared" si="149"/>
        <v>#REF!</v>
      </c>
      <c r="L71" s="57" t="str">
        <f t="shared" si="149"/>
        <v>#REF!</v>
      </c>
      <c r="M71" s="57" t="str">
        <f t="shared" si="149"/>
        <v>#REF!</v>
      </c>
      <c r="N71" s="57" t="str">
        <f t="shared" si="149"/>
        <v>#REF!</v>
      </c>
      <c r="O71" s="57" t="str">
        <f t="shared" si="149"/>
        <v>#REF!</v>
      </c>
      <c r="P71" s="57" t="str">
        <f t="shared" si="149"/>
        <v>#REF!</v>
      </c>
      <c r="Q71" s="57" t="str">
        <f t="shared" si="149"/>
        <v>#REF!</v>
      </c>
      <c r="R71" s="57" t="str">
        <f t="shared" si="149"/>
        <v>#REF!</v>
      </c>
      <c r="S71" s="57" t="str">
        <f t="shared" si="149"/>
        <v>#REF!</v>
      </c>
      <c r="T71" s="57" t="str">
        <f t="shared" si="149"/>
        <v>#REF!</v>
      </c>
      <c r="U71" s="57" t="str">
        <f t="shared" si="149"/>
        <v>#REF!</v>
      </c>
      <c r="V71" s="57" t="str">
        <f t="shared" si="149"/>
        <v>#REF!</v>
      </c>
      <c r="W71" s="57" t="str">
        <f t="shared" si="149"/>
        <v>#REF!</v>
      </c>
      <c r="X71" s="57" t="str">
        <f t="shared" si="149"/>
        <v>#REF!</v>
      </c>
      <c r="Y71" s="57" t="str">
        <f t="shared" si="149"/>
        <v>#REF!</v>
      </c>
      <c r="Z71" s="57" t="str">
        <f t="shared" si="149"/>
        <v>#REF!</v>
      </c>
      <c r="AA71" s="57" t="str">
        <f t="shared" si="149"/>
        <v>#REF!</v>
      </c>
      <c r="AB71" s="57" t="str">
        <f t="shared" si="149"/>
        <v>#REF!</v>
      </c>
      <c r="AC71" s="57" t="str">
        <f t="shared" si="149"/>
        <v>#REF!</v>
      </c>
      <c r="AD71" s="57" t="str">
        <f t="shared" si="149"/>
        <v>#REF!</v>
      </c>
      <c r="AE71" s="57" t="str">
        <f t="shared" si="149"/>
        <v>#REF!</v>
      </c>
      <c r="AF71" s="57" t="str">
        <f t="shared" si="149"/>
        <v>#REF!</v>
      </c>
      <c r="AG71" s="57" t="str">
        <f t="shared" si="149"/>
        <v>#REF!</v>
      </c>
      <c r="AH71" s="57" t="str">
        <f>LEFT(北段!#REF!,4)</f>
        <v>#ERROR!</v>
      </c>
      <c r="AI71" s="57" t="str">
        <f>LEFT(北段!#REF!,4)</f>
        <v>#ERROR!</v>
      </c>
      <c r="AJ71" s="57" t="str">
        <f>LEFT(北段!#REF!,4)</f>
        <v>#ERROR!</v>
      </c>
      <c r="AK71" s="57" t="str">
        <f>LEFT(北段!#REF!,4)</f>
        <v>#ERROR!</v>
      </c>
      <c r="AL71" s="57" t="str">
        <f>LEFT(北段!#REF!,4)</f>
        <v>#ERROR!</v>
      </c>
      <c r="AM71" s="57" t="str">
        <f>LEFT(北段!#REF!,4)</f>
        <v>#ERROR!</v>
      </c>
      <c r="AN71" s="57" t="str">
        <f>LEFT(北段!#REF!,4)</f>
        <v>#ERROR!</v>
      </c>
    </row>
    <row r="72" ht="43.5" customHeight="1">
      <c r="A72" s="187"/>
      <c r="B72" s="57" t="str">
        <f t="shared" si="150"/>
        <v>#REF!</v>
      </c>
      <c r="C72" s="61" t="str">
        <f>VLOOKUP(B72,'北段'!B:C,2,FALSE)</f>
        <v>#REF!</v>
      </c>
      <c r="D72" s="57" t="str">
        <f t="shared" ref="D72:N72" si="151">LEFT(#REF!,4)</f>
        <v>#REF!</v>
      </c>
      <c r="E72" s="57" t="str">
        <f t="shared" si="151"/>
        <v>#REF!</v>
      </c>
      <c r="F72" s="57" t="str">
        <f t="shared" si="151"/>
        <v>#REF!</v>
      </c>
      <c r="G72" s="57" t="str">
        <f t="shared" si="151"/>
        <v>#REF!</v>
      </c>
      <c r="H72" s="57" t="str">
        <f t="shared" si="151"/>
        <v>#REF!</v>
      </c>
      <c r="I72" s="57" t="str">
        <f t="shared" si="151"/>
        <v>#REF!</v>
      </c>
      <c r="J72" s="57" t="str">
        <f t="shared" si="151"/>
        <v>#REF!</v>
      </c>
      <c r="K72" s="57" t="str">
        <f t="shared" si="151"/>
        <v>#REF!</v>
      </c>
      <c r="L72" s="57" t="str">
        <f t="shared" si="151"/>
        <v>#REF!</v>
      </c>
      <c r="M72" s="57" t="str">
        <f t="shared" si="151"/>
        <v>#REF!</v>
      </c>
      <c r="N72" s="57" t="str">
        <f t="shared" si="151"/>
        <v>#REF!</v>
      </c>
      <c r="O72" s="57" t="str">
        <f>LEFT(#REF!,8)</f>
        <v>#REF!</v>
      </c>
      <c r="P72" s="57" t="str">
        <f t="shared" ref="P72:AG72" si="152">LEFT(#REF!,4)</f>
        <v>#REF!</v>
      </c>
      <c r="Q72" s="57" t="str">
        <f t="shared" si="152"/>
        <v>#REF!</v>
      </c>
      <c r="R72" s="57" t="str">
        <f t="shared" si="152"/>
        <v>#REF!</v>
      </c>
      <c r="S72" s="57" t="str">
        <f t="shared" si="152"/>
        <v>#REF!</v>
      </c>
      <c r="T72" s="57" t="str">
        <f t="shared" si="152"/>
        <v>#REF!</v>
      </c>
      <c r="U72" s="57" t="str">
        <f t="shared" si="152"/>
        <v>#REF!</v>
      </c>
      <c r="V72" s="57" t="str">
        <f t="shared" si="152"/>
        <v>#REF!</v>
      </c>
      <c r="W72" s="57" t="str">
        <f t="shared" si="152"/>
        <v>#REF!</v>
      </c>
      <c r="X72" s="57" t="str">
        <f t="shared" si="152"/>
        <v>#REF!</v>
      </c>
      <c r="Y72" s="57" t="str">
        <f t="shared" si="152"/>
        <v>#REF!</v>
      </c>
      <c r="Z72" s="57" t="str">
        <f t="shared" si="152"/>
        <v>#REF!</v>
      </c>
      <c r="AA72" s="57" t="str">
        <f t="shared" si="152"/>
        <v>#REF!</v>
      </c>
      <c r="AB72" s="57" t="str">
        <f t="shared" si="152"/>
        <v>#REF!</v>
      </c>
      <c r="AC72" s="57" t="str">
        <f t="shared" si="152"/>
        <v>#REF!</v>
      </c>
      <c r="AD72" s="57" t="str">
        <f t="shared" si="152"/>
        <v>#REF!</v>
      </c>
      <c r="AE72" s="57" t="str">
        <f t="shared" si="152"/>
        <v>#REF!</v>
      </c>
      <c r="AF72" s="57" t="str">
        <f t="shared" si="152"/>
        <v>#REF!</v>
      </c>
      <c r="AG72" s="57" t="str">
        <f t="shared" si="152"/>
        <v>#REF!</v>
      </c>
      <c r="AH72" s="57" t="str">
        <f>LEFT(北段!#REF!,4)</f>
        <v>#ERROR!</v>
      </c>
      <c r="AI72" s="57" t="str">
        <f>LEFT(北段!#REF!,4)</f>
        <v>#ERROR!</v>
      </c>
      <c r="AJ72" s="57" t="str">
        <f>LEFT(北段!#REF!,4)</f>
        <v>#ERROR!</v>
      </c>
      <c r="AK72" s="57" t="str">
        <f>LEFT(北段!#REF!,4)</f>
        <v>#ERROR!</v>
      </c>
      <c r="AL72" s="57" t="str">
        <f>LEFT(北段!#REF!,4)</f>
        <v>#ERROR!</v>
      </c>
      <c r="AM72" s="57" t="str">
        <f>LEFT(北段!#REF!,4)</f>
        <v>#ERROR!</v>
      </c>
      <c r="AN72" s="57" t="str">
        <f>LEFT(北段!#REF!,4)</f>
        <v>#ERROR!</v>
      </c>
    </row>
    <row r="73" ht="43.5" customHeight="1">
      <c r="A73" s="188"/>
      <c r="B73" s="169" t="str">
        <f t="shared" si="150"/>
        <v>#REF!</v>
      </c>
      <c r="C73" s="116" t="str">
        <f>VLOOKUP(B73,'北段'!B:C,2,FALSE)</f>
        <v>#REF!</v>
      </c>
      <c r="D73" s="57" t="str">
        <f t="shared" ref="D73:Q73" si="153">LEFT(#REF!,4)</f>
        <v>#REF!</v>
      </c>
      <c r="E73" s="57" t="str">
        <f t="shared" si="153"/>
        <v>#REF!</v>
      </c>
      <c r="F73" s="57" t="str">
        <f t="shared" si="153"/>
        <v>#REF!</v>
      </c>
      <c r="G73" s="57" t="str">
        <f t="shared" si="153"/>
        <v>#REF!</v>
      </c>
      <c r="H73" s="57" t="str">
        <f t="shared" si="153"/>
        <v>#REF!</v>
      </c>
      <c r="I73" s="57" t="str">
        <f t="shared" si="153"/>
        <v>#REF!</v>
      </c>
      <c r="J73" s="57" t="str">
        <f t="shared" si="153"/>
        <v>#REF!</v>
      </c>
      <c r="K73" s="57" t="str">
        <f t="shared" si="153"/>
        <v>#REF!</v>
      </c>
      <c r="L73" s="57" t="str">
        <f t="shared" si="153"/>
        <v>#REF!</v>
      </c>
      <c r="M73" s="57" t="str">
        <f t="shared" si="153"/>
        <v>#REF!</v>
      </c>
      <c r="N73" s="57" t="str">
        <f t="shared" si="153"/>
        <v>#REF!</v>
      </c>
      <c r="O73" s="57" t="str">
        <f t="shared" si="153"/>
        <v>#REF!</v>
      </c>
      <c r="P73" s="57" t="str">
        <f t="shared" si="153"/>
        <v>#REF!</v>
      </c>
      <c r="Q73" s="57" t="str">
        <f t="shared" si="153"/>
        <v>#REF!</v>
      </c>
      <c r="R73" s="57" t="str">
        <f>LEFT(#REF!,3)</f>
        <v>#REF!</v>
      </c>
      <c r="S73" s="57" t="str">
        <f t="shared" ref="S73:AG73" si="154">LEFT(#REF!,4)</f>
        <v>#REF!</v>
      </c>
      <c r="T73" s="57" t="str">
        <f t="shared" si="154"/>
        <v>#REF!</v>
      </c>
      <c r="U73" s="57" t="str">
        <f t="shared" si="154"/>
        <v>#REF!</v>
      </c>
      <c r="V73" s="57" t="str">
        <f t="shared" si="154"/>
        <v>#REF!</v>
      </c>
      <c r="W73" s="57" t="str">
        <f t="shared" si="154"/>
        <v>#REF!</v>
      </c>
      <c r="X73" s="57" t="str">
        <f t="shared" si="154"/>
        <v>#REF!</v>
      </c>
      <c r="Y73" s="57" t="str">
        <f t="shared" si="154"/>
        <v>#REF!</v>
      </c>
      <c r="Z73" s="57" t="str">
        <f t="shared" si="154"/>
        <v>#REF!</v>
      </c>
      <c r="AA73" s="57" t="str">
        <f t="shared" si="154"/>
        <v>#REF!</v>
      </c>
      <c r="AB73" s="57" t="str">
        <f t="shared" si="154"/>
        <v>#REF!</v>
      </c>
      <c r="AC73" s="57" t="str">
        <f t="shared" si="154"/>
        <v>#REF!</v>
      </c>
      <c r="AD73" s="57" t="str">
        <f t="shared" si="154"/>
        <v>#REF!</v>
      </c>
      <c r="AE73" s="57" t="str">
        <f t="shared" si="154"/>
        <v>#REF!</v>
      </c>
      <c r="AF73" s="57" t="str">
        <f t="shared" si="154"/>
        <v>#REF!</v>
      </c>
      <c r="AG73" s="57" t="str">
        <f t="shared" si="154"/>
        <v>#REF!</v>
      </c>
      <c r="AH73" s="57" t="str">
        <f>LEFT(北段!#REF!,4)</f>
        <v>#ERROR!</v>
      </c>
      <c r="AI73" s="57" t="str">
        <f>LEFT(北段!#REF!,4)</f>
        <v>#ERROR!</v>
      </c>
      <c r="AJ73" s="57" t="str">
        <f>LEFT(北段!#REF!,4)</f>
        <v>#ERROR!</v>
      </c>
      <c r="AK73" s="57" t="str">
        <f>LEFT(北段!#REF!,4)</f>
        <v>#ERROR!</v>
      </c>
      <c r="AL73" s="57" t="str">
        <f>LEFT(北段!#REF!,4)</f>
        <v>#ERROR!</v>
      </c>
      <c r="AM73" s="57" t="str">
        <f>LEFT(北段!#REF!,4)</f>
        <v>#ERROR!</v>
      </c>
      <c r="AN73" s="57" t="str">
        <f>LEFT(北段!#REF!,4)</f>
        <v>#ERROR!</v>
      </c>
    </row>
    <row r="74" ht="16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</row>
    <row r="75" ht="16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</row>
    <row r="76" ht="16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</row>
    <row r="77" ht="16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</row>
    <row r="78" ht="16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</row>
    <row r="79" ht="16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</row>
    <row r="80" ht="16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</row>
    <row r="81" ht="16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</row>
    <row r="82" ht="16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</row>
    <row r="83" ht="16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</row>
    <row r="84" ht="32.25" customHeight="1">
      <c r="A84" s="165"/>
      <c r="B84" s="165"/>
      <c r="C84" s="166" t="s">
        <v>109</v>
      </c>
      <c r="D84" s="167">
        <f t="shared" ref="D84:E84" si="155">COUNTIF(D$3:D$70,"41早")</f>
        <v>0</v>
      </c>
      <c r="E84" s="167">
        <f t="shared" si="155"/>
        <v>0</v>
      </c>
      <c r="F84" s="167">
        <f t="shared" ref="F84:AN84" si="156">COUNTIF(F$3:F$73,"41早")</f>
        <v>0</v>
      </c>
      <c r="G84" s="167">
        <f t="shared" si="156"/>
        <v>0</v>
      </c>
      <c r="H84" s="167">
        <f t="shared" si="156"/>
        <v>0</v>
      </c>
      <c r="I84" s="167">
        <f t="shared" si="156"/>
        <v>0</v>
      </c>
      <c r="J84" s="167">
        <f t="shared" si="156"/>
        <v>0</v>
      </c>
      <c r="K84" s="167">
        <f t="shared" si="156"/>
        <v>0</v>
      </c>
      <c r="L84" s="167">
        <f t="shared" si="156"/>
        <v>0</v>
      </c>
      <c r="M84" s="167">
        <f t="shared" si="156"/>
        <v>0</v>
      </c>
      <c r="N84" s="167">
        <f t="shared" si="156"/>
        <v>0</v>
      </c>
      <c r="O84" s="167">
        <f t="shared" si="156"/>
        <v>0</v>
      </c>
      <c r="P84" s="167">
        <f t="shared" si="156"/>
        <v>0</v>
      </c>
      <c r="Q84" s="167">
        <f t="shared" si="156"/>
        <v>0</v>
      </c>
      <c r="R84" s="167">
        <f t="shared" si="156"/>
        <v>0</v>
      </c>
      <c r="S84" s="167">
        <f t="shared" si="156"/>
        <v>0</v>
      </c>
      <c r="T84" s="167">
        <f t="shared" si="156"/>
        <v>0</v>
      </c>
      <c r="U84" s="167">
        <f t="shared" si="156"/>
        <v>0</v>
      </c>
      <c r="V84" s="167">
        <f t="shared" si="156"/>
        <v>0</v>
      </c>
      <c r="W84" s="167">
        <f t="shared" si="156"/>
        <v>0</v>
      </c>
      <c r="X84" s="167">
        <f t="shared" si="156"/>
        <v>0</v>
      </c>
      <c r="Y84" s="167">
        <f t="shared" si="156"/>
        <v>0</v>
      </c>
      <c r="Z84" s="167">
        <f t="shared" si="156"/>
        <v>0</v>
      </c>
      <c r="AA84" s="167">
        <f t="shared" si="156"/>
        <v>0</v>
      </c>
      <c r="AB84" s="167">
        <f t="shared" si="156"/>
        <v>0</v>
      </c>
      <c r="AC84" s="167">
        <f t="shared" si="156"/>
        <v>0</v>
      </c>
      <c r="AD84" s="167">
        <f t="shared" si="156"/>
        <v>0</v>
      </c>
      <c r="AE84" s="167">
        <f t="shared" si="156"/>
        <v>0</v>
      </c>
      <c r="AF84" s="167">
        <f t="shared" si="156"/>
        <v>0</v>
      </c>
      <c r="AG84" s="167">
        <f t="shared" si="156"/>
        <v>0</v>
      </c>
      <c r="AH84" s="167">
        <f t="shared" si="156"/>
        <v>0</v>
      </c>
      <c r="AI84" s="167">
        <f t="shared" si="156"/>
        <v>0</v>
      </c>
      <c r="AJ84" s="167">
        <f t="shared" si="156"/>
        <v>0</v>
      </c>
      <c r="AK84" s="167">
        <f t="shared" si="156"/>
        <v>0</v>
      </c>
      <c r="AL84" s="167">
        <f t="shared" si="156"/>
        <v>0</v>
      </c>
      <c r="AM84" s="167">
        <f t="shared" si="156"/>
        <v>0</v>
      </c>
      <c r="AN84" s="167">
        <f t="shared" si="156"/>
        <v>0</v>
      </c>
    </row>
    <row r="85" ht="32.25" customHeight="1">
      <c r="A85" s="165"/>
      <c r="B85" s="165"/>
      <c r="C85" s="166" t="s">
        <v>110</v>
      </c>
      <c r="D85" s="57">
        <f t="shared" ref="D85:E85" si="157">COUNTIF(D$3:D$70,"41午")</f>
        <v>0</v>
      </c>
      <c r="E85" s="57">
        <f t="shared" si="157"/>
        <v>0</v>
      </c>
      <c r="F85" s="57">
        <f t="shared" ref="F85:AN85" si="158">COUNTIF(F$3:F$73,"41午")</f>
        <v>0</v>
      </c>
      <c r="G85" s="57">
        <f t="shared" si="158"/>
        <v>0</v>
      </c>
      <c r="H85" s="57">
        <f t="shared" si="158"/>
        <v>0</v>
      </c>
      <c r="I85" s="57">
        <f t="shared" si="158"/>
        <v>0</v>
      </c>
      <c r="J85" s="57">
        <f t="shared" si="158"/>
        <v>0</v>
      </c>
      <c r="K85" s="57">
        <f t="shared" si="158"/>
        <v>0</v>
      </c>
      <c r="L85" s="57">
        <f t="shared" si="158"/>
        <v>0</v>
      </c>
      <c r="M85" s="57">
        <f t="shared" si="158"/>
        <v>0</v>
      </c>
      <c r="N85" s="57">
        <f t="shared" si="158"/>
        <v>0</v>
      </c>
      <c r="O85" s="57">
        <f t="shared" si="158"/>
        <v>0</v>
      </c>
      <c r="P85" s="57">
        <f t="shared" si="158"/>
        <v>0</v>
      </c>
      <c r="Q85" s="57">
        <f t="shared" si="158"/>
        <v>0</v>
      </c>
      <c r="R85" s="57">
        <f t="shared" si="158"/>
        <v>0</v>
      </c>
      <c r="S85" s="57">
        <f t="shared" si="158"/>
        <v>0</v>
      </c>
      <c r="T85" s="57">
        <f t="shared" si="158"/>
        <v>0</v>
      </c>
      <c r="U85" s="57">
        <f t="shared" si="158"/>
        <v>0</v>
      </c>
      <c r="V85" s="57">
        <f t="shared" si="158"/>
        <v>0</v>
      </c>
      <c r="W85" s="57">
        <f t="shared" si="158"/>
        <v>0</v>
      </c>
      <c r="X85" s="57">
        <f t="shared" si="158"/>
        <v>0</v>
      </c>
      <c r="Y85" s="57">
        <f t="shared" si="158"/>
        <v>0</v>
      </c>
      <c r="Z85" s="57">
        <f t="shared" si="158"/>
        <v>0</v>
      </c>
      <c r="AA85" s="57">
        <f t="shared" si="158"/>
        <v>0</v>
      </c>
      <c r="AB85" s="57">
        <f t="shared" si="158"/>
        <v>0</v>
      </c>
      <c r="AC85" s="57">
        <f t="shared" si="158"/>
        <v>0</v>
      </c>
      <c r="AD85" s="57">
        <f t="shared" si="158"/>
        <v>0</v>
      </c>
      <c r="AE85" s="57">
        <f t="shared" si="158"/>
        <v>0</v>
      </c>
      <c r="AF85" s="57">
        <f t="shared" si="158"/>
        <v>0</v>
      </c>
      <c r="AG85" s="57">
        <f t="shared" si="158"/>
        <v>0</v>
      </c>
      <c r="AH85" s="57">
        <f t="shared" si="158"/>
        <v>0</v>
      </c>
      <c r="AI85" s="57">
        <f t="shared" si="158"/>
        <v>0</v>
      </c>
      <c r="AJ85" s="57">
        <f t="shared" si="158"/>
        <v>0</v>
      </c>
      <c r="AK85" s="57">
        <f t="shared" si="158"/>
        <v>0</v>
      </c>
      <c r="AL85" s="57">
        <f t="shared" si="158"/>
        <v>0</v>
      </c>
      <c r="AM85" s="57">
        <f t="shared" si="158"/>
        <v>0</v>
      </c>
      <c r="AN85" s="57">
        <f t="shared" si="158"/>
        <v>0</v>
      </c>
    </row>
    <row r="86" ht="32.25" customHeight="1">
      <c r="A86" s="165"/>
      <c r="B86" s="165"/>
      <c r="C86" s="168" t="s">
        <v>111</v>
      </c>
      <c r="D86" s="169">
        <f t="shared" ref="D86:E86" si="159">COUNTIF(D$3:D$70,"41夜*")</f>
        <v>0</v>
      </c>
      <c r="E86" s="169">
        <f t="shared" si="159"/>
        <v>0</v>
      </c>
      <c r="F86" s="169">
        <f t="shared" ref="F86:AN86" si="160">COUNTIF(F$3:F$73,"41夜*")</f>
        <v>0</v>
      </c>
      <c r="G86" s="169">
        <f t="shared" si="160"/>
        <v>0</v>
      </c>
      <c r="H86" s="169">
        <f t="shared" si="160"/>
        <v>0</v>
      </c>
      <c r="I86" s="169">
        <f t="shared" si="160"/>
        <v>0</v>
      </c>
      <c r="J86" s="169">
        <f t="shared" si="160"/>
        <v>0</v>
      </c>
      <c r="K86" s="169">
        <f t="shared" si="160"/>
        <v>0</v>
      </c>
      <c r="L86" s="169">
        <f t="shared" si="160"/>
        <v>0</v>
      </c>
      <c r="M86" s="169">
        <f t="shared" si="160"/>
        <v>0</v>
      </c>
      <c r="N86" s="169">
        <f t="shared" si="160"/>
        <v>0</v>
      </c>
      <c r="O86" s="169">
        <f t="shared" si="160"/>
        <v>0</v>
      </c>
      <c r="P86" s="169">
        <f t="shared" si="160"/>
        <v>0</v>
      </c>
      <c r="Q86" s="169">
        <f t="shared" si="160"/>
        <v>0</v>
      </c>
      <c r="R86" s="169">
        <f t="shared" si="160"/>
        <v>0</v>
      </c>
      <c r="S86" s="169">
        <f t="shared" si="160"/>
        <v>0</v>
      </c>
      <c r="T86" s="169">
        <f t="shared" si="160"/>
        <v>0</v>
      </c>
      <c r="U86" s="169">
        <f t="shared" si="160"/>
        <v>0</v>
      </c>
      <c r="V86" s="169">
        <f t="shared" si="160"/>
        <v>0</v>
      </c>
      <c r="W86" s="169">
        <f t="shared" si="160"/>
        <v>0</v>
      </c>
      <c r="X86" s="169">
        <f t="shared" si="160"/>
        <v>0</v>
      </c>
      <c r="Y86" s="169">
        <f t="shared" si="160"/>
        <v>0</v>
      </c>
      <c r="Z86" s="169">
        <f t="shared" si="160"/>
        <v>0</v>
      </c>
      <c r="AA86" s="169">
        <f t="shared" si="160"/>
        <v>0</v>
      </c>
      <c r="AB86" s="169">
        <f t="shared" si="160"/>
        <v>0</v>
      </c>
      <c r="AC86" s="169">
        <f t="shared" si="160"/>
        <v>0</v>
      </c>
      <c r="AD86" s="169">
        <f t="shared" si="160"/>
        <v>0</v>
      </c>
      <c r="AE86" s="169">
        <f t="shared" si="160"/>
        <v>0</v>
      </c>
      <c r="AF86" s="169">
        <f t="shared" si="160"/>
        <v>0</v>
      </c>
      <c r="AG86" s="169">
        <f t="shared" si="160"/>
        <v>0</v>
      </c>
      <c r="AH86" s="169">
        <f t="shared" si="160"/>
        <v>0</v>
      </c>
      <c r="AI86" s="169">
        <f t="shared" si="160"/>
        <v>0</v>
      </c>
      <c r="AJ86" s="169">
        <f t="shared" si="160"/>
        <v>0</v>
      </c>
      <c r="AK86" s="169">
        <f t="shared" si="160"/>
        <v>0</v>
      </c>
      <c r="AL86" s="169">
        <f t="shared" si="160"/>
        <v>0</v>
      </c>
      <c r="AM86" s="169">
        <f t="shared" si="160"/>
        <v>0</v>
      </c>
      <c r="AN86" s="169">
        <f t="shared" si="160"/>
        <v>0</v>
      </c>
    </row>
    <row r="87" ht="32.25" customHeight="1">
      <c r="A87" s="165"/>
      <c r="B87" s="166"/>
      <c r="C87" s="166" t="s">
        <v>112</v>
      </c>
      <c r="D87" s="167">
        <f t="shared" ref="D87:E87" si="161">COUNTIF(D$3:D$70,"01早*")</f>
        <v>5</v>
      </c>
      <c r="E87" s="167">
        <f t="shared" si="161"/>
        <v>4</v>
      </c>
      <c r="F87" s="167">
        <f t="shared" ref="F87:AN87" si="162">COUNTIF(F$3:F$73,"01早*")</f>
        <v>5</v>
      </c>
      <c r="G87" s="167">
        <f t="shared" si="162"/>
        <v>5</v>
      </c>
      <c r="H87" s="167">
        <f t="shared" si="162"/>
        <v>4</v>
      </c>
      <c r="I87" s="167">
        <f t="shared" si="162"/>
        <v>5</v>
      </c>
      <c r="J87" s="167">
        <f t="shared" si="162"/>
        <v>6</v>
      </c>
      <c r="K87" s="167">
        <f t="shared" si="162"/>
        <v>5</v>
      </c>
      <c r="L87" s="167">
        <f t="shared" si="162"/>
        <v>6</v>
      </c>
      <c r="M87" s="167">
        <f t="shared" si="162"/>
        <v>5</v>
      </c>
      <c r="N87" s="167">
        <f t="shared" si="162"/>
        <v>5</v>
      </c>
      <c r="O87" s="167">
        <f t="shared" si="162"/>
        <v>4</v>
      </c>
      <c r="P87" s="167">
        <f t="shared" si="162"/>
        <v>3</v>
      </c>
      <c r="Q87" s="167">
        <f t="shared" si="162"/>
        <v>3</v>
      </c>
      <c r="R87" s="167">
        <f t="shared" si="162"/>
        <v>3</v>
      </c>
      <c r="S87" s="167">
        <f t="shared" si="162"/>
        <v>5</v>
      </c>
      <c r="T87" s="167">
        <f t="shared" si="162"/>
        <v>3</v>
      </c>
      <c r="U87" s="167">
        <f t="shared" si="162"/>
        <v>4</v>
      </c>
      <c r="V87" s="167">
        <f t="shared" si="162"/>
        <v>5</v>
      </c>
      <c r="W87" s="167">
        <f t="shared" si="162"/>
        <v>5</v>
      </c>
      <c r="X87" s="167">
        <f t="shared" si="162"/>
        <v>4</v>
      </c>
      <c r="Y87" s="167">
        <f t="shared" si="162"/>
        <v>4</v>
      </c>
      <c r="Z87" s="167">
        <f t="shared" si="162"/>
        <v>5</v>
      </c>
      <c r="AA87" s="167">
        <f t="shared" si="162"/>
        <v>4</v>
      </c>
      <c r="AB87" s="167">
        <f t="shared" si="162"/>
        <v>5</v>
      </c>
      <c r="AC87" s="167">
        <f t="shared" si="162"/>
        <v>6</v>
      </c>
      <c r="AD87" s="167">
        <f t="shared" si="162"/>
        <v>6</v>
      </c>
      <c r="AE87" s="167">
        <f t="shared" si="162"/>
        <v>5</v>
      </c>
      <c r="AF87" s="167">
        <f t="shared" si="162"/>
        <v>5</v>
      </c>
      <c r="AG87" s="167">
        <f t="shared" si="162"/>
        <v>5</v>
      </c>
      <c r="AH87" s="167">
        <f t="shared" si="162"/>
        <v>0</v>
      </c>
      <c r="AI87" s="167">
        <f t="shared" si="162"/>
        <v>0</v>
      </c>
      <c r="AJ87" s="167">
        <f t="shared" si="162"/>
        <v>0</v>
      </c>
      <c r="AK87" s="167">
        <f t="shared" si="162"/>
        <v>0</v>
      </c>
      <c r="AL87" s="167">
        <f t="shared" si="162"/>
        <v>0</v>
      </c>
      <c r="AM87" s="167">
        <f t="shared" si="162"/>
        <v>0</v>
      </c>
      <c r="AN87" s="167">
        <f t="shared" si="162"/>
        <v>0</v>
      </c>
    </row>
    <row r="88" ht="32.25" customHeight="1">
      <c r="A88" s="165"/>
      <c r="C88" s="166" t="s">
        <v>113</v>
      </c>
      <c r="D88" s="57">
        <f t="shared" ref="D88:E88" si="163">COUNTIF(D$3:D$70,"01中A*")</f>
        <v>0</v>
      </c>
      <c r="E88" s="57">
        <f t="shared" si="163"/>
        <v>0</v>
      </c>
      <c r="F88" s="57">
        <f t="shared" ref="F88:AN88" si="164">COUNTIF(F$3:F$73,"01中A*")</f>
        <v>0</v>
      </c>
      <c r="G88" s="57">
        <f t="shared" si="164"/>
        <v>0</v>
      </c>
      <c r="H88" s="57">
        <f t="shared" si="164"/>
        <v>0</v>
      </c>
      <c r="I88" s="57">
        <f t="shared" si="164"/>
        <v>0</v>
      </c>
      <c r="J88" s="57">
        <f t="shared" si="164"/>
        <v>0</v>
      </c>
      <c r="K88" s="57">
        <f t="shared" si="164"/>
        <v>0</v>
      </c>
      <c r="L88" s="57">
        <f t="shared" si="164"/>
        <v>0</v>
      </c>
      <c r="M88" s="57">
        <f t="shared" si="164"/>
        <v>0</v>
      </c>
      <c r="N88" s="57">
        <f t="shared" si="164"/>
        <v>0</v>
      </c>
      <c r="O88" s="57">
        <f t="shared" si="164"/>
        <v>0</v>
      </c>
      <c r="P88" s="57">
        <f t="shared" si="164"/>
        <v>1</v>
      </c>
      <c r="Q88" s="57">
        <f t="shared" si="164"/>
        <v>0</v>
      </c>
      <c r="R88" s="57">
        <f t="shared" si="164"/>
        <v>0</v>
      </c>
      <c r="S88" s="57">
        <f t="shared" si="164"/>
        <v>0</v>
      </c>
      <c r="T88" s="57">
        <f t="shared" si="164"/>
        <v>0</v>
      </c>
      <c r="U88" s="57">
        <f t="shared" si="164"/>
        <v>0</v>
      </c>
      <c r="V88" s="57">
        <f t="shared" si="164"/>
        <v>0</v>
      </c>
      <c r="W88" s="57">
        <f t="shared" si="164"/>
        <v>0</v>
      </c>
      <c r="X88" s="57">
        <f t="shared" si="164"/>
        <v>0</v>
      </c>
      <c r="Y88" s="57">
        <f t="shared" si="164"/>
        <v>0</v>
      </c>
      <c r="Z88" s="57">
        <f t="shared" si="164"/>
        <v>0</v>
      </c>
      <c r="AA88" s="57">
        <f t="shared" si="164"/>
        <v>0</v>
      </c>
      <c r="AB88" s="57">
        <f t="shared" si="164"/>
        <v>0</v>
      </c>
      <c r="AC88" s="57">
        <f t="shared" si="164"/>
        <v>0</v>
      </c>
      <c r="AD88" s="57">
        <f t="shared" si="164"/>
        <v>0</v>
      </c>
      <c r="AE88" s="57">
        <f t="shared" si="164"/>
        <v>0</v>
      </c>
      <c r="AF88" s="57">
        <f t="shared" si="164"/>
        <v>0</v>
      </c>
      <c r="AG88" s="57">
        <f t="shared" si="164"/>
        <v>0</v>
      </c>
      <c r="AH88" s="57">
        <f t="shared" si="164"/>
        <v>0</v>
      </c>
      <c r="AI88" s="57">
        <f t="shared" si="164"/>
        <v>0</v>
      </c>
      <c r="AJ88" s="57">
        <f t="shared" si="164"/>
        <v>0</v>
      </c>
      <c r="AK88" s="57">
        <f t="shared" si="164"/>
        <v>0</v>
      </c>
      <c r="AL88" s="57">
        <f t="shared" si="164"/>
        <v>0</v>
      </c>
      <c r="AM88" s="57">
        <f t="shared" si="164"/>
        <v>0</v>
      </c>
      <c r="AN88" s="57">
        <f t="shared" si="164"/>
        <v>0</v>
      </c>
    </row>
    <row r="89" ht="32.25" customHeight="1">
      <c r="A89" s="165"/>
      <c r="C89" s="166" t="s">
        <v>114</v>
      </c>
      <c r="D89" s="57">
        <f t="shared" ref="D89:E89" si="165">COUNTIF(D$3:D$65,"01午*")</f>
        <v>5</v>
      </c>
      <c r="E89" s="57">
        <f t="shared" si="165"/>
        <v>5</v>
      </c>
      <c r="F89" s="57">
        <f t="shared" ref="F89:AN89" si="166">COUNTIF(F$3:F$73,"01午*")</f>
        <v>3</v>
      </c>
      <c r="G89" s="57">
        <f t="shared" si="166"/>
        <v>3</v>
      </c>
      <c r="H89" s="57">
        <f t="shared" si="166"/>
        <v>4</v>
      </c>
      <c r="I89" s="57">
        <f t="shared" si="166"/>
        <v>3</v>
      </c>
      <c r="J89" s="57">
        <f t="shared" si="166"/>
        <v>2</v>
      </c>
      <c r="K89" s="57">
        <f t="shared" si="166"/>
        <v>2</v>
      </c>
      <c r="L89" s="57">
        <f t="shared" si="166"/>
        <v>4</v>
      </c>
      <c r="M89" s="57">
        <f t="shared" si="166"/>
        <v>4</v>
      </c>
      <c r="N89" s="57">
        <f t="shared" si="166"/>
        <v>4</v>
      </c>
      <c r="O89" s="57">
        <f t="shared" si="166"/>
        <v>5</v>
      </c>
      <c r="P89" s="57">
        <f t="shared" si="166"/>
        <v>5</v>
      </c>
      <c r="Q89" s="57">
        <f t="shared" si="166"/>
        <v>5</v>
      </c>
      <c r="R89" s="57">
        <f t="shared" si="166"/>
        <v>4</v>
      </c>
      <c r="S89" s="57">
        <f t="shared" si="166"/>
        <v>6</v>
      </c>
      <c r="T89" s="57">
        <f t="shared" si="166"/>
        <v>5</v>
      </c>
      <c r="U89" s="57">
        <f t="shared" si="166"/>
        <v>4</v>
      </c>
      <c r="V89" s="57">
        <f t="shared" si="166"/>
        <v>4</v>
      </c>
      <c r="W89" s="57">
        <f t="shared" si="166"/>
        <v>5</v>
      </c>
      <c r="X89" s="57">
        <f t="shared" si="166"/>
        <v>5</v>
      </c>
      <c r="Y89" s="57">
        <f t="shared" si="166"/>
        <v>4</v>
      </c>
      <c r="Z89" s="57">
        <f t="shared" si="166"/>
        <v>4</v>
      </c>
      <c r="AA89" s="57">
        <f t="shared" si="166"/>
        <v>2</v>
      </c>
      <c r="AB89" s="57">
        <f t="shared" si="166"/>
        <v>3</v>
      </c>
      <c r="AC89" s="57">
        <f t="shared" si="166"/>
        <v>5</v>
      </c>
      <c r="AD89" s="57">
        <f t="shared" si="166"/>
        <v>3</v>
      </c>
      <c r="AE89" s="57">
        <f t="shared" si="166"/>
        <v>4</v>
      </c>
      <c r="AF89" s="57">
        <f t="shared" si="166"/>
        <v>3</v>
      </c>
      <c r="AG89" s="57">
        <f t="shared" si="166"/>
        <v>2</v>
      </c>
      <c r="AH89" s="57">
        <f t="shared" si="166"/>
        <v>0</v>
      </c>
      <c r="AI89" s="57">
        <f t="shared" si="166"/>
        <v>0</v>
      </c>
      <c r="AJ89" s="57">
        <f t="shared" si="166"/>
        <v>0</v>
      </c>
      <c r="AK89" s="57">
        <f t="shared" si="166"/>
        <v>0</v>
      </c>
      <c r="AL89" s="57">
        <f t="shared" si="166"/>
        <v>0</v>
      </c>
      <c r="AM89" s="57">
        <f t="shared" si="166"/>
        <v>0</v>
      </c>
      <c r="AN89" s="57">
        <f t="shared" si="166"/>
        <v>0</v>
      </c>
    </row>
    <row r="90" ht="32.25" customHeight="1">
      <c r="A90" s="165"/>
      <c r="C90" s="168" t="s">
        <v>115</v>
      </c>
      <c r="D90" s="169">
        <f t="shared" ref="D90:E90" si="167">COUNTIF(D$3:D$70,"01夜*")</f>
        <v>2</v>
      </c>
      <c r="E90" s="169">
        <f t="shared" si="167"/>
        <v>2</v>
      </c>
      <c r="F90" s="169">
        <f t="shared" ref="F90:AN90" si="168">COUNTIF(F$3:F$73,"01夜*")</f>
        <v>1</v>
      </c>
      <c r="G90" s="169">
        <f t="shared" si="168"/>
        <v>1</v>
      </c>
      <c r="H90" s="169">
        <f t="shared" si="168"/>
        <v>2</v>
      </c>
      <c r="I90" s="169">
        <f t="shared" si="168"/>
        <v>2</v>
      </c>
      <c r="J90" s="169">
        <f t="shared" si="168"/>
        <v>2</v>
      </c>
      <c r="K90" s="169">
        <f t="shared" si="168"/>
        <v>2</v>
      </c>
      <c r="L90" s="169">
        <f t="shared" si="168"/>
        <v>2</v>
      </c>
      <c r="M90" s="169">
        <f t="shared" si="168"/>
        <v>2</v>
      </c>
      <c r="N90" s="169">
        <f t="shared" si="168"/>
        <v>2</v>
      </c>
      <c r="O90" s="169">
        <f t="shared" si="168"/>
        <v>2</v>
      </c>
      <c r="P90" s="169">
        <f t="shared" si="168"/>
        <v>2</v>
      </c>
      <c r="Q90" s="169">
        <f t="shared" si="168"/>
        <v>2</v>
      </c>
      <c r="R90" s="169">
        <f t="shared" si="168"/>
        <v>2</v>
      </c>
      <c r="S90" s="169">
        <f t="shared" si="168"/>
        <v>2</v>
      </c>
      <c r="T90" s="169">
        <f t="shared" si="168"/>
        <v>1</v>
      </c>
      <c r="U90" s="169">
        <f t="shared" si="168"/>
        <v>1</v>
      </c>
      <c r="V90" s="169">
        <f t="shared" si="168"/>
        <v>1</v>
      </c>
      <c r="W90" s="169">
        <f t="shared" si="168"/>
        <v>2</v>
      </c>
      <c r="X90" s="169">
        <f t="shared" si="168"/>
        <v>2</v>
      </c>
      <c r="Y90" s="169">
        <f t="shared" si="168"/>
        <v>2</v>
      </c>
      <c r="Z90" s="169">
        <f t="shared" si="168"/>
        <v>1</v>
      </c>
      <c r="AA90" s="169">
        <f t="shared" si="168"/>
        <v>1</v>
      </c>
      <c r="AB90" s="169">
        <f t="shared" si="168"/>
        <v>1</v>
      </c>
      <c r="AC90" s="169">
        <f t="shared" si="168"/>
        <v>2</v>
      </c>
      <c r="AD90" s="169">
        <f t="shared" si="168"/>
        <v>2</v>
      </c>
      <c r="AE90" s="169">
        <f t="shared" si="168"/>
        <v>2</v>
      </c>
      <c r="AF90" s="169">
        <f t="shared" si="168"/>
        <v>2</v>
      </c>
      <c r="AG90" s="169">
        <f t="shared" si="168"/>
        <v>2</v>
      </c>
      <c r="AH90" s="169">
        <f t="shared" si="168"/>
        <v>0</v>
      </c>
      <c r="AI90" s="169">
        <f t="shared" si="168"/>
        <v>0</v>
      </c>
      <c r="AJ90" s="169">
        <f t="shared" si="168"/>
        <v>0</v>
      </c>
      <c r="AK90" s="169">
        <f t="shared" si="168"/>
        <v>0</v>
      </c>
      <c r="AL90" s="169">
        <f t="shared" si="168"/>
        <v>0</v>
      </c>
      <c r="AM90" s="169">
        <f t="shared" si="168"/>
        <v>0</v>
      </c>
      <c r="AN90" s="169">
        <f t="shared" si="168"/>
        <v>0</v>
      </c>
    </row>
    <row r="91" ht="32.25" customHeight="1">
      <c r="A91" s="165"/>
      <c r="B91" s="165"/>
      <c r="C91" s="170" t="s">
        <v>116</v>
      </c>
      <c r="D91" s="167">
        <f t="shared" ref="D91:E91" si="169">COUNTIF(D$3:D$70,"**02早*")</f>
        <v>0</v>
      </c>
      <c r="E91" s="167">
        <f t="shared" si="169"/>
        <v>0</v>
      </c>
      <c r="F91" s="167">
        <f t="shared" ref="F91:AN91" si="170">COUNTIF(F$3:F$73,"**02早*")</f>
        <v>0</v>
      </c>
      <c r="G91" s="167">
        <f t="shared" si="170"/>
        <v>0</v>
      </c>
      <c r="H91" s="167">
        <f t="shared" si="170"/>
        <v>0</v>
      </c>
      <c r="I91" s="167">
        <f t="shared" si="170"/>
        <v>0</v>
      </c>
      <c r="J91" s="167">
        <f t="shared" si="170"/>
        <v>0</v>
      </c>
      <c r="K91" s="167">
        <f t="shared" si="170"/>
        <v>0</v>
      </c>
      <c r="L91" s="167">
        <f t="shared" si="170"/>
        <v>0</v>
      </c>
      <c r="M91" s="167">
        <f t="shared" si="170"/>
        <v>0</v>
      </c>
      <c r="N91" s="167">
        <f t="shared" si="170"/>
        <v>0</v>
      </c>
      <c r="O91" s="167">
        <f t="shared" si="170"/>
        <v>0</v>
      </c>
      <c r="P91" s="167">
        <f t="shared" si="170"/>
        <v>0</v>
      </c>
      <c r="Q91" s="167">
        <f t="shared" si="170"/>
        <v>0</v>
      </c>
      <c r="R91" s="167">
        <f t="shared" si="170"/>
        <v>0</v>
      </c>
      <c r="S91" s="167">
        <f t="shared" si="170"/>
        <v>0</v>
      </c>
      <c r="T91" s="167">
        <f t="shared" si="170"/>
        <v>0</v>
      </c>
      <c r="U91" s="167">
        <f t="shared" si="170"/>
        <v>0</v>
      </c>
      <c r="V91" s="167">
        <f t="shared" si="170"/>
        <v>0</v>
      </c>
      <c r="W91" s="167">
        <f t="shared" si="170"/>
        <v>0</v>
      </c>
      <c r="X91" s="167">
        <f t="shared" si="170"/>
        <v>0</v>
      </c>
      <c r="Y91" s="167">
        <f t="shared" si="170"/>
        <v>0</v>
      </c>
      <c r="Z91" s="167">
        <f t="shared" si="170"/>
        <v>0</v>
      </c>
      <c r="AA91" s="167">
        <f t="shared" si="170"/>
        <v>0</v>
      </c>
      <c r="AB91" s="167">
        <f t="shared" si="170"/>
        <v>0</v>
      </c>
      <c r="AC91" s="167">
        <f t="shared" si="170"/>
        <v>0</v>
      </c>
      <c r="AD91" s="167">
        <f t="shared" si="170"/>
        <v>0</v>
      </c>
      <c r="AE91" s="167">
        <f t="shared" si="170"/>
        <v>0</v>
      </c>
      <c r="AF91" s="167">
        <f t="shared" si="170"/>
        <v>0</v>
      </c>
      <c r="AG91" s="167">
        <f t="shared" si="170"/>
        <v>0</v>
      </c>
      <c r="AH91" s="167">
        <f t="shared" si="170"/>
        <v>0</v>
      </c>
      <c r="AI91" s="167">
        <f t="shared" si="170"/>
        <v>0</v>
      </c>
      <c r="AJ91" s="167">
        <f t="shared" si="170"/>
        <v>0</v>
      </c>
      <c r="AK91" s="167">
        <f t="shared" si="170"/>
        <v>0</v>
      </c>
      <c r="AL91" s="167">
        <f t="shared" si="170"/>
        <v>0</v>
      </c>
      <c r="AM91" s="167">
        <f t="shared" si="170"/>
        <v>0</v>
      </c>
      <c r="AN91" s="167">
        <f t="shared" si="170"/>
        <v>0</v>
      </c>
    </row>
    <row r="92" ht="32.25" customHeight="1">
      <c r="A92" s="165"/>
      <c r="B92" s="165"/>
      <c r="C92" s="166" t="s">
        <v>117</v>
      </c>
      <c r="D92" s="57">
        <f t="shared" ref="D92:E92" si="171">COUNTIF(D$3:D$70,"02中A*")</f>
        <v>0</v>
      </c>
      <c r="E92" s="57">
        <f t="shared" si="171"/>
        <v>0</v>
      </c>
      <c r="F92" s="57">
        <f t="shared" ref="F92:AN92" si="172">COUNTIF(F$3:F$73,"02中A*")</f>
        <v>0</v>
      </c>
      <c r="G92" s="57">
        <f t="shared" si="172"/>
        <v>0</v>
      </c>
      <c r="H92" s="57">
        <f t="shared" si="172"/>
        <v>0</v>
      </c>
      <c r="I92" s="57">
        <f t="shared" si="172"/>
        <v>0</v>
      </c>
      <c r="J92" s="57">
        <f t="shared" si="172"/>
        <v>0</v>
      </c>
      <c r="K92" s="57">
        <f t="shared" si="172"/>
        <v>0</v>
      </c>
      <c r="L92" s="57">
        <f t="shared" si="172"/>
        <v>0</v>
      </c>
      <c r="M92" s="57">
        <f t="shared" si="172"/>
        <v>0</v>
      </c>
      <c r="N92" s="57">
        <f t="shared" si="172"/>
        <v>0</v>
      </c>
      <c r="O92" s="57">
        <f t="shared" si="172"/>
        <v>0</v>
      </c>
      <c r="P92" s="57">
        <f t="shared" si="172"/>
        <v>0</v>
      </c>
      <c r="Q92" s="57">
        <f t="shared" si="172"/>
        <v>0</v>
      </c>
      <c r="R92" s="57">
        <f t="shared" si="172"/>
        <v>0</v>
      </c>
      <c r="S92" s="57">
        <f t="shared" si="172"/>
        <v>0</v>
      </c>
      <c r="T92" s="57">
        <f t="shared" si="172"/>
        <v>0</v>
      </c>
      <c r="U92" s="57">
        <f t="shared" si="172"/>
        <v>0</v>
      </c>
      <c r="V92" s="57">
        <f t="shared" si="172"/>
        <v>0</v>
      </c>
      <c r="W92" s="57">
        <f t="shared" si="172"/>
        <v>0</v>
      </c>
      <c r="X92" s="57">
        <f t="shared" si="172"/>
        <v>0</v>
      </c>
      <c r="Y92" s="57">
        <f t="shared" si="172"/>
        <v>0</v>
      </c>
      <c r="Z92" s="57">
        <f t="shared" si="172"/>
        <v>0</v>
      </c>
      <c r="AA92" s="57">
        <f t="shared" si="172"/>
        <v>0</v>
      </c>
      <c r="AB92" s="57">
        <f t="shared" si="172"/>
        <v>0</v>
      </c>
      <c r="AC92" s="57">
        <f t="shared" si="172"/>
        <v>0</v>
      </c>
      <c r="AD92" s="57">
        <f t="shared" si="172"/>
        <v>0</v>
      </c>
      <c r="AE92" s="57">
        <f t="shared" si="172"/>
        <v>0</v>
      </c>
      <c r="AF92" s="57">
        <f t="shared" si="172"/>
        <v>0</v>
      </c>
      <c r="AG92" s="57">
        <f t="shared" si="172"/>
        <v>0</v>
      </c>
      <c r="AH92" s="57">
        <f t="shared" si="172"/>
        <v>0</v>
      </c>
      <c r="AI92" s="57">
        <f t="shared" si="172"/>
        <v>0</v>
      </c>
      <c r="AJ92" s="57">
        <f t="shared" si="172"/>
        <v>0</v>
      </c>
      <c r="AK92" s="57">
        <f t="shared" si="172"/>
        <v>0</v>
      </c>
      <c r="AL92" s="57">
        <f t="shared" si="172"/>
        <v>0</v>
      </c>
      <c r="AM92" s="57">
        <f t="shared" si="172"/>
        <v>0</v>
      </c>
      <c r="AN92" s="57">
        <f t="shared" si="172"/>
        <v>0</v>
      </c>
    </row>
    <row r="93" ht="32.25" customHeight="1">
      <c r="A93" s="165"/>
      <c r="B93" s="165"/>
      <c r="C93" s="166" t="s">
        <v>118</v>
      </c>
      <c r="D93" s="57">
        <f t="shared" ref="D93:E93" si="173">COUNTIF(D$3:D$70,"*02午*")</f>
        <v>0</v>
      </c>
      <c r="E93" s="57">
        <f t="shared" si="173"/>
        <v>0</v>
      </c>
      <c r="F93" s="57">
        <f t="shared" ref="F93:AN93" si="174">COUNTIF(F$3:F$73,"*02午*")</f>
        <v>0</v>
      </c>
      <c r="G93" s="57">
        <f t="shared" si="174"/>
        <v>0</v>
      </c>
      <c r="H93" s="57">
        <f t="shared" si="174"/>
        <v>0</v>
      </c>
      <c r="I93" s="57">
        <f t="shared" si="174"/>
        <v>0</v>
      </c>
      <c r="J93" s="57">
        <f t="shared" si="174"/>
        <v>0</v>
      </c>
      <c r="K93" s="57">
        <f t="shared" si="174"/>
        <v>0</v>
      </c>
      <c r="L93" s="57">
        <f t="shared" si="174"/>
        <v>0</v>
      </c>
      <c r="M93" s="57">
        <f t="shared" si="174"/>
        <v>0</v>
      </c>
      <c r="N93" s="57">
        <f t="shared" si="174"/>
        <v>0</v>
      </c>
      <c r="O93" s="57">
        <f t="shared" si="174"/>
        <v>0</v>
      </c>
      <c r="P93" s="57">
        <f t="shared" si="174"/>
        <v>0</v>
      </c>
      <c r="Q93" s="57">
        <f t="shared" si="174"/>
        <v>0</v>
      </c>
      <c r="R93" s="57">
        <f t="shared" si="174"/>
        <v>0</v>
      </c>
      <c r="S93" s="57">
        <f t="shared" si="174"/>
        <v>0</v>
      </c>
      <c r="T93" s="57">
        <f t="shared" si="174"/>
        <v>0</v>
      </c>
      <c r="U93" s="57">
        <f t="shared" si="174"/>
        <v>0</v>
      </c>
      <c r="V93" s="57">
        <f t="shared" si="174"/>
        <v>0</v>
      </c>
      <c r="W93" s="57">
        <f t="shared" si="174"/>
        <v>0</v>
      </c>
      <c r="X93" s="57">
        <f t="shared" si="174"/>
        <v>0</v>
      </c>
      <c r="Y93" s="57">
        <f t="shared" si="174"/>
        <v>0</v>
      </c>
      <c r="Z93" s="57">
        <f t="shared" si="174"/>
        <v>0</v>
      </c>
      <c r="AA93" s="57">
        <f t="shared" si="174"/>
        <v>0</v>
      </c>
      <c r="AB93" s="57">
        <f t="shared" si="174"/>
        <v>0</v>
      </c>
      <c r="AC93" s="57">
        <f t="shared" si="174"/>
        <v>0</v>
      </c>
      <c r="AD93" s="57">
        <f t="shared" si="174"/>
        <v>0</v>
      </c>
      <c r="AE93" s="57">
        <f t="shared" si="174"/>
        <v>0</v>
      </c>
      <c r="AF93" s="57">
        <f t="shared" si="174"/>
        <v>0</v>
      </c>
      <c r="AG93" s="57">
        <f t="shared" si="174"/>
        <v>0</v>
      </c>
      <c r="AH93" s="57">
        <f t="shared" si="174"/>
        <v>0</v>
      </c>
      <c r="AI93" s="57">
        <f t="shared" si="174"/>
        <v>0</v>
      </c>
      <c r="AJ93" s="57">
        <f t="shared" si="174"/>
        <v>0</v>
      </c>
      <c r="AK93" s="57">
        <f t="shared" si="174"/>
        <v>0</v>
      </c>
      <c r="AL93" s="57">
        <f t="shared" si="174"/>
        <v>0</v>
      </c>
      <c r="AM93" s="57">
        <f t="shared" si="174"/>
        <v>0</v>
      </c>
      <c r="AN93" s="57">
        <f t="shared" si="174"/>
        <v>0</v>
      </c>
    </row>
    <row r="94" ht="32.25" customHeight="1">
      <c r="A94" s="165"/>
      <c r="B94" s="165"/>
      <c r="C94" s="168" t="s">
        <v>119</v>
      </c>
      <c r="D94" s="169">
        <f t="shared" ref="D94:E94" si="175">COUNTIF(D$3:D$70,"02夜*")</f>
        <v>0</v>
      </c>
      <c r="E94" s="169">
        <f t="shared" si="175"/>
        <v>0</v>
      </c>
      <c r="F94" s="169">
        <f t="shared" ref="F94:AN94" si="176">COUNTIF(F$3:F$73,"02夜*")</f>
        <v>0</v>
      </c>
      <c r="G94" s="169">
        <f t="shared" si="176"/>
        <v>0</v>
      </c>
      <c r="H94" s="169">
        <f t="shared" si="176"/>
        <v>0</v>
      </c>
      <c r="I94" s="169">
        <f t="shared" si="176"/>
        <v>0</v>
      </c>
      <c r="J94" s="169">
        <f t="shared" si="176"/>
        <v>0</v>
      </c>
      <c r="K94" s="169">
        <f t="shared" si="176"/>
        <v>0</v>
      </c>
      <c r="L94" s="169">
        <f t="shared" si="176"/>
        <v>0</v>
      </c>
      <c r="M94" s="169">
        <f t="shared" si="176"/>
        <v>0</v>
      </c>
      <c r="N94" s="169">
        <f t="shared" si="176"/>
        <v>0</v>
      </c>
      <c r="O94" s="169">
        <f t="shared" si="176"/>
        <v>0</v>
      </c>
      <c r="P94" s="169">
        <f t="shared" si="176"/>
        <v>0</v>
      </c>
      <c r="Q94" s="169">
        <f t="shared" si="176"/>
        <v>0</v>
      </c>
      <c r="R94" s="169">
        <f t="shared" si="176"/>
        <v>0</v>
      </c>
      <c r="S94" s="169">
        <f t="shared" si="176"/>
        <v>0</v>
      </c>
      <c r="T94" s="169">
        <f t="shared" si="176"/>
        <v>0</v>
      </c>
      <c r="U94" s="169">
        <f t="shared" si="176"/>
        <v>0</v>
      </c>
      <c r="V94" s="169">
        <f t="shared" si="176"/>
        <v>0</v>
      </c>
      <c r="W94" s="169">
        <f t="shared" si="176"/>
        <v>0</v>
      </c>
      <c r="X94" s="169">
        <f t="shared" si="176"/>
        <v>0</v>
      </c>
      <c r="Y94" s="169">
        <f t="shared" si="176"/>
        <v>0</v>
      </c>
      <c r="Z94" s="169">
        <f t="shared" si="176"/>
        <v>0</v>
      </c>
      <c r="AA94" s="169">
        <f t="shared" si="176"/>
        <v>0</v>
      </c>
      <c r="AB94" s="169">
        <f t="shared" si="176"/>
        <v>0</v>
      </c>
      <c r="AC94" s="169">
        <f t="shared" si="176"/>
        <v>0</v>
      </c>
      <c r="AD94" s="169">
        <f t="shared" si="176"/>
        <v>0</v>
      </c>
      <c r="AE94" s="169">
        <f t="shared" si="176"/>
        <v>0</v>
      </c>
      <c r="AF94" s="169">
        <f t="shared" si="176"/>
        <v>0</v>
      </c>
      <c r="AG94" s="169">
        <f t="shared" si="176"/>
        <v>0</v>
      </c>
      <c r="AH94" s="169">
        <f t="shared" si="176"/>
        <v>0</v>
      </c>
      <c r="AI94" s="169">
        <f t="shared" si="176"/>
        <v>0</v>
      </c>
      <c r="AJ94" s="169">
        <f t="shared" si="176"/>
        <v>0</v>
      </c>
      <c r="AK94" s="169">
        <f t="shared" si="176"/>
        <v>0</v>
      </c>
      <c r="AL94" s="169">
        <f t="shared" si="176"/>
        <v>0</v>
      </c>
      <c r="AM94" s="169">
        <f t="shared" si="176"/>
        <v>0</v>
      </c>
      <c r="AN94" s="169">
        <f t="shared" si="176"/>
        <v>0</v>
      </c>
    </row>
    <row r="95" ht="32.25" customHeight="1">
      <c r="A95" s="165"/>
      <c r="B95" s="165"/>
      <c r="C95" s="166" t="s">
        <v>120</v>
      </c>
      <c r="D95" s="167">
        <f t="shared" ref="D95:E95" si="177">COUNTIF(D$3:D$70,"*03早*")-D96</f>
        <v>0</v>
      </c>
      <c r="E95" s="167">
        <f t="shared" si="177"/>
        <v>0</v>
      </c>
      <c r="F95" s="167">
        <f t="shared" ref="F95:AN95" si="178">COUNTIF(F$3:F$73,"*03早*")-F96</f>
        <v>0</v>
      </c>
      <c r="G95" s="167">
        <f t="shared" si="178"/>
        <v>0</v>
      </c>
      <c r="H95" s="167">
        <f t="shared" si="178"/>
        <v>0</v>
      </c>
      <c r="I95" s="167">
        <f t="shared" si="178"/>
        <v>0</v>
      </c>
      <c r="J95" s="167">
        <f t="shared" si="178"/>
        <v>0</v>
      </c>
      <c r="K95" s="167">
        <f t="shared" si="178"/>
        <v>0</v>
      </c>
      <c r="L95" s="167">
        <f t="shared" si="178"/>
        <v>0</v>
      </c>
      <c r="M95" s="167">
        <f t="shared" si="178"/>
        <v>0</v>
      </c>
      <c r="N95" s="167">
        <f t="shared" si="178"/>
        <v>0</v>
      </c>
      <c r="O95" s="167">
        <f t="shared" si="178"/>
        <v>0</v>
      </c>
      <c r="P95" s="167">
        <f t="shared" si="178"/>
        <v>0</v>
      </c>
      <c r="Q95" s="167">
        <f t="shared" si="178"/>
        <v>0</v>
      </c>
      <c r="R95" s="167">
        <f t="shared" si="178"/>
        <v>0</v>
      </c>
      <c r="S95" s="167">
        <f t="shared" si="178"/>
        <v>0</v>
      </c>
      <c r="T95" s="167">
        <f t="shared" si="178"/>
        <v>0</v>
      </c>
      <c r="U95" s="167">
        <f t="shared" si="178"/>
        <v>0</v>
      </c>
      <c r="V95" s="167">
        <f t="shared" si="178"/>
        <v>0</v>
      </c>
      <c r="W95" s="167">
        <f t="shared" si="178"/>
        <v>0</v>
      </c>
      <c r="X95" s="167">
        <f t="shared" si="178"/>
        <v>0</v>
      </c>
      <c r="Y95" s="167">
        <f t="shared" si="178"/>
        <v>0</v>
      </c>
      <c r="Z95" s="167">
        <f t="shared" si="178"/>
        <v>0</v>
      </c>
      <c r="AA95" s="167">
        <f t="shared" si="178"/>
        <v>0</v>
      </c>
      <c r="AB95" s="167">
        <f t="shared" si="178"/>
        <v>0</v>
      </c>
      <c r="AC95" s="167">
        <f t="shared" si="178"/>
        <v>0</v>
      </c>
      <c r="AD95" s="167">
        <f t="shared" si="178"/>
        <v>0</v>
      </c>
      <c r="AE95" s="167">
        <f t="shared" si="178"/>
        <v>0</v>
      </c>
      <c r="AF95" s="167">
        <f t="shared" si="178"/>
        <v>0</v>
      </c>
      <c r="AG95" s="167">
        <f t="shared" si="178"/>
        <v>0</v>
      </c>
      <c r="AH95" s="167">
        <f t="shared" si="178"/>
        <v>0</v>
      </c>
      <c r="AI95" s="167">
        <f t="shared" si="178"/>
        <v>0</v>
      </c>
      <c r="AJ95" s="167">
        <f t="shared" si="178"/>
        <v>0</v>
      </c>
      <c r="AK95" s="167">
        <f t="shared" si="178"/>
        <v>0</v>
      </c>
      <c r="AL95" s="167">
        <f t="shared" si="178"/>
        <v>0</v>
      </c>
      <c r="AM95" s="167">
        <f t="shared" si="178"/>
        <v>0</v>
      </c>
      <c r="AN95" s="167">
        <f t="shared" si="178"/>
        <v>0</v>
      </c>
    </row>
    <row r="96" ht="32.25" customHeight="1">
      <c r="A96" s="165"/>
      <c r="B96" s="165"/>
      <c r="C96" s="166" t="s">
        <v>121</v>
      </c>
      <c r="D96" s="171">
        <f t="shared" ref="D96:E96" si="179">COUNTIF(D$3:D$70,"*03早A*")</f>
        <v>0</v>
      </c>
      <c r="E96" s="171">
        <f t="shared" si="179"/>
        <v>0</v>
      </c>
      <c r="F96" s="171">
        <f t="shared" ref="F96:AN96" si="180">COUNTIF(F$3:F$73,"*03早A*")</f>
        <v>0</v>
      </c>
      <c r="G96" s="171">
        <f t="shared" si="180"/>
        <v>0</v>
      </c>
      <c r="H96" s="171">
        <f t="shared" si="180"/>
        <v>0</v>
      </c>
      <c r="I96" s="171">
        <f t="shared" si="180"/>
        <v>0</v>
      </c>
      <c r="J96" s="171">
        <f t="shared" si="180"/>
        <v>0</v>
      </c>
      <c r="K96" s="171">
        <f t="shared" si="180"/>
        <v>0</v>
      </c>
      <c r="L96" s="171">
        <f t="shared" si="180"/>
        <v>0</v>
      </c>
      <c r="M96" s="171">
        <f t="shared" si="180"/>
        <v>0</v>
      </c>
      <c r="N96" s="171">
        <f t="shared" si="180"/>
        <v>0</v>
      </c>
      <c r="O96" s="171">
        <f t="shared" si="180"/>
        <v>0</v>
      </c>
      <c r="P96" s="171">
        <f t="shared" si="180"/>
        <v>0</v>
      </c>
      <c r="Q96" s="171">
        <f t="shared" si="180"/>
        <v>0</v>
      </c>
      <c r="R96" s="171">
        <f t="shared" si="180"/>
        <v>0</v>
      </c>
      <c r="S96" s="171">
        <f t="shared" si="180"/>
        <v>0</v>
      </c>
      <c r="T96" s="171">
        <f t="shared" si="180"/>
        <v>0</v>
      </c>
      <c r="U96" s="171">
        <f t="shared" si="180"/>
        <v>0</v>
      </c>
      <c r="V96" s="171">
        <f t="shared" si="180"/>
        <v>0</v>
      </c>
      <c r="W96" s="171">
        <f t="shared" si="180"/>
        <v>0</v>
      </c>
      <c r="X96" s="171">
        <f t="shared" si="180"/>
        <v>0</v>
      </c>
      <c r="Y96" s="171">
        <f t="shared" si="180"/>
        <v>0</v>
      </c>
      <c r="Z96" s="171">
        <f t="shared" si="180"/>
        <v>0</v>
      </c>
      <c r="AA96" s="171">
        <f t="shared" si="180"/>
        <v>0</v>
      </c>
      <c r="AB96" s="171">
        <f t="shared" si="180"/>
        <v>0</v>
      </c>
      <c r="AC96" s="171">
        <f t="shared" si="180"/>
        <v>0</v>
      </c>
      <c r="AD96" s="171">
        <f t="shared" si="180"/>
        <v>0</v>
      </c>
      <c r="AE96" s="171">
        <f t="shared" si="180"/>
        <v>0</v>
      </c>
      <c r="AF96" s="171">
        <f t="shared" si="180"/>
        <v>0</v>
      </c>
      <c r="AG96" s="171">
        <f t="shared" si="180"/>
        <v>0</v>
      </c>
      <c r="AH96" s="171">
        <f t="shared" si="180"/>
        <v>0</v>
      </c>
      <c r="AI96" s="171">
        <f t="shared" si="180"/>
        <v>0</v>
      </c>
      <c r="AJ96" s="171">
        <f t="shared" si="180"/>
        <v>0</v>
      </c>
      <c r="AK96" s="171">
        <f t="shared" si="180"/>
        <v>0</v>
      </c>
      <c r="AL96" s="171">
        <f t="shared" si="180"/>
        <v>0</v>
      </c>
      <c r="AM96" s="171">
        <f t="shared" si="180"/>
        <v>0</v>
      </c>
      <c r="AN96" s="171">
        <f t="shared" si="180"/>
        <v>0</v>
      </c>
    </row>
    <row r="97" ht="32.25" customHeight="1">
      <c r="A97" s="165"/>
      <c r="B97" s="165"/>
      <c r="C97" s="166" t="s">
        <v>122</v>
      </c>
      <c r="D97" s="57">
        <f t="shared" ref="D97:E97" si="181">COUNTIF(D$3:D$65,"03中A*")</f>
        <v>0</v>
      </c>
      <c r="E97" s="57">
        <f t="shared" si="181"/>
        <v>0</v>
      </c>
      <c r="F97" s="57">
        <f t="shared" ref="F97:AN97" si="182">COUNTIF(F$3:F$73,"03中A*")</f>
        <v>0</v>
      </c>
      <c r="G97" s="57">
        <f t="shared" si="182"/>
        <v>0</v>
      </c>
      <c r="H97" s="57">
        <f t="shared" si="182"/>
        <v>0</v>
      </c>
      <c r="I97" s="57">
        <f t="shared" si="182"/>
        <v>0</v>
      </c>
      <c r="J97" s="57">
        <f t="shared" si="182"/>
        <v>0</v>
      </c>
      <c r="K97" s="57">
        <f t="shared" si="182"/>
        <v>0</v>
      </c>
      <c r="L97" s="57">
        <f t="shared" si="182"/>
        <v>0</v>
      </c>
      <c r="M97" s="57">
        <f t="shared" si="182"/>
        <v>0</v>
      </c>
      <c r="N97" s="57">
        <f t="shared" si="182"/>
        <v>0</v>
      </c>
      <c r="O97" s="57">
        <f t="shared" si="182"/>
        <v>0</v>
      </c>
      <c r="P97" s="57">
        <f t="shared" si="182"/>
        <v>0</v>
      </c>
      <c r="Q97" s="57">
        <f t="shared" si="182"/>
        <v>0</v>
      </c>
      <c r="R97" s="57">
        <f t="shared" si="182"/>
        <v>0</v>
      </c>
      <c r="S97" s="57">
        <f t="shared" si="182"/>
        <v>0</v>
      </c>
      <c r="T97" s="57">
        <f t="shared" si="182"/>
        <v>0</v>
      </c>
      <c r="U97" s="57">
        <f t="shared" si="182"/>
        <v>0</v>
      </c>
      <c r="V97" s="57">
        <f t="shared" si="182"/>
        <v>0</v>
      </c>
      <c r="W97" s="57">
        <f t="shared" si="182"/>
        <v>0</v>
      </c>
      <c r="X97" s="57">
        <f t="shared" si="182"/>
        <v>0</v>
      </c>
      <c r="Y97" s="57">
        <f t="shared" si="182"/>
        <v>0</v>
      </c>
      <c r="Z97" s="57">
        <f t="shared" si="182"/>
        <v>0</v>
      </c>
      <c r="AA97" s="57">
        <f t="shared" si="182"/>
        <v>0</v>
      </c>
      <c r="AB97" s="57">
        <f t="shared" si="182"/>
        <v>0</v>
      </c>
      <c r="AC97" s="57">
        <f t="shared" si="182"/>
        <v>0</v>
      </c>
      <c r="AD97" s="57">
        <f t="shared" si="182"/>
        <v>0</v>
      </c>
      <c r="AE97" s="57">
        <f t="shared" si="182"/>
        <v>0</v>
      </c>
      <c r="AF97" s="57">
        <f t="shared" si="182"/>
        <v>0</v>
      </c>
      <c r="AG97" s="57">
        <f t="shared" si="182"/>
        <v>0</v>
      </c>
      <c r="AH97" s="57">
        <f t="shared" si="182"/>
        <v>0</v>
      </c>
      <c r="AI97" s="57">
        <f t="shared" si="182"/>
        <v>0</v>
      </c>
      <c r="AJ97" s="57">
        <f t="shared" si="182"/>
        <v>0</v>
      </c>
      <c r="AK97" s="57">
        <f t="shared" si="182"/>
        <v>0</v>
      </c>
      <c r="AL97" s="57">
        <f t="shared" si="182"/>
        <v>0</v>
      </c>
      <c r="AM97" s="57">
        <f t="shared" si="182"/>
        <v>0</v>
      </c>
      <c r="AN97" s="57">
        <f t="shared" si="182"/>
        <v>0</v>
      </c>
    </row>
    <row r="98" ht="32.25" customHeight="1">
      <c r="A98" s="165"/>
      <c r="B98" s="165"/>
      <c r="C98" s="166" t="s">
        <v>123</v>
      </c>
      <c r="D98" s="57">
        <f t="shared" ref="D98:E98" si="183">COUNTIF(D$3:D$70,"*03午*")-D99</f>
        <v>0</v>
      </c>
      <c r="E98" s="57">
        <f t="shared" si="183"/>
        <v>0</v>
      </c>
      <c r="F98" s="57">
        <f t="shared" ref="F98:AN98" si="184">COUNTIF(F$3:F$73,"*03午*")-F99</f>
        <v>0</v>
      </c>
      <c r="G98" s="57">
        <f t="shared" si="184"/>
        <v>0</v>
      </c>
      <c r="H98" s="57">
        <f t="shared" si="184"/>
        <v>0</v>
      </c>
      <c r="I98" s="57">
        <f t="shared" si="184"/>
        <v>0</v>
      </c>
      <c r="J98" s="57">
        <f t="shared" si="184"/>
        <v>0</v>
      </c>
      <c r="K98" s="57">
        <f t="shared" si="184"/>
        <v>0</v>
      </c>
      <c r="L98" s="57">
        <f t="shared" si="184"/>
        <v>0</v>
      </c>
      <c r="M98" s="57">
        <f t="shared" si="184"/>
        <v>0</v>
      </c>
      <c r="N98" s="57">
        <f t="shared" si="184"/>
        <v>0</v>
      </c>
      <c r="O98" s="57">
        <f t="shared" si="184"/>
        <v>0</v>
      </c>
      <c r="P98" s="57">
        <f t="shared" si="184"/>
        <v>0</v>
      </c>
      <c r="Q98" s="57">
        <f t="shared" si="184"/>
        <v>0</v>
      </c>
      <c r="R98" s="57">
        <f t="shared" si="184"/>
        <v>0</v>
      </c>
      <c r="S98" s="57">
        <f t="shared" si="184"/>
        <v>0</v>
      </c>
      <c r="T98" s="57">
        <f t="shared" si="184"/>
        <v>0</v>
      </c>
      <c r="U98" s="57">
        <f t="shared" si="184"/>
        <v>0</v>
      </c>
      <c r="V98" s="57">
        <f t="shared" si="184"/>
        <v>0</v>
      </c>
      <c r="W98" s="57">
        <f t="shared" si="184"/>
        <v>0</v>
      </c>
      <c r="X98" s="57">
        <f t="shared" si="184"/>
        <v>0</v>
      </c>
      <c r="Y98" s="57">
        <f t="shared" si="184"/>
        <v>0</v>
      </c>
      <c r="Z98" s="57">
        <f t="shared" si="184"/>
        <v>0</v>
      </c>
      <c r="AA98" s="57">
        <f t="shared" si="184"/>
        <v>0</v>
      </c>
      <c r="AB98" s="57">
        <f t="shared" si="184"/>
        <v>0</v>
      </c>
      <c r="AC98" s="57">
        <f t="shared" si="184"/>
        <v>0</v>
      </c>
      <c r="AD98" s="57">
        <f t="shared" si="184"/>
        <v>0</v>
      </c>
      <c r="AE98" s="57">
        <f t="shared" si="184"/>
        <v>0</v>
      </c>
      <c r="AF98" s="57">
        <f t="shared" si="184"/>
        <v>0</v>
      </c>
      <c r="AG98" s="57">
        <f t="shared" si="184"/>
        <v>0</v>
      </c>
      <c r="AH98" s="57">
        <f t="shared" si="184"/>
        <v>0</v>
      </c>
      <c r="AI98" s="57">
        <f t="shared" si="184"/>
        <v>0</v>
      </c>
      <c r="AJ98" s="57">
        <f t="shared" si="184"/>
        <v>0</v>
      </c>
      <c r="AK98" s="57">
        <f t="shared" si="184"/>
        <v>0</v>
      </c>
      <c r="AL98" s="57">
        <f t="shared" si="184"/>
        <v>0</v>
      </c>
      <c r="AM98" s="57">
        <f t="shared" si="184"/>
        <v>0</v>
      </c>
      <c r="AN98" s="57">
        <f t="shared" si="184"/>
        <v>0</v>
      </c>
    </row>
    <row r="99" ht="32.25" customHeight="1">
      <c r="A99" s="165"/>
      <c r="B99" s="165"/>
      <c r="C99" s="166" t="s">
        <v>124</v>
      </c>
      <c r="D99" s="57">
        <f t="shared" ref="D99:E99" si="185">COUNTIF(D$3:D$70,"*03午F*")</f>
        <v>0</v>
      </c>
      <c r="E99" s="57">
        <f t="shared" si="185"/>
        <v>0</v>
      </c>
      <c r="F99" s="57">
        <f t="shared" ref="F99:AN99" si="186">COUNTIF(F$3:F$73,"*03午F*")</f>
        <v>0</v>
      </c>
      <c r="G99" s="57">
        <f t="shared" si="186"/>
        <v>0</v>
      </c>
      <c r="H99" s="57">
        <f t="shared" si="186"/>
        <v>0</v>
      </c>
      <c r="I99" s="57">
        <f t="shared" si="186"/>
        <v>0</v>
      </c>
      <c r="J99" s="57">
        <f t="shared" si="186"/>
        <v>0</v>
      </c>
      <c r="K99" s="57">
        <f t="shared" si="186"/>
        <v>0</v>
      </c>
      <c r="L99" s="57">
        <f t="shared" si="186"/>
        <v>0</v>
      </c>
      <c r="M99" s="57">
        <f t="shared" si="186"/>
        <v>0</v>
      </c>
      <c r="N99" s="57">
        <f t="shared" si="186"/>
        <v>0</v>
      </c>
      <c r="O99" s="57">
        <f t="shared" si="186"/>
        <v>0</v>
      </c>
      <c r="P99" s="57">
        <f t="shared" si="186"/>
        <v>0</v>
      </c>
      <c r="Q99" s="57">
        <f t="shared" si="186"/>
        <v>0</v>
      </c>
      <c r="R99" s="57">
        <f t="shared" si="186"/>
        <v>0</v>
      </c>
      <c r="S99" s="57">
        <f t="shared" si="186"/>
        <v>0</v>
      </c>
      <c r="T99" s="57">
        <f t="shared" si="186"/>
        <v>0</v>
      </c>
      <c r="U99" s="57">
        <f t="shared" si="186"/>
        <v>0</v>
      </c>
      <c r="V99" s="57">
        <f t="shared" si="186"/>
        <v>0</v>
      </c>
      <c r="W99" s="57">
        <f t="shared" si="186"/>
        <v>0</v>
      </c>
      <c r="X99" s="57">
        <f t="shared" si="186"/>
        <v>0</v>
      </c>
      <c r="Y99" s="57">
        <f t="shared" si="186"/>
        <v>0</v>
      </c>
      <c r="Z99" s="57">
        <f t="shared" si="186"/>
        <v>0</v>
      </c>
      <c r="AA99" s="57">
        <f t="shared" si="186"/>
        <v>0</v>
      </c>
      <c r="AB99" s="57">
        <f t="shared" si="186"/>
        <v>0</v>
      </c>
      <c r="AC99" s="57">
        <f t="shared" si="186"/>
        <v>0</v>
      </c>
      <c r="AD99" s="57">
        <f t="shared" si="186"/>
        <v>0</v>
      </c>
      <c r="AE99" s="57">
        <f t="shared" si="186"/>
        <v>0</v>
      </c>
      <c r="AF99" s="57">
        <f t="shared" si="186"/>
        <v>0</v>
      </c>
      <c r="AG99" s="57">
        <f t="shared" si="186"/>
        <v>0</v>
      </c>
      <c r="AH99" s="57">
        <f t="shared" si="186"/>
        <v>0</v>
      </c>
      <c r="AI99" s="57">
        <f t="shared" si="186"/>
        <v>0</v>
      </c>
      <c r="AJ99" s="57">
        <f t="shared" si="186"/>
        <v>0</v>
      </c>
      <c r="AK99" s="57">
        <f t="shared" si="186"/>
        <v>0</v>
      </c>
      <c r="AL99" s="57">
        <f t="shared" si="186"/>
        <v>0</v>
      </c>
      <c r="AM99" s="57">
        <f t="shared" si="186"/>
        <v>0</v>
      </c>
      <c r="AN99" s="57">
        <f t="shared" si="186"/>
        <v>0</v>
      </c>
    </row>
    <row r="100" ht="32.25" customHeight="1">
      <c r="A100" s="165"/>
      <c r="B100" s="165"/>
      <c r="C100" s="168" t="s">
        <v>125</v>
      </c>
      <c r="D100" s="169">
        <f t="shared" ref="D100:E100" si="187">COUNTIF(D$3:D$70,"03夜")</f>
        <v>0</v>
      </c>
      <c r="E100" s="169">
        <f t="shared" si="187"/>
        <v>0</v>
      </c>
      <c r="F100" s="169">
        <f t="shared" ref="F100:AN100" si="188">COUNTIF(F$3:F$73,"03夜")</f>
        <v>0</v>
      </c>
      <c r="G100" s="169">
        <f t="shared" si="188"/>
        <v>0</v>
      </c>
      <c r="H100" s="169">
        <f t="shared" si="188"/>
        <v>0</v>
      </c>
      <c r="I100" s="169">
        <f t="shared" si="188"/>
        <v>0</v>
      </c>
      <c r="J100" s="169">
        <f t="shared" si="188"/>
        <v>0</v>
      </c>
      <c r="K100" s="169">
        <f t="shared" si="188"/>
        <v>0</v>
      </c>
      <c r="L100" s="169">
        <f t="shared" si="188"/>
        <v>0</v>
      </c>
      <c r="M100" s="169">
        <f t="shared" si="188"/>
        <v>0</v>
      </c>
      <c r="N100" s="169">
        <f t="shared" si="188"/>
        <v>0</v>
      </c>
      <c r="O100" s="169">
        <f t="shared" si="188"/>
        <v>0</v>
      </c>
      <c r="P100" s="169">
        <f t="shared" si="188"/>
        <v>0</v>
      </c>
      <c r="Q100" s="169">
        <f t="shared" si="188"/>
        <v>0</v>
      </c>
      <c r="R100" s="169">
        <f t="shared" si="188"/>
        <v>0</v>
      </c>
      <c r="S100" s="169">
        <f t="shared" si="188"/>
        <v>0</v>
      </c>
      <c r="T100" s="169">
        <f t="shared" si="188"/>
        <v>0</v>
      </c>
      <c r="U100" s="169">
        <f t="shared" si="188"/>
        <v>0</v>
      </c>
      <c r="V100" s="169">
        <f t="shared" si="188"/>
        <v>0</v>
      </c>
      <c r="W100" s="169">
        <f t="shared" si="188"/>
        <v>0</v>
      </c>
      <c r="X100" s="169">
        <f t="shared" si="188"/>
        <v>0</v>
      </c>
      <c r="Y100" s="169">
        <f t="shared" si="188"/>
        <v>0</v>
      </c>
      <c r="Z100" s="169">
        <f t="shared" si="188"/>
        <v>0</v>
      </c>
      <c r="AA100" s="169">
        <f t="shared" si="188"/>
        <v>0</v>
      </c>
      <c r="AB100" s="169">
        <f t="shared" si="188"/>
        <v>0</v>
      </c>
      <c r="AC100" s="169">
        <f t="shared" si="188"/>
        <v>0</v>
      </c>
      <c r="AD100" s="169">
        <f t="shared" si="188"/>
        <v>0</v>
      </c>
      <c r="AE100" s="169">
        <f t="shared" si="188"/>
        <v>0</v>
      </c>
      <c r="AF100" s="169">
        <f t="shared" si="188"/>
        <v>0</v>
      </c>
      <c r="AG100" s="169">
        <f t="shared" si="188"/>
        <v>0</v>
      </c>
      <c r="AH100" s="169">
        <f t="shared" si="188"/>
        <v>0</v>
      </c>
      <c r="AI100" s="169">
        <f t="shared" si="188"/>
        <v>0</v>
      </c>
      <c r="AJ100" s="169">
        <f t="shared" si="188"/>
        <v>0</v>
      </c>
      <c r="AK100" s="169">
        <f t="shared" si="188"/>
        <v>0</v>
      </c>
      <c r="AL100" s="169">
        <f t="shared" si="188"/>
        <v>0</v>
      </c>
      <c r="AM100" s="169">
        <f t="shared" si="188"/>
        <v>0</v>
      </c>
      <c r="AN100" s="169">
        <f t="shared" si="188"/>
        <v>0</v>
      </c>
    </row>
    <row r="101" ht="32.25" customHeight="1">
      <c r="A101" s="165"/>
      <c r="B101" s="165"/>
      <c r="C101" s="166" t="s">
        <v>126</v>
      </c>
      <c r="D101" s="167">
        <f t="shared" ref="D101:E101" si="189">COUNTIF(D$3:D$70,"*04早*")</f>
        <v>0</v>
      </c>
      <c r="E101" s="167">
        <f t="shared" si="189"/>
        <v>0</v>
      </c>
      <c r="F101" s="167">
        <f t="shared" ref="F101:AN101" si="190">COUNTIF(F$3:F$73,"*04早*")</f>
        <v>0</v>
      </c>
      <c r="G101" s="167">
        <f t="shared" si="190"/>
        <v>0</v>
      </c>
      <c r="H101" s="167">
        <f t="shared" si="190"/>
        <v>0</v>
      </c>
      <c r="I101" s="167">
        <f t="shared" si="190"/>
        <v>0</v>
      </c>
      <c r="J101" s="167">
        <f t="shared" si="190"/>
        <v>0</v>
      </c>
      <c r="K101" s="167">
        <f t="shared" si="190"/>
        <v>0</v>
      </c>
      <c r="L101" s="167">
        <f t="shared" si="190"/>
        <v>0</v>
      </c>
      <c r="M101" s="167">
        <f t="shared" si="190"/>
        <v>0</v>
      </c>
      <c r="N101" s="167">
        <f t="shared" si="190"/>
        <v>0</v>
      </c>
      <c r="O101" s="167">
        <f t="shared" si="190"/>
        <v>0</v>
      </c>
      <c r="P101" s="167">
        <f t="shared" si="190"/>
        <v>0</v>
      </c>
      <c r="Q101" s="167">
        <f t="shared" si="190"/>
        <v>0</v>
      </c>
      <c r="R101" s="167">
        <f t="shared" si="190"/>
        <v>0</v>
      </c>
      <c r="S101" s="167">
        <f t="shared" si="190"/>
        <v>0</v>
      </c>
      <c r="T101" s="167">
        <f t="shared" si="190"/>
        <v>0</v>
      </c>
      <c r="U101" s="167">
        <f t="shared" si="190"/>
        <v>0</v>
      </c>
      <c r="V101" s="167">
        <f t="shared" si="190"/>
        <v>0</v>
      </c>
      <c r="W101" s="167">
        <f t="shared" si="190"/>
        <v>0</v>
      </c>
      <c r="X101" s="167">
        <f t="shared" si="190"/>
        <v>0</v>
      </c>
      <c r="Y101" s="167">
        <f t="shared" si="190"/>
        <v>0</v>
      </c>
      <c r="Z101" s="167">
        <f t="shared" si="190"/>
        <v>0</v>
      </c>
      <c r="AA101" s="167">
        <f t="shared" si="190"/>
        <v>0</v>
      </c>
      <c r="AB101" s="167">
        <f t="shared" si="190"/>
        <v>0</v>
      </c>
      <c r="AC101" s="167">
        <f t="shared" si="190"/>
        <v>0</v>
      </c>
      <c r="AD101" s="167">
        <f t="shared" si="190"/>
        <v>0</v>
      </c>
      <c r="AE101" s="167">
        <f t="shared" si="190"/>
        <v>0</v>
      </c>
      <c r="AF101" s="167">
        <f t="shared" si="190"/>
        <v>0</v>
      </c>
      <c r="AG101" s="167">
        <f t="shared" si="190"/>
        <v>0</v>
      </c>
      <c r="AH101" s="167">
        <f t="shared" si="190"/>
        <v>0</v>
      </c>
      <c r="AI101" s="167">
        <f t="shared" si="190"/>
        <v>0</v>
      </c>
      <c r="AJ101" s="167">
        <f t="shared" si="190"/>
        <v>0</v>
      </c>
      <c r="AK101" s="167">
        <f t="shared" si="190"/>
        <v>0</v>
      </c>
      <c r="AL101" s="167">
        <f t="shared" si="190"/>
        <v>0</v>
      </c>
      <c r="AM101" s="167">
        <f t="shared" si="190"/>
        <v>0</v>
      </c>
      <c r="AN101" s="167">
        <f t="shared" si="190"/>
        <v>0</v>
      </c>
    </row>
    <row r="102" ht="32.25" customHeight="1">
      <c r="A102" s="165"/>
      <c r="B102" s="165"/>
      <c r="C102" s="166" t="s">
        <v>127</v>
      </c>
      <c r="D102" s="57">
        <f t="shared" ref="D102:E102" si="191">COUNTIF(D$3:D$70,"*04中A*")</f>
        <v>0</v>
      </c>
      <c r="E102" s="57">
        <f t="shared" si="191"/>
        <v>0</v>
      </c>
      <c r="F102" s="57">
        <f t="shared" ref="F102:AN102" si="192">COUNTIF(F$3:F$73,"*04中A*")</f>
        <v>0</v>
      </c>
      <c r="G102" s="57">
        <f t="shared" si="192"/>
        <v>0</v>
      </c>
      <c r="H102" s="57">
        <f t="shared" si="192"/>
        <v>0</v>
      </c>
      <c r="I102" s="57">
        <f t="shared" si="192"/>
        <v>0</v>
      </c>
      <c r="J102" s="57">
        <f t="shared" si="192"/>
        <v>0</v>
      </c>
      <c r="K102" s="57">
        <f t="shared" si="192"/>
        <v>0</v>
      </c>
      <c r="L102" s="57">
        <f t="shared" si="192"/>
        <v>0</v>
      </c>
      <c r="M102" s="57">
        <f t="shared" si="192"/>
        <v>0</v>
      </c>
      <c r="N102" s="57">
        <f t="shared" si="192"/>
        <v>0</v>
      </c>
      <c r="O102" s="57">
        <f t="shared" si="192"/>
        <v>0</v>
      </c>
      <c r="P102" s="57">
        <f t="shared" si="192"/>
        <v>0</v>
      </c>
      <c r="Q102" s="57">
        <f t="shared" si="192"/>
        <v>0</v>
      </c>
      <c r="R102" s="57">
        <f t="shared" si="192"/>
        <v>0</v>
      </c>
      <c r="S102" s="57">
        <f t="shared" si="192"/>
        <v>0</v>
      </c>
      <c r="T102" s="57">
        <f t="shared" si="192"/>
        <v>0</v>
      </c>
      <c r="U102" s="57">
        <f t="shared" si="192"/>
        <v>0</v>
      </c>
      <c r="V102" s="57">
        <f t="shared" si="192"/>
        <v>0</v>
      </c>
      <c r="W102" s="57">
        <f t="shared" si="192"/>
        <v>0</v>
      </c>
      <c r="X102" s="57">
        <f t="shared" si="192"/>
        <v>0</v>
      </c>
      <c r="Y102" s="57">
        <f t="shared" si="192"/>
        <v>0</v>
      </c>
      <c r="Z102" s="57">
        <f t="shared" si="192"/>
        <v>0</v>
      </c>
      <c r="AA102" s="57">
        <f t="shared" si="192"/>
        <v>0</v>
      </c>
      <c r="AB102" s="57">
        <f t="shared" si="192"/>
        <v>0</v>
      </c>
      <c r="AC102" s="57">
        <f t="shared" si="192"/>
        <v>0</v>
      </c>
      <c r="AD102" s="57">
        <f t="shared" si="192"/>
        <v>0</v>
      </c>
      <c r="AE102" s="57">
        <f t="shared" si="192"/>
        <v>0</v>
      </c>
      <c r="AF102" s="57">
        <f t="shared" si="192"/>
        <v>0</v>
      </c>
      <c r="AG102" s="57">
        <f t="shared" si="192"/>
        <v>0</v>
      </c>
      <c r="AH102" s="57">
        <f t="shared" si="192"/>
        <v>0</v>
      </c>
      <c r="AI102" s="57">
        <f t="shared" si="192"/>
        <v>0</v>
      </c>
      <c r="AJ102" s="57">
        <f t="shared" si="192"/>
        <v>0</v>
      </c>
      <c r="AK102" s="57">
        <f t="shared" si="192"/>
        <v>0</v>
      </c>
      <c r="AL102" s="57">
        <f t="shared" si="192"/>
        <v>0</v>
      </c>
      <c r="AM102" s="57">
        <f t="shared" si="192"/>
        <v>0</v>
      </c>
      <c r="AN102" s="57">
        <f t="shared" si="192"/>
        <v>0</v>
      </c>
    </row>
    <row r="103" ht="32.25" customHeight="1">
      <c r="A103" s="165"/>
      <c r="B103" s="165"/>
      <c r="C103" s="166" t="s">
        <v>128</v>
      </c>
      <c r="D103" s="57">
        <f t="shared" ref="D103:E103" si="193">COUNTIF(D$3:D$65,"*04午*")</f>
        <v>0</v>
      </c>
      <c r="E103" s="57">
        <f t="shared" si="193"/>
        <v>0</v>
      </c>
      <c r="F103" s="57">
        <f t="shared" ref="F103:AN103" si="194">COUNTIF(F$3:F$73,"*04午*")</f>
        <v>0</v>
      </c>
      <c r="G103" s="57">
        <f t="shared" si="194"/>
        <v>0</v>
      </c>
      <c r="H103" s="57">
        <f t="shared" si="194"/>
        <v>0</v>
      </c>
      <c r="I103" s="57">
        <f t="shared" si="194"/>
        <v>0</v>
      </c>
      <c r="J103" s="57">
        <f t="shared" si="194"/>
        <v>0</v>
      </c>
      <c r="K103" s="57">
        <f t="shared" si="194"/>
        <v>0</v>
      </c>
      <c r="L103" s="57">
        <f t="shared" si="194"/>
        <v>0</v>
      </c>
      <c r="M103" s="57">
        <f t="shared" si="194"/>
        <v>0</v>
      </c>
      <c r="N103" s="57">
        <f t="shared" si="194"/>
        <v>0</v>
      </c>
      <c r="O103" s="57">
        <f t="shared" si="194"/>
        <v>0</v>
      </c>
      <c r="P103" s="57">
        <f t="shared" si="194"/>
        <v>0</v>
      </c>
      <c r="Q103" s="57">
        <f t="shared" si="194"/>
        <v>0</v>
      </c>
      <c r="R103" s="57">
        <f t="shared" si="194"/>
        <v>0</v>
      </c>
      <c r="S103" s="57">
        <f t="shared" si="194"/>
        <v>0</v>
      </c>
      <c r="T103" s="57">
        <f t="shared" si="194"/>
        <v>0</v>
      </c>
      <c r="U103" s="57">
        <f t="shared" si="194"/>
        <v>0</v>
      </c>
      <c r="V103" s="57">
        <f t="shared" si="194"/>
        <v>0</v>
      </c>
      <c r="W103" s="57">
        <f t="shared" si="194"/>
        <v>0</v>
      </c>
      <c r="X103" s="57">
        <f t="shared" si="194"/>
        <v>0</v>
      </c>
      <c r="Y103" s="57">
        <f t="shared" si="194"/>
        <v>0</v>
      </c>
      <c r="Z103" s="57">
        <f t="shared" si="194"/>
        <v>0</v>
      </c>
      <c r="AA103" s="57">
        <f t="shared" si="194"/>
        <v>0</v>
      </c>
      <c r="AB103" s="57">
        <f t="shared" si="194"/>
        <v>0</v>
      </c>
      <c r="AC103" s="57">
        <f t="shared" si="194"/>
        <v>0</v>
      </c>
      <c r="AD103" s="57">
        <f t="shared" si="194"/>
        <v>0</v>
      </c>
      <c r="AE103" s="57">
        <f t="shared" si="194"/>
        <v>0</v>
      </c>
      <c r="AF103" s="57">
        <f t="shared" si="194"/>
        <v>0</v>
      </c>
      <c r="AG103" s="57">
        <f t="shared" si="194"/>
        <v>0</v>
      </c>
      <c r="AH103" s="57">
        <f t="shared" si="194"/>
        <v>0</v>
      </c>
      <c r="AI103" s="57">
        <f t="shared" si="194"/>
        <v>0</v>
      </c>
      <c r="AJ103" s="57">
        <f t="shared" si="194"/>
        <v>0</v>
      </c>
      <c r="AK103" s="57">
        <f t="shared" si="194"/>
        <v>0</v>
      </c>
      <c r="AL103" s="57">
        <f t="shared" si="194"/>
        <v>0</v>
      </c>
      <c r="AM103" s="57">
        <f t="shared" si="194"/>
        <v>0</v>
      </c>
      <c r="AN103" s="57">
        <f t="shared" si="194"/>
        <v>0</v>
      </c>
    </row>
    <row r="104" ht="32.25" customHeight="1">
      <c r="A104" s="165"/>
      <c r="B104" s="165"/>
      <c r="C104" s="168" t="s">
        <v>129</v>
      </c>
      <c r="D104" s="169">
        <f t="shared" ref="D104:E104" si="195">COUNTIF(D$3:D$70,"*04夜*")</f>
        <v>0</v>
      </c>
      <c r="E104" s="169">
        <f t="shared" si="195"/>
        <v>0</v>
      </c>
      <c r="F104" s="169">
        <f t="shared" ref="F104:AN104" si="196">COUNTIF(F$3:F$73,"*04夜*")</f>
        <v>0</v>
      </c>
      <c r="G104" s="169">
        <f t="shared" si="196"/>
        <v>0</v>
      </c>
      <c r="H104" s="169">
        <f t="shared" si="196"/>
        <v>0</v>
      </c>
      <c r="I104" s="169">
        <f t="shared" si="196"/>
        <v>0</v>
      </c>
      <c r="J104" s="169">
        <f t="shared" si="196"/>
        <v>0</v>
      </c>
      <c r="K104" s="169">
        <f t="shared" si="196"/>
        <v>0</v>
      </c>
      <c r="L104" s="169">
        <f t="shared" si="196"/>
        <v>0</v>
      </c>
      <c r="M104" s="169">
        <f t="shared" si="196"/>
        <v>0</v>
      </c>
      <c r="N104" s="169">
        <f t="shared" si="196"/>
        <v>0</v>
      </c>
      <c r="O104" s="169">
        <f t="shared" si="196"/>
        <v>0</v>
      </c>
      <c r="P104" s="169">
        <f t="shared" si="196"/>
        <v>0</v>
      </c>
      <c r="Q104" s="169">
        <f t="shared" si="196"/>
        <v>0</v>
      </c>
      <c r="R104" s="169">
        <f t="shared" si="196"/>
        <v>0</v>
      </c>
      <c r="S104" s="169">
        <f t="shared" si="196"/>
        <v>0</v>
      </c>
      <c r="T104" s="169">
        <f t="shared" si="196"/>
        <v>0</v>
      </c>
      <c r="U104" s="169">
        <f t="shared" si="196"/>
        <v>0</v>
      </c>
      <c r="V104" s="169">
        <f t="shared" si="196"/>
        <v>0</v>
      </c>
      <c r="W104" s="169">
        <f t="shared" si="196"/>
        <v>0</v>
      </c>
      <c r="X104" s="169">
        <f t="shared" si="196"/>
        <v>0</v>
      </c>
      <c r="Y104" s="169">
        <f t="shared" si="196"/>
        <v>0</v>
      </c>
      <c r="Z104" s="169">
        <f t="shared" si="196"/>
        <v>0</v>
      </c>
      <c r="AA104" s="169">
        <f t="shared" si="196"/>
        <v>0</v>
      </c>
      <c r="AB104" s="169">
        <f t="shared" si="196"/>
        <v>0</v>
      </c>
      <c r="AC104" s="169">
        <f t="shared" si="196"/>
        <v>0</v>
      </c>
      <c r="AD104" s="169">
        <f t="shared" si="196"/>
        <v>0</v>
      </c>
      <c r="AE104" s="169">
        <f t="shared" si="196"/>
        <v>0</v>
      </c>
      <c r="AF104" s="169">
        <f t="shared" si="196"/>
        <v>0</v>
      </c>
      <c r="AG104" s="169">
        <f t="shared" si="196"/>
        <v>0</v>
      </c>
      <c r="AH104" s="169">
        <f t="shared" si="196"/>
        <v>0</v>
      </c>
      <c r="AI104" s="169">
        <f t="shared" si="196"/>
        <v>0</v>
      </c>
      <c r="AJ104" s="169">
        <f t="shared" si="196"/>
        <v>0</v>
      </c>
      <c r="AK104" s="169">
        <f t="shared" si="196"/>
        <v>0</v>
      </c>
      <c r="AL104" s="169">
        <f t="shared" si="196"/>
        <v>0</v>
      </c>
      <c r="AM104" s="169">
        <f t="shared" si="196"/>
        <v>0</v>
      </c>
      <c r="AN104" s="169">
        <f t="shared" si="196"/>
        <v>0</v>
      </c>
    </row>
    <row r="105" ht="32.25" customHeight="1">
      <c r="A105" s="165"/>
      <c r="B105" s="165"/>
      <c r="C105" s="166" t="s">
        <v>130</v>
      </c>
      <c r="D105" s="167">
        <f t="shared" ref="D105:E105" si="197">COUNTIF(D$3:D$70,"05早*")</f>
        <v>0</v>
      </c>
      <c r="E105" s="167">
        <f t="shared" si="197"/>
        <v>0</v>
      </c>
      <c r="F105" s="167">
        <f t="shared" ref="F105:AN105" si="198">COUNTIF(F$3:F$73,"05早*")</f>
        <v>0</v>
      </c>
      <c r="G105" s="167">
        <f t="shared" si="198"/>
        <v>0</v>
      </c>
      <c r="H105" s="167">
        <f t="shared" si="198"/>
        <v>0</v>
      </c>
      <c r="I105" s="167">
        <f t="shared" si="198"/>
        <v>0</v>
      </c>
      <c r="J105" s="167">
        <f t="shared" si="198"/>
        <v>0</v>
      </c>
      <c r="K105" s="167">
        <f t="shared" si="198"/>
        <v>0</v>
      </c>
      <c r="L105" s="167">
        <f t="shared" si="198"/>
        <v>0</v>
      </c>
      <c r="M105" s="167">
        <f t="shared" si="198"/>
        <v>0</v>
      </c>
      <c r="N105" s="167">
        <f t="shared" si="198"/>
        <v>0</v>
      </c>
      <c r="O105" s="167">
        <f t="shared" si="198"/>
        <v>0</v>
      </c>
      <c r="P105" s="167">
        <f t="shared" si="198"/>
        <v>0</v>
      </c>
      <c r="Q105" s="167">
        <f t="shared" si="198"/>
        <v>0</v>
      </c>
      <c r="R105" s="167">
        <f t="shared" si="198"/>
        <v>0</v>
      </c>
      <c r="S105" s="167">
        <f t="shared" si="198"/>
        <v>0</v>
      </c>
      <c r="T105" s="167">
        <f t="shared" si="198"/>
        <v>0</v>
      </c>
      <c r="U105" s="167">
        <f t="shared" si="198"/>
        <v>0</v>
      </c>
      <c r="V105" s="167">
        <f t="shared" si="198"/>
        <v>0</v>
      </c>
      <c r="W105" s="167">
        <f t="shared" si="198"/>
        <v>0</v>
      </c>
      <c r="X105" s="167">
        <f t="shared" si="198"/>
        <v>0</v>
      </c>
      <c r="Y105" s="167">
        <f t="shared" si="198"/>
        <v>0</v>
      </c>
      <c r="Z105" s="167">
        <f t="shared" si="198"/>
        <v>0</v>
      </c>
      <c r="AA105" s="167">
        <f t="shared" si="198"/>
        <v>0</v>
      </c>
      <c r="AB105" s="167">
        <f t="shared" si="198"/>
        <v>0</v>
      </c>
      <c r="AC105" s="167">
        <f t="shared" si="198"/>
        <v>0</v>
      </c>
      <c r="AD105" s="167">
        <f t="shared" si="198"/>
        <v>0</v>
      </c>
      <c r="AE105" s="167">
        <f t="shared" si="198"/>
        <v>0</v>
      </c>
      <c r="AF105" s="167">
        <f t="shared" si="198"/>
        <v>0</v>
      </c>
      <c r="AG105" s="167">
        <f t="shared" si="198"/>
        <v>0</v>
      </c>
      <c r="AH105" s="167">
        <f t="shared" si="198"/>
        <v>0</v>
      </c>
      <c r="AI105" s="167">
        <f t="shared" si="198"/>
        <v>0</v>
      </c>
      <c r="AJ105" s="167">
        <f t="shared" si="198"/>
        <v>0</v>
      </c>
      <c r="AK105" s="167">
        <f t="shared" si="198"/>
        <v>0</v>
      </c>
      <c r="AL105" s="167">
        <f t="shared" si="198"/>
        <v>0</v>
      </c>
      <c r="AM105" s="167">
        <f t="shared" si="198"/>
        <v>0</v>
      </c>
      <c r="AN105" s="167">
        <f t="shared" si="198"/>
        <v>0</v>
      </c>
    </row>
    <row r="106" ht="32.25" customHeight="1">
      <c r="A106" s="165"/>
      <c r="B106" s="165"/>
      <c r="C106" s="166" t="s">
        <v>131</v>
      </c>
      <c r="D106" s="57">
        <f t="shared" ref="D106:E106" si="199">COUNTIF(D$3:D$70,"05中A*")</f>
        <v>0</v>
      </c>
      <c r="E106" s="57">
        <f t="shared" si="199"/>
        <v>0</v>
      </c>
      <c r="F106" s="57">
        <f t="shared" ref="F106:AN106" si="200">COUNTIF(F$3:F$73,"05中A*")</f>
        <v>0</v>
      </c>
      <c r="G106" s="57">
        <f t="shared" si="200"/>
        <v>0</v>
      </c>
      <c r="H106" s="57">
        <f t="shared" si="200"/>
        <v>0</v>
      </c>
      <c r="I106" s="57">
        <f t="shared" si="200"/>
        <v>0</v>
      </c>
      <c r="J106" s="57">
        <f t="shared" si="200"/>
        <v>0</v>
      </c>
      <c r="K106" s="57">
        <f t="shared" si="200"/>
        <v>0</v>
      </c>
      <c r="L106" s="57">
        <f t="shared" si="200"/>
        <v>0</v>
      </c>
      <c r="M106" s="57">
        <f t="shared" si="200"/>
        <v>0</v>
      </c>
      <c r="N106" s="57">
        <f t="shared" si="200"/>
        <v>0</v>
      </c>
      <c r="O106" s="57">
        <f t="shared" si="200"/>
        <v>0</v>
      </c>
      <c r="P106" s="57">
        <f t="shared" si="200"/>
        <v>0</v>
      </c>
      <c r="Q106" s="57">
        <f t="shared" si="200"/>
        <v>0</v>
      </c>
      <c r="R106" s="57">
        <f t="shared" si="200"/>
        <v>0</v>
      </c>
      <c r="S106" s="57">
        <f t="shared" si="200"/>
        <v>0</v>
      </c>
      <c r="T106" s="57">
        <f t="shared" si="200"/>
        <v>0</v>
      </c>
      <c r="U106" s="57">
        <f t="shared" si="200"/>
        <v>0</v>
      </c>
      <c r="V106" s="57">
        <f t="shared" si="200"/>
        <v>0</v>
      </c>
      <c r="W106" s="57">
        <f t="shared" si="200"/>
        <v>0</v>
      </c>
      <c r="X106" s="57">
        <f t="shared" si="200"/>
        <v>0</v>
      </c>
      <c r="Y106" s="57">
        <f t="shared" si="200"/>
        <v>0</v>
      </c>
      <c r="Z106" s="57">
        <f t="shared" si="200"/>
        <v>0</v>
      </c>
      <c r="AA106" s="57">
        <f t="shared" si="200"/>
        <v>0</v>
      </c>
      <c r="AB106" s="57">
        <f t="shared" si="200"/>
        <v>0</v>
      </c>
      <c r="AC106" s="57">
        <f t="shared" si="200"/>
        <v>0</v>
      </c>
      <c r="AD106" s="57">
        <f t="shared" si="200"/>
        <v>0</v>
      </c>
      <c r="AE106" s="57">
        <f t="shared" si="200"/>
        <v>0</v>
      </c>
      <c r="AF106" s="57">
        <f t="shared" si="200"/>
        <v>0</v>
      </c>
      <c r="AG106" s="57">
        <f t="shared" si="200"/>
        <v>0</v>
      </c>
      <c r="AH106" s="57">
        <f t="shared" si="200"/>
        <v>0</v>
      </c>
      <c r="AI106" s="57">
        <f t="shared" si="200"/>
        <v>0</v>
      </c>
      <c r="AJ106" s="57">
        <f t="shared" si="200"/>
        <v>0</v>
      </c>
      <c r="AK106" s="57">
        <f t="shared" si="200"/>
        <v>0</v>
      </c>
      <c r="AL106" s="57">
        <f t="shared" si="200"/>
        <v>0</v>
      </c>
      <c r="AM106" s="57">
        <f t="shared" si="200"/>
        <v>0</v>
      </c>
      <c r="AN106" s="57">
        <f t="shared" si="200"/>
        <v>0</v>
      </c>
    </row>
    <row r="107" ht="32.25" customHeight="1">
      <c r="A107" s="165"/>
      <c r="B107" s="165"/>
      <c r="C107" s="166" t="s">
        <v>132</v>
      </c>
      <c r="D107" s="57">
        <f t="shared" ref="D107:E107" si="201">COUNTIF(D$3:D$70,"05午*")</f>
        <v>0</v>
      </c>
      <c r="E107" s="57">
        <f t="shared" si="201"/>
        <v>0</v>
      </c>
      <c r="F107" s="57">
        <f t="shared" ref="F107:P107" si="202">COUNTIF(F$3:F$73,"05午*")</f>
        <v>0</v>
      </c>
      <c r="G107" s="57">
        <f t="shared" si="202"/>
        <v>0</v>
      </c>
      <c r="H107" s="57">
        <f t="shared" si="202"/>
        <v>0</v>
      </c>
      <c r="I107" s="57">
        <f t="shared" si="202"/>
        <v>0</v>
      </c>
      <c r="J107" s="57">
        <f t="shared" si="202"/>
        <v>0</v>
      </c>
      <c r="K107" s="57">
        <f t="shared" si="202"/>
        <v>0</v>
      </c>
      <c r="L107" s="57">
        <f t="shared" si="202"/>
        <v>0</v>
      </c>
      <c r="M107" s="57">
        <f t="shared" si="202"/>
        <v>0</v>
      </c>
      <c r="N107" s="57">
        <f t="shared" si="202"/>
        <v>0</v>
      </c>
      <c r="O107" s="57">
        <f t="shared" si="202"/>
        <v>0</v>
      </c>
      <c r="P107" s="57">
        <f t="shared" si="202"/>
        <v>0</v>
      </c>
      <c r="Q107" s="57">
        <f>COUNTIF(Q$3:Q$73,"05午")</f>
        <v>0</v>
      </c>
      <c r="R107" s="57">
        <f t="shared" ref="R107:AN107" si="203">COUNTIF(R$3:R$73,"05午*")</f>
        <v>0</v>
      </c>
      <c r="S107" s="57">
        <f t="shared" si="203"/>
        <v>0</v>
      </c>
      <c r="T107" s="57">
        <f t="shared" si="203"/>
        <v>0</v>
      </c>
      <c r="U107" s="57">
        <f t="shared" si="203"/>
        <v>0</v>
      </c>
      <c r="V107" s="57">
        <f t="shared" si="203"/>
        <v>0</v>
      </c>
      <c r="W107" s="57">
        <f t="shared" si="203"/>
        <v>0</v>
      </c>
      <c r="X107" s="57">
        <f t="shared" si="203"/>
        <v>0</v>
      </c>
      <c r="Y107" s="57">
        <f t="shared" si="203"/>
        <v>0</v>
      </c>
      <c r="Z107" s="57">
        <f t="shared" si="203"/>
        <v>0</v>
      </c>
      <c r="AA107" s="57">
        <f t="shared" si="203"/>
        <v>0</v>
      </c>
      <c r="AB107" s="57">
        <f t="shared" si="203"/>
        <v>0</v>
      </c>
      <c r="AC107" s="57">
        <f t="shared" si="203"/>
        <v>0</v>
      </c>
      <c r="AD107" s="57">
        <f t="shared" si="203"/>
        <v>0</v>
      </c>
      <c r="AE107" s="57">
        <f t="shared" si="203"/>
        <v>0</v>
      </c>
      <c r="AF107" s="57">
        <f t="shared" si="203"/>
        <v>0</v>
      </c>
      <c r="AG107" s="57">
        <f t="shared" si="203"/>
        <v>0</v>
      </c>
      <c r="AH107" s="57">
        <f t="shared" si="203"/>
        <v>0</v>
      </c>
      <c r="AI107" s="57">
        <f t="shared" si="203"/>
        <v>0</v>
      </c>
      <c r="AJ107" s="57">
        <f t="shared" si="203"/>
        <v>0</v>
      </c>
      <c r="AK107" s="57">
        <f t="shared" si="203"/>
        <v>0</v>
      </c>
      <c r="AL107" s="57">
        <f t="shared" si="203"/>
        <v>0</v>
      </c>
      <c r="AM107" s="57">
        <f t="shared" si="203"/>
        <v>0</v>
      </c>
      <c r="AN107" s="57">
        <f t="shared" si="203"/>
        <v>0</v>
      </c>
    </row>
    <row r="108" ht="32.25" customHeight="1">
      <c r="A108" s="165"/>
      <c r="B108" s="165"/>
      <c r="C108" s="168" t="s">
        <v>133</v>
      </c>
      <c r="D108" s="169">
        <f t="shared" ref="D108:E108" si="204">COUNTIF(D$3:D$70,"05夜*")</f>
        <v>0</v>
      </c>
      <c r="E108" s="169">
        <f t="shared" si="204"/>
        <v>0</v>
      </c>
      <c r="F108" s="169">
        <f t="shared" ref="F108:AN108" si="205">COUNTIF(F$3:F$73,"05夜*")</f>
        <v>0</v>
      </c>
      <c r="G108" s="169">
        <f t="shared" si="205"/>
        <v>0</v>
      </c>
      <c r="H108" s="169">
        <f t="shared" si="205"/>
        <v>0</v>
      </c>
      <c r="I108" s="169">
        <f t="shared" si="205"/>
        <v>0</v>
      </c>
      <c r="J108" s="169">
        <f t="shared" si="205"/>
        <v>0</v>
      </c>
      <c r="K108" s="169">
        <f t="shared" si="205"/>
        <v>0</v>
      </c>
      <c r="L108" s="169">
        <f t="shared" si="205"/>
        <v>0</v>
      </c>
      <c r="M108" s="169">
        <f t="shared" si="205"/>
        <v>0</v>
      </c>
      <c r="N108" s="169">
        <f t="shared" si="205"/>
        <v>0</v>
      </c>
      <c r="O108" s="169">
        <f t="shared" si="205"/>
        <v>0</v>
      </c>
      <c r="P108" s="169">
        <f t="shared" si="205"/>
        <v>0</v>
      </c>
      <c r="Q108" s="169">
        <f t="shared" si="205"/>
        <v>0</v>
      </c>
      <c r="R108" s="169">
        <f t="shared" si="205"/>
        <v>0</v>
      </c>
      <c r="S108" s="169">
        <f t="shared" si="205"/>
        <v>0</v>
      </c>
      <c r="T108" s="169">
        <f t="shared" si="205"/>
        <v>0</v>
      </c>
      <c r="U108" s="169">
        <f t="shared" si="205"/>
        <v>0</v>
      </c>
      <c r="V108" s="169">
        <f t="shared" si="205"/>
        <v>0</v>
      </c>
      <c r="W108" s="169">
        <f t="shared" si="205"/>
        <v>0</v>
      </c>
      <c r="X108" s="169">
        <f t="shared" si="205"/>
        <v>0</v>
      </c>
      <c r="Y108" s="169">
        <f t="shared" si="205"/>
        <v>0</v>
      </c>
      <c r="Z108" s="169">
        <f t="shared" si="205"/>
        <v>0</v>
      </c>
      <c r="AA108" s="169">
        <f t="shared" si="205"/>
        <v>0</v>
      </c>
      <c r="AB108" s="169">
        <f t="shared" si="205"/>
        <v>0</v>
      </c>
      <c r="AC108" s="169">
        <f t="shared" si="205"/>
        <v>0</v>
      </c>
      <c r="AD108" s="169">
        <f t="shared" si="205"/>
        <v>0</v>
      </c>
      <c r="AE108" s="169">
        <f t="shared" si="205"/>
        <v>0</v>
      </c>
      <c r="AF108" s="169">
        <f t="shared" si="205"/>
        <v>0</v>
      </c>
      <c r="AG108" s="169">
        <f t="shared" si="205"/>
        <v>0</v>
      </c>
      <c r="AH108" s="169">
        <f t="shared" si="205"/>
        <v>0</v>
      </c>
      <c r="AI108" s="169">
        <f t="shared" si="205"/>
        <v>0</v>
      </c>
      <c r="AJ108" s="169">
        <f t="shared" si="205"/>
        <v>0</v>
      </c>
      <c r="AK108" s="169">
        <f t="shared" si="205"/>
        <v>0</v>
      </c>
      <c r="AL108" s="169">
        <f t="shared" si="205"/>
        <v>0</v>
      </c>
      <c r="AM108" s="169">
        <f t="shared" si="205"/>
        <v>0</v>
      </c>
      <c r="AN108" s="169">
        <f t="shared" si="205"/>
        <v>0</v>
      </c>
    </row>
    <row r="109" ht="32.25" customHeight="1">
      <c r="A109" s="165"/>
      <c r="B109" s="165"/>
      <c r="C109" s="166" t="s">
        <v>134</v>
      </c>
      <c r="D109" s="167">
        <f t="shared" ref="D109:E109" si="206">COUNTIF(D$3:D$70,"06早*")</f>
        <v>0</v>
      </c>
      <c r="E109" s="167">
        <f t="shared" si="206"/>
        <v>0</v>
      </c>
      <c r="F109" s="167">
        <f t="shared" ref="F109:AN109" si="207">COUNTIF(F$3:F$73,"06早*")</f>
        <v>0</v>
      </c>
      <c r="G109" s="167">
        <f t="shared" si="207"/>
        <v>0</v>
      </c>
      <c r="H109" s="167">
        <f t="shared" si="207"/>
        <v>0</v>
      </c>
      <c r="I109" s="167">
        <f t="shared" si="207"/>
        <v>0</v>
      </c>
      <c r="J109" s="167">
        <f t="shared" si="207"/>
        <v>0</v>
      </c>
      <c r="K109" s="167">
        <f t="shared" si="207"/>
        <v>0</v>
      </c>
      <c r="L109" s="167">
        <f t="shared" si="207"/>
        <v>0</v>
      </c>
      <c r="M109" s="167">
        <f t="shared" si="207"/>
        <v>0</v>
      </c>
      <c r="N109" s="167">
        <f t="shared" si="207"/>
        <v>0</v>
      </c>
      <c r="O109" s="167">
        <f t="shared" si="207"/>
        <v>0</v>
      </c>
      <c r="P109" s="167">
        <f t="shared" si="207"/>
        <v>0</v>
      </c>
      <c r="Q109" s="167">
        <f t="shared" si="207"/>
        <v>0</v>
      </c>
      <c r="R109" s="167">
        <f t="shared" si="207"/>
        <v>0</v>
      </c>
      <c r="S109" s="167">
        <f t="shared" si="207"/>
        <v>0</v>
      </c>
      <c r="T109" s="167">
        <f t="shared" si="207"/>
        <v>0</v>
      </c>
      <c r="U109" s="167">
        <f t="shared" si="207"/>
        <v>0</v>
      </c>
      <c r="V109" s="167">
        <f t="shared" si="207"/>
        <v>0</v>
      </c>
      <c r="W109" s="167">
        <f t="shared" si="207"/>
        <v>0</v>
      </c>
      <c r="X109" s="167">
        <f t="shared" si="207"/>
        <v>0</v>
      </c>
      <c r="Y109" s="167">
        <f t="shared" si="207"/>
        <v>0</v>
      </c>
      <c r="Z109" s="167">
        <f t="shared" si="207"/>
        <v>0</v>
      </c>
      <c r="AA109" s="167">
        <f t="shared" si="207"/>
        <v>0</v>
      </c>
      <c r="AB109" s="167">
        <f t="shared" si="207"/>
        <v>0</v>
      </c>
      <c r="AC109" s="167">
        <f t="shared" si="207"/>
        <v>0</v>
      </c>
      <c r="AD109" s="167">
        <f t="shared" si="207"/>
        <v>0</v>
      </c>
      <c r="AE109" s="167">
        <f t="shared" si="207"/>
        <v>0</v>
      </c>
      <c r="AF109" s="167">
        <f t="shared" si="207"/>
        <v>0</v>
      </c>
      <c r="AG109" s="167">
        <f t="shared" si="207"/>
        <v>0</v>
      </c>
      <c r="AH109" s="167">
        <f t="shared" si="207"/>
        <v>0</v>
      </c>
      <c r="AI109" s="167">
        <f t="shared" si="207"/>
        <v>0</v>
      </c>
      <c r="AJ109" s="167">
        <f t="shared" si="207"/>
        <v>0</v>
      </c>
      <c r="AK109" s="167">
        <f t="shared" si="207"/>
        <v>0</v>
      </c>
      <c r="AL109" s="167">
        <f t="shared" si="207"/>
        <v>0</v>
      </c>
      <c r="AM109" s="167">
        <f t="shared" si="207"/>
        <v>0</v>
      </c>
      <c r="AN109" s="167">
        <f t="shared" si="207"/>
        <v>0</v>
      </c>
    </row>
    <row r="110" ht="32.25" customHeight="1">
      <c r="A110" s="165"/>
      <c r="B110" s="165"/>
      <c r="C110" s="166" t="s">
        <v>135</v>
      </c>
      <c r="D110" s="57">
        <f t="shared" ref="D110:E110" si="208">COUNTIF(D$3:D$70,"06中A*")</f>
        <v>0</v>
      </c>
      <c r="E110" s="57">
        <f t="shared" si="208"/>
        <v>0</v>
      </c>
      <c r="F110" s="57">
        <f t="shared" ref="F110:AN110" si="209">COUNTIF(F$3:F$73,"06中A*")</f>
        <v>0</v>
      </c>
      <c r="G110" s="57">
        <f t="shared" si="209"/>
        <v>0</v>
      </c>
      <c r="H110" s="57">
        <f t="shared" si="209"/>
        <v>0</v>
      </c>
      <c r="I110" s="57">
        <f t="shared" si="209"/>
        <v>0</v>
      </c>
      <c r="J110" s="57">
        <f t="shared" si="209"/>
        <v>0</v>
      </c>
      <c r="K110" s="57">
        <f t="shared" si="209"/>
        <v>0</v>
      </c>
      <c r="L110" s="57">
        <f t="shared" si="209"/>
        <v>0</v>
      </c>
      <c r="M110" s="57">
        <f t="shared" si="209"/>
        <v>0</v>
      </c>
      <c r="N110" s="57">
        <f t="shared" si="209"/>
        <v>0</v>
      </c>
      <c r="O110" s="57">
        <f t="shared" si="209"/>
        <v>0</v>
      </c>
      <c r="P110" s="57">
        <f t="shared" si="209"/>
        <v>0</v>
      </c>
      <c r="Q110" s="57">
        <f t="shared" si="209"/>
        <v>0</v>
      </c>
      <c r="R110" s="57">
        <f t="shared" si="209"/>
        <v>0</v>
      </c>
      <c r="S110" s="57">
        <f t="shared" si="209"/>
        <v>0</v>
      </c>
      <c r="T110" s="57">
        <f t="shared" si="209"/>
        <v>0</v>
      </c>
      <c r="U110" s="57">
        <f t="shared" si="209"/>
        <v>0</v>
      </c>
      <c r="V110" s="57">
        <f t="shared" si="209"/>
        <v>0</v>
      </c>
      <c r="W110" s="57">
        <f t="shared" si="209"/>
        <v>0</v>
      </c>
      <c r="X110" s="57">
        <f t="shared" si="209"/>
        <v>0</v>
      </c>
      <c r="Y110" s="57">
        <f t="shared" si="209"/>
        <v>0</v>
      </c>
      <c r="Z110" s="57">
        <f t="shared" si="209"/>
        <v>0</v>
      </c>
      <c r="AA110" s="57">
        <f t="shared" si="209"/>
        <v>0</v>
      </c>
      <c r="AB110" s="57">
        <f t="shared" si="209"/>
        <v>0</v>
      </c>
      <c r="AC110" s="57">
        <f t="shared" si="209"/>
        <v>0</v>
      </c>
      <c r="AD110" s="57">
        <f t="shared" si="209"/>
        <v>0</v>
      </c>
      <c r="AE110" s="57">
        <f t="shared" si="209"/>
        <v>0</v>
      </c>
      <c r="AF110" s="57">
        <f t="shared" si="209"/>
        <v>0</v>
      </c>
      <c r="AG110" s="57">
        <f t="shared" si="209"/>
        <v>0</v>
      </c>
      <c r="AH110" s="57">
        <f t="shared" si="209"/>
        <v>0</v>
      </c>
      <c r="AI110" s="57">
        <f t="shared" si="209"/>
        <v>0</v>
      </c>
      <c r="AJ110" s="57">
        <f t="shared" si="209"/>
        <v>0</v>
      </c>
      <c r="AK110" s="57">
        <f t="shared" si="209"/>
        <v>0</v>
      </c>
      <c r="AL110" s="57">
        <f t="shared" si="209"/>
        <v>0</v>
      </c>
      <c r="AM110" s="57">
        <f t="shared" si="209"/>
        <v>0</v>
      </c>
      <c r="AN110" s="57">
        <f t="shared" si="209"/>
        <v>0</v>
      </c>
    </row>
    <row r="111" ht="32.25" customHeight="1">
      <c r="A111" s="165"/>
      <c r="B111" s="165"/>
      <c r="C111" s="166" t="s">
        <v>136</v>
      </c>
      <c r="D111" s="57">
        <f t="shared" ref="D111:E111" si="210">COUNTIF(D$3:D$70,"06午*")</f>
        <v>0</v>
      </c>
      <c r="E111" s="57">
        <f t="shared" si="210"/>
        <v>0</v>
      </c>
      <c r="F111" s="57">
        <f t="shared" ref="F111:AN111" si="211">COUNTIF(F$3:F$73,"06午*")</f>
        <v>0</v>
      </c>
      <c r="G111" s="57">
        <f t="shared" si="211"/>
        <v>0</v>
      </c>
      <c r="H111" s="57">
        <f t="shared" si="211"/>
        <v>0</v>
      </c>
      <c r="I111" s="57">
        <f t="shared" si="211"/>
        <v>0</v>
      </c>
      <c r="J111" s="57">
        <f t="shared" si="211"/>
        <v>0</v>
      </c>
      <c r="K111" s="57">
        <f t="shared" si="211"/>
        <v>0</v>
      </c>
      <c r="L111" s="57">
        <f t="shared" si="211"/>
        <v>0</v>
      </c>
      <c r="M111" s="57">
        <f t="shared" si="211"/>
        <v>0</v>
      </c>
      <c r="N111" s="57">
        <f t="shared" si="211"/>
        <v>0</v>
      </c>
      <c r="O111" s="57">
        <f t="shared" si="211"/>
        <v>0</v>
      </c>
      <c r="P111" s="57">
        <f t="shared" si="211"/>
        <v>0</v>
      </c>
      <c r="Q111" s="57">
        <f t="shared" si="211"/>
        <v>0</v>
      </c>
      <c r="R111" s="57">
        <f t="shared" si="211"/>
        <v>0</v>
      </c>
      <c r="S111" s="57">
        <f t="shared" si="211"/>
        <v>0</v>
      </c>
      <c r="T111" s="57">
        <f t="shared" si="211"/>
        <v>0</v>
      </c>
      <c r="U111" s="57">
        <f t="shared" si="211"/>
        <v>0</v>
      </c>
      <c r="V111" s="57">
        <f t="shared" si="211"/>
        <v>0</v>
      </c>
      <c r="W111" s="57">
        <f t="shared" si="211"/>
        <v>0</v>
      </c>
      <c r="X111" s="57">
        <f t="shared" si="211"/>
        <v>0</v>
      </c>
      <c r="Y111" s="57">
        <f t="shared" si="211"/>
        <v>0</v>
      </c>
      <c r="Z111" s="57">
        <f t="shared" si="211"/>
        <v>0</v>
      </c>
      <c r="AA111" s="57">
        <f t="shared" si="211"/>
        <v>0</v>
      </c>
      <c r="AB111" s="57">
        <f t="shared" si="211"/>
        <v>0</v>
      </c>
      <c r="AC111" s="57">
        <f t="shared" si="211"/>
        <v>0</v>
      </c>
      <c r="AD111" s="57">
        <f t="shared" si="211"/>
        <v>0</v>
      </c>
      <c r="AE111" s="57">
        <f t="shared" si="211"/>
        <v>0</v>
      </c>
      <c r="AF111" s="57">
        <f t="shared" si="211"/>
        <v>0</v>
      </c>
      <c r="AG111" s="57">
        <f t="shared" si="211"/>
        <v>0</v>
      </c>
      <c r="AH111" s="57">
        <f t="shared" si="211"/>
        <v>0</v>
      </c>
      <c r="AI111" s="57">
        <f t="shared" si="211"/>
        <v>0</v>
      </c>
      <c r="AJ111" s="57">
        <f t="shared" si="211"/>
        <v>0</v>
      </c>
      <c r="AK111" s="57">
        <f t="shared" si="211"/>
        <v>0</v>
      </c>
      <c r="AL111" s="57">
        <f t="shared" si="211"/>
        <v>0</v>
      </c>
      <c r="AM111" s="57">
        <f t="shared" si="211"/>
        <v>0</v>
      </c>
      <c r="AN111" s="57">
        <f t="shared" si="211"/>
        <v>0</v>
      </c>
    </row>
    <row r="112" ht="36.0" customHeight="1">
      <c r="A112" s="165"/>
      <c r="B112" s="165"/>
      <c r="C112" s="168" t="s">
        <v>137</v>
      </c>
      <c r="D112" s="169">
        <f t="shared" ref="D112:E112" si="212">COUNTIF(D$3:D$70,"06夜*")</f>
        <v>0</v>
      </c>
      <c r="E112" s="169">
        <f t="shared" si="212"/>
        <v>0</v>
      </c>
      <c r="F112" s="169">
        <f t="shared" ref="F112:AN112" si="213">COUNTIF(F$3:F$73,"06夜*")</f>
        <v>0</v>
      </c>
      <c r="G112" s="169">
        <f t="shared" si="213"/>
        <v>0</v>
      </c>
      <c r="H112" s="169">
        <f t="shared" si="213"/>
        <v>0</v>
      </c>
      <c r="I112" s="169">
        <f t="shared" si="213"/>
        <v>0</v>
      </c>
      <c r="J112" s="169">
        <f t="shared" si="213"/>
        <v>0</v>
      </c>
      <c r="K112" s="169">
        <f t="shared" si="213"/>
        <v>0</v>
      </c>
      <c r="L112" s="169">
        <f t="shared" si="213"/>
        <v>0</v>
      </c>
      <c r="M112" s="169">
        <f t="shared" si="213"/>
        <v>0</v>
      </c>
      <c r="N112" s="169">
        <f t="shared" si="213"/>
        <v>0</v>
      </c>
      <c r="O112" s="169">
        <f t="shared" si="213"/>
        <v>0</v>
      </c>
      <c r="P112" s="169">
        <f t="shared" si="213"/>
        <v>0</v>
      </c>
      <c r="Q112" s="169">
        <f t="shared" si="213"/>
        <v>0</v>
      </c>
      <c r="R112" s="169">
        <f t="shared" si="213"/>
        <v>0</v>
      </c>
      <c r="S112" s="169">
        <f t="shared" si="213"/>
        <v>0</v>
      </c>
      <c r="T112" s="169">
        <f t="shared" si="213"/>
        <v>0</v>
      </c>
      <c r="U112" s="169">
        <f t="shared" si="213"/>
        <v>0</v>
      </c>
      <c r="V112" s="169">
        <f t="shared" si="213"/>
        <v>0</v>
      </c>
      <c r="W112" s="169">
        <f t="shared" si="213"/>
        <v>0</v>
      </c>
      <c r="X112" s="169">
        <f t="shared" si="213"/>
        <v>0</v>
      </c>
      <c r="Y112" s="169">
        <f t="shared" si="213"/>
        <v>0</v>
      </c>
      <c r="Z112" s="169">
        <f t="shared" si="213"/>
        <v>0</v>
      </c>
      <c r="AA112" s="169">
        <f t="shared" si="213"/>
        <v>0</v>
      </c>
      <c r="AB112" s="169">
        <f t="shared" si="213"/>
        <v>0</v>
      </c>
      <c r="AC112" s="169">
        <f t="shared" si="213"/>
        <v>0</v>
      </c>
      <c r="AD112" s="169">
        <f t="shared" si="213"/>
        <v>0</v>
      </c>
      <c r="AE112" s="169">
        <f t="shared" si="213"/>
        <v>0</v>
      </c>
      <c r="AF112" s="169">
        <f t="shared" si="213"/>
        <v>0</v>
      </c>
      <c r="AG112" s="169">
        <f t="shared" si="213"/>
        <v>0</v>
      </c>
      <c r="AH112" s="169">
        <f t="shared" si="213"/>
        <v>0</v>
      </c>
      <c r="AI112" s="169">
        <f t="shared" si="213"/>
        <v>0</v>
      </c>
      <c r="AJ112" s="169">
        <f t="shared" si="213"/>
        <v>0</v>
      </c>
      <c r="AK112" s="169">
        <f t="shared" si="213"/>
        <v>0</v>
      </c>
      <c r="AL112" s="169">
        <f t="shared" si="213"/>
        <v>0</v>
      </c>
      <c r="AM112" s="169">
        <f t="shared" si="213"/>
        <v>0</v>
      </c>
      <c r="AN112" s="169">
        <f t="shared" si="213"/>
        <v>0</v>
      </c>
    </row>
    <row r="113" ht="16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</row>
    <row r="114" ht="16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</row>
    <row r="115" ht="16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</row>
    <row r="116" ht="16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</row>
    <row r="117" ht="16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</row>
    <row r="118" ht="16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</row>
    <row r="119" ht="16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</row>
    <row r="120" ht="16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</row>
    <row r="121" ht="16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</row>
    <row r="122" ht="16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</row>
    <row r="123" ht="16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</row>
    <row r="124" ht="16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</row>
    <row r="125" ht="16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</row>
    <row r="126" ht="16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</row>
    <row r="127" ht="16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</row>
    <row r="128" ht="16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</row>
    <row r="129" ht="16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</row>
    <row r="130" ht="16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</row>
    <row r="131" ht="16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</row>
    <row r="132" ht="16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</row>
    <row r="133" ht="16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</row>
    <row r="134" ht="16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</row>
    <row r="135" ht="16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</row>
    <row r="136" ht="16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</row>
    <row r="137" ht="16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</row>
    <row r="138" ht="16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</row>
    <row r="139" ht="16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</row>
    <row r="140" ht="16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</row>
    <row r="141" ht="16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</row>
    <row r="142" ht="16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</row>
    <row r="143" ht="16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</row>
    <row r="144" ht="16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</row>
    <row r="145" ht="16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</row>
    <row r="146" ht="16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</row>
    <row r="147" ht="16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</row>
    <row r="148" ht="16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</row>
    <row r="149" ht="16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</row>
    <row r="150" ht="16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</row>
    <row r="151" ht="16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</row>
    <row r="152" ht="16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</row>
    <row r="153" ht="16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</row>
    <row r="154" ht="16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</row>
    <row r="155" ht="16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</row>
    <row r="156" ht="16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</row>
    <row r="157" ht="16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</row>
    <row r="158" ht="16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</row>
    <row r="159" ht="16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</row>
    <row r="160" ht="16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</row>
    <row r="161" ht="16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</row>
    <row r="162" ht="16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</row>
    <row r="163" ht="16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</row>
    <row r="164" ht="16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</row>
    <row r="165" ht="16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</row>
    <row r="166" ht="16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</row>
    <row r="167" ht="16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</row>
    <row r="168" ht="16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</row>
    <row r="169" ht="16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</row>
    <row r="170" ht="16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</row>
    <row r="171" ht="16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</row>
    <row r="172" ht="16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</row>
    <row r="173" ht="16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</row>
    <row r="174" ht="16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</row>
    <row r="175" ht="16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</row>
    <row r="176" ht="16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</row>
    <row r="177" ht="16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</row>
    <row r="178" ht="16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</row>
    <row r="179" ht="16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</row>
    <row r="180" ht="16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</row>
    <row r="181" ht="16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</row>
    <row r="182" ht="16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</row>
    <row r="183" ht="16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</row>
    <row r="184" ht="16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</row>
    <row r="185" ht="16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</row>
    <row r="186" ht="16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</row>
    <row r="187" ht="16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</row>
    <row r="188" ht="16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</row>
    <row r="189" ht="16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</row>
    <row r="190" ht="16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</row>
    <row r="191" ht="16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</row>
    <row r="192" ht="16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</row>
    <row r="193" ht="16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</row>
    <row r="194" ht="16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</row>
    <row r="195" ht="16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</row>
    <row r="196" ht="16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</row>
    <row r="197" ht="16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</row>
    <row r="198" ht="16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</row>
    <row r="199" ht="16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</row>
    <row r="200" ht="16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</row>
    <row r="201" ht="16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</row>
    <row r="202" ht="16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</row>
    <row r="203" ht="16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</row>
    <row r="204" ht="16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</row>
    <row r="205" ht="16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</row>
    <row r="206" ht="16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</row>
    <row r="207" ht="16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</row>
    <row r="208" ht="16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</row>
    <row r="209" ht="16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</row>
    <row r="210" ht="16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</row>
    <row r="211" ht="16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</row>
    <row r="212" ht="16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</row>
    <row r="213" ht="16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</row>
    <row r="214" ht="16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</row>
    <row r="215" ht="16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</row>
    <row r="216" ht="16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</row>
    <row r="217" ht="16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</row>
    <row r="218" ht="16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</row>
    <row r="219" ht="16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</row>
    <row r="220" ht="16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</row>
    <row r="221" ht="16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</row>
    <row r="222" ht="16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</row>
    <row r="223" ht="16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</row>
    <row r="224" ht="16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</row>
    <row r="225" ht="16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</row>
    <row r="226" ht="16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</row>
    <row r="227" ht="16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</row>
    <row r="228" ht="16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</row>
    <row r="229" ht="16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</row>
    <row r="230" ht="16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</row>
    <row r="231" ht="16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</row>
    <row r="232" ht="16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</row>
    <row r="233" ht="16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</row>
    <row r="234" ht="16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</row>
    <row r="235" ht="16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</row>
    <row r="236" ht="16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</row>
    <row r="237" ht="16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</row>
    <row r="238" ht="16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</row>
    <row r="239" ht="16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</row>
    <row r="240" ht="16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</row>
    <row r="241" ht="16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</row>
    <row r="242" ht="16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</row>
    <row r="243" ht="16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</row>
    <row r="244" ht="16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</row>
    <row r="245" ht="16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</row>
    <row r="246" ht="16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</row>
    <row r="247" ht="16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</row>
    <row r="248" ht="16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</row>
    <row r="249" ht="16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</row>
    <row r="250" ht="16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</row>
    <row r="251" ht="16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</row>
    <row r="252" ht="16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</row>
    <row r="253" ht="16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</row>
    <row r="254" ht="16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</row>
    <row r="255" ht="16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</row>
    <row r="256" ht="16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</row>
    <row r="257" ht="16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</row>
    <row r="258" ht="16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</row>
    <row r="259" ht="16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</row>
    <row r="260" ht="16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</row>
    <row r="261" ht="16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</row>
    <row r="262" ht="16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</row>
    <row r="263" ht="16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</row>
    <row r="264" ht="16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</row>
    <row r="265" ht="16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</row>
    <row r="266" ht="16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</row>
    <row r="267" ht="16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</row>
    <row r="268" ht="16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</row>
    <row r="269" ht="16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</row>
    <row r="270" ht="16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</row>
    <row r="271" ht="16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</row>
    <row r="272" ht="16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</row>
    <row r="273" ht="16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</row>
    <row r="274" ht="16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</row>
    <row r="275" ht="16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</row>
    <row r="276" ht="16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</row>
    <row r="277" ht="16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</row>
    <row r="278" ht="16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</row>
    <row r="279" ht="16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</row>
    <row r="280" ht="16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</row>
    <row r="281" ht="16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</row>
    <row r="282" ht="16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</row>
    <row r="283" ht="16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</row>
    <row r="284" ht="16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</row>
    <row r="285" ht="16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</row>
    <row r="286" ht="16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</row>
    <row r="287" ht="16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</row>
    <row r="288" ht="16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</row>
    <row r="289" ht="16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</row>
    <row r="290" ht="16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</row>
    <row r="291" ht="16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</row>
    <row r="292" ht="16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</row>
    <row r="293" ht="16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</row>
    <row r="294" ht="16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</row>
    <row r="295" ht="16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</row>
    <row r="296" ht="16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</row>
    <row r="297" ht="16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</row>
    <row r="298" ht="16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</row>
    <row r="299" ht="16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</row>
    <row r="300" ht="16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</row>
    <row r="301" ht="16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</row>
    <row r="302" ht="16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</row>
    <row r="303" ht="16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</row>
    <row r="304" ht="16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</row>
    <row r="305" ht="16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</row>
    <row r="306" ht="16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</row>
    <row r="307" ht="16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</row>
    <row r="308" ht="16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</row>
    <row r="309" ht="16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</row>
    <row r="310" ht="16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</row>
    <row r="311" ht="16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</row>
    <row r="312" ht="16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</row>
    <row r="313" ht="16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</row>
    <row r="314" ht="16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</row>
    <row r="315" ht="16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</row>
    <row r="316" ht="16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</row>
    <row r="317" ht="16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</row>
    <row r="318" ht="16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</row>
    <row r="319" ht="16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</row>
    <row r="320" ht="16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</row>
    <row r="321" ht="16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</row>
    <row r="322" ht="16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</row>
    <row r="323" ht="16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</row>
    <row r="324" ht="16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</row>
    <row r="325" ht="16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</row>
    <row r="326" ht="16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</row>
    <row r="327" ht="16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</row>
    <row r="328" ht="16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</row>
    <row r="329" ht="16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</row>
    <row r="330" ht="16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</row>
    <row r="331" ht="16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</row>
    <row r="332" ht="16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</row>
    <row r="333" ht="16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</row>
    <row r="334" ht="16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</row>
    <row r="335" ht="16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</row>
    <row r="336" ht="16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</row>
    <row r="337" ht="16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</row>
    <row r="338" ht="16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</row>
    <row r="339" ht="16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</row>
    <row r="340" ht="16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</row>
    <row r="341" ht="16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</row>
    <row r="342" ht="16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</row>
    <row r="343" ht="16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</row>
    <row r="344" ht="16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</row>
    <row r="345" ht="16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</row>
    <row r="346" ht="16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</row>
    <row r="347" ht="16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</row>
    <row r="348" ht="16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</row>
    <row r="349" ht="16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</row>
    <row r="350" ht="16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</row>
    <row r="351" ht="16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</row>
    <row r="352" ht="16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</row>
    <row r="353" ht="16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</row>
    <row r="354" ht="16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</row>
    <row r="355" ht="16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</row>
    <row r="356" ht="16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</row>
    <row r="357" ht="16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</row>
    <row r="358" ht="16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</row>
    <row r="359" ht="16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</row>
    <row r="360" ht="16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</row>
    <row r="361" ht="16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</row>
    <row r="362" ht="16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</row>
    <row r="363" ht="16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</row>
    <row r="364" ht="16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</row>
    <row r="365" ht="16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</row>
    <row r="366" ht="16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</row>
    <row r="367" ht="16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</row>
    <row r="368" ht="16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</row>
    <row r="369" ht="16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</row>
    <row r="370" ht="16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</row>
    <row r="371" ht="16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</row>
    <row r="372" ht="16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</row>
    <row r="373" ht="16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</row>
    <row r="374" ht="16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</row>
    <row r="375" ht="16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</row>
    <row r="376" ht="16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</row>
    <row r="377" ht="16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</row>
    <row r="378" ht="16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</row>
    <row r="379" ht="16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</row>
    <row r="380" ht="16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</row>
    <row r="381" ht="16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</row>
    <row r="382" ht="16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</row>
    <row r="383" ht="16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</row>
    <row r="384" ht="16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</row>
    <row r="385" ht="16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</row>
    <row r="386" ht="16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</row>
    <row r="387" ht="16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</row>
    <row r="388" ht="16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</row>
    <row r="389" ht="16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</row>
    <row r="390" ht="16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</row>
    <row r="391" ht="16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</row>
    <row r="392" ht="16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</row>
    <row r="393" ht="16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</row>
    <row r="394" ht="16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</row>
    <row r="395" ht="16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</row>
    <row r="396" ht="16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</row>
    <row r="397" ht="16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</row>
    <row r="398" ht="16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</row>
    <row r="399" ht="16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</row>
    <row r="400" ht="16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</row>
    <row r="401" ht="16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</row>
    <row r="402" ht="16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</row>
    <row r="403" ht="16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</row>
    <row r="404" ht="16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</row>
    <row r="405" ht="16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</row>
    <row r="406" ht="16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</row>
    <row r="407" ht="16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</row>
    <row r="408" ht="16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</row>
    <row r="409" ht="16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</row>
    <row r="410" ht="16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</row>
    <row r="411" ht="16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</row>
    <row r="412" ht="16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</row>
    <row r="413" ht="16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</row>
    <row r="414" ht="16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</row>
    <row r="415" ht="16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</row>
    <row r="416" ht="16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</row>
    <row r="417" ht="16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</row>
    <row r="418" ht="16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</row>
    <row r="419" ht="16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</row>
    <row r="420" ht="16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</row>
    <row r="421" ht="16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</row>
    <row r="422" ht="16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</row>
    <row r="423" ht="16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</row>
    <row r="424" ht="16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</row>
    <row r="425" ht="16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</row>
    <row r="426" ht="16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</row>
    <row r="427" ht="16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</row>
    <row r="428" ht="16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</row>
    <row r="429" ht="16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</row>
    <row r="430" ht="16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</row>
    <row r="431" ht="16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</row>
    <row r="432" ht="16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</row>
    <row r="433" ht="16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</row>
    <row r="434" ht="16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</row>
    <row r="435" ht="16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</row>
    <row r="436" ht="16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</row>
    <row r="437" ht="16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</row>
    <row r="438" ht="16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</row>
    <row r="439" ht="16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</row>
    <row r="440" ht="16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</row>
    <row r="441" ht="16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</row>
    <row r="442" ht="16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</row>
    <row r="443" ht="16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</row>
    <row r="444" ht="16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</row>
    <row r="445" ht="16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</row>
    <row r="446" ht="16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</row>
    <row r="447" ht="16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</row>
    <row r="448" ht="16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</row>
    <row r="449" ht="16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</row>
    <row r="450" ht="16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</row>
    <row r="451" ht="16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</row>
    <row r="452" ht="16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</row>
    <row r="453" ht="16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</row>
    <row r="454" ht="16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</row>
    <row r="455" ht="16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</row>
    <row r="456" ht="16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</row>
    <row r="457" ht="16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</row>
    <row r="458" ht="16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</row>
    <row r="459" ht="16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</row>
    <row r="460" ht="16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</row>
    <row r="461" ht="16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</row>
    <row r="462" ht="16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</row>
    <row r="463" ht="16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</row>
    <row r="464" ht="16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</row>
    <row r="465" ht="16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</row>
    <row r="466" ht="16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</row>
    <row r="467" ht="16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</row>
    <row r="468" ht="16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</row>
    <row r="469" ht="16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</row>
    <row r="470" ht="16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</row>
    <row r="471" ht="16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</row>
    <row r="472" ht="16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</row>
    <row r="473" ht="16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</row>
    <row r="474" ht="16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</row>
    <row r="475" ht="16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</row>
    <row r="476" ht="16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</row>
    <row r="477" ht="16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</row>
    <row r="478" ht="16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</row>
    <row r="479" ht="16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</row>
    <row r="480" ht="16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</row>
    <row r="481" ht="16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</row>
    <row r="482" ht="16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</row>
    <row r="483" ht="16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</row>
    <row r="484" ht="16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</row>
    <row r="485" ht="16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</row>
    <row r="486" ht="16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</row>
    <row r="487" ht="16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</row>
    <row r="488" ht="16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</row>
    <row r="489" ht="16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</row>
    <row r="490" ht="16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</row>
    <row r="491" ht="16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</row>
    <row r="492" ht="16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</row>
    <row r="493" ht="16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</row>
    <row r="494" ht="16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</row>
    <row r="495" ht="16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</row>
    <row r="496" ht="16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</row>
    <row r="497" ht="16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</row>
    <row r="498" ht="16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</row>
    <row r="499" ht="16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</row>
    <row r="500" ht="16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</row>
    <row r="501" ht="16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</row>
    <row r="502" ht="16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</row>
    <row r="503" ht="16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</row>
    <row r="504" ht="16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</row>
    <row r="505" ht="16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</row>
    <row r="506" ht="16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</row>
    <row r="507" ht="16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</row>
    <row r="508" ht="16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</row>
    <row r="509" ht="16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</row>
    <row r="510" ht="16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</row>
    <row r="511" ht="16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</row>
    <row r="512" ht="16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</row>
    <row r="513" ht="16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</row>
    <row r="514" ht="16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</row>
    <row r="515" ht="16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</row>
    <row r="516" ht="16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</row>
    <row r="517" ht="16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</row>
    <row r="518" ht="16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</row>
    <row r="519" ht="16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</row>
    <row r="520" ht="16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</row>
    <row r="521" ht="16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</row>
    <row r="522" ht="16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</row>
    <row r="523" ht="16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</row>
    <row r="524" ht="16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</row>
    <row r="525" ht="16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</row>
    <row r="526" ht="16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</row>
    <row r="527" ht="16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</row>
    <row r="528" ht="16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</row>
    <row r="529" ht="16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</row>
    <row r="530" ht="16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</row>
    <row r="531" ht="16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</row>
    <row r="532" ht="16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</row>
    <row r="533" ht="16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</row>
    <row r="534" ht="16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</row>
    <row r="535" ht="16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</row>
    <row r="536" ht="16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</row>
    <row r="537" ht="16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</row>
    <row r="538" ht="16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</row>
    <row r="539" ht="16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</row>
    <row r="540" ht="16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</row>
    <row r="541" ht="16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</row>
    <row r="542" ht="16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</row>
    <row r="543" ht="16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</row>
    <row r="544" ht="16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</row>
    <row r="545" ht="16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</row>
    <row r="546" ht="16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</row>
    <row r="547" ht="16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</row>
    <row r="548" ht="16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</row>
    <row r="549" ht="16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</row>
    <row r="550" ht="16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</row>
    <row r="551" ht="16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</row>
    <row r="552" ht="16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</row>
    <row r="553" ht="16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</row>
    <row r="554" ht="16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</row>
    <row r="555" ht="16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</row>
    <row r="556" ht="16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</row>
    <row r="557" ht="16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</row>
    <row r="558" ht="16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</row>
    <row r="559" ht="16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</row>
    <row r="560" ht="16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</row>
    <row r="561" ht="16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</row>
    <row r="562" ht="16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</row>
    <row r="563" ht="16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</row>
    <row r="564" ht="16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</row>
    <row r="565" ht="16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</row>
    <row r="566" ht="16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</row>
    <row r="567" ht="16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</row>
    <row r="568" ht="16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</row>
    <row r="569" ht="16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</row>
    <row r="570" ht="16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</row>
    <row r="571" ht="16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</row>
    <row r="572" ht="16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</row>
    <row r="573" ht="16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</row>
    <row r="574" ht="16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</row>
    <row r="575" ht="16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</row>
    <row r="576" ht="16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</row>
    <row r="577" ht="16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</row>
    <row r="578" ht="16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</row>
    <row r="579" ht="16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</row>
    <row r="580" ht="16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</row>
    <row r="581" ht="16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</row>
    <row r="582" ht="16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</row>
    <row r="583" ht="16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</row>
    <row r="584" ht="16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</row>
    <row r="585" ht="16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</row>
    <row r="586" ht="16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</row>
    <row r="587" ht="16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</row>
    <row r="588" ht="16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</row>
    <row r="589" ht="16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</row>
    <row r="590" ht="16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</row>
    <row r="591" ht="16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</row>
    <row r="592" ht="16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</row>
    <row r="593" ht="16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</row>
    <row r="594" ht="16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</row>
    <row r="595" ht="16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</row>
    <row r="596" ht="16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</row>
    <row r="597" ht="16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</row>
    <row r="598" ht="16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</row>
    <row r="599" ht="16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</row>
    <row r="600" ht="16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</row>
    <row r="601" ht="16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</row>
    <row r="602" ht="16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</row>
    <row r="603" ht="16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</row>
    <row r="604" ht="16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</row>
    <row r="605" ht="16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</row>
    <row r="606" ht="16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</row>
    <row r="607" ht="16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</row>
    <row r="608" ht="16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</row>
    <row r="609" ht="16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</row>
    <row r="610" ht="16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</row>
    <row r="611" ht="16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</row>
    <row r="612" ht="16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</row>
    <row r="613" ht="16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</row>
    <row r="614" ht="16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</row>
    <row r="615" ht="16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</row>
    <row r="616" ht="16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</row>
    <row r="617" ht="16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</row>
    <row r="618" ht="16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</row>
    <row r="619" ht="16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</row>
    <row r="620" ht="16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</row>
    <row r="621" ht="16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</row>
    <row r="622" ht="16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</row>
    <row r="623" ht="16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</row>
    <row r="624" ht="16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</row>
    <row r="625" ht="16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</row>
    <row r="626" ht="16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</row>
    <row r="627" ht="16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</row>
    <row r="628" ht="16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</row>
    <row r="629" ht="16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</row>
    <row r="630" ht="16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</row>
    <row r="631" ht="16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</row>
    <row r="632" ht="16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</row>
    <row r="633" ht="16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</row>
    <row r="634" ht="16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</row>
    <row r="635" ht="16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</row>
    <row r="636" ht="16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</row>
    <row r="637" ht="16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</row>
    <row r="638" ht="16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</row>
    <row r="639" ht="16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</row>
    <row r="640" ht="16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</row>
    <row r="641" ht="16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</row>
    <row r="642" ht="16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</row>
    <row r="643" ht="16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</row>
    <row r="644" ht="16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</row>
    <row r="645" ht="16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</row>
    <row r="646" ht="16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</row>
    <row r="647" ht="16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</row>
    <row r="648" ht="16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</row>
    <row r="649" ht="16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</row>
    <row r="650" ht="16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</row>
    <row r="651" ht="16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</row>
    <row r="652" ht="16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</row>
    <row r="653" ht="16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</row>
    <row r="654" ht="16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</row>
    <row r="655" ht="16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</row>
    <row r="656" ht="16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</row>
    <row r="657" ht="16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</row>
    <row r="658" ht="16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</row>
    <row r="659" ht="16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</row>
    <row r="660" ht="16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</row>
    <row r="661" ht="16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</row>
    <row r="662" ht="16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</row>
    <row r="663" ht="16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</row>
    <row r="664" ht="16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</row>
    <row r="665" ht="16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</row>
    <row r="666" ht="16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</row>
    <row r="667" ht="16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</row>
    <row r="668" ht="16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</row>
    <row r="669" ht="16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</row>
    <row r="670" ht="16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</row>
    <row r="671" ht="16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</row>
    <row r="672" ht="16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</row>
    <row r="673" ht="16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</row>
    <row r="674" ht="16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</row>
    <row r="675" ht="16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</row>
    <row r="676" ht="16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</row>
    <row r="677" ht="16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</row>
    <row r="678" ht="16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</row>
    <row r="679" ht="16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</row>
    <row r="680" ht="16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</row>
    <row r="681" ht="16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</row>
    <row r="682" ht="16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</row>
    <row r="683" ht="16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</row>
    <row r="684" ht="16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</row>
    <row r="685" ht="16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</row>
    <row r="686" ht="16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</row>
    <row r="687" ht="16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</row>
    <row r="688" ht="16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</row>
    <row r="689" ht="16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</row>
    <row r="690" ht="16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</row>
    <row r="691" ht="16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</row>
    <row r="692" ht="16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</row>
    <row r="693" ht="16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</row>
    <row r="694" ht="16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</row>
    <row r="695" ht="16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</row>
    <row r="696" ht="16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</row>
    <row r="697" ht="16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</row>
    <row r="698" ht="16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</row>
    <row r="699" ht="16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</row>
    <row r="700" ht="16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</row>
    <row r="701" ht="16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</row>
    <row r="702" ht="16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</row>
    <row r="703" ht="16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</row>
    <row r="704" ht="16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</row>
    <row r="705" ht="16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</row>
    <row r="706" ht="16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</row>
    <row r="707" ht="16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</row>
    <row r="708" ht="16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</row>
    <row r="709" ht="16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</row>
    <row r="710" ht="16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</row>
    <row r="711" ht="16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</row>
    <row r="712" ht="16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</row>
    <row r="713" ht="16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</row>
    <row r="714" ht="16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</row>
    <row r="715" ht="16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</row>
    <row r="716" ht="16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</row>
    <row r="717" ht="16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</row>
    <row r="718" ht="16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</row>
    <row r="719" ht="16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</row>
    <row r="720" ht="16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</row>
    <row r="721" ht="16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</row>
    <row r="722" ht="16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</row>
    <row r="723" ht="16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</row>
    <row r="724" ht="16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</row>
    <row r="725" ht="16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</row>
    <row r="726" ht="16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</row>
    <row r="727" ht="16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</row>
    <row r="728" ht="16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</row>
    <row r="729" ht="16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</row>
    <row r="730" ht="16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</row>
    <row r="731" ht="16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</row>
    <row r="732" ht="16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</row>
    <row r="733" ht="16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</row>
    <row r="734" ht="16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</row>
    <row r="735" ht="16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</row>
    <row r="736" ht="16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</row>
    <row r="737" ht="16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</row>
    <row r="738" ht="16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</row>
    <row r="739" ht="16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</row>
    <row r="740" ht="16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</row>
    <row r="741" ht="16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</row>
    <row r="742" ht="16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</row>
    <row r="743" ht="16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</row>
    <row r="744" ht="16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</row>
    <row r="745" ht="16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</row>
    <row r="746" ht="16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</row>
    <row r="747" ht="16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</row>
    <row r="748" ht="16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</row>
    <row r="749" ht="16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</row>
    <row r="750" ht="16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</row>
    <row r="751" ht="16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</row>
    <row r="752" ht="16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</row>
    <row r="753" ht="16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</row>
    <row r="754" ht="16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</row>
    <row r="755" ht="16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</row>
    <row r="756" ht="16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</row>
    <row r="757" ht="16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</row>
    <row r="758" ht="16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</row>
    <row r="759" ht="16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</row>
    <row r="760" ht="16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</row>
    <row r="761" ht="16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</row>
    <row r="762" ht="16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</row>
    <row r="763" ht="16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</row>
    <row r="764" ht="16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</row>
    <row r="765" ht="16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</row>
    <row r="766" ht="16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</row>
    <row r="767" ht="16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</row>
    <row r="768" ht="16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</row>
    <row r="769" ht="16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</row>
    <row r="770" ht="16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</row>
    <row r="771" ht="16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</row>
    <row r="772" ht="16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</row>
    <row r="773" ht="16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</row>
    <row r="774" ht="16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</row>
    <row r="775" ht="16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</row>
    <row r="776" ht="16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</row>
    <row r="777" ht="16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</row>
    <row r="778" ht="16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</row>
    <row r="779" ht="16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</row>
    <row r="780" ht="16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</row>
    <row r="781" ht="16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</row>
    <row r="782" ht="16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</row>
    <row r="783" ht="16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</row>
    <row r="784" ht="16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</row>
    <row r="785" ht="16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</row>
    <row r="786" ht="16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</row>
    <row r="787" ht="16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</row>
    <row r="788" ht="16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</row>
    <row r="789" ht="16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</row>
    <row r="790" ht="16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</row>
    <row r="791" ht="16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</row>
    <row r="792" ht="16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</row>
    <row r="793" ht="16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</row>
    <row r="794" ht="16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</row>
    <row r="795" ht="16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</row>
    <row r="796" ht="16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</row>
    <row r="797" ht="16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</row>
    <row r="798" ht="16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</row>
    <row r="799" ht="16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</row>
    <row r="800" ht="16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</row>
    <row r="801" ht="16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</row>
    <row r="802" ht="16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</row>
    <row r="803" ht="16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</row>
    <row r="804" ht="16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</row>
    <row r="805" ht="16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</row>
    <row r="806" ht="16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</row>
    <row r="807" ht="16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</row>
    <row r="808" ht="16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</row>
    <row r="809" ht="16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</row>
    <row r="810" ht="16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</row>
    <row r="811" ht="16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</row>
    <row r="812" ht="16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</row>
    <row r="813" ht="16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</row>
    <row r="814" ht="16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</row>
    <row r="815" ht="16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</row>
    <row r="816" ht="16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</row>
    <row r="817" ht="16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</row>
    <row r="818" ht="16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</row>
    <row r="819" ht="16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</row>
    <row r="820" ht="16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</row>
    <row r="821" ht="16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</row>
    <row r="822" ht="16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</row>
    <row r="823" ht="16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</row>
    <row r="824" ht="16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</row>
    <row r="825" ht="16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</row>
    <row r="826" ht="16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</row>
    <row r="827" ht="16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</row>
    <row r="828" ht="16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</row>
    <row r="829" ht="16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</row>
    <row r="830" ht="16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</row>
    <row r="831" ht="16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</row>
    <row r="832" ht="16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</row>
    <row r="833" ht="16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</row>
    <row r="834" ht="16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</row>
    <row r="835" ht="16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</row>
    <row r="836" ht="16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</row>
    <row r="837" ht="16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</row>
    <row r="838" ht="16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</row>
    <row r="839" ht="16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</row>
    <row r="840" ht="16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</row>
    <row r="841" ht="16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</row>
    <row r="842" ht="16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</row>
    <row r="843" ht="16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</row>
    <row r="844" ht="16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</row>
    <row r="845" ht="16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</row>
    <row r="846" ht="16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</row>
    <row r="847" ht="16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</row>
    <row r="848" ht="16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</row>
    <row r="849" ht="16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</row>
    <row r="850" ht="16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</row>
    <row r="851" ht="16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</row>
    <row r="852" ht="16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</row>
    <row r="853" ht="16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</row>
    <row r="854" ht="16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</row>
    <row r="855" ht="16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</row>
    <row r="856" ht="16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</row>
    <row r="857" ht="16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</row>
    <row r="858" ht="16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</row>
    <row r="859" ht="16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</row>
    <row r="860" ht="16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</row>
    <row r="861" ht="16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</row>
    <row r="862" ht="16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</row>
    <row r="863" ht="16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</row>
    <row r="864" ht="16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</row>
    <row r="865" ht="16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</row>
    <row r="866" ht="16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</row>
    <row r="867" ht="16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</row>
    <row r="868" ht="16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</row>
    <row r="869" ht="16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</row>
    <row r="870" ht="16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</row>
    <row r="871" ht="16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</row>
    <row r="872" ht="16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</row>
    <row r="873" ht="16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</row>
    <row r="874" ht="16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</row>
    <row r="875" ht="16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</row>
    <row r="876" ht="16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</row>
    <row r="877" ht="16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</row>
    <row r="878" ht="16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</row>
    <row r="879" ht="16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</row>
    <row r="880" ht="16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</row>
    <row r="881" ht="16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</row>
    <row r="882" ht="16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</row>
    <row r="883" ht="16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</row>
    <row r="884" ht="16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</row>
    <row r="885" ht="16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</row>
    <row r="886" ht="16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</row>
    <row r="887" ht="16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</row>
    <row r="888" ht="16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</row>
    <row r="889" ht="16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</row>
    <row r="890" ht="16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</row>
    <row r="891" ht="16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</row>
    <row r="892" ht="16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</row>
    <row r="893" ht="16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</row>
    <row r="894" ht="16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</row>
    <row r="895" ht="16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</row>
    <row r="896" ht="16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</row>
    <row r="897" ht="16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</row>
    <row r="898" ht="16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</row>
    <row r="899" ht="16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</row>
    <row r="900" ht="16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</row>
    <row r="901" ht="16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</row>
    <row r="902" ht="16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</row>
    <row r="903" ht="16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</row>
    <row r="904" ht="16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</row>
    <row r="905" ht="16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</row>
    <row r="906" ht="16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</row>
    <row r="907" ht="16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</row>
    <row r="908" ht="16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</row>
    <row r="909" ht="16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</row>
    <row r="910" ht="16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</row>
    <row r="911" ht="16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</row>
    <row r="912" ht="16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</row>
    <row r="913" ht="16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</row>
    <row r="914" ht="16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</row>
    <row r="915" ht="16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</row>
    <row r="916" ht="16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</row>
    <row r="917" ht="16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</row>
    <row r="918" ht="16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</row>
    <row r="919" ht="16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</row>
    <row r="920" ht="16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</row>
    <row r="921" ht="16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</row>
    <row r="922" ht="16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</row>
    <row r="923" ht="16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</row>
    <row r="924" ht="16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</row>
    <row r="925" ht="16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</row>
    <row r="926" ht="16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</row>
    <row r="927" ht="16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</row>
    <row r="928" ht="16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</row>
    <row r="929" ht="16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</row>
    <row r="930" ht="16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</row>
    <row r="931" ht="16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</row>
    <row r="932" ht="16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</row>
    <row r="933" ht="16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</row>
    <row r="934" ht="16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</row>
    <row r="935" ht="16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</row>
    <row r="936" ht="16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</row>
    <row r="937" ht="16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</row>
    <row r="938" ht="16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</row>
    <row r="939" ht="16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</row>
    <row r="940" ht="16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</row>
    <row r="941" ht="16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</row>
    <row r="942" ht="16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</row>
    <row r="943" ht="16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</row>
    <row r="944" ht="16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</row>
    <row r="945" ht="16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</row>
    <row r="946" ht="16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</row>
    <row r="947" ht="16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</row>
    <row r="948" ht="16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</row>
    <row r="949" ht="16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</row>
    <row r="950" ht="16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</row>
    <row r="951" ht="16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</row>
    <row r="952" ht="16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</row>
    <row r="953" ht="16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</row>
    <row r="954" ht="16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</row>
    <row r="955" ht="16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</row>
    <row r="956" ht="16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</row>
    <row r="957" ht="16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</row>
    <row r="958" ht="16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</row>
    <row r="959" ht="16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</row>
    <row r="960" ht="16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</row>
    <row r="961" ht="16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</row>
    <row r="962" ht="16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</row>
    <row r="963" ht="16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</row>
    <row r="964" ht="16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</row>
    <row r="965" ht="16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</row>
    <row r="966" ht="16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</row>
    <row r="967" ht="16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</row>
    <row r="968" ht="16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</row>
    <row r="969" ht="16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</row>
    <row r="970" ht="16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</row>
    <row r="971" ht="16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</row>
    <row r="972" ht="16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</row>
    <row r="973" ht="16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</row>
    <row r="974" ht="16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</row>
    <row r="975" ht="16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</row>
    <row r="976" ht="16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</row>
    <row r="977" ht="16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</row>
    <row r="978" ht="16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</row>
    <row r="979" ht="16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</row>
    <row r="980" ht="16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</row>
    <row r="981" ht="16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</row>
    <row r="982" ht="16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</row>
    <row r="983" ht="16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</row>
    <row r="984" ht="16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</row>
    <row r="985" ht="16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</row>
    <row r="986" ht="16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</row>
    <row r="987" ht="16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</row>
    <row r="988" ht="16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</row>
    <row r="989" ht="16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</row>
    <row r="990" ht="16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</row>
    <row r="991" ht="16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</row>
    <row r="992" ht="16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</row>
    <row r="993" ht="16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</row>
    <row r="994" ht="16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</row>
    <row r="995" ht="16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</row>
    <row r="996" ht="16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</row>
    <row r="997" ht="16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</row>
    <row r="998" ht="16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</row>
    <row r="999" ht="16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</row>
    <row r="1000" ht="16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</row>
  </sheetData>
  <autoFilter ref="$A$2:$AC$70"/>
  <mergeCells count="1">
    <mergeCell ref="B87:B90"/>
  </mergeCells>
  <conditionalFormatting sqref="D84:AN85 D96:AN96 D99:AN99">
    <cfRule type="cellIs" dxfId="4" priority="1" operator="notEqual">
      <formula>1</formula>
    </cfRule>
  </conditionalFormatting>
  <conditionalFormatting sqref="D86:AN86 D94:AN94 D100:AN100 D104:AN104 D108:AN108 D112:AN112">
    <cfRule type="cellIs" dxfId="3" priority="2" operator="notEqual">
      <formula>1</formula>
    </cfRule>
  </conditionalFormatting>
  <conditionalFormatting sqref="D87:AN87 D89:AN89">
    <cfRule type="cellIs" dxfId="4" priority="3" operator="equal">
      <formula>4</formula>
    </cfRule>
  </conditionalFormatting>
  <conditionalFormatting sqref="D87:AN87 D89:AN89">
    <cfRule type="cellIs" dxfId="5" priority="4" operator="greaterThan">
      <formula>5</formula>
    </cfRule>
  </conditionalFormatting>
  <conditionalFormatting sqref="D87:AN87 D89:AN89">
    <cfRule type="cellIs" dxfId="3" priority="5" operator="lessThan">
      <formula>4</formula>
    </cfRule>
  </conditionalFormatting>
  <conditionalFormatting sqref="D88:AN88 D92:AN92 D97:AN97 D102:AN102 D106:AN106 D110:AN110">
    <cfRule type="cellIs" dxfId="6" priority="6" operator="notEqual">
      <formula>0</formula>
    </cfRule>
  </conditionalFormatting>
  <conditionalFormatting sqref="D91:AN91 D93:AN93 D95:AN95 D98:AN98 D101:AN101 D103:AN103 D105:AN105 D107:AN107 D109:AN109 D111:AN111">
    <cfRule type="cellIs" dxfId="4" priority="7" operator="lessThan">
      <formula>1</formula>
    </cfRule>
  </conditionalFormatting>
  <conditionalFormatting sqref="D91:AN91 D93:AN93 D95:AN95 D98:AN98 D101:AN101 D103:AN103 D105:AN105 D107:AN107 D109:AN109 D111:AN111">
    <cfRule type="cellIs" dxfId="4" priority="8" operator="notEqual">
      <formula>2</formula>
    </cfRule>
  </conditionalFormatting>
  <printOptions/>
  <pageMargins bottom="0.75" footer="0.0" header="0.0" left="0.25" right="0.25" top="0.75"/>
  <pageSetup paperSize="8" orientation="landscape"/>
  <headerFooter>
    <oddHeader>&amp;C桃園捷運公司 運務處站務中心 112年1月員工輪值表(北段)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1.22" defaultRowHeight="15.0"/>
  <cols>
    <col customWidth="1" min="1" max="1" width="9.22"/>
    <col customWidth="1" min="2" max="3" width="16.0"/>
    <col customWidth="1" min="4" max="31" width="10.44"/>
    <col customWidth="1" min="32" max="32" width="11.11"/>
    <col customWidth="1" min="33" max="34" width="12.0"/>
    <col customWidth="1" min="35" max="40" width="11.56"/>
  </cols>
  <sheetData>
    <row r="1" ht="63.75" customHeight="1">
      <c r="A1" s="189"/>
      <c r="B1" s="174" t="s">
        <v>0</v>
      </c>
      <c r="C1" s="174" t="s">
        <v>1</v>
      </c>
      <c r="D1" s="175">
        <f>'北段 (人資版)'!D1</f>
        <v>46143</v>
      </c>
      <c r="E1" s="175">
        <f>'北段 (人資版)'!E1</f>
        <v>46144</v>
      </c>
      <c r="F1" s="175">
        <f>'北段 (人資版)'!F1</f>
        <v>46145</v>
      </c>
      <c r="G1" s="175">
        <f>'北段 (人資版)'!G1</f>
        <v>46146</v>
      </c>
      <c r="H1" s="175">
        <f>'北段 (人資版)'!H1</f>
        <v>46147</v>
      </c>
      <c r="I1" s="175">
        <f>'北段 (人資版)'!I1</f>
        <v>46148</v>
      </c>
      <c r="J1" s="175">
        <f>'北段 (人資版)'!J1</f>
        <v>46149</v>
      </c>
      <c r="K1" s="175">
        <f>'北段 (人資版)'!K1</f>
        <v>46150</v>
      </c>
      <c r="L1" s="175">
        <f>'北段 (人資版)'!L1</f>
        <v>46151</v>
      </c>
      <c r="M1" s="175">
        <f>'北段 (人資版)'!M1</f>
        <v>46152</v>
      </c>
      <c r="N1" s="175">
        <f>'北段 (人資版)'!N1</f>
        <v>46153</v>
      </c>
      <c r="O1" s="175">
        <f>'北段 (人資版)'!O1</f>
        <v>46154</v>
      </c>
      <c r="P1" s="175">
        <f>'北段 (人資版)'!P1</f>
        <v>46155</v>
      </c>
      <c r="Q1" s="175">
        <f>'北段 (人資版)'!Q1</f>
        <v>46156</v>
      </c>
      <c r="R1" s="175">
        <f>'北段 (人資版)'!R1</f>
        <v>46157</v>
      </c>
      <c r="S1" s="175">
        <f>'北段 (人資版)'!S1</f>
        <v>46158</v>
      </c>
      <c r="T1" s="175">
        <f>'北段 (人資版)'!T1</f>
        <v>46159</v>
      </c>
      <c r="U1" s="175">
        <f>'北段 (人資版)'!U1</f>
        <v>46160</v>
      </c>
      <c r="V1" s="175">
        <f>'北段 (人資版)'!V1</f>
        <v>46161</v>
      </c>
      <c r="W1" s="175">
        <f>'北段 (人資版)'!W1</f>
        <v>46162</v>
      </c>
      <c r="X1" s="175">
        <f>'北段 (人資版)'!X1</f>
        <v>46163</v>
      </c>
      <c r="Y1" s="175">
        <f>'北段 (人資版)'!Y1</f>
        <v>46164</v>
      </c>
      <c r="Z1" s="175">
        <f>'北段 (人資版)'!Z1</f>
        <v>46165</v>
      </c>
      <c r="AA1" s="175">
        <f>'北段 (人資版)'!AA1</f>
        <v>46166</v>
      </c>
      <c r="AB1" s="175">
        <f>'北段 (人資版)'!AB1</f>
        <v>46167</v>
      </c>
      <c r="AC1" s="175">
        <f>'北段 (人資版)'!AC1</f>
        <v>46168</v>
      </c>
      <c r="AD1" s="175">
        <f>'北段 (人資版)'!AD1</f>
        <v>46169</v>
      </c>
      <c r="AE1" s="175">
        <f>'北段 (人資版)'!AE1</f>
        <v>46170</v>
      </c>
      <c r="AF1" s="175">
        <f>'北段 (人資版)'!AF1</f>
        <v>46171</v>
      </c>
      <c r="AG1" s="175">
        <f>'北段 (人資版)'!AG1</f>
        <v>46172</v>
      </c>
      <c r="AH1" s="175">
        <f>'北段 (人資版)'!AH1</f>
        <v>46173</v>
      </c>
      <c r="AI1" s="175">
        <f>'北段 (人資版)'!AI1</f>
        <v>46174</v>
      </c>
      <c r="AJ1" s="175">
        <f>'北段 (人資版)'!AJ1</f>
        <v>46175</v>
      </c>
      <c r="AK1" s="175">
        <f>'北段 (人資版)'!AK1</f>
        <v>46176</v>
      </c>
      <c r="AL1" s="175">
        <f>'北段 (人資版)'!AL1</f>
        <v>46177</v>
      </c>
      <c r="AM1" s="175">
        <f>'北段 (人資版)'!AM1</f>
        <v>46178</v>
      </c>
      <c r="AN1" s="175">
        <f>'北段 (人資版)'!AN1</f>
        <v>46179</v>
      </c>
    </row>
    <row r="2" ht="43.5" customHeight="1">
      <c r="A2" s="190"/>
      <c r="B2" s="178"/>
      <c r="C2" s="178"/>
      <c r="D2" s="191">
        <f t="shared" ref="D2:AN2" si="1">IFERROR(IF(WEEKDAY(D1,2)=7,"日",WEEKDAY(D1,2)),"")</f>
        <v>5</v>
      </c>
      <c r="E2" s="191">
        <f t="shared" si="1"/>
        <v>6</v>
      </c>
      <c r="F2" s="191" t="str">
        <f t="shared" si="1"/>
        <v>日</v>
      </c>
      <c r="G2" s="191">
        <f t="shared" si="1"/>
        <v>1</v>
      </c>
      <c r="H2" s="191">
        <f t="shared" si="1"/>
        <v>2</v>
      </c>
      <c r="I2" s="191">
        <f t="shared" si="1"/>
        <v>3</v>
      </c>
      <c r="J2" s="191">
        <f t="shared" si="1"/>
        <v>4</v>
      </c>
      <c r="K2" s="191">
        <f t="shared" si="1"/>
        <v>5</v>
      </c>
      <c r="L2" s="191">
        <f t="shared" si="1"/>
        <v>6</v>
      </c>
      <c r="M2" s="191" t="str">
        <f t="shared" si="1"/>
        <v>日</v>
      </c>
      <c r="N2" s="191">
        <f t="shared" si="1"/>
        <v>1</v>
      </c>
      <c r="O2" s="191">
        <f t="shared" si="1"/>
        <v>2</v>
      </c>
      <c r="P2" s="191">
        <f t="shared" si="1"/>
        <v>3</v>
      </c>
      <c r="Q2" s="191">
        <f t="shared" si="1"/>
        <v>4</v>
      </c>
      <c r="R2" s="191">
        <f t="shared" si="1"/>
        <v>5</v>
      </c>
      <c r="S2" s="191">
        <f t="shared" si="1"/>
        <v>6</v>
      </c>
      <c r="T2" s="191" t="str">
        <f t="shared" si="1"/>
        <v>日</v>
      </c>
      <c r="U2" s="191">
        <f t="shared" si="1"/>
        <v>1</v>
      </c>
      <c r="V2" s="191">
        <f t="shared" si="1"/>
        <v>2</v>
      </c>
      <c r="W2" s="191">
        <f t="shared" si="1"/>
        <v>3</v>
      </c>
      <c r="X2" s="191">
        <f t="shared" si="1"/>
        <v>4</v>
      </c>
      <c r="Y2" s="191">
        <f t="shared" si="1"/>
        <v>5</v>
      </c>
      <c r="Z2" s="191">
        <f t="shared" si="1"/>
        <v>6</v>
      </c>
      <c r="AA2" s="191" t="str">
        <f t="shared" si="1"/>
        <v>日</v>
      </c>
      <c r="AB2" s="191">
        <f t="shared" si="1"/>
        <v>1</v>
      </c>
      <c r="AC2" s="191">
        <f t="shared" si="1"/>
        <v>2</v>
      </c>
      <c r="AD2" s="191">
        <f t="shared" si="1"/>
        <v>3</v>
      </c>
      <c r="AE2" s="191">
        <f t="shared" si="1"/>
        <v>4</v>
      </c>
      <c r="AF2" s="191">
        <f t="shared" si="1"/>
        <v>5</v>
      </c>
      <c r="AG2" s="191">
        <f t="shared" si="1"/>
        <v>6</v>
      </c>
      <c r="AH2" s="191" t="str">
        <f t="shared" si="1"/>
        <v>日</v>
      </c>
      <c r="AI2" s="191">
        <f t="shared" si="1"/>
        <v>1</v>
      </c>
      <c r="AJ2" s="191">
        <f t="shared" si="1"/>
        <v>2</v>
      </c>
      <c r="AK2" s="191">
        <f t="shared" si="1"/>
        <v>3</v>
      </c>
      <c r="AL2" s="191">
        <f t="shared" si="1"/>
        <v>4</v>
      </c>
      <c r="AM2" s="191">
        <f t="shared" si="1"/>
        <v>5</v>
      </c>
      <c r="AN2" s="191">
        <f t="shared" si="1"/>
        <v>6</v>
      </c>
    </row>
    <row r="3" ht="39.75" customHeight="1">
      <c r="A3" s="2" t="s">
        <v>138</v>
      </c>
      <c r="B3" s="57" t="str">
        <f t="shared" ref="B3:B12" si="2">#REF!</f>
        <v>#REF!</v>
      </c>
      <c r="C3" s="57" t="str">
        <f>VLOOKUP(B3,'北段'!B:C,2,FALSE)</f>
        <v>#REF!</v>
      </c>
      <c r="D3" s="57" t="str">
        <f>VLOOKUP('北段 (人資版)'!D3,'工作表1'!$A$3:$B$78,2,FALSE)</f>
        <v>#REF!</v>
      </c>
      <c r="E3" s="57" t="str">
        <f>VLOOKUP('北段 (人資版)'!E3,'工作表1'!$A$3:$B$78,2,FALSE)</f>
        <v>#REF!</v>
      </c>
      <c r="F3" s="57" t="str">
        <f>VLOOKUP('北段 (人資版)'!F3,'工作表1'!$A$3:$B$78,2,FALSE)</f>
        <v>#REF!</v>
      </c>
      <c r="G3" s="57" t="str">
        <f>VLOOKUP('北段 (人資版)'!G3,'工作表1'!$A$3:$B$78,2,FALSE)</f>
        <v>#REF!</v>
      </c>
      <c r="H3" s="57" t="str">
        <f>VLOOKUP('北段 (人資版)'!H3,'工作表1'!$A$3:$B$78,2,FALSE)</f>
        <v>#REF!</v>
      </c>
      <c r="I3" s="57" t="str">
        <f>VLOOKUP('北段 (人資版)'!I3,'工作表1'!$A$3:$B$78,2,FALSE)</f>
        <v>#REF!</v>
      </c>
      <c r="J3" s="57" t="str">
        <f>VLOOKUP('北段 (人資版)'!J3,'工作表1'!$A$3:$B$78,2,FALSE)</f>
        <v>#REF!</v>
      </c>
      <c r="K3" s="57" t="str">
        <f>VLOOKUP('北段 (人資版)'!K3,'工作表1'!$A$3:$B$78,2,FALSE)</f>
        <v>#REF!</v>
      </c>
      <c r="L3" s="57" t="str">
        <f>VLOOKUP('北段 (人資版)'!L3,'工作表1'!$A$3:$B$78,2,FALSE)</f>
        <v>#REF!</v>
      </c>
      <c r="M3" s="57" t="str">
        <f>VLOOKUP('北段 (人資版)'!M3,'工作表1'!$A$3:$B$78,2,FALSE)</f>
        <v>#REF!</v>
      </c>
      <c r="N3" s="57" t="str">
        <f>VLOOKUP('北段 (人資版)'!N3,'工作表1'!$A$3:$B$78,2,FALSE)</f>
        <v>#REF!</v>
      </c>
      <c r="O3" s="57" t="str">
        <f>VLOOKUP('北段 (人資版)'!O3,'工作表1'!$A$3:$B$78,2,FALSE)</f>
        <v>#REF!</v>
      </c>
      <c r="P3" s="57" t="str">
        <f>VLOOKUP('北段 (人資版)'!P3,'工作表1'!$A$3:$B$78,2,FALSE)</f>
        <v>#REF!</v>
      </c>
      <c r="Q3" s="57" t="str">
        <f>VLOOKUP('北段 (人資版)'!Q3,'工作表1'!$A$3:$B$78,2,FALSE)</f>
        <v>#REF!</v>
      </c>
      <c r="R3" s="57" t="str">
        <f>VLOOKUP('北段 (人資版)'!R3,'工作表1'!$A$3:$B$78,2,FALSE)</f>
        <v>#REF!</v>
      </c>
      <c r="S3" s="57" t="str">
        <f>VLOOKUP('北段 (人資版)'!S3,'工作表1'!$A$3:$B$78,2,FALSE)</f>
        <v>#REF!</v>
      </c>
      <c r="T3" s="57" t="str">
        <f>VLOOKUP('北段 (人資版)'!T3,'工作表1'!$A$3:$B$78,2,FALSE)</f>
        <v>#REF!</v>
      </c>
      <c r="U3" s="57" t="str">
        <f>VLOOKUP('北段 (人資版)'!U3,'工作表1'!$A$3:$B$78,2,FALSE)</f>
        <v>#REF!</v>
      </c>
      <c r="V3" s="57" t="str">
        <f>VLOOKUP('北段 (人資版)'!V3,'工作表1'!$A$3:$B$78,2,FALSE)</f>
        <v>#REF!</v>
      </c>
      <c r="W3" s="57" t="str">
        <f>VLOOKUP('北段 (人資版)'!W3,'工作表1'!$A$3:$B$78,2,FALSE)</f>
        <v>#REF!</v>
      </c>
      <c r="X3" s="57" t="str">
        <f>VLOOKUP('北段 (人資版)'!X3,'工作表1'!$A$3:$B$78,2,FALSE)</f>
        <v>#REF!</v>
      </c>
      <c r="Y3" s="57" t="str">
        <f>VLOOKUP('北段 (人資版)'!Y3,'工作表1'!$A$3:$B$78,2,FALSE)</f>
        <v>#REF!</v>
      </c>
      <c r="Z3" s="57" t="str">
        <f>VLOOKUP('北段 (人資版)'!Z3,'工作表1'!$A$3:$B$78,2,FALSE)</f>
        <v>#REF!</v>
      </c>
      <c r="AA3" s="57" t="str">
        <f>VLOOKUP('北段 (人資版)'!AA3,'工作表1'!$A$3:$B$78,2,FALSE)</f>
        <v>#REF!</v>
      </c>
      <c r="AB3" s="57" t="str">
        <f>VLOOKUP('北段 (人資版)'!AB3,'工作表1'!$A$3:$B$78,2,FALSE)</f>
        <v>#REF!</v>
      </c>
      <c r="AC3" s="57" t="str">
        <f>VLOOKUP('北段 (人資版)'!AC3,'工作表1'!$A$3:$B$78,2,FALSE)</f>
        <v>#REF!</v>
      </c>
      <c r="AD3" s="57" t="str">
        <f>VLOOKUP('北段 (人資版)'!AD3,'工作表1'!$A$3:$B$78,2,FALSE)</f>
        <v>#REF!</v>
      </c>
      <c r="AE3" s="57" t="str">
        <f>VLOOKUP('北段 (人資版)'!AE3,'工作表1'!$A$3:$B$78,2,FALSE)</f>
        <v>#REF!</v>
      </c>
      <c r="AF3" s="57" t="str">
        <f>VLOOKUP('北段 (人資版)'!AF3,'工作表1'!$A$3:$B$78,2,FALSE)</f>
        <v>#REF!</v>
      </c>
      <c r="AG3" s="57" t="str">
        <f>VLOOKUP('北段 (人資版)'!AG3,'工作表1'!$A$3:$B$78,2,FALSE)</f>
        <v>#REF!</v>
      </c>
      <c r="AH3" s="57" t="str">
        <f>VLOOKUP('北段 (人資版)'!AH3,'工作表1'!$A$3:$B$78,2,FALSE)</f>
        <v>#ERROR!</v>
      </c>
      <c r="AI3" s="57" t="str">
        <f>VLOOKUP('北段 (人資版)'!AI3,'工作表1'!$A$3:$B$78,2,FALSE)</f>
        <v>#ERROR!</v>
      </c>
      <c r="AJ3" s="57" t="str">
        <f>VLOOKUP('北段 (人資版)'!AJ3,'工作表1'!$A$3:$B$78,2,FALSE)</f>
        <v>#ERROR!</v>
      </c>
      <c r="AK3" s="57" t="str">
        <f>VLOOKUP('北段 (人資版)'!AK3,'工作表1'!$A$3:$B$78,2,FALSE)</f>
        <v>#ERROR!</v>
      </c>
      <c r="AL3" s="57" t="str">
        <f>VLOOKUP('北段 (人資版)'!AL3,'工作表1'!$A$3:$B$78,2,FALSE)</f>
        <v>#ERROR!</v>
      </c>
      <c r="AM3" s="57" t="str">
        <f>VLOOKUP('北段 (人資版)'!AM3,'工作表1'!$A$3:$B$78,2,FALSE)</f>
        <v>#ERROR!</v>
      </c>
      <c r="AN3" s="57" t="str">
        <f>VLOOKUP('北段 (人資版)'!AN3,'工作表1'!$A$3:$B$78,2,FALSE)</f>
        <v>#ERROR!</v>
      </c>
    </row>
    <row r="4" ht="39.75" customHeight="1">
      <c r="A4" s="192"/>
      <c r="B4" s="57" t="str">
        <f t="shared" si="2"/>
        <v>#REF!</v>
      </c>
      <c r="C4" s="57" t="str">
        <f>VLOOKUP(B4,'北段'!B:C,2,FALSE)</f>
        <v>#REF!</v>
      </c>
      <c r="D4" s="57" t="str">
        <f>VLOOKUP('北段 (人資版)'!D4,'工作表1'!$A$3:$B$78,2,FALSE)</f>
        <v>#REF!</v>
      </c>
      <c r="E4" s="57" t="str">
        <f>VLOOKUP('北段 (人資版)'!E4,'工作表1'!$A$3:$B$78,2,FALSE)</f>
        <v>#REF!</v>
      </c>
      <c r="F4" s="57" t="str">
        <f>VLOOKUP('北段 (人資版)'!F4,'工作表1'!$A$3:$B$78,2,FALSE)</f>
        <v>#REF!</v>
      </c>
      <c r="G4" s="57" t="str">
        <f>VLOOKUP('北段 (人資版)'!G4,'工作表1'!$A$3:$B$78,2,FALSE)</f>
        <v>#REF!</v>
      </c>
      <c r="H4" s="57" t="str">
        <f>VLOOKUP('北段 (人資版)'!H4,'工作表1'!$A$3:$B$78,2,FALSE)</f>
        <v>#REF!</v>
      </c>
      <c r="I4" s="57" t="str">
        <f>VLOOKUP('北段 (人資版)'!I4,'工作表1'!$A$3:$B$78,2,FALSE)</f>
        <v>#REF!</v>
      </c>
      <c r="J4" s="57" t="str">
        <f>VLOOKUP('北段 (人資版)'!J4,'工作表1'!$A$3:$B$78,2,FALSE)</f>
        <v>#REF!</v>
      </c>
      <c r="K4" s="57" t="str">
        <f>VLOOKUP('北段 (人資版)'!K4,'工作表1'!$A$3:$B$78,2,FALSE)</f>
        <v>#REF!</v>
      </c>
      <c r="L4" s="57" t="str">
        <f>VLOOKUP('北段 (人資版)'!L4,'工作表1'!$A$3:$B$78,2,FALSE)</f>
        <v>#REF!</v>
      </c>
      <c r="M4" s="57" t="str">
        <f>VLOOKUP('北段 (人資版)'!M4,'工作表1'!$A$3:$B$78,2,FALSE)</f>
        <v>#REF!</v>
      </c>
      <c r="N4" s="57" t="str">
        <f>VLOOKUP('北段 (人資版)'!N4,'工作表1'!$A$3:$B$78,2,FALSE)</f>
        <v>#REF!</v>
      </c>
      <c r="O4" s="57" t="str">
        <f>VLOOKUP('北段 (人資版)'!O4,'工作表1'!$A$3:$B$78,2,FALSE)</f>
        <v>#REF!</v>
      </c>
      <c r="P4" s="57" t="str">
        <f>VLOOKUP('北段 (人資版)'!P4,'工作表1'!$A$3:$B$78,2,FALSE)</f>
        <v>#REF!</v>
      </c>
      <c r="Q4" s="57" t="str">
        <f>VLOOKUP('北段 (人資版)'!Q4,'工作表1'!$A$3:$B$78,2,FALSE)</f>
        <v>#REF!</v>
      </c>
      <c r="R4" s="57" t="str">
        <f>VLOOKUP('北段 (人資版)'!R4,'工作表1'!$A$3:$B$78,2,FALSE)</f>
        <v>#REF!</v>
      </c>
      <c r="S4" s="57" t="str">
        <f>VLOOKUP('北段 (人資版)'!S4,'工作表1'!$A$3:$B$78,2,FALSE)</f>
        <v>#REF!</v>
      </c>
      <c r="T4" s="57" t="str">
        <f>VLOOKUP('北段 (人資版)'!T4,'工作表1'!$A$3:$B$78,2,FALSE)</f>
        <v>#REF!</v>
      </c>
      <c r="U4" s="57" t="str">
        <f>VLOOKUP('北段 (人資版)'!U4,'工作表1'!$A$3:$B$78,2,FALSE)</f>
        <v>#REF!</v>
      </c>
      <c r="V4" s="57" t="str">
        <f>VLOOKUP('北段 (人資版)'!V4,'工作表1'!$A$3:$B$78,2,FALSE)</f>
        <v>#REF!</v>
      </c>
      <c r="W4" s="57" t="str">
        <f>VLOOKUP('北段 (人資版)'!W4,'工作表1'!$A$3:$B$78,2,FALSE)</f>
        <v>#REF!</v>
      </c>
      <c r="X4" s="57" t="str">
        <f>VLOOKUP('北段 (人資版)'!X4,'工作表1'!$A$3:$B$78,2,FALSE)</f>
        <v>#REF!</v>
      </c>
      <c r="Y4" s="57" t="str">
        <f>VLOOKUP('北段 (人資版)'!Y4,'工作表1'!$A$3:$B$78,2,FALSE)</f>
        <v>#REF!</v>
      </c>
      <c r="Z4" s="57" t="str">
        <f>VLOOKUP('北段 (人資版)'!Z4,'工作表1'!$A$3:$B$78,2,FALSE)</f>
        <v>#REF!</v>
      </c>
      <c r="AA4" s="57" t="str">
        <f>VLOOKUP('北段 (人資版)'!AA4,'工作表1'!$A$3:$B$78,2,FALSE)</f>
        <v>#REF!</v>
      </c>
      <c r="AB4" s="57" t="str">
        <f>VLOOKUP('北段 (人資版)'!AB4,'工作表1'!$A$3:$B$78,2,FALSE)</f>
        <v>#REF!</v>
      </c>
      <c r="AC4" s="57" t="str">
        <f>VLOOKUP('北段 (人資版)'!AC4,'工作表1'!$A$3:$B$78,2,FALSE)</f>
        <v>#REF!</v>
      </c>
      <c r="AD4" s="57" t="str">
        <f>VLOOKUP('北段 (人資版)'!AD4,'工作表1'!$A$3:$B$78,2,FALSE)</f>
        <v>#REF!</v>
      </c>
      <c r="AE4" s="57" t="str">
        <f>VLOOKUP('北段 (人資版)'!AE4,'工作表1'!$A$3:$B$78,2,FALSE)</f>
        <v>#REF!</v>
      </c>
      <c r="AF4" s="57" t="str">
        <f>VLOOKUP('北段 (人資版)'!AF4,'工作表1'!$A$3:$B$78,2,FALSE)</f>
        <v>#REF!</v>
      </c>
      <c r="AG4" s="57" t="str">
        <f>VLOOKUP('北段 (人資版)'!AG4,'工作表1'!$A$3:$B$78,2,FALSE)</f>
        <v>#REF!</v>
      </c>
      <c r="AH4" s="57" t="str">
        <f>VLOOKUP('北段 (人資版)'!AH4,'工作表1'!$A$3:$B$78,2,FALSE)</f>
        <v>#ERROR!</v>
      </c>
      <c r="AI4" s="57" t="str">
        <f>VLOOKUP('北段 (人資版)'!AI4,'工作表1'!$A$3:$B$78,2,FALSE)</f>
        <v>#ERROR!</v>
      </c>
      <c r="AJ4" s="57" t="str">
        <f>VLOOKUP('北段 (人資版)'!AJ4,'工作表1'!$A$3:$B$78,2,FALSE)</f>
        <v>#ERROR!</v>
      </c>
      <c r="AK4" s="57" t="str">
        <f>VLOOKUP('北段 (人資版)'!AK4,'工作表1'!$A$3:$B$78,2,FALSE)</f>
        <v>#ERROR!</v>
      </c>
      <c r="AL4" s="57" t="str">
        <f>VLOOKUP('北段 (人資版)'!AL4,'工作表1'!$A$3:$B$78,2,FALSE)</f>
        <v>#ERROR!</v>
      </c>
      <c r="AM4" s="57" t="str">
        <f>VLOOKUP('北段 (人資版)'!AM4,'工作表1'!$A$3:$B$78,2,FALSE)</f>
        <v>#ERROR!</v>
      </c>
      <c r="AN4" s="57" t="str">
        <f>VLOOKUP('北段 (人資版)'!AN4,'工作表1'!$A$3:$B$78,2,FALSE)</f>
        <v>#ERROR!</v>
      </c>
    </row>
    <row r="5" ht="39.75" customHeight="1">
      <c r="A5" s="192"/>
      <c r="B5" s="57" t="str">
        <f t="shared" si="2"/>
        <v>#REF!</v>
      </c>
      <c r="C5" s="57" t="str">
        <f>VLOOKUP(B5,'北段'!B:C,2,FALSE)</f>
        <v>#REF!</v>
      </c>
      <c r="D5" s="57" t="str">
        <f>VLOOKUP('北段 (人資版)'!D5,'工作表1'!$A$3:$B$78,2,FALSE)</f>
        <v>#REF!</v>
      </c>
      <c r="E5" s="57" t="str">
        <f>VLOOKUP('北段 (人資版)'!E5,'工作表1'!$A$3:$B$78,2,FALSE)</f>
        <v>#REF!</v>
      </c>
      <c r="F5" s="57" t="str">
        <f>VLOOKUP('北段 (人資版)'!F5,'工作表1'!$A$3:$B$78,2,FALSE)</f>
        <v>#REF!</v>
      </c>
      <c r="G5" s="57" t="str">
        <f>VLOOKUP('北段 (人資版)'!G5,'工作表1'!$A$3:$B$78,2,FALSE)</f>
        <v>#REF!</v>
      </c>
      <c r="H5" s="57" t="str">
        <f>VLOOKUP('北段 (人資版)'!H5,'工作表1'!$A$3:$B$78,2,FALSE)</f>
        <v>#REF!</v>
      </c>
      <c r="I5" s="57" t="str">
        <f>VLOOKUP('北段 (人資版)'!I5,'工作表1'!$A$3:$B$78,2,FALSE)</f>
        <v>#REF!</v>
      </c>
      <c r="J5" s="57" t="str">
        <f>VLOOKUP('北段 (人資版)'!J5,'工作表1'!$A$3:$B$78,2,FALSE)</f>
        <v>#REF!</v>
      </c>
      <c r="K5" s="57" t="str">
        <f>VLOOKUP('北段 (人資版)'!K5,'工作表1'!$A$3:$B$78,2,FALSE)</f>
        <v>#REF!</v>
      </c>
      <c r="L5" s="57" t="str">
        <f>VLOOKUP('北段 (人資版)'!L5,'工作表1'!$A$3:$B$78,2,FALSE)</f>
        <v>#REF!</v>
      </c>
      <c r="M5" s="57" t="str">
        <f>VLOOKUP('北段 (人資版)'!M5,'工作表1'!$A$3:$B$78,2,FALSE)</f>
        <v>#REF!</v>
      </c>
      <c r="N5" s="57" t="str">
        <f>VLOOKUP('北段 (人資版)'!N5,'工作表1'!$A$3:$B$78,2,FALSE)</f>
        <v>#REF!</v>
      </c>
      <c r="O5" s="57" t="str">
        <f>VLOOKUP('北段 (人資版)'!O5,'工作表1'!$A$3:$B$78,2,FALSE)</f>
        <v>#REF!</v>
      </c>
      <c r="P5" s="57" t="str">
        <f>VLOOKUP('北段 (人資版)'!P5,'工作表1'!$A$3:$B$78,2,FALSE)</f>
        <v>#REF!</v>
      </c>
      <c r="Q5" s="57" t="str">
        <f>VLOOKUP('北段 (人資版)'!Q5,'工作表1'!$A$3:$B$78,2,FALSE)</f>
        <v>#REF!</v>
      </c>
      <c r="R5" s="57" t="str">
        <f>VLOOKUP('北段 (人資版)'!R5,'工作表1'!$A$3:$B$78,2,FALSE)</f>
        <v>#REF!</v>
      </c>
      <c r="S5" s="57" t="str">
        <f>VLOOKUP('北段 (人資版)'!S5,'工作表1'!$A$3:$B$78,2,FALSE)</f>
        <v>#REF!</v>
      </c>
      <c r="T5" s="57" t="str">
        <f>VLOOKUP('北段 (人資版)'!T5,'工作表1'!$A$3:$B$78,2,FALSE)</f>
        <v>#REF!</v>
      </c>
      <c r="U5" s="57" t="str">
        <f>VLOOKUP('北段 (人資版)'!U5,'工作表1'!$A$3:$B$78,2,FALSE)</f>
        <v>#REF!</v>
      </c>
      <c r="V5" s="57" t="str">
        <f>VLOOKUP('北段 (人資版)'!V5,'工作表1'!$A$3:$B$78,2,FALSE)</f>
        <v>#REF!</v>
      </c>
      <c r="W5" s="57" t="str">
        <f>VLOOKUP('北段 (人資版)'!W5,'工作表1'!$A$3:$B$78,2,FALSE)</f>
        <v>#REF!</v>
      </c>
      <c r="X5" s="57" t="str">
        <f>VLOOKUP('北段 (人資版)'!X5,'工作表1'!$A$3:$B$78,2,FALSE)</f>
        <v>#REF!</v>
      </c>
      <c r="Y5" s="57" t="str">
        <f>VLOOKUP('北段 (人資版)'!Y5,'工作表1'!$A$3:$B$78,2,FALSE)</f>
        <v>#REF!</v>
      </c>
      <c r="Z5" s="57" t="str">
        <f>VLOOKUP('北段 (人資版)'!Z5,'工作表1'!$A$3:$B$78,2,FALSE)</f>
        <v>#REF!</v>
      </c>
      <c r="AA5" s="57" t="str">
        <f>VLOOKUP('北段 (人資版)'!AA5,'工作表1'!$A$3:$B$78,2,FALSE)</f>
        <v>#REF!</v>
      </c>
      <c r="AB5" s="57" t="str">
        <f>VLOOKUP('北段 (人資版)'!AB5,'工作表1'!$A$3:$B$78,2,FALSE)</f>
        <v>#REF!</v>
      </c>
      <c r="AC5" s="57" t="str">
        <f>VLOOKUP('北段 (人資版)'!AC5,'工作表1'!$A$3:$B$78,2,FALSE)</f>
        <v>#REF!</v>
      </c>
      <c r="AD5" s="57" t="str">
        <f>VLOOKUP('北段 (人資版)'!AD5,'工作表1'!$A$3:$B$78,2,FALSE)</f>
        <v>#REF!</v>
      </c>
      <c r="AE5" s="57" t="str">
        <f>VLOOKUP('北段 (人資版)'!AE5,'工作表1'!$A$3:$B$78,2,FALSE)</f>
        <v>#REF!</v>
      </c>
      <c r="AF5" s="57" t="str">
        <f>VLOOKUP('北段 (人資版)'!AF5,'工作表1'!$A$3:$B$78,2,FALSE)</f>
        <v>#REF!</v>
      </c>
      <c r="AG5" s="57" t="str">
        <f>VLOOKUP('北段 (人資版)'!AG5,'工作表1'!$A$3:$B$78,2,FALSE)</f>
        <v>#REF!</v>
      </c>
      <c r="AH5" s="57" t="str">
        <f>VLOOKUP('北段 (人資版)'!AH5,'工作表1'!$A$3:$B$78,2,FALSE)</f>
        <v>#ERROR!</v>
      </c>
      <c r="AI5" s="57" t="str">
        <f>VLOOKUP('北段 (人資版)'!AI5,'工作表1'!$A$3:$B$78,2,FALSE)</f>
        <v>#ERROR!</v>
      </c>
      <c r="AJ5" s="57" t="str">
        <f>VLOOKUP('北段 (人資版)'!AJ5,'工作表1'!$A$3:$B$78,2,FALSE)</f>
        <v>#ERROR!</v>
      </c>
      <c r="AK5" s="57" t="str">
        <f>VLOOKUP('北段 (人資版)'!AK5,'工作表1'!$A$3:$B$78,2,FALSE)</f>
        <v>#ERROR!</v>
      </c>
      <c r="AL5" s="57" t="str">
        <f>VLOOKUP('北段 (人資版)'!AL5,'工作表1'!$A$3:$B$78,2,FALSE)</f>
        <v>#ERROR!</v>
      </c>
      <c r="AM5" s="57" t="str">
        <f>VLOOKUP('北段 (人資版)'!AM5,'工作表1'!$A$3:$B$78,2,FALSE)</f>
        <v>#ERROR!</v>
      </c>
      <c r="AN5" s="57" t="str">
        <f>VLOOKUP('北段 (人資版)'!AN5,'工作表1'!$A$3:$B$78,2,FALSE)</f>
        <v>#ERROR!</v>
      </c>
    </row>
    <row r="6" ht="39.75" customHeight="1">
      <c r="A6" s="192"/>
      <c r="B6" s="57" t="str">
        <f t="shared" si="2"/>
        <v>#REF!</v>
      </c>
      <c r="C6" s="57" t="str">
        <f>VLOOKUP(B6,'北段'!B:C,2,FALSE)</f>
        <v>#REF!</v>
      </c>
      <c r="D6" s="57" t="str">
        <f>VLOOKUP('北段 (人資版)'!D6,'工作表1'!$A$3:$B$78,2,FALSE)</f>
        <v>#REF!</v>
      </c>
      <c r="E6" s="57" t="str">
        <f>VLOOKUP('北段 (人資版)'!E6,'工作表1'!$A$3:$B$78,2,FALSE)</f>
        <v>#REF!</v>
      </c>
      <c r="F6" s="57" t="str">
        <f>VLOOKUP('北段 (人資版)'!F6,'工作表1'!$A$3:$B$78,2,FALSE)</f>
        <v>#REF!</v>
      </c>
      <c r="G6" s="57" t="str">
        <f>VLOOKUP('北段 (人資版)'!G6,'工作表1'!$A$3:$B$78,2,FALSE)</f>
        <v>#REF!</v>
      </c>
      <c r="H6" s="57" t="str">
        <f>VLOOKUP('北段 (人資版)'!H6,'工作表1'!$A$3:$B$78,2,FALSE)</f>
        <v>#REF!</v>
      </c>
      <c r="I6" s="57" t="str">
        <f>VLOOKUP('北段 (人資版)'!I6,'工作表1'!$A$3:$B$78,2,FALSE)</f>
        <v>#REF!</v>
      </c>
      <c r="J6" s="57" t="str">
        <f>VLOOKUP('北段 (人資版)'!J6,'工作表1'!$A$3:$B$78,2,FALSE)</f>
        <v>#REF!</v>
      </c>
      <c r="K6" s="57" t="str">
        <f>VLOOKUP('北段 (人資版)'!K6,'工作表1'!$A$3:$B$78,2,FALSE)</f>
        <v>#REF!</v>
      </c>
      <c r="L6" s="57" t="str">
        <f>VLOOKUP('北段 (人資版)'!L6,'工作表1'!$A$3:$B$78,2,FALSE)</f>
        <v>#REF!</v>
      </c>
      <c r="M6" s="57" t="str">
        <f>VLOOKUP('北段 (人資版)'!M6,'工作表1'!$A$3:$B$78,2,FALSE)</f>
        <v>#REF!</v>
      </c>
      <c r="N6" s="57" t="str">
        <f>VLOOKUP('北段 (人資版)'!N6,'工作表1'!$A$3:$B$78,2,FALSE)</f>
        <v>#REF!</v>
      </c>
      <c r="O6" s="57" t="str">
        <f>VLOOKUP('北段 (人資版)'!O6,'工作表1'!$A$3:$B$78,2,FALSE)</f>
        <v>#REF!</v>
      </c>
      <c r="P6" s="57" t="str">
        <f>VLOOKUP('北段 (人資版)'!P6,'工作表1'!$A$3:$B$78,2,FALSE)</f>
        <v>#REF!</v>
      </c>
      <c r="Q6" s="57" t="str">
        <f>VLOOKUP('北段 (人資版)'!Q6,'工作表1'!$A$3:$B$78,2,FALSE)</f>
        <v>#REF!</v>
      </c>
      <c r="R6" s="57" t="str">
        <f>VLOOKUP('北段 (人資版)'!R6,'工作表1'!$A$3:$B$78,2,FALSE)</f>
        <v>#REF!</v>
      </c>
      <c r="S6" s="57" t="str">
        <f>VLOOKUP('北段 (人資版)'!S6,'工作表1'!$A$3:$B$78,2,FALSE)</f>
        <v>#REF!</v>
      </c>
      <c r="T6" s="57" t="str">
        <f>VLOOKUP('北段 (人資版)'!T6,'工作表1'!$A$3:$B$78,2,FALSE)</f>
        <v>#REF!</v>
      </c>
      <c r="U6" s="57" t="str">
        <f>VLOOKUP('北段 (人資版)'!U6,'工作表1'!$A$3:$B$78,2,FALSE)</f>
        <v>#REF!</v>
      </c>
      <c r="V6" s="57" t="str">
        <f>VLOOKUP('北段 (人資版)'!V6,'工作表1'!$A$3:$B$78,2,FALSE)</f>
        <v>#REF!</v>
      </c>
      <c r="W6" s="57" t="str">
        <f>VLOOKUP('北段 (人資版)'!W6,'工作表1'!$A$3:$B$78,2,FALSE)</f>
        <v>#REF!</v>
      </c>
      <c r="X6" s="57" t="str">
        <f>VLOOKUP('北段 (人資版)'!X6,'工作表1'!$A$3:$B$78,2,FALSE)</f>
        <v>#REF!</v>
      </c>
      <c r="Y6" s="57" t="str">
        <f>VLOOKUP('北段 (人資版)'!Y6,'工作表1'!$A$3:$B$78,2,FALSE)</f>
        <v>#REF!</v>
      </c>
      <c r="Z6" s="57" t="str">
        <f>VLOOKUP('北段 (人資版)'!Z6,'工作表1'!$A$3:$B$78,2,FALSE)</f>
        <v>#REF!</v>
      </c>
      <c r="AA6" s="57" t="str">
        <f>VLOOKUP('北段 (人資版)'!AA6,'工作表1'!$A$3:$B$78,2,FALSE)</f>
        <v>#REF!</v>
      </c>
      <c r="AB6" s="57" t="str">
        <f>VLOOKUP('北段 (人資版)'!AB6,'工作表1'!$A$3:$B$78,2,FALSE)</f>
        <v>#REF!</v>
      </c>
      <c r="AC6" s="57" t="str">
        <f>VLOOKUP('北段 (人資版)'!AC6,'工作表1'!$A$3:$B$78,2,FALSE)</f>
        <v>#REF!</v>
      </c>
      <c r="AD6" s="57" t="str">
        <f>VLOOKUP('北段 (人資版)'!AD6,'工作表1'!$A$3:$B$78,2,FALSE)</f>
        <v>#REF!</v>
      </c>
      <c r="AE6" s="57" t="str">
        <f>VLOOKUP('北段 (人資版)'!AE6,'工作表1'!$A$3:$B$78,2,FALSE)</f>
        <v>#REF!</v>
      </c>
      <c r="AF6" s="57" t="str">
        <f>VLOOKUP('北段 (人資版)'!AF6,'工作表1'!$A$3:$B$78,2,FALSE)</f>
        <v>#REF!</v>
      </c>
      <c r="AG6" s="57" t="str">
        <f>VLOOKUP('北段 (人資版)'!AG6,'工作表1'!$A$3:$B$78,2,FALSE)</f>
        <v>#REF!</v>
      </c>
      <c r="AH6" s="57" t="str">
        <f>VLOOKUP('北段 (人資版)'!AH6,'工作表1'!$A$3:$B$78,2,FALSE)</f>
        <v>#ERROR!</v>
      </c>
      <c r="AI6" s="57" t="str">
        <f>VLOOKUP('北段 (人資版)'!AI6,'工作表1'!$A$3:$B$78,2,FALSE)</f>
        <v>#ERROR!</v>
      </c>
      <c r="AJ6" s="57" t="str">
        <f>VLOOKUP('北段 (人資版)'!AJ6,'工作表1'!$A$3:$B$78,2,FALSE)</f>
        <v>#ERROR!</v>
      </c>
      <c r="AK6" s="57" t="str">
        <f>VLOOKUP('北段 (人資版)'!AK6,'工作表1'!$A$3:$B$78,2,FALSE)</f>
        <v>#ERROR!</v>
      </c>
      <c r="AL6" s="57" t="str">
        <f>VLOOKUP('北段 (人資版)'!AL6,'工作表1'!$A$3:$B$78,2,FALSE)</f>
        <v>#ERROR!</v>
      </c>
      <c r="AM6" s="57" t="str">
        <f>VLOOKUP('北段 (人資版)'!AM6,'工作表1'!$A$3:$B$78,2,FALSE)</f>
        <v>#ERROR!</v>
      </c>
      <c r="AN6" s="57" t="str">
        <f>VLOOKUP('北段 (人資版)'!AN6,'工作表1'!$A$3:$B$78,2,FALSE)</f>
        <v>#ERROR!</v>
      </c>
    </row>
    <row r="7" ht="39.75" customHeight="1">
      <c r="A7" s="192"/>
      <c r="B7" s="57" t="str">
        <f t="shared" si="2"/>
        <v>#REF!</v>
      </c>
      <c r="C7" s="57" t="str">
        <f>VLOOKUP(B7,'北段'!B:C,2,FALSE)</f>
        <v>#REF!</v>
      </c>
      <c r="D7" s="57" t="str">
        <f>VLOOKUP('北段 (人資版)'!D7,'工作表1'!$A$3:$B$78,2,FALSE)</f>
        <v>#REF!</v>
      </c>
      <c r="E7" s="57" t="str">
        <f>VLOOKUP('北段 (人資版)'!E7,'工作表1'!$A$3:$B$78,2,FALSE)</f>
        <v>#REF!</v>
      </c>
      <c r="F7" s="57" t="str">
        <f>VLOOKUP('北段 (人資版)'!F7,'工作表1'!$A$3:$B$78,2,FALSE)</f>
        <v>#REF!</v>
      </c>
      <c r="G7" s="57" t="str">
        <f>VLOOKUP('北段 (人資版)'!G7,'工作表1'!$A$3:$B$78,2,FALSE)</f>
        <v>#REF!</v>
      </c>
      <c r="H7" s="57" t="str">
        <f>VLOOKUP('北段 (人資版)'!H7,'工作表1'!$A$3:$B$78,2,FALSE)</f>
        <v>#REF!</v>
      </c>
      <c r="I7" s="57" t="str">
        <f>VLOOKUP('北段 (人資版)'!I7,'工作表1'!$A$3:$B$78,2,FALSE)</f>
        <v>#REF!</v>
      </c>
      <c r="J7" s="57" t="str">
        <f>VLOOKUP('北段 (人資版)'!J7,'工作表1'!$A$3:$B$78,2,FALSE)</f>
        <v>#REF!</v>
      </c>
      <c r="K7" s="57" t="str">
        <f>VLOOKUP('北段 (人資版)'!K7,'工作表1'!$A$3:$B$78,2,FALSE)</f>
        <v>#REF!</v>
      </c>
      <c r="L7" s="57" t="str">
        <f>VLOOKUP('北段 (人資版)'!L7,'工作表1'!$A$3:$B$78,2,FALSE)</f>
        <v>#REF!</v>
      </c>
      <c r="M7" s="57" t="str">
        <f>VLOOKUP('北段 (人資版)'!M7,'工作表1'!$A$3:$B$78,2,FALSE)</f>
        <v>#REF!</v>
      </c>
      <c r="N7" s="57" t="str">
        <f>VLOOKUP('北段 (人資版)'!N7,'工作表1'!$A$3:$B$78,2,FALSE)</f>
        <v>#REF!</v>
      </c>
      <c r="O7" s="57" t="str">
        <f>VLOOKUP('北段 (人資版)'!O7,'工作表1'!$A$3:$B$78,2,FALSE)</f>
        <v>#REF!</v>
      </c>
      <c r="P7" s="57" t="str">
        <f>VLOOKUP('北段 (人資版)'!P7,'工作表1'!$A$3:$B$78,2,FALSE)</f>
        <v>#REF!</v>
      </c>
      <c r="Q7" s="57" t="str">
        <f>VLOOKUP('北段 (人資版)'!Q7,'工作表1'!$A$3:$B$78,2,FALSE)</f>
        <v>#REF!</v>
      </c>
      <c r="R7" s="57" t="str">
        <f>VLOOKUP('北段 (人資版)'!R7,'工作表1'!$A$3:$B$78,2,FALSE)</f>
        <v>#REF!</v>
      </c>
      <c r="S7" s="57" t="str">
        <f>VLOOKUP('北段 (人資版)'!S7,'工作表1'!$A$3:$B$78,2,FALSE)</f>
        <v>#REF!</v>
      </c>
      <c r="T7" s="57" t="str">
        <f>VLOOKUP('北段 (人資版)'!T7,'工作表1'!$A$3:$B$78,2,FALSE)</f>
        <v>#REF!</v>
      </c>
      <c r="U7" s="57" t="str">
        <f>VLOOKUP('北段 (人資版)'!U7,'工作表1'!$A$3:$B$78,2,FALSE)</f>
        <v>#REF!</v>
      </c>
      <c r="V7" s="57" t="str">
        <f>VLOOKUP('北段 (人資版)'!V7,'工作表1'!$A$3:$B$78,2,FALSE)</f>
        <v>#REF!</v>
      </c>
      <c r="W7" s="57" t="str">
        <f>VLOOKUP('北段 (人資版)'!W7,'工作表1'!$A$3:$B$78,2,FALSE)</f>
        <v>#REF!</v>
      </c>
      <c r="X7" s="57" t="str">
        <f>VLOOKUP('北段 (人資版)'!X7,'工作表1'!$A$3:$B$78,2,FALSE)</f>
        <v>#REF!</v>
      </c>
      <c r="Y7" s="57" t="str">
        <f>VLOOKUP('北段 (人資版)'!Y7,'工作表1'!$A$3:$B$78,2,FALSE)</f>
        <v>#REF!</v>
      </c>
      <c r="Z7" s="57" t="str">
        <f>VLOOKUP('北段 (人資版)'!Z7,'工作表1'!$A$3:$B$78,2,FALSE)</f>
        <v>#REF!</v>
      </c>
      <c r="AA7" s="57" t="str">
        <f>VLOOKUP('北段 (人資版)'!AA7,'工作表1'!$A$3:$B$78,2,FALSE)</f>
        <v>#REF!</v>
      </c>
      <c r="AB7" s="57" t="str">
        <f>VLOOKUP('北段 (人資版)'!AB7,'工作表1'!$A$3:$B$78,2,FALSE)</f>
        <v>#REF!</v>
      </c>
      <c r="AC7" s="57" t="str">
        <f>VLOOKUP('北段 (人資版)'!AC7,'工作表1'!$A$3:$B$78,2,FALSE)</f>
        <v>#REF!</v>
      </c>
      <c r="AD7" s="57" t="str">
        <f>VLOOKUP('北段 (人資版)'!AD7,'工作表1'!$A$3:$B$78,2,FALSE)</f>
        <v>#REF!</v>
      </c>
      <c r="AE7" s="57" t="str">
        <f>VLOOKUP('北段 (人資版)'!AE7,'工作表1'!$A$3:$B$78,2,FALSE)</f>
        <v>#REF!</v>
      </c>
      <c r="AF7" s="57" t="str">
        <f>VLOOKUP('北段 (人資版)'!AF7,'工作表1'!$A$3:$B$78,2,FALSE)</f>
        <v>#REF!</v>
      </c>
      <c r="AG7" s="57" t="str">
        <f>VLOOKUP('北段 (人資版)'!AG7,'工作表1'!$A$3:$B$78,2,FALSE)</f>
        <v>#REF!</v>
      </c>
      <c r="AH7" s="57" t="str">
        <f>VLOOKUP('北段 (人資版)'!AH7,'工作表1'!$A$3:$B$78,2,FALSE)</f>
        <v>#ERROR!</v>
      </c>
      <c r="AI7" s="57" t="str">
        <f>VLOOKUP('北段 (人資版)'!AI7,'工作表1'!$A$3:$B$78,2,FALSE)</f>
        <v>#ERROR!</v>
      </c>
      <c r="AJ7" s="57" t="str">
        <f>VLOOKUP('北段 (人資版)'!AJ7,'工作表1'!$A$3:$B$78,2,FALSE)</f>
        <v>#ERROR!</v>
      </c>
      <c r="AK7" s="57" t="str">
        <f>VLOOKUP('北段 (人資版)'!AK7,'工作表1'!$A$3:$B$78,2,FALSE)</f>
        <v>#ERROR!</v>
      </c>
      <c r="AL7" s="57" t="str">
        <f>VLOOKUP('北段 (人資版)'!AL7,'工作表1'!$A$3:$B$78,2,FALSE)</f>
        <v>#ERROR!</v>
      </c>
      <c r="AM7" s="57" t="str">
        <f>VLOOKUP('北段 (人資版)'!AM7,'工作表1'!$A$3:$B$78,2,FALSE)</f>
        <v>#ERROR!</v>
      </c>
      <c r="AN7" s="57" t="str">
        <f>VLOOKUP('北段 (人資版)'!AN7,'工作表1'!$A$3:$B$78,2,FALSE)</f>
        <v>#ERROR!</v>
      </c>
    </row>
    <row r="8" ht="39.75" customHeight="1">
      <c r="A8" s="192"/>
      <c r="B8" s="57" t="str">
        <f t="shared" si="2"/>
        <v>#REF!</v>
      </c>
      <c r="C8" s="57" t="str">
        <f>VLOOKUP(B8,'北段'!B:C,2,FALSE)</f>
        <v>#REF!</v>
      </c>
      <c r="D8" s="57" t="str">
        <f>VLOOKUP('北段 (人資版)'!D8,'工作表1'!$A$3:$B$78,2,FALSE)</f>
        <v>#REF!</v>
      </c>
      <c r="E8" s="57" t="str">
        <f>VLOOKUP('北段 (人資版)'!E8,'工作表1'!$A$3:$B$78,2,FALSE)</f>
        <v>#REF!</v>
      </c>
      <c r="F8" s="57" t="str">
        <f>VLOOKUP('北段 (人資版)'!F8,'工作表1'!$A$3:$B$78,2,FALSE)</f>
        <v>#REF!</v>
      </c>
      <c r="G8" s="57" t="str">
        <f>VLOOKUP('北段 (人資版)'!G8,'工作表1'!$A$3:$B$78,2,FALSE)</f>
        <v>#REF!</v>
      </c>
      <c r="H8" s="57" t="str">
        <f>VLOOKUP('北段 (人資版)'!H8,'工作表1'!$A$3:$B$78,2,FALSE)</f>
        <v>#REF!</v>
      </c>
      <c r="I8" s="57" t="str">
        <f>VLOOKUP('北段 (人資版)'!I8,'工作表1'!$A$3:$B$78,2,FALSE)</f>
        <v>#REF!</v>
      </c>
      <c r="J8" s="57" t="str">
        <f>VLOOKUP('北段 (人資版)'!J8,'工作表1'!$A$3:$B$78,2,FALSE)</f>
        <v>#REF!</v>
      </c>
      <c r="K8" s="57" t="str">
        <f>VLOOKUP('北段 (人資版)'!K8,'工作表1'!$A$3:$B$78,2,FALSE)</f>
        <v>#REF!</v>
      </c>
      <c r="L8" s="57" t="str">
        <f>VLOOKUP('北段 (人資版)'!L8,'工作表1'!$A$3:$B$78,2,FALSE)</f>
        <v>#REF!</v>
      </c>
      <c r="M8" s="57" t="str">
        <f>VLOOKUP('北段 (人資版)'!M8,'工作表1'!$A$3:$B$78,2,FALSE)</f>
        <v>#REF!</v>
      </c>
      <c r="N8" s="57" t="str">
        <f>VLOOKUP('北段 (人資版)'!N8,'工作表1'!$A$3:$B$78,2,FALSE)</f>
        <v>#REF!</v>
      </c>
      <c r="O8" s="57" t="str">
        <f>VLOOKUP('北段 (人資版)'!O8,'工作表1'!$A$3:$B$78,2,FALSE)</f>
        <v>#REF!</v>
      </c>
      <c r="P8" s="57" t="str">
        <f>VLOOKUP('北段 (人資版)'!P8,'工作表1'!$A$3:$B$78,2,FALSE)</f>
        <v>#REF!</v>
      </c>
      <c r="Q8" s="57" t="str">
        <f>VLOOKUP('北段 (人資版)'!Q8,'工作表1'!$A$3:$B$78,2,FALSE)</f>
        <v>#REF!</v>
      </c>
      <c r="R8" s="57" t="str">
        <f>VLOOKUP('北段 (人資版)'!R8,'工作表1'!$A$3:$B$78,2,FALSE)</f>
        <v>#REF!</v>
      </c>
      <c r="S8" s="57" t="str">
        <f>VLOOKUP('北段 (人資版)'!S8,'工作表1'!$A$3:$B$78,2,FALSE)</f>
        <v>#REF!</v>
      </c>
      <c r="T8" s="57" t="str">
        <f>VLOOKUP('北段 (人資版)'!T8,'工作表1'!$A$3:$B$78,2,FALSE)</f>
        <v>#REF!</v>
      </c>
      <c r="U8" s="57" t="str">
        <f>VLOOKUP('北段 (人資版)'!U8,'工作表1'!$A$3:$B$78,2,FALSE)</f>
        <v>#REF!</v>
      </c>
      <c r="V8" s="57" t="str">
        <f>VLOOKUP('北段 (人資版)'!V8,'工作表1'!$A$3:$B$78,2,FALSE)</f>
        <v>#REF!</v>
      </c>
      <c r="W8" s="57" t="str">
        <f>VLOOKUP('北段 (人資版)'!W8,'工作表1'!$A$3:$B$78,2,FALSE)</f>
        <v>#REF!</v>
      </c>
      <c r="X8" s="57" t="str">
        <f>VLOOKUP('北段 (人資版)'!X8,'工作表1'!$A$3:$B$78,2,FALSE)</f>
        <v>#REF!</v>
      </c>
      <c r="Y8" s="57" t="str">
        <f>VLOOKUP('北段 (人資版)'!Y8,'工作表1'!$A$3:$B$78,2,FALSE)</f>
        <v>#REF!</v>
      </c>
      <c r="Z8" s="57" t="str">
        <f>VLOOKUP('北段 (人資版)'!Z8,'工作表1'!$A$3:$B$78,2,FALSE)</f>
        <v>#REF!</v>
      </c>
      <c r="AA8" s="57" t="str">
        <f>VLOOKUP('北段 (人資版)'!AA8,'工作表1'!$A$3:$B$78,2,FALSE)</f>
        <v>#REF!</v>
      </c>
      <c r="AB8" s="57" t="str">
        <f>VLOOKUP('北段 (人資版)'!AB8,'工作表1'!$A$3:$B$78,2,FALSE)</f>
        <v>#REF!</v>
      </c>
      <c r="AC8" s="57" t="str">
        <f>VLOOKUP('北段 (人資版)'!AC8,'工作表1'!$A$3:$B$78,2,FALSE)</f>
        <v>#REF!</v>
      </c>
      <c r="AD8" s="57" t="str">
        <f>VLOOKUP('北段 (人資版)'!AD8,'工作表1'!$A$3:$B$78,2,FALSE)</f>
        <v>#REF!</v>
      </c>
      <c r="AE8" s="57" t="str">
        <f>VLOOKUP('北段 (人資版)'!AE8,'工作表1'!$A$3:$B$78,2,FALSE)</f>
        <v>#REF!</v>
      </c>
      <c r="AF8" s="57" t="str">
        <f>VLOOKUP('北段 (人資版)'!AF8,'工作表1'!$A$3:$B$78,2,FALSE)</f>
        <v>#REF!</v>
      </c>
      <c r="AG8" s="57" t="str">
        <f>VLOOKUP('北段 (人資版)'!AG8,'工作表1'!$A$3:$B$78,2,FALSE)</f>
        <v>#REF!</v>
      </c>
      <c r="AH8" s="57" t="str">
        <f>VLOOKUP('北段 (人資版)'!AH8,'工作表1'!$A$3:$B$78,2,FALSE)</f>
        <v>#ERROR!</v>
      </c>
      <c r="AI8" s="57" t="str">
        <f>VLOOKUP('北段 (人資版)'!AI8,'工作表1'!$A$3:$B$78,2,FALSE)</f>
        <v>#ERROR!</v>
      </c>
      <c r="AJ8" s="57" t="str">
        <f>VLOOKUP('北段 (人資版)'!AJ8,'工作表1'!$A$3:$B$78,2,FALSE)</f>
        <v>#ERROR!</v>
      </c>
      <c r="AK8" s="57" t="str">
        <f>VLOOKUP('北段 (人資版)'!AK8,'工作表1'!$A$3:$B$78,2,FALSE)</f>
        <v>#ERROR!</v>
      </c>
      <c r="AL8" s="57" t="str">
        <f>VLOOKUP('北段 (人資版)'!AL8,'工作表1'!$A$3:$B$78,2,FALSE)</f>
        <v>#ERROR!</v>
      </c>
      <c r="AM8" s="57" t="str">
        <f>VLOOKUP('北段 (人資版)'!AM8,'工作表1'!$A$3:$B$78,2,FALSE)</f>
        <v>#ERROR!</v>
      </c>
      <c r="AN8" s="57" t="str">
        <f>VLOOKUP('北段 (人資版)'!AN8,'工作表1'!$A$3:$B$78,2,FALSE)</f>
        <v>#ERROR!</v>
      </c>
    </row>
    <row r="9" ht="39.0" customHeight="1">
      <c r="A9" s="192"/>
      <c r="B9" s="57" t="str">
        <f t="shared" si="2"/>
        <v>#REF!</v>
      </c>
      <c r="C9" s="57" t="str">
        <f>VLOOKUP(B9,'北段'!B:C,2,FALSE)</f>
        <v>#REF!</v>
      </c>
      <c r="D9" s="57" t="str">
        <f>VLOOKUP('北段 (人資版)'!D9,'工作表1'!$A$3:$B$78,2,FALSE)</f>
        <v>#REF!</v>
      </c>
      <c r="E9" s="57" t="str">
        <f>VLOOKUP('北段 (人資版)'!E9,'工作表1'!$A$3:$B$78,2,FALSE)</f>
        <v>#REF!</v>
      </c>
      <c r="F9" s="57" t="str">
        <f>VLOOKUP('北段 (人資版)'!F9,'工作表1'!$A$3:$B$78,2,FALSE)</f>
        <v>#REF!</v>
      </c>
      <c r="G9" s="57" t="str">
        <f>VLOOKUP('北段 (人資版)'!G9,'工作表1'!$A$3:$B$78,2,FALSE)</f>
        <v>#REF!</v>
      </c>
      <c r="H9" s="57" t="str">
        <f>VLOOKUP('北段 (人資版)'!H9,'工作表1'!$A$3:$B$78,2,FALSE)</f>
        <v>#REF!</v>
      </c>
      <c r="I9" s="57" t="str">
        <f>VLOOKUP('北段 (人資版)'!I9,'工作表1'!$A$3:$B$78,2,FALSE)</f>
        <v>#REF!</v>
      </c>
      <c r="J9" s="57" t="str">
        <f>VLOOKUP('北段 (人資版)'!J9,'工作表1'!$A$3:$B$78,2,FALSE)</f>
        <v>#REF!</v>
      </c>
      <c r="K9" s="57" t="str">
        <f>VLOOKUP('北段 (人資版)'!K9,'工作表1'!$A$3:$B$78,2,FALSE)</f>
        <v>#REF!</v>
      </c>
      <c r="L9" s="57" t="str">
        <f>VLOOKUP('北段 (人資版)'!L9,'工作表1'!$A$3:$B$78,2,FALSE)</f>
        <v>#REF!</v>
      </c>
      <c r="M9" s="57" t="str">
        <f>VLOOKUP('北段 (人資版)'!M9,'工作表1'!$A$3:$B$78,2,FALSE)</f>
        <v>#REF!</v>
      </c>
      <c r="N9" s="57" t="str">
        <f>VLOOKUP('北段 (人資版)'!N9,'工作表1'!$A$3:$B$78,2,FALSE)</f>
        <v>#REF!</v>
      </c>
      <c r="O9" s="57" t="str">
        <f>VLOOKUP('北段 (人資版)'!O9,'工作表1'!$A$3:$B$78,2,FALSE)</f>
        <v>#REF!</v>
      </c>
      <c r="P9" s="57" t="str">
        <f>VLOOKUP('北段 (人資版)'!P9,'工作表1'!$A$3:$B$78,2,FALSE)</f>
        <v>#REF!</v>
      </c>
      <c r="Q9" s="57" t="str">
        <f>VLOOKUP('北段 (人資版)'!Q9,'工作表1'!$A$3:$B$78,2,FALSE)</f>
        <v>#REF!</v>
      </c>
      <c r="R9" s="57" t="str">
        <f>VLOOKUP('北段 (人資版)'!R9,'工作表1'!$A$3:$B$78,2,FALSE)</f>
        <v>#REF!</v>
      </c>
      <c r="S9" s="57" t="str">
        <f>VLOOKUP('北段 (人資版)'!S9,'工作表1'!$A$3:$B$78,2,FALSE)</f>
        <v>#REF!</v>
      </c>
      <c r="T9" s="57" t="str">
        <f>VLOOKUP('北段 (人資版)'!T9,'工作表1'!$A$3:$B$78,2,FALSE)</f>
        <v>#REF!</v>
      </c>
      <c r="U9" s="57" t="str">
        <f>VLOOKUP('北段 (人資版)'!U9,'工作表1'!$A$3:$B$78,2,FALSE)</f>
        <v>#REF!</v>
      </c>
      <c r="V9" s="57" t="str">
        <f>VLOOKUP('北段 (人資版)'!V9,'工作表1'!$A$3:$B$78,2,FALSE)</f>
        <v>#REF!</v>
      </c>
      <c r="W9" s="57" t="str">
        <f>VLOOKUP('北段 (人資版)'!W9,'工作表1'!$A$3:$B$78,2,FALSE)</f>
        <v>#REF!</v>
      </c>
      <c r="X9" s="57" t="str">
        <f>VLOOKUP('北段 (人資版)'!X9,'工作表1'!$A$3:$B$78,2,FALSE)</f>
        <v>#REF!</v>
      </c>
      <c r="Y9" s="57" t="str">
        <f>VLOOKUP('北段 (人資版)'!Y9,'工作表1'!$A$3:$B$78,2,FALSE)</f>
        <v>#REF!</v>
      </c>
      <c r="Z9" s="57" t="str">
        <f>VLOOKUP('北段 (人資版)'!Z9,'工作表1'!$A$3:$B$78,2,FALSE)</f>
        <v>#REF!</v>
      </c>
      <c r="AA9" s="57" t="str">
        <f>VLOOKUP('北段 (人資版)'!AA9,'工作表1'!$A$3:$B$78,2,FALSE)</f>
        <v>#REF!</v>
      </c>
      <c r="AB9" s="57" t="str">
        <f>VLOOKUP('北段 (人資版)'!AB9,'工作表1'!$A$3:$B$78,2,FALSE)</f>
        <v>#REF!</v>
      </c>
      <c r="AC9" s="57" t="str">
        <f>VLOOKUP('北段 (人資版)'!AC9,'工作表1'!$A$3:$B$78,2,FALSE)</f>
        <v>#REF!</v>
      </c>
      <c r="AD9" s="57" t="str">
        <f>VLOOKUP('北段 (人資版)'!AD9,'工作表1'!$A$3:$B$78,2,FALSE)</f>
        <v>#REF!</v>
      </c>
      <c r="AE9" s="57" t="str">
        <f>VLOOKUP('北段 (人資版)'!AE9,'工作表1'!$A$3:$B$78,2,FALSE)</f>
        <v>#REF!</v>
      </c>
      <c r="AF9" s="57" t="str">
        <f>VLOOKUP('北段 (人資版)'!AF9,'工作表1'!$A$3:$B$78,2,FALSE)</f>
        <v>#REF!</v>
      </c>
      <c r="AG9" s="57" t="str">
        <f>VLOOKUP('北段 (人資版)'!AG9,'工作表1'!$A$3:$B$78,2,FALSE)</f>
        <v>#REF!</v>
      </c>
      <c r="AH9" s="57" t="str">
        <f>VLOOKUP('北段 (人資版)'!AH9,'工作表1'!$A$3:$B$78,2,FALSE)</f>
        <v>#ERROR!</v>
      </c>
      <c r="AI9" s="57" t="str">
        <f>VLOOKUP('北段 (人資版)'!AI9,'工作表1'!$A$3:$B$78,2,FALSE)</f>
        <v>#ERROR!</v>
      </c>
      <c r="AJ9" s="57" t="str">
        <f>VLOOKUP('北段 (人資版)'!AJ9,'工作表1'!$A$3:$B$78,2,FALSE)</f>
        <v>#ERROR!</v>
      </c>
      <c r="AK9" s="57" t="str">
        <f>VLOOKUP('北段 (人資版)'!AK9,'工作表1'!$A$3:$B$78,2,FALSE)</f>
        <v>#ERROR!</v>
      </c>
      <c r="AL9" s="57" t="str">
        <f>VLOOKUP('北段 (人資版)'!AL9,'工作表1'!$A$3:$B$78,2,FALSE)</f>
        <v>#ERROR!</v>
      </c>
      <c r="AM9" s="57" t="str">
        <f>VLOOKUP('北段 (人資版)'!AM9,'工作表1'!$A$3:$B$78,2,FALSE)</f>
        <v>#ERROR!</v>
      </c>
      <c r="AN9" s="57" t="str">
        <f>VLOOKUP('北段 (人資版)'!AN9,'工作表1'!$A$3:$B$78,2,FALSE)</f>
        <v>#ERROR!</v>
      </c>
    </row>
    <row r="10" ht="39.0" customHeight="1">
      <c r="A10" s="192"/>
      <c r="B10" s="57" t="str">
        <f t="shared" si="2"/>
        <v>#REF!</v>
      </c>
      <c r="C10" s="57" t="str">
        <f>VLOOKUP(B10,'北段'!B:C,2,FALSE)</f>
        <v>#REF!</v>
      </c>
      <c r="D10" s="57" t="str">
        <f>VLOOKUP('北段 (人資版)'!D10,'工作表1'!$A$3:$B$78,2,FALSE)</f>
        <v>#REF!</v>
      </c>
      <c r="E10" s="57" t="str">
        <f>VLOOKUP('北段 (人資版)'!E10,'工作表1'!$A$3:$B$78,2,FALSE)</f>
        <v>#REF!</v>
      </c>
      <c r="F10" s="57" t="str">
        <f>VLOOKUP('北段 (人資版)'!F10,'工作表1'!$A$3:$B$78,2,FALSE)</f>
        <v>#REF!</v>
      </c>
      <c r="G10" s="57" t="str">
        <f>VLOOKUP('北段 (人資版)'!G10,'工作表1'!$A$3:$B$78,2,FALSE)</f>
        <v>#REF!</v>
      </c>
      <c r="H10" s="57" t="str">
        <f>VLOOKUP('北段 (人資版)'!H10,'工作表1'!$A$3:$B$78,2,FALSE)</f>
        <v>#REF!</v>
      </c>
      <c r="I10" s="57" t="str">
        <f>VLOOKUP('北段 (人資版)'!I10,'工作表1'!$A$3:$B$78,2,FALSE)</f>
        <v>#REF!</v>
      </c>
      <c r="J10" s="57" t="str">
        <f>VLOOKUP('北段 (人資版)'!J10,'工作表1'!$A$3:$B$78,2,FALSE)</f>
        <v>#REF!</v>
      </c>
      <c r="K10" s="57" t="str">
        <f>VLOOKUP('北段 (人資版)'!K10,'工作表1'!$A$3:$B$78,2,FALSE)</f>
        <v>#REF!</v>
      </c>
      <c r="L10" s="57" t="str">
        <f>VLOOKUP('北段 (人資版)'!L10,'工作表1'!$A$3:$B$78,2,FALSE)</f>
        <v>#REF!</v>
      </c>
      <c r="M10" s="57" t="str">
        <f>VLOOKUP('北段 (人資版)'!M10,'工作表1'!$A$3:$B$78,2,FALSE)</f>
        <v>#REF!</v>
      </c>
      <c r="N10" s="57" t="str">
        <f>VLOOKUP('北段 (人資版)'!N10,'工作表1'!$A$3:$B$78,2,FALSE)</f>
        <v>#REF!</v>
      </c>
      <c r="O10" s="57" t="str">
        <f>VLOOKUP('北段 (人資版)'!O10,'工作表1'!$A$3:$B$78,2,FALSE)</f>
        <v>#REF!</v>
      </c>
      <c r="P10" s="57" t="str">
        <f>VLOOKUP('北段 (人資版)'!P10,'工作表1'!$A$3:$B$78,2,FALSE)</f>
        <v>#REF!</v>
      </c>
      <c r="Q10" s="57" t="str">
        <f>VLOOKUP('北段 (人資版)'!Q10,'工作表1'!$A$3:$B$78,2,FALSE)</f>
        <v>#REF!</v>
      </c>
      <c r="R10" s="57" t="str">
        <f>VLOOKUP('北段 (人資版)'!R10,'工作表1'!$A$3:$B$78,2,FALSE)</f>
        <v>#REF!</v>
      </c>
      <c r="S10" s="57" t="str">
        <f>VLOOKUP('北段 (人資版)'!S10,'工作表1'!$A$3:$B$78,2,FALSE)</f>
        <v>#REF!</v>
      </c>
      <c r="T10" s="57" t="str">
        <f>VLOOKUP('北段 (人資版)'!T10,'工作表1'!$A$3:$B$78,2,FALSE)</f>
        <v>#REF!</v>
      </c>
      <c r="U10" s="57" t="str">
        <f>VLOOKUP('北段 (人資版)'!U10,'工作表1'!$A$3:$B$78,2,FALSE)</f>
        <v>#REF!</v>
      </c>
      <c r="V10" s="57" t="str">
        <f>VLOOKUP('北段 (人資版)'!V10,'工作表1'!$A$3:$B$78,2,FALSE)</f>
        <v>#REF!</v>
      </c>
      <c r="W10" s="57" t="str">
        <f>VLOOKUP('北段 (人資版)'!W10,'工作表1'!$A$3:$B$78,2,FALSE)</f>
        <v>#REF!</v>
      </c>
      <c r="X10" s="57" t="str">
        <f>VLOOKUP('北段 (人資版)'!X10,'工作表1'!$A$3:$B$78,2,FALSE)</f>
        <v>#REF!</v>
      </c>
      <c r="Y10" s="57" t="str">
        <f>VLOOKUP('北段 (人資版)'!Y10,'工作表1'!$A$3:$B$78,2,FALSE)</f>
        <v>#REF!</v>
      </c>
      <c r="Z10" s="57" t="str">
        <f>VLOOKUP('北段 (人資版)'!Z10,'工作表1'!$A$3:$B$78,2,FALSE)</f>
        <v>#REF!</v>
      </c>
      <c r="AA10" s="57" t="str">
        <f>VLOOKUP('北段 (人資版)'!AA10,'工作表1'!$A$3:$B$78,2,FALSE)</f>
        <v>#REF!</v>
      </c>
      <c r="AB10" s="57" t="str">
        <f>VLOOKUP('北段 (人資版)'!AB10,'工作表1'!$A$3:$B$78,2,FALSE)</f>
        <v>#REF!</v>
      </c>
      <c r="AC10" s="57" t="str">
        <f>VLOOKUP('北段 (人資版)'!AC10,'工作表1'!$A$3:$B$78,2,FALSE)</f>
        <v>#REF!</v>
      </c>
      <c r="AD10" s="57" t="str">
        <f>VLOOKUP('北段 (人資版)'!AD10,'工作表1'!$A$3:$B$78,2,FALSE)</f>
        <v>#REF!</v>
      </c>
      <c r="AE10" s="57" t="str">
        <f>VLOOKUP('北段 (人資版)'!AE10,'工作表1'!$A$3:$B$78,2,FALSE)</f>
        <v>#REF!</v>
      </c>
      <c r="AF10" s="57" t="str">
        <f>VLOOKUP('北段 (人資版)'!AF10,'工作表1'!$A$3:$B$78,2,FALSE)</f>
        <v>#REF!</v>
      </c>
      <c r="AG10" s="57" t="str">
        <f>VLOOKUP('北段 (人資版)'!AG10,'工作表1'!$A$3:$B$78,2,FALSE)</f>
        <v>#REF!</v>
      </c>
      <c r="AH10" s="57" t="str">
        <f>VLOOKUP('北段 (人資版)'!AH10,'工作表1'!$A$3:$B$78,2,FALSE)</f>
        <v>#ERROR!</v>
      </c>
      <c r="AI10" s="57" t="str">
        <f>VLOOKUP('北段 (人資版)'!AI10,'工作表1'!$A$3:$B$78,2,FALSE)</f>
        <v>#ERROR!</v>
      </c>
      <c r="AJ10" s="57" t="str">
        <f>VLOOKUP('北段 (人資版)'!AJ10,'工作表1'!$A$3:$B$78,2,FALSE)</f>
        <v>#ERROR!</v>
      </c>
      <c r="AK10" s="57" t="str">
        <f>VLOOKUP('北段 (人資版)'!AK10,'工作表1'!$A$3:$B$78,2,FALSE)</f>
        <v>#ERROR!</v>
      </c>
      <c r="AL10" s="57" t="str">
        <f>VLOOKUP('北段 (人資版)'!AL10,'工作表1'!$A$3:$B$78,2,FALSE)</f>
        <v>#ERROR!</v>
      </c>
      <c r="AM10" s="57" t="str">
        <f>VLOOKUP('北段 (人資版)'!AM10,'工作表1'!$A$3:$B$78,2,FALSE)</f>
        <v>#ERROR!</v>
      </c>
      <c r="AN10" s="57" t="str">
        <f>VLOOKUP('北段 (人資版)'!AN10,'工作表1'!$A$3:$B$78,2,FALSE)</f>
        <v>#ERROR!</v>
      </c>
    </row>
    <row r="11" ht="39.0" customHeight="1">
      <c r="A11" s="192"/>
      <c r="B11" s="57" t="str">
        <f t="shared" si="2"/>
        <v>#REF!</v>
      </c>
      <c r="C11" s="57" t="str">
        <f>VLOOKUP(B11,'北段'!B:C,2,FALSE)</f>
        <v>#REF!</v>
      </c>
      <c r="D11" s="57" t="str">
        <f>VLOOKUP('北段 (人資版)'!D11,'工作表1'!$A$3:$B$78,2,FALSE)</f>
        <v>#REF!</v>
      </c>
      <c r="E11" s="57" t="str">
        <f>VLOOKUP('北段 (人資版)'!E11,'工作表1'!$A$3:$B$78,2,FALSE)</f>
        <v>#REF!</v>
      </c>
      <c r="F11" s="57" t="str">
        <f>VLOOKUP('北段 (人資版)'!F11,'工作表1'!$A$3:$B$78,2,FALSE)</f>
        <v>#REF!</v>
      </c>
      <c r="G11" s="57" t="str">
        <f>VLOOKUP('北段 (人資版)'!G11,'工作表1'!$A$3:$B$78,2,FALSE)</f>
        <v>#REF!</v>
      </c>
      <c r="H11" s="57" t="str">
        <f>VLOOKUP('北段 (人資版)'!H11,'工作表1'!$A$3:$B$78,2,FALSE)</f>
        <v>#REF!</v>
      </c>
      <c r="I11" s="57" t="str">
        <f>VLOOKUP('北段 (人資版)'!I11,'工作表1'!$A$3:$B$78,2,FALSE)</f>
        <v>#REF!</v>
      </c>
      <c r="J11" s="57" t="str">
        <f>VLOOKUP('北段 (人資版)'!J11,'工作表1'!$A$3:$B$78,2,FALSE)</f>
        <v>#REF!</v>
      </c>
      <c r="K11" s="57" t="str">
        <f>VLOOKUP('北段 (人資版)'!K11,'工作表1'!$A$3:$B$78,2,FALSE)</f>
        <v>#REF!</v>
      </c>
      <c r="L11" s="57" t="str">
        <f>VLOOKUP('北段 (人資版)'!L11,'工作表1'!$A$3:$B$78,2,FALSE)</f>
        <v>#REF!</v>
      </c>
      <c r="M11" s="57" t="str">
        <f>VLOOKUP('北段 (人資版)'!M11,'工作表1'!$A$3:$B$78,2,FALSE)</f>
        <v>#REF!</v>
      </c>
      <c r="N11" s="57" t="str">
        <f>VLOOKUP('北段 (人資版)'!N11,'工作表1'!$A$3:$B$78,2,FALSE)</f>
        <v>#REF!</v>
      </c>
      <c r="O11" s="57" t="str">
        <f>VLOOKUP('北段 (人資版)'!O11,'工作表1'!$A$3:$B$78,2,FALSE)</f>
        <v>#REF!</v>
      </c>
      <c r="P11" s="57" t="str">
        <f>VLOOKUP('北段 (人資版)'!P11,'工作表1'!$A$3:$B$78,2,FALSE)</f>
        <v>#REF!</v>
      </c>
      <c r="Q11" s="57" t="str">
        <f>VLOOKUP('北段 (人資版)'!Q11,'工作表1'!$A$3:$B$78,2,FALSE)</f>
        <v>#REF!</v>
      </c>
      <c r="R11" s="57" t="str">
        <f>VLOOKUP('北段 (人資版)'!R11,'工作表1'!$A$3:$B$78,2,FALSE)</f>
        <v>#REF!</v>
      </c>
      <c r="S11" s="57" t="str">
        <f>VLOOKUP('北段 (人資版)'!S11,'工作表1'!$A$3:$B$78,2,FALSE)</f>
        <v>#REF!</v>
      </c>
      <c r="T11" s="57" t="str">
        <f>VLOOKUP('北段 (人資版)'!T11,'工作表1'!$A$3:$B$78,2,FALSE)</f>
        <v>#REF!</v>
      </c>
      <c r="U11" s="57" t="str">
        <f>VLOOKUP('北段 (人資版)'!U11,'工作表1'!$A$3:$B$78,2,FALSE)</f>
        <v>#REF!</v>
      </c>
      <c r="V11" s="57" t="str">
        <f>VLOOKUP('北段 (人資版)'!V11,'工作表1'!$A$3:$B$78,2,FALSE)</f>
        <v>#REF!</v>
      </c>
      <c r="W11" s="57" t="str">
        <f>VLOOKUP('北段 (人資版)'!W11,'工作表1'!$A$3:$B$78,2,FALSE)</f>
        <v>#REF!</v>
      </c>
      <c r="X11" s="57" t="str">
        <f>VLOOKUP('北段 (人資版)'!X11,'工作表1'!$A$3:$B$78,2,FALSE)</f>
        <v>#REF!</v>
      </c>
      <c r="Y11" s="57" t="str">
        <f>VLOOKUP('北段 (人資版)'!Y11,'工作表1'!$A$3:$B$78,2,FALSE)</f>
        <v>#REF!</v>
      </c>
      <c r="Z11" s="57" t="str">
        <f>VLOOKUP('北段 (人資版)'!Z11,'工作表1'!$A$3:$B$78,2,FALSE)</f>
        <v>#REF!</v>
      </c>
      <c r="AA11" s="57" t="str">
        <f>VLOOKUP('北段 (人資版)'!AA11,'工作表1'!$A$3:$B$78,2,FALSE)</f>
        <v>#REF!</v>
      </c>
      <c r="AB11" s="57" t="str">
        <f>VLOOKUP('北段 (人資版)'!AB11,'工作表1'!$A$3:$B$78,2,FALSE)</f>
        <v>#REF!</v>
      </c>
      <c r="AC11" s="57" t="str">
        <f>VLOOKUP('北段 (人資版)'!AC11,'工作表1'!$A$3:$B$78,2,FALSE)</f>
        <v>#REF!</v>
      </c>
      <c r="AD11" s="57" t="str">
        <f>VLOOKUP('北段 (人資版)'!AD11,'工作表1'!$A$3:$B$78,2,FALSE)</f>
        <v>#REF!</v>
      </c>
      <c r="AE11" s="57" t="str">
        <f>VLOOKUP('北段 (人資版)'!AE11,'工作表1'!$A$3:$B$78,2,FALSE)</f>
        <v>#REF!</v>
      </c>
      <c r="AF11" s="57" t="str">
        <f>VLOOKUP('北段 (人資版)'!AF11,'工作表1'!$A$3:$B$78,2,FALSE)</f>
        <v>#REF!</v>
      </c>
      <c r="AG11" s="57" t="str">
        <f>VLOOKUP('北段 (人資版)'!AG11,'工作表1'!$A$3:$B$78,2,FALSE)</f>
        <v>#REF!</v>
      </c>
      <c r="AH11" s="57" t="str">
        <f>VLOOKUP('北段 (人資版)'!AH11,'工作表1'!$A$3:$B$78,2,FALSE)</f>
        <v>#ERROR!</v>
      </c>
      <c r="AI11" s="57" t="str">
        <f>VLOOKUP('北段 (人資版)'!AI11,'工作表1'!$A$3:$B$78,2,FALSE)</f>
        <v>#ERROR!</v>
      </c>
      <c r="AJ11" s="57" t="str">
        <f>VLOOKUP('北段 (人資版)'!AJ11,'工作表1'!$A$3:$B$78,2,FALSE)</f>
        <v>#ERROR!</v>
      </c>
      <c r="AK11" s="57" t="str">
        <f>VLOOKUP('北段 (人資版)'!AK11,'工作表1'!$A$3:$B$78,2,FALSE)</f>
        <v>#ERROR!</v>
      </c>
      <c r="AL11" s="57" t="str">
        <f>VLOOKUP('北段 (人資版)'!AL11,'工作表1'!$A$3:$B$78,2,FALSE)</f>
        <v>#ERROR!</v>
      </c>
      <c r="AM11" s="57" t="str">
        <f>VLOOKUP('北段 (人資版)'!AM11,'工作表1'!$A$3:$B$78,2,FALSE)</f>
        <v>#ERROR!</v>
      </c>
      <c r="AN11" s="57" t="str">
        <f>VLOOKUP('北段 (人資版)'!AN11,'工作表1'!$A$3:$B$78,2,FALSE)</f>
        <v>#ERROR!</v>
      </c>
    </row>
    <row r="12" ht="39.75" customHeight="1">
      <c r="A12" s="160"/>
      <c r="B12" s="57" t="str">
        <f t="shared" si="2"/>
        <v>#REF!</v>
      </c>
      <c r="C12" s="57" t="str">
        <f>VLOOKUP(B12,'北段'!B:C,2,FALSE)</f>
        <v>#REF!</v>
      </c>
      <c r="D12" s="57" t="str">
        <f>VLOOKUP('北段 (人資版)'!D12,'工作表1'!$A$3:$B$78,2,FALSE)</f>
        <v>#REF!</v>
      </c>
      <c r="E12" s="57" t="str">
        <f>VLOOKUP('北段 (人資版)'!E12,'工作表1'!$A$3:$B$78,2,FALSE)</f>
        <v>#REF!</v>
      </c>
      <c r="F12" s="57" t="str">
        <f>VLOOKUP('北段 (人資版)'!F12,'工作表1'!$A$3:$B$78,2,FALSE)</f>
        <v>#REF!</v>
      </c>
      <c r="G12" s="57" t="str">
        <f>VLOOKUP('北段 (人資版)'!G12,'工作表1'!$A$3:$B$78,2,FALSE)</f>
        <v>#REF!</v>
      </c>
      <c r="H12" s="57" t="str">
        <f>VLOOKUP('北段 (人資版)'!H12,'工作表1'!$A$3:$B$78,2,FALSE)</f>
        <v>#REF!</v>
      </c>
      <c r="I12" s="57" t="str">
        <f>VLOOKUP('北段 (人資版)'!I12,'工作表1'!$A$3:$B$78,2,FALSE)</f>
        <v>#REF!</v>
      </c>
      <c r="J12" s="57" t="str">
        <f>VLOOKUP('北段 (人資版)'!J12,'工作表1'!$A$3:$B$78,2,FALSE)</f>
        <v>#REF!</v>
      </c>
      <c r="K12" s="57" t="str">
        <f>VLOOKUP('北段 (人資版)'!K12,'工作表1'!$A$3:$B$78,2,FALSE)</f>
        <v>#REF!</v>
      </c>
      <c r="L12" s="57" t="str">
        <f>VLOOKUP('北段 (人資版)'!L12,'工作表1'!$A$3:$B$78,2,FALSE)</f>
        <v>#REF!</v>
      </c>
      <c r="M12" s="57" t="str">
        <f>VLOOKUP('北段 (人資版)'!M12,'工作表1'!$A$3:$B$78,2,FALSE)</f>
        <v>#REF!</v>
      </c>
      <c r="N12" s="57" t="str">
        <f>VLOOKUP('北段 (人資版)'!N12,'工作表1'!$A$3:$B$78,2,FALSE)</f>
        <v>#REF!</v>
      </c>
      <c r="O12" s="57" t="str">
        <f>VLOOKUP('北段 (人資版)'!O12,'工作表1'!$A$3:$B$78,2,FALSE)</f>
        <v>#REF!</v>
      </c>
      <c r="P12" s="57" t="str">
        <f>VLOOKUP('北段 (人資版)'!P12,'工作表1'!$A$3:$B$78,2,FALSE)</f>
        <v>#REF!</v>
      </c>
      <c r="Q12" s="57" t="str">
        <f>VLOOKUP('北段 (人資版)'!Q12,'工作表1'!$A$3:$B$78,2,FALSE)</f>
        <v>#REF!</v>
      </c>
      <c r="R12" s="57" t="str">
        <f>VLOOKUP('北段 (人資版)'!R12,'工作表1'!$A$3:$B$78,2,FALSE)</f>
        <v>#REF!</v>
      </c>
      <c r="S12" s="57" t="str">
        <f>VLOOKUP('北段 (人資版)'!S12,'工作表1'!$A$3:$B$78,2,FALSE)</f>
        <v>#REF!</v>
      </c>
      <c r="T12" s="57" t="str">
        <f>VLOOKUP('北段 (人資版)'!T12,'工作表1'!$A$3:$B$78,2,FALSE)</f>
        <v>#REF!</v>
      </c>
      <c r="U12" s="57" t="str">
        <f>VLOOKUP('北段 (人資版)'!U12,'工作表1'!$A$3:$B$78,2,FALSE)</f>
        <v>#REF!</v>
      </c>
      <c r="V12" s="57" t="str">
        <f>VLOOKUP('北段 (人資版)'!V12,'工作表1'!$A$3:$B$78,2,FALSE)</f>
        <v>#REF!</v>
      </c>
      <c r="W12" s="57" t="str">
        <f>VLOOKUP('北段 (人資版)'!W12,'工作表1'!$A$3:$B$78,2,FALSE)</f>
        <v>#REF!</v>
      </c>
      <c r="X12" s="57" t="str">
        <f>VLOOKUP('北段 (人資版)'!X12,'工作表1'!$A$3:$B$78,2,FALSE)</f>
        <v>#REF!</v>
      </c>
      <c r="Y12" s="57" t="str">
        <f>VLOOKUP('北段 (人資版)'!Y12,'工作表1'!$A$3:$B$78,2,FALSE)</f>
        <v>#REF!</v>
      </c>
      <c r="Z12" s="57" t="str">
        <f>VLOOKUP('北段 (人資版)'!Z12,'工作表1'!$A$3:$B$78,2,FALSE)</f>
        <v>#REF!</v>
      </c>
      <c r="AA12" s="57" t="str">
        <f>VLOOKUP('北段 (人資版)'!AA12,'工作表1'!$A$3:$B$78,2,FALSE)</f>
        <v>#REF!</v>
      </c>
      <c r="AB12" s="57" t="str">
        <f>VLOOKUP('北段 (人資版)'!AB12,'工作表1'!$A$3:$B$78,2,FALSE)</f>
        <v>#REF!</v>
      </c>
      <c r="AC12" s="57" t="str">
        <f>VLOOKUP('北段 (人資版)'!AC12,'工作表1'!$A$3:$B$78,2,FALSE)</f>
        <v>#REF!</v>
      </c>
      <c r="AD12" s="57" t="str">
        <f>VLOOKUP('北段 (人資版)'!AD12,'工作表1'!$A$3:$B$78,2,FALSE)</f>
        <v>#REF!</v>
      </c>
      <c r="AE12" s="57" t="str">
        <f>VLOOKUP('北段 (人資版)'!AE12,'工作表1'!$A$3:$B$78,2,FALSE)</f>
        <v>#REF!</v>
      </c>
      <c r="AF12" s="57" t="str">
        <f>VLOOKUP('北段 (人資版)'!AF12,'工作表1'!$A$3:$B$78,2,FALSE)</f>
        <v>#REF!</v>
      </c>
      <c r="AG12" s="57" t="str">
        <f>VLOOKUP('北段 (人資版)'!AG12,'工作表1'!$A$3:$B$78,2,FALSE)</f>
        <v>#REF!</v>
      </c>
      <c r="AH12" s="57" t="str">
        <f>VLOOKUP('北段 (人資版)'!AH12,'工作表1'!$A$3:$B$78,2,FALSE)</f>
        <v>#ERROR!</v>
      </c>
      <c r="AI12" s="57" t="str">
        <f>VLOOKUP('北段 (人資版)'!AI12,'工作表1'!$A$3:$B$78,2,FALSE)</f>
        <v>#ERROR!</v>
      </c>
      <c r="AJ12" s="57" t="str">
        <f>VLOOKUP('北段 (人資版)'!AJ12,'工作表1'!$A$3:$B$78,2,FALSE)</f>
        <v>#ERROR!</v>
      </c>
      <c r="AK12" s="57" t="str">
        <f>VLOOKUP('北段 (人資版)'!AK12,'工作表1'!$A$3:$B$78,2,FALSE)</f>
        <v>#ERROR!</v>
      </c>
      <c r="AL12" s="57" t="str">
        <f>VLOOKUP('北段 (人資版)'!AL12,'工作表1'!$A$3:$B$78,2,FALSE)</f>
        <v>#ERROR!</v>
      </c>
      <c r="AM12" s="57" t="str">
        <f>VLOOKUP('北段 (人資版)'!AM12,'工作表1'!$A$3:$B$78,2,FALSE)</f>
        <v>#ERROR!</v>
      </c>
      <c r="AN12" s="57" t="str">
        <f>VLOOKUP('北段 (人資版)'!AN12,'工作表1'!$A$3:$B$78,2,FALSE)</f>
        <v>#ERROR!</v>
      </c>
    </row>
    <row r="13" ht="39.75" customHeight="1">
      <c r="A13" s="43" t="s">
        <v>32</v>
      </c>
      <c r="B13" s="57" t="str">
        <f>北段!#REF!</f>
        <v>#ERROR!</v>
      </c>
      <c r="C13" s="57" t="str">
        <f>VLOOKUP(B13,'北段'!B:C,2,FALSE)</f>
        <v>#ERROR!</v>
      </c>
      <c r="D13" s="57" t="str">
        <f>VLOOKUP('北段 (人資版)'!D13,'工作表1'!$A$3:$B$78,2,FALSE)</f>
        <v>#ERROR!</v>
      </c>
      <c r="E13" s="57" t="str">
        <f>VLOOKUP('北段 (人資版)'!E13,'工作表1'!$A$3:$B$78,2,FALSE)</f>
        <v>#ERROR!</v>
      </c>
      <c r="F13" s="57" t="str">
        <f>VLOOKUP('北段 (人資版)'!F13,'工作表1'!$A$3:$B$78,2,FALSE)</f>
        <v>#ERROR!</v>
      </c>
      <c r="G13" s="57" t="str">
        <f>VLOOKUP('北段 (人資版)'!G13,'工作表1'!$A$3:$B$78,2,FALSE)</f>
        <v>#ERROR!</v>
      </c>
      <c r="H13" s="57" t="str">
        <f>VLOOKUP('北段 (人資版)'!H13,'工作表1'!$A$3:$B$78,2,FALSE)</f>
        <v>#ERROR!</v>
      </c>
      <c r="I13" s="57" t="str">
        <f>VLOOKUP('北段 (人資版)'!I13,'工作表1'!$A$3:$B$78,2,FALSE)</f>
        <v>#ERROR!</v>
      </c>
      <c r="J13" s="57" t="str">
        <f>VLOOKUP('北段 (人資版)'!J13,'工作表1'!$A$3:$B$78,2,FALSE)</f>
        <v>#ERROR!</v>
      </c>
      <c r="K13" s="57" t="str">
        <f>VLOOKUP('北段 (人資版)'!K13,'工作表1'!$A$3:$B$78,2,FALSE)</f>
        <v>#ERROR!</v>
      </c>
      <c r="L13" s="57" t="str">
        <f>VLOOKUP('北段 (人資版)'!L13,'工作表1'!$A$3:$B$78,2,FALSE)</f>
        <v>#ERROR!</v>
      </c>
      <c r="M13" s="57" t="str">
        <f>VLOOKUP('北段 (人資版)'!M13,'工作表1'!$A$3:$B$78,2,FALSE)</f>
        <v>#ERROR!</v>
      </c>
      <c r="N13" s="57" t="str">
        <f>VLOOKUP('北段 (人資版)'!N13,'工作表1'!$A$3:$B$78,2,FALSE)</f>
        <v>#ERROR!</v>
      </c>
      <c r="O13" s="57" t="str">
        <f>VLOOKUP('北段 (人資版)'!O13,'工作表1'!$A$3:$B$78,2,FALSE)</f>
        <v>#ERROR!</v>
      </c>
      <c r="P13" s="57" t="str">
        <f>VLOOKUP('北段 (人資版)'!P13,'工作表1'!$A$3:$B$78,2,FALSE)</f>
        <v>#ERROR!</v>
      </c>
      <c r="Q13" s="57" t="str">
        <f>VLOOKUP('北段 (人資版)'!Q13,'工作表1'!$A$3:$B$78,2,FALSE)</f>
        <v>#ERROR!</v>
      </c>
      <c r="R13" s="57" t="str">
        <f>VLOOKUP('北段 (人資版)'!R13,'工作表1'!$A$3:$B$78,2,FALSE)</f>
        <v>#ERROR!</v>
      </c>
      <c r="S13" s="57" t="str">
        <f>VLOOKUP('北段 (人資版)'!S13,'工作表1'!$A$3:$B$78,2,FALSE)</f>
        <v>#ERROR!</v>
      </c>
      <c r="T13" s="57" t="str">
        <f>VLOOKUP('北段 (人資版)'!T13,'工作表1'!$A$3:$B$78,2,FALSE)</f>
        <v>#ERROR!</v>
      </c>
      <c r="U13" s="57" t="str">
        <f>VLOOKUP('北段 (人資版)'!U13,'工作表1'!$A$3:$B$78,2,FALSE)</f>
        <v>#ERROR!</v>
      </c>
      <c r="V13" s="57" t="str">
        <f>VLOOKUP('北段 (人資版)'!V13,'工作表1'!$A$3:$B$78,2,FALSE)</f>
        <v>#ERROR!</v>
      </c>
      <c r="W13" s="57" t="str">
        <f>VLOOKUP('北段 (人資版)'!W13,'工作表1'!$A$3:$B$78,2,FALSE)</f>
        <v>#ERROR!</v>
      </c>
      <c r="X13" s="57" t="str">
        <f>VLOOKUP('北段 (人資版)'!X13,'工作表1'!$A$3:$B$78,2,FALSE)</f>
        <v>#ERROR!</v>
      </c>
      <c r="Y13" s="57" t="str">
        <f>VLOOKUP('北段 (人資版)'!Y13,'工作表1'!$A$3:$B$78,2,FALSE)</f>
        <v>#ERROR!</v>
      </c>
      <c r="Z13" s="57" t="str">
        <f>VLOOKUP('北段 (人資版)'!Z13,'工作表1'!$A$3:$B$78,2,FALSE)</f>
        <v>#ERROR!</v>
      </c>
      <c r="AA13" s="57" t="str">
        <f>VLOOKUP('北段 (人資版)'!AA13,'工作表1'!$A$3:$B$78,2,FALSE)</f>
        <v>#ERROR!</v>
      </c>
      <c r="AB13" s="57" t="str">
        <f>VLOOKUP('北段 (人資版)'!AB13,'工作表1'!$A$3:$B$78,2,FALSE)</f>
        <v>#ERROR!</v>
      </c>
      <c r="AC13" s="57" t="str">
        <f>VLOOKUP('北段 (人資版)'!AC13,'工作表1'!$A$3:$B$78,2,FALSE)</f>
        <v>#ERROR!</v>
      </c>
      <c r="AD13" s="57" t="str">
        <f>VLOOKUP('北段 (人資版)'!AD13,'工作表1'!$A$3:$B$78,2,FALSE)</f>
        <v>#ERROR!</v>
      </c>
      <c r="AE13" s="57" t="str">
        <f>VLOOKUP('北段 (人資版)'!AE13,'工作表1'!$A$3:$B$78,2,FALSE)</f>
        <v>#ERROR!</v>
      </c>
      <c r="AF13" s="57" t="str">
        <f>VLOOKUP('北段 (人資版)'!AF13,'工作表1'!$A$3:$B$78,2,FALSE)</f>
        <v>#ERROR!</v>
      </c>
      <c r="AG13" s="57" t="str">
        <f>VLOOKUP('北段 (人資版)'!AG13,'工作表1'!$A$3:$B$78,2,FALSE)</f>
        <v>#ERROR!</v>
      </c>
      <c r="AH13" s="57" t="str">
        <f>VLOOKUP('北段 (人資版)'!AH13,'工作表1'!$A$3:$B$78,2,FALSE)</f>
        <v>#ERROR!</v>
      </c>
      <c r="AI13" s="57" t="str">
        <f>VLOOKUP('北段 (人資版)'!AI13,'工作表1'!$A$3:$B$78,2,FALSE)</f>
        <v>#ERROR!</v>
      </c>
      <c r="AJ13" s="57" t="str">
        <f>VLOOKUP('北段 (人資版)'!AJ13,'工作表1'!$A$3:$B$78,2,FALSE)</f>
        <v>#ERROR!</v>
      </c>
      <c r="AK13" s="57" t="str">
        <f>VLOOKUP('北段 (人資版)'!AK13,'工作表1'!$A$3:$B$78,2,FALSE)</f>
        <v>#ERROR!</v>
      </c>
      <c r="AL13" s="57" t="str">
        <f>VLOOKUP('北段 (人資版)'!AL13,'工作表1'!$A$3:$B$78,2,FALSE)</f>
        <v>#ERROR!</v>
      </c>
      <c r="AM13" s="57" t="str">
        <f>VLOOKUP('北段 (人資版)'!AM13,'工作表1'!$A$3:$B$78,2,FALSE)</f>
        <v>#ERROR!</v>
      </c>
      <c r="AN13" s="57" t="str">
        <f>VLOOKUP('北段 (人資版)'!AN13,'工作表1'!$A$3:$B$78,2,FALSE)</f>
        <v>#ERROR!</v>
      </c>
    </row>
    <row r="14" ht="39.75" customHeight="1">
      <c r="A14" s="59"/>
      <c r="B14" s="57" t="str">
        <f>'北段'!B4</f>
        <v>T00509</v>
      </c>
      <c r="C14" s="57" t="str">
        <f>VLOOKUP(B14,'北段'!B:C,2,FALSE)</f>
        <v>郭秋儀</v>
      </c>
      <c r="D14" s="57">
        <f>VLOOKUP('北段 (人資版)'!D14,'工作表1'!$A$3:$B$78,2,FALSE)</f>
        <v>66</v>
      </c>
      <c r="E14" s="57">
        <f>VLOOKUP('北段 (人資版)'!E14,'工作表1'!$A$3:$B$78,2,FALSE)</f>
        <v>66</v>
      </c>
      <c r="F14" s="57">
        <f>VLOOKUP('北段 (人資版)'!F14,'工作表1'!$A$3:$B$78,2,FALSE)</f>
        <v>91</v>
      </c>
      <c r="G14" s="57" t="str">
        <f>VLOOKUP('北段 (人資版)'!G14,'工作表1'!$A$3:$B$78,2,FALSE)</f>
        <v>#N/A</v>
      </c>
      <c r="H14" s="57">
        <f>VLOOKUP('北段 (人資版)'!H14,'工作表1'!$A$3:$B$78,2,FALSE)</f>
        <v>92</v>
      </c>
      <c r="I14" s="57">
        <f>VLOOKUP('北段 (人資版)'!I14,'工作表1'!$A$3:$B$78,2,FALSE)</f>
        <v>38</v>
      </c>
      <c r="J14" s="57">
        <f>VLOOKUP('北段 (人資版)'!J14,'工作表1'!$A$3:$B$78,2,FALSE)</f>
        <v>38</v>
      </c>
      <c r="K14" s="57">
        <f>VLOOKUP('北段 (人資版)'!K14,'工作表1'!$A$3:$B$78,2,FALSE)</f>
        <v>38</v>
      </c>
      <c r="L14" s="57">
        <f>VLOOKUP('北段 (人資版)'!L14,'工作表1'!$A$3:$B$78,2,FALSE)</f>
        <v>92</v>
      </c>
      <c r="M14" s="57">
        <f>VLOOKUP('北段 (人資版)'!M14,'工作表1'!$A$3:$B$78,2,FALSE)</f>
        <v>70</v>
      </c>
      <c r="N14" s="57">
        <f>VLOOKUP('北段 (人資版)'!N14,'工作表1'!$A$3:$B$78,2,FALSE)</f>
        <v>70</v>
      </c>
      <c r="O14" s="57">
        <f>VLOOKUP('北段 (人資版)'!O14,'工作表1'!$A$3:$B$78,2,FALSE)</f>
        <v>91</v>
      </c>
      <c r="P14" s="57" t="str">
        <f>VLOOKUP('北段 (人資版)'!P14,'工作表1'!$A$3:$B$78,2,FALSE)</f>
        <v>07</v>
      </c>
      <c r="Q14" s="57" t="str">
        <f>VLOOKUP('北段 (人資版)'!Q14,'工作表1'!$A$3:$B$78,2,FALSE)</f>
        <v>07</v>
      </c>
      <c r="R14" s="57">
        <f>VLOOKUP('北段 (人資版)'!R14,'工作表1'!$A$3:$B$78,2,FALSE)</f>
        <v>38</v>
      </c>
      <c r="S14" s="57">
        <f>VLOOKUP('北段 (人資版)'!S14,'工作表1'!$A$3:$B$78,2,FALSE)</f>
        <v>38</v>
      </c>
      <c r="T14" s="57">
        <f>VLOOKUP('北段 (人資版)'!T14,'工作表1'!$A$3:$B$78,2,FALSE)</f>
        <v>38</v>
      </c>
      <c r="U14" s="57">
        <f>VLOOKUP('北段 (人資版)'!U14,'工作表1'!$A$3:$B$78,2,FALSE)</f>
        <v>38</v>
      </c>
      <c r="V14" s="57">
        <f>VLOOKUP('北段 (人資版)'!V14,'工作表1'!$A$3:$B$78,2,FALSE)</f>
        <v>91</v>
      </c>
      <c r="W14" s="57" t="str">
        <f>VLOOKUP('北段 (人資版)'!W14,'工作表1'!$A$3:$B$78,2,FALSE)</f>
        <v>#N/A</v>
      </c>
      <c r="X14" s="57">
        <f>VLOOKUP('北段 (人資版)'!X14,'工作表1'!$A$3:$B$78,2,FALSE)</f>
        <v>70</v>
      </c>
      <c r="Y14" s="57">
        <f>VLOOKUP('北段 (人資版)'!Y14,'工作表1'!$A$3:$B$78,2,FALSE)</f>
        <v>70</v>
      </c>
      <c r="Z14" s="57">
        <f>VLOOKUP('北段 (人資版)'!Z14,'工作表1'!$A$3:$B$78,2,FALSE)</f>
        <v>92</v>
      </c>
      <c r="AA14" s="57">
        <f>VLOOKUP('北段 (人資版)'!AA14,'工作表1'!$A$3:$B$78,2,FALSE)</f>
        <v>92</v>
      </c>
      <c r="AB14" s="57">
        <f>VLOOKUP('北段 (人資版)'!AB14,'工作表1'!$A$3:$B$78,2,FALSE)</f>
        <v>38</v>
      </c>
      <c r="AC14" s="57">
        <f>VLOOKUP('北段 (人資版)'!AC14,'工作表1'!$A$3:$B$78,2,FALSE)</f>
        <v>38</v>
      </c>
      <c r="AD14" s="57">
        <f>VLOOKUP('北段 (人資版)'!AD14,'工作表1'!$A$3:$B$78,2,FALSE)</f>
        <v>38</v>
      </c>
      <c r="AE14" s="57">
        <f>VLOOKUP('北段 (人資版)'!AE14,'工作表1'!$A$3:$B$78,2,FALSE)</f>
        <v>91</v>
      </c>
      <c r="AF14" s="57">
        <f>VLOOKUP('北段 (人資版)'!AF14,'工作表1'!$A$3:$B$78,2,FALSE)</f>
        <v>38</v>
      </c>
      <c r="AG14" s="57">
        <f>VLOOKUP('北段 (人資版)'!AG14,'工作表1'!$A$3:$B$78,2,FALSE)</f>
        <v>38</v>
      </c>
      <c r="AH14" s="57" t="str">
        <f>VLOOKUP('北段 (人資版)'!AH14,'工作表1'!$A$3:$B$78,2,FALSE)</f>
        <v>#ERROR!</v>
      </c>
      <c r="AI14" s="57" t="str">
        <f>VLOOKUP('北段 (人資版)'!AI14,'工作表1'!$A$3:$B$78,2,FALSE)</f>
        <v>#ERROR!</v>
      </c>
      <c r="AJ14" s="57" t="str">
        <f>VLOOKUP('北段 (人資版)'!AJ14,'工作表1'!$A$3:$B$78,2,FALSE)</f>
        <v>#ERROR!</v>
      </c>
      <c r="AK14" s="57" t="str">
        <f>VLOOKUP('北段 (人資版)'!AK14,'工作表1'!$A$3:$B$78,2,FALSE)</f>
        <v>#ERROR!</v>
      </c>
      <c r="AL14" s="57" t="str">
        <f>VLOOKUP('北段 (人資版)'!AL14,'工作表1'!$A$3:$B$78,2,FALSE)</f>
        <v>#ERROR!</v>
      </c>
      <c r="AM14" s="57" t="str">
        <f>VLOOKUP('北段 (人資版)'!AM14,'工作表1'!$A$3:$B$78,2,FALSE)</f>
        <v>#ERROR!</v>
      </c>
      <c r="AN14" s="57" t="str">
        <f>VLOOKUP('北段 (人資版)'!AN14,'工作表1'!$A$3:$B$78,2,FALSE)</f>
        <v>#ERROR!</v>
      </c>
    </row>
    <row r="15" ht="39.0" customHeight="1">
      <c r="A15" s="59"/>
      <c r="B15" s="57" t="str">
        <f>'北段'!B3</f>
        <v>T01028</v>
      </c>
      <c r="C15" s="57" t="str">
        <f>VLOOKUP(B15,'北段'!B:C,2,FALSE)</f>
        <v>林金緗</v>
      </c>
      <c r="D15" s="57">
        <f>VLOOKUP('北段 (人資版)'!D15,'工作表1'!$A$3:$B$78,2,FALSE)</f>
        <v>70</v>
      </c>
      <c r="E15" s="57">
        <f>VLOOKUP('北段 (人資版)'!E15,'工作表1'!$A$3:$B$78,2,FALSE)</f>
        <v>70</v>
      </c>
      <c r="F15" s="57">
        <f>VLOOKUP('北段 (人資版)'!F15,'工作表1'!$A$3:$B$78,2,FALSE)</f>
        <v>92</v>
      </c>
      <c r="G15" s="57">
        <f>VLOOKUP('北段 (人資版)'!G15,'工作表1'!$A$3:$B$78,2,FALSE)</f>
        <v>92</v>
      </c>
      <c r="H15" s="57" t="str">
        <f>VLOOKUP('北段 (人資版)'!H15,'工作表1'!$A$3:$B$78,2,FALSE)</f>
        <v>#N/A</v>
      </c>
      <c r="I15" s="57">
        <f>VLOOKUP('北段 (人資版)'!I15,'工作表1'!$A$3:$B$78,2,FALSE)</f>
        <v>66</v>
      </c>
      <c r="J15" s="57">
        <f>VLOOKUP('北段 (人資版)'!J15,'工作表1'!$A$3:$B$78,2,FALSE)</f>
        <v>91</v>
      </c>
      <c r="K15" s="57">
        <f>VLOOKUP('北段 (人資版)'!K15,'工作表1'!$A$3:$B$78,2,FALSE)</f>
        <v>66</v>
      </c>
      <c r="L15" s="57">
        <f>VLOOKUP('北段 (人資版)'!L15,'工作表1'!$A$3:$B$78,2,FALSE)</f>
        <v>66</v>
      </c>
      <c r="M15" s="57">
        <f>VLOOKUP('北段 (人資版)'!M15,'工作表1'!$A$3:$B$78,2,FALSE)</f>
        <v>66</v>
      </c>
      <c r="N15" s="57">
        <f>VLOOKUP('北段 (人資版)'!N15,'工作表1'!$A$3:$B$78,2,FALSE)</f>
        <v>91</v>
      </c>
      <c r="O15" s="57">
        <f>VLOOKUP('北段 (人資版)'!O15,'工作表1'!$A$3:$B$78,2,FALSE)</f>
        <v>66</v>
      </c>
      <c r="P15" s="57">
        <f>VLOOKUP('北段 (人資版)'!P15,'工作表1'!$A$3:$B$78,2,FALSE)</f>
        <v>66</v>
      </c>
      <c r="Q15" s="57" t="str">
        <f>VLOOKUP('北段 (人資版)'!Q15,'工作表1'!$A$3:$B$78,2,FALSE)</f>
        <v>#N/A</v>
      </c>
      <c r="R15" s="57">
        <f>VLOOKUP('北段 (人資版)'!R15,'工作表1'!$A$3:$B$78,2,FALSE)</f>
        <v>66</v>
      </c>
      <c r="S15" s="57">
        <f>VLOOKUP('北段 (人資版)'!S15,'工作表1'!$A$3:$B$78,2,FALSE)</f>
        <v>66</v>
      </c>
      <c r="T15" s="57">
        <f>VLOOKUP('北段 (人資版)'!T15,'工作表1'!$A$3:$B$78,2,FALSE)</f>
        <v>91</v>
      </c>
      <c r="U15" s="57">
        <f>VLOOKUP('北段 (人資版)'!U15,'工作表1'!$A$3:$B$78,2,FALSE)</f>
        <v>66</v>
      </c>
      <c r="V15" s="57">
        <f>VLOOKUP('北段 (人資版)'!V15,'工作表1'!$A$3:$B$78,2,FALSE)</f>
        <v>66</v>
      </c>
      <c r="W15" s="57">
        <f>VLOOKUP('北段 (人資版)'!W15,'工作表1'!$A$3:$B$78,2,FALSE)</f>
        <v>92</v>
      </c>
      <c r="X15" s="57" t="str">
        <f>VLOOKUP('北段 (人資版)'!X15,'工作表1'!$A$3:$B$78,2,FALSE)</f>
        <v>#N/A</v>
      </c>
      <c r="Y15" s="57">
        <f>VLOOKUP('北段 (人資版)'!Y15,'工作表1'!$A$3:$B$78,2,FALSE)</f>
        <v>66</v>
      </c>
      <c r="Z15" s="57">
        <f>VLOOKUP('北段 (人資版)'!Z15,'工作表1'!$A$3:$B$78,2,FALSE)</f>
        <v>66</v>
      </c>
      <c r="AA15" s="57">
        <f>VLOOKUP('北段 (人資版)'!AA15,'工作表1'!$A$3:$B$78,2,FALSE)</f>
        <v>66</v>
      </c>
      <c r="AB15" s="57">
        <f>VLOOKUP('北段 (人資版)'!AB15,'工作表1'!$A$3:$B$78,2,FALSE)</f>
        <v>91</v>
      </c>
      <c r="AC15" s="57" t="str">
        <f>VLOOKUP('北段 (人資版)'!AC15,'工作表1'!$A$3:$B$78,2,FALSE)</f>
        <v>07</v>
      </c>
      <c r="AD15" s="57" t="str">
        <f>VLOOKUP('北段 (人資版)'!AD15,'工作表1'!$A$3:$B$78,2,FALSE)</f>
        <v>07</v>
      </c>
      <c r="AE15" s="57">
        <f>VLOOKUP('北段 (人資版)'!AE15,'工作表1'!$A$3:$B$78,2,FALSE)</f>
        <v>92</v>
      </c>
      <c r="AF15" s="57" t="str">
        <f>VLOOKUP('北段 (人資版)'!AF15,'工作表1'!$A$3:$B$78,2,FALSE)</f>
        <v>05</v>
      </c>
      <c r="AG15" s="57">
        <f>VLOOKUP('北段 (人資版)'!AG15,'工作表1'!$A$3:$B$78,2,FALSE)</f>
        <v>66</v>
      </c>
      <c r="AH15" s="57" t="str">
        <f>VLOOKUP('北段 (人資版)'!AH15,'工作表1'!$A$3:$B$78,2,FALSE)</f>
        <v>#ERROR!</v>
      </c>
      <c r="AI15" s="57" t="str">
        <f>VLOOKUP('北段 (人資版)'!AI15,'工作表1'!$A$3:$B$78,2,FALSE)</f>
        <v>#ERROR!</v>
      </c>
      <c r="AJ15" s="57" t="str">
        <f>VLOOKUP('北段 (人資版)'!AJ15,'工作表1'!$A$3:$B$78,2,FALSE)</f>
        <v>#ERROR!</v>
      </c>
      <c r="AK15" s="57" t="str">
        <f>VLOOKUP('北段 (人資版)'!AK15,'工作表1'!$A$3:$B$78,2,FALSE)</f>
        <v>#ERROR!</v>
      </c>
      <c r="AL15" s="57" t="str">
        <f>VLOOKUP('北段 (人資版)'!AL15,'工作表1'!$A$3:$B$78,2,FALSE)</f>
        <v>#ERROR!</v>
      </c>
      <c r="AM15" s="57" t="str">
        <f>VLOOKUP('北段 (人資版)'!AM15,'工作表1'!$A$3:$B$78,2,FALSE)</f>
        <v>#ERROR!</v>
      </c>
      <c r="AN15" s="57" t="str">
        <f>VLOOKUP('北段 (人資版)'!AN15,'工作表1'!$A$3:$B$78,2,FALSE)</f>
        <v>#ERROR!</v>
      </c>
    </row>
    <row r="16" ht="39.75" customHeight="1">
      <c r="A16" s="59"/>
      <c r="B16" s="57" t="str">
        <f>'北段'!B5</f>
        <v>T01029</v>
      </c>
      <c r="C16" s="57" t="str">
        <f>VLOOKUP(B16,'北段'!B:C,2,FALSE)</f>
        <v>林雯琳</v>
      </c>
      <c r="D16" s="57">
        <f>VLOOKUP('北段 (人資版)'!D16,'工作表1'!$A$3:$B$78,2,FALSE)</f>
        <v>66</v>
      </c>
      <c r="E16" s="57">
        <f>VLOOKUP('北段 (人資版)'!E16,'工作表1'!$A$3:$B$78,2,FALSE)</f>
        <v>66</v>
      </c>
      <c r="F16" s="57">
        <f>VLOOKUP('北段 (人資版)'!F16,'工作表1'!$A$3:$B$78,2,FALSE)</f>
        <v>91</v>
      </c>
      <c r="G16" s="57">
        <f>VLOOKUP('北段 (人資版)'!G16,'工作表1'!$A$3:$B$78,2,FALSE)</f>
        <v>66</v>
      </c>
      <c r="H16" s="57">
        <f>VLOOKUP('北段 (人資版)'!H16,'工作表1'!$A$3:$B$78,2,FALSE)</f>
        <v>66</v>
      </c>
      <c r="I16" s="57">
        <f>VLOOKUP('北段 (人資版)'!I16,'工作表1'!$A$3:$B$78,2,FALSE)</f>
        <v>66</v>
      </c>
      <c r="J16" s="57">
        <f>VLOOKUP('北段 (人資版)'!J16,'工作表1'!$A$3:$B$78,2,FALSE)</f>
        <v>92</v>
      </c>
      <c r="K16" s="57">
        <f>VLOOKUP('北段 (人資版)'!K16,'工作表1'!$A$3:$B$78,2,FALSE)</f>
        <v>92</v>
      </c>
      <c r="L16" s="57">
        <f>VLOOKUP('北段 (人資版)'!L16,'工作表1'!$A$3:$B$78,2,FALSE)</f>
        <v>66</v>
      </c>
      <c r="M16" s="57">
        <f>VLOOKUP('北段 (人資版)'!M16,'工作表1'!$A$3:$B$78,2,FALSE)</f>
        <v>66</v>
      </c>
      <c r="N16" s="57">
        <f>VLOOKUP('北段 (人資版)'!N16,'工作表1'!$A$3:$B$78,2,FALSE)</f>
        <v>66</v>
      </c>
      <c r="O16" s="57">
        <f>VLOOKUP('北段 (人資版)'!O16,'工作表1'!$A$3:$B$78,2,FALSE)</f>
        <v>91</v>
      </c>
      <c r="P16" s="57" t="str">
        <f>VLOOKUP('北段 (人資版)'!P16,'工作表1'!$A$3:$B$78,2,FALSE)</f>
        <v>07</v>
      </c>
      <c r="Q16" s="57" t="str">
        <f>VLOOKUP('北段 (人資版)'!Q16,'工作表1'!$A$3:$B$78,2,FALSE)</f>
        <v>07</v>
      </c>
      <c r="R16" s="57">
        <f>VLOOKUP('北段 (人資版)'!R16,'工作表1'!$A$3:$B$78,2,FALSE)</f>
        <v>70</v>
      </c>
      <c r="S16" s="57">
        <f>VLOOKUP('北段 (人資版)'!S16,'工作表1'!$A$3:$B$78,2,FALSE)</f>
        <v>70</v>
      </c>
      <c r="T16" s="57">
        <f>VLOOKUP('北段 (人資版)'!T16,'工作表1'!$A$3:$B$78,2,FALSE)</f>
        <v>91</v>
      </c>
      <c r="U16" s="57">
        <f>VLOOKUP('北段 (人資版)'!U16,'工作表1'!$A$3:$B$78,2,FALSE)</f>
        <v>92</v>
      </c>
      <c r="V16" s="57">
        <f>VLOOKUP('北段 (人資版)'!V16,'工作表1'!$A$3:$B$78,2,FALSE)</f>
        <v>66</v>
      </c>
      <c r="W16" s="57">
        <f>VLOOKUP('北段 (人資版)'!W16,'工作表1'!$A$3:$B$78,2,FALSE)</f>
        <v>66</v>
      </c>
      <c r="X16" s="57">
        <f>VLOOKUP('北段 (人資版)'!X16,'工作表1'!$A$3:$B$78,2,FALSE)</f>
        <v>66</v>
      </c>
      <c r="Y16" s="57" t="str">
        <f>VLOOKUP('北段 (人資版)'!Y16,'工作表1'!$A$3:$B$78,2,FALSE)</f>
        <v>#N/A</v>
      </c>
      <c r="Z16" s="57" t="str">
        <f>VLOOKUP('北段 (人資版)'!Z16,'工作表1'!$A$3:$B$78,2,FALSE)</f>
        <v>07</v>
      </c>
      <c r="AA16" s="57" t="str">
        <f>VLOOKUP('北段 (人資版)'!AA16,'工作表1'!$A$3:$B$78,2,FALSE)</f>
        <v>07</v>
      </c>
      <c r="AB16" s="57">
        <f>VLOOKUP('北段 (人資版)'!AB16,'工作表1'!$A$3:$B$78,2,FALSE)</f>
        <v>91</v>
      </c>
      <c r="AC16" s="57" t="str">
        <f>VLOOKUP('北段 (人資版)'!AC16,'工作表1'!$A$3:$B$78,2,FALSE)</f>
        <v>05</v>
      </c>
      <c r="AD16" s="57">
        <f>VLOOKUP('北段 (人資版)'!AD16,'工作表1'!$A$3:$B$78,2,FALSE)</f>
        <v>66</v>
      </c>
      <c r="AE16" s="57">
        <f>VLOOKUP('北段 (人資版)'!AE16,'工作表1'!$A$3:$B$78,2,FALSE)</f>
        <v>92</v>
      </c>
      <c r="AF16" s="57">
        <f>VLOOKUP('北段 (人資版)'!AF16,'工作表1'!$A$3:$B$78,2,FALSE)</f>
        <v>70</v>
      </c>
      <c r="AG16" s="57">
        <f>VLOOKUP('北段 (人資版)'!AG16,'工作表1'!$A$3:$B$78,2,FALSE)</f>
        <v>70</v>
      </c>
      <c r="AH16" s="57" t="str">
        <f>VLOOKUP('北段 (人資版)'!AH16,'工作表1'!$A$3:$B$78,2,FALSE)</f>
        <v>#ERROR!</v>
      </c>
      <c r="AI16" s="57" t="str">
        <f>VLOOKUP('北段 (人資版)'!AI16,'工作表1'!$A$3:$B$78,2,FALSE)</f>
        <v>#ERROR!</v>
      </c>
      <c r="AJ16" s="57" t="str">
        <f>VLOOKUP('北段 (人資版)'!AJ16,'工作表1'!$A$3:$B$78,2,FALSE)</f>
        <v>#ERROR!</v>
      </c>
      <c r="AK16" s="57" t="str">
        <f>VLOOKUP('北段 (人資版)'!AK16,'工作表1'!$A$3:$B$78,2,FALSE)</f>
        <v>#ERROR!</v>
      </c>
      <c r="AL16" s="57" t="str">
        <f>VLOOKUP('北段 (人資版)'!AL16,'工作表1'!$A$3:$B$78,2,FALSE)</f>
        <v>#ERROR!</v>
      </c>
      <c r="AM16" s="57" t="str">
        <f>VLOOKUP('北段 (人資版)'!AM16,'工作表1'!$A$3:$B$78,2,FALSE)</f>
        <v>#ERROR!</v>
      </c>
      <c r="AN16" s="57" t="str">
        <f>VLOOKUP('北段 (人資版)'!AN16,'工作表1'!$A$3:$B$78,2,FALSE)</f>
        <v>#ERROR!</v>
      </c>
    </row>
    <row r="17" ht="39.0" customHeight="1">
      <c r="A17" s="59"/>
      <c r="B17" s="57" t="str">
        <f>'北段'!B6</f>
        <v>T01734</v>
      </c>
      <c r="C17" s="57" t="str">
        <f>VLOOKUP(B17,'北段'!B:C,2,FALSE)</f>
        <v>黃冠銘</v>
      </c>
      <c r="D17" s="57">
        <f>VLOOKUP('北段 (人資版)'!D17,'工作表1'!$A$3:$B$78,2,FALSE)</f>
        <v>38</v>
      </c>
      <c r="E17" s="57">
        <f>VLOOKUP('北段 (人資版)'!E17,'工作表1'!$A$3:$B$78,2,FALSE)</f>
        <v>38</v>
      </c>
      <c r="F17" s="57">
        <f>VLOOKUP('北段 (人資版)'!F17,'工作表1'!$A$3:$B$78,2,FALSE)</f>
        <v>92</v>
      </c>
      <c r="G17" s="57">
        <f>VLOOKUP('北段 (人資版)'!G17,'工作表1'!$A$3:$B$78,2,FALSE)</f>
        <v>91</v>
      </c>
      <c r="H17" s="57" t="str">
        <f>VLOOKUP('北段 (人資版)'!H17,'工作表1'!$A$3:$B$78,2,FALSE)</f>
        <v>07</v>
      </c>
      <c r="I17" s="57" t="str">
        <f>VLOOKUP('北段 (人資版)'!I17,'工作表1'!$A$3:$B$78,2,FALSE)</f>
        <v>07</v>
      </c>
      <c r="J17" s="57" t="str">
        <f>VLOOKUP('北段 (人資版)'!J17,'工作表1'!$A$3:$B$78,2,FALSE)</f>
        <v>07</v>
      </c>
      <c r="K17" s="57">
        <f>VLOOKUP('北段 (人資版)'!K17,'工作表1'!$A$3:$B$78,2,FALSE)</f>
        <v>38</v>
      </c>
      <c r="L17" s="57">
        <f>VLOOKUP('北段 (人資版)'!L17,'工作表1'!$A$3:$B$78,2,FALSE)</f>
        <v>38</v>
      </c>
      <c r="M17" s="57">
        <f>VLOOKUP('北段 (人資版)'!M17,'工作表1'!$A$3:$B$78,2,FALSE)</f>
        <v>38</v>
      </c>
      <c r="N17" s="57">
        <f>VLOOKUP('北段 (人資版)'!N17,'工作表1'!$A$3:$B$78,2,FALSE)</f>
        <v>91</v>
      </c>
      <c r="O17" s="57">
        <f>VLOOKUP('北段 (人資版)'!O17,'工作表1'!$A$3:$B$78,2,FALSE)</f>
        <v>38</v>
      </c>
      <c r="P17" s="57">
        <f>VLOOKUP('北段 (人資版)'!P17,'工作表1'!$A$3:$B$78,2,FALSE)</f>
        <v>38</v>
      </c>
      <c r="Q17" s="57">
        <f>VLOOKUP('北段 (人資版)'!Q17,'工作表1'!$A$3:$B$78,2,FALSE)</f>
        <v>70</v>
      </c>
      <c r="R17" s="57">
        <f>VLOOKUP('北段 (人資版)'!R17,'工作表1'!$A$3:$B$78,2,FALSE)</f>
        <v>70</v>
      </c>
      <c r="S17" s="57">
        <f>VLOOKUP('北段 (人資版)'!S17,'工作表1'!$A$3:$B$78,2,FALSE)</f>
        <v>92</v>
      </c>
      <c r="T17" s="57">
        <f>VLOOKUP('北段 (人資版)'!T17,'工作表1'!$A$3:$B$78,2,FALSE)</f>
        <v>91</v>
      </c>
      <c r="U17" s="57">
        <f>VLOOKUP('北段 (人資版)'!U17,'工作表1'!$A$3:$B$78,2,FALSE)</f>
        <v>38</v>
      </c>
      <c r="V17" s="57">
        <f>VLOOKUP('北段 (人資版)'!V17,'工作表1'!$A$3:$B$78,2,FALSE)</f>
        <v>38</v>
      </c>
      <c r="W17" s="57">
        <f>VLOOKUP('北段 (人資版)'!W17,'工作表1'!$A$3:$B$78,2,FALSE)</f>
        <v>70</v>
      </c>
      <c r="X17" s="57">
        <f>VLOOKUP('北段 (人資版)'!X17,'工作表1'!$A$3:$B$78,2,FALSE)</f>
        <v>70</v>
      </c>
      <c r="Y17" s="57">
        <f>VLOOKUP('北段 (人資版)'!Y17,'工作表1'!$A$3:$B$78,2,FALSE)</f>
        <v>92</v>
      </c>
      <c r="Z17" s="57">
        <f>VLOOKUP('北段 (人資版)'!Z17,'工作表1'!$A$3:$B$78,2,FALSE)</f>
        <v>92</v>
      </c>
      <c r="AA17" s="57">
        <f>VLOOKUP('北段 (人資版)'!AA17,'工作表1'!$A$3:$B$78,2,FALSE)</f>
        <v>38</v>
      </c>
      <c r="AB17" s="57">
        <f>VLOOKUP('北段 (人資版)'!AB17,'工作表1'!$A$3:$B$78,2,FALSE)</f>
        <v>38</v>
      </c>
      <c r="AC17" s="57" t="str">
        <f>VLOOKUP('北段 (人資版)'!AC17,'工作表1'!$A$3:$B$78,2,FALSE)</f>
        <v>05</v>
      </c>
      <c r="AD17" s="57">
        <f>VLOOKUP('北段 (人資版)'!AD17,'工作表1'!$A$3:$B$78,2,FALSE)</f>
        <v>91</v>
      </c>
      <c r="AE17" s="57">
        <f>VLOOKUP('北段 (人資版)'!AE17,'工作表1'!$A$3:$B$78,2,FALSE)</f>
        <v>38</v>
      </c>
      <c r="AF17" s="57">
        <f>VLOOKUP('北段 (人資版)'!AF17,'工作表1'!$A$3:$B$78,2,FALSE)</f>
        <v>38</v>
      </c>
      <c r="AG17" s="57">
        <f>VLOOKUP('北段 (人資版)'!AG17,'工作表1'!$A$3:$B$78,2,FALSE)</f>
        <v>38</v>
      </c>
      <c r="AH17" s="57" t="str">
        <f>VLOOKUP('北段 (人資版)'!AH17,'工作表1'!$A$3:$B$78,2,FALSE)</f>
        <v>#ERROR!</v>
      </c>
      <c r="AI17" s="57" t="str">
        <f>VLOOKUP('北段 (人資版)'!AI17,'工作表1'!$A$3:$B$78,2,FALSE)</f>
        <v>#ERROR!</v>
      </c>
      <c r="AJ17" s="57" t="str">
        <f>VLOOKUP('北段 (人資版)'!AJ17,'工作表1'!$A$3:$B$78,2,FALSE)</f>
        <v>#ERROR!</v>
      </c>
      <c r="AK17" s="57" t="str">
        <f>VLOOKUP('北段 (人資版)'!AK17,'工作表1'!$A$3:$B$78,2,FALSE)</f>
        <v>#ERROR!</v>
      </c>
      <c r="AL17" s="57" t="str">
        <f>VLOOKUP('北段 (人資版)'!AL17,'工作表1'!$A$3:$B$78,2,FALSE)</f>
        <v>#ERROR!</v>
      </c>
      <c r="AM17" s="57" t="str">
        <f>VLOOKUP('北段 (人資版)'!AM17,'工作表1'!$A$3:$B$78,2,FALSE)</f>
        <v>#ERROR!</v>
      </c>
      <c r="AN17" s="57" t="str">
        <f>VLOOKUP('北段 (人資版)'!AN17,'工作表1'!$A$3:$B$78,2,FALSE)</f>
        <v>#ERROR!</v>
      </c>
    </row>
    <row r="18" ht="39.0" customHeight="1">
      <c r="A18" s="59"/>
      <c r="B18" s="57" t="str">
        <f>'北段'!B7</f>
        <v>T02287</v>
      </c>
      <c r="C18" s="57" t="str">
        <f>VLOOKUP(B18,'北段'!B:C,2,FALSE)</f>
        <v>林江玉</v>
      </c>
      <c r="D18" s="57">
        <f>VLOOKUP('北段 (人資版)'!D18,'工作表1'!$A$3:$B$78,2,FALSE)</f>
        <v>38</v>
      </c>
      <c r="E18" s="57">
        <f>VLOOKUP('北段 (人資版)'!E18,'工作表1'!$A$3:$B$78,2,FALSE)</f>
        <v>92</v>
      </c>
      <c r="F18" s="57">
        <f>VLOOKUP('北段 (人資版)'!F18,'工作表1'!$A$3:$B$78,2,FALSE)</f>
        <v>91</v>
      </c>
      <c r="G18" s="57" t="str">
        <f>VLOOKUP('北段 (人資版)'!G18,'工作表1'!$A$3:$B$78,2,FALSE)</f>
        <v>07</v>
      </c>
      <c r="H18" s="57" t="str">
        <f>VLOOKUP('北段 (人資版)'!H18,'工作表1'!$A$3:$B$78,2,FALSE)</f>
        <v>07</v>
      </c>
      <c r="I18" s="57" t="str">
        <f>VLOOKUP('北段 (人資版)'!I18,'工作表1'!$A$3:$B$78,2,FALSE)</f>
        <v>07</v>
      </c>
      <c r="J18" s="57" t="str">
        <f>VLOOKUP('北段 (人資版)'!J18,'工作表1'!$A$3:$B$78,2,FALSE)</f>
        <v>07</v>
      </c>
      <c r="K18" s="57" t="str">
        <f>VLOOKUP('北段 (人資版)'!K18,'工作表1'!$A$3:$B$78,2,FALSE)</f>
        <v>07</v>
      </c>
      <c r="L18" s="57">
        <f>VLOOKUP('北段 (人資版)'!L18,'工作表1'!$A$3:$B$78,2,FALSE)</f>
        <v>92</v>
      </c>
      <c r="M18" s="57">
        <f>VLOOKUP('北段 (人資版)'!M18,'工作表1'!$A$3:$B$78,2,FALSE)</f>
        <v>91</v>
      </c>
      <c r="N18" s="57" t="str">
        <f>VLOOKUP('北段 (人資版)'!N18,'工作表1'!$A$3:$B$78,2,FALSE)</f>
        <v>07</v>
      </c>
      <c r="O18" s="57" t="str">
        <f>VLOOKUP('北段 (人資版)'!O18,'工作表1'!$A$3:$B$78,2,FALSE)</f>
        <v>07</v>
      </c>
      <c r="P18" s="57" t="str">
        <f>VLOOKUP('北段 (人資版)'!P18,'工作表1'!$A$3:$B$78,2,FALSE)</f>
        <v>07</v>
      </c>
      <c r="Q18" s="57" t="str">
        <f>VLOOKUP('北段 (人資版)'!Q18,'工作表1'!$A$3:$B$78,2,FALSE)</f>
        <v>07</v>
      </c>
      <c r="R18" s="57" t="str">
        <f>VLOOKUP('北段 (人資版)'!R18,'工作表1'!$A$3:$B$78,2,FALSE)</f>
        <v>07</v>
      </c>
      <c r="S18" s="57">
        <f>VLOOKUP('北段 (人資版)'!S18,'工作表1'!$A$3:$B$78,2,FALSE)</f>
        <v>92</v>
      </c>
      <c r="T18" s="57">
        <f>VLOOKUP('北段 (人資版)'!T18,'工作表1'!$A$3:$B$78,2,FALSE)</f>
        <v>91</v>
      </c>
      <c r="U18" s="57" t="str">
        <f>VLOOKUP('北段 (人資版)'!U18,'工作表1'!$A$3:$B$78,2,FALSE)</f>
        <v>07</v>
      </c>
      <c r="V18" s="57" t="str">
        <f>VLOOKUP('北段 (人資版)'!V18,'工作表1'!$A$3:$B$78,2,FALSE)</f>
        <v>05</v>
      </c>
      <c r="W18" s="57">
        <f>VLOOKUP('北段 (人資版)'!W18,'工作表1'!$A$3:$B$78,2,FALSE)</f>
        <v>38</v>
      </c>
      <c r="X18" s="57" t="str">
        <f>VLOOKUP('北段 (人資版)'!X18,'工作表1'!$A$3:$B$78,2,FALSE)</f>
        <v>#N/A</v>
      </c>
      <c r="Y18" s="57">
        <f>VLOOKUP('北段 (人資版)'!Y18,'工作表1'!$A$3:$B$78,2,FALSE)</f>
        <v>92</v>
      </c>
      <c r="Z18" s="57">
        <f>VLOOKUP('北段 (人資版)'!Z18,'工作表1'!$A$3:$B$78,2,FALSE)</f>
        <v>38</v>
      </c>
      <c r="AA18" s="57">
        <f>VLOOKUP('北段 (人資版)'!AA18,'工作表1'!$A$3:$B$78,2,FALSE)</f>
        <v>38</v>
      </c>
      <c r="AB18" s="57">
        <f>VLOOKUP('北段 (人資版)'!AB18,'工作表1'!$A$3:$B$78,2,FALSE)</f>
        <v>70</v>
      </c>
      <c r="AC18" s="57">
        <f>VLOOKUP('北段 (人資版)'!AC18,'工作表1'!$A$3:$B$78,2,FALSE)</f>
        <v>70</v>
      </c>
      <c r="AD18" s="57">
        <f>VLOOKUP('北段 (人資版)'!AD18,'工作表1'!$A$3:$B$78,2,FALSE)</f>
        <v>70</v>
      </c>
      <c r="AE18" s="57">
        <f>VLOOKUP('北段 (人資版)'!AE18,'工作表1'!$A$3:$B$78,2,FALSE)</f>
        <v>92</v>
      </c>
      <c r="AF18" s="57">
        <f>VLOOKUP('北段 (人資版)'!AF18,'工作表1'!$A$3:$B$78,2,FALSE)</f>
        <v>91</v>
      </c>
      <c r="AG18" s="57">
        <f>VLOOKUP('北段 (人資版)'!AG18,'工作表1'!$A$3:$B$78,2,FALSE)</f>
        <v>70</v>
      </c>
      <c r="AH18" s="57" t="str">
        <f>VLOOKUP('北段 (人資版)'!AH18,'工作表1'!$A$3:$B$78,2,FALSE)</f>
        <v>#ERROR!</v>
      </c>
      <c r="AI18" s="57" t="str">
        <f>VLOOKUP('北段 (人資版)'!AI18,'工作表1'!$A$3:$B$78,2,FALSE)</f>
        <v>#ERROR!</v>
      </c>
      <c r="AJ18" s="57" t="str">
        <f>VLOOKUP('北段 (人資版)'!AJ18,'工作表1'!$A$3:$B$78,2,FALSE)</f>
        <v>#ERROR!</v>
      </c>
      <c r="AK18" s="57" t="str">
        <f>VLOOKUP('北段 (人資版)'!AK18,'工作表1'!$A$3:$B$78,2,FALSE)</f>
        <v>#ERROR!</v>
      </c>
      <c r="AL18" s="57" t="str">
        <f>VLOOKUP('北段 (人資版)'!AL18,'工作表1'!$A$3:$B$78,2,FALSE)</f>
        <v>#ERROR!</v>
      </c>
      <c r="AM18" s="57" t="str">
        <f>VLOOKUP('北段 (人資版)'!AM18,'工作表1'!$A$3:$B$78,2,FALSE)</f>
        <v>#ERROR!</v>
      </c>
      <c r="AN18" s="57" t="str">
        <f>VLOOKUP('北段 (人資版)'!AN18,'工作表1'!$A$3:$B$78,2,FALSE)</f>
        <v>#ERROR!</v>
      </c>
    </row>
    <row r="19" ht="39.0" customHeight="1">
      <c r="A19" s="59"/>
      <c r="B19" s="57" t="str">
        <f>'北段'!B8</f>
        <v>T02359</v>
      </c>
      <c r="C19" s="57" t="str">
        <f>VLOOKUP(B19,'北段'!B:C,2,FALSE)</f>
        <v>陳佳婷</v>
      </c>
      <c r="D19" s="57">
        <f>VLOOKUP('北段 (人資版)'!D19,'工作表1'!$A$3:$B$78,2,FALSE)</f>
        <v>92</v>
      </c>
      <c r="E19" s="57">
        <f>VLOOKUP('北段 (人資版)'!E19,'工作表1'!$A$3:$B$78,2,FALSE)</f>
        <v>38</v>
      </c>
      <c r="F19" s="57">
        <f>VLOOKUP('北段 (人資版)'!F19,'工作表1'!$A$3:$B$78,2,FALSE)</f>
        <v>38</v>
      </c>
      <c r="G19" s="57">
        <f>VLOOKUP('北段 (人資版)'!G19,'工作表1'!$A$3:$B$78,2,FALSE)</f>
        <v>38</v>
      </c>
      <c r="H19" s="57">
        <f>VLOOKUP('北段 (人資版)'!H19,'工作表1'!$A$3:$B$78,2,FALSE)</f>
        <v>38</v>
      </c>
      <c r="I19" s="57">
        <f>VLOOKUP('北段 (人資版)'!I19,'工作表1'!$A$3:$B$78,2,FALSE)</f>
        <v>91</v>
      </c>
      <c r="J19" s="57">
        <f>VLOOKUP('北段 (人資版)'!J19,'工作表1'!$A$3:$B$78,2,FALSE)</f>
        <v>38</v>
      </c>
      <c r="K19" s="57">
        <f>VLOOKUP('北段 (人資版)'!K19,'工作表1'!$A$3:$B$78,2,FALSE)</f>
        <v>92</v>
      </c>
      <c r="L19" s="57">
        <f>VLOOKUP('北段 (人資版)'!L19,'工作表1'!$A$3:$B$78,2,FALSE)</f>
        <v>38</v>
      </c>
      <c r="M19" s="57">
        <f>VLOOKUP('北段 (人資版)'!M19,'工作表1'!$A$3:$B$78,2,FALSE)</f>
        <v>38</v>
      </c>
      <c r="N19" s="57">
        <f>VLOOKUP('北段 (人資版)'!N19,'工作表1'!$A$3:$B$78,2,FALSE)</f>
        <v>38</v>
      </c>
      <c r="O19" s="57">
        <f>VLOOKUP('北段 (人資版)'!O19,'工作表1'!$A$3:$B$78,2,FALSE)</f>
        <v>70</v>
      </c>
      <c r="P19" s="57">
        <f>VLOOKUP('北段 (人資版)'!P19,'工作表1'!$A$3:$B$78,2,FALSE)</f>
        <v>70</v>
      </c>
      <c r="Q19" s="57">
        <f>VLOOKUP('北段 (人資版)'!Q19,'工作表1'!$A$3:$B$78,2,FALSE)</f>
        <v>91</v>
      </c>
      <c r="R19" s="57">
        <f>VLOOKUP('北段 (人資版)'!R19,'工作表1'!$A$3:$B$78,2,FALSE)</f>
        <v>92</v>
      </c>
      <c r="S19" s="57">
        <f>VLOOKUP('北段 (人資版)'!S19,'工作表1'!$A$3:$B$78,2,FALSE)</f>
        <v>38</v>
      </c>
      <c r="T19" s="57">
        <f>VLOOKUP('北段 (人資版)'!T19,'工作表1'!$A$3:$B$78,2,FALSE)</f>
        <v>91</v>
      </c>
      <c r="U19" s="57">
        <f>VLOOKUP('北段 (人資版)'!U19,'工作表1'!$A$3:$B$78,2,FALSE)</f>
        <v>92</v>
      </c>
      <c r="V19" s="57">
        <f>VLOOKUP('北段 (人資版)'!V19,'工作表1'!$A$3:$B$78,2,FALSE)</f>
        <v>38</v>
      </c>
      <c r="W19" s="57" t="str">
        <f>VLOOKUP('北段 (人資版)'!W19,'工作表1'!$A$3:$B$78,2,FALSE)</f>
        <v>05</v>
      </c>
      <c r="X19" s="57">
        <f>VLOOKUP('北段 (人資版)'!X19,'工作表1'!$A$3:$B$78,2,FALSE)</f>
        <v>38</v>
      </c>
      <c r="Y19" s="57">
        <f>VLOOKUP('北段 (人資版)'!Y19,'工作表1'!$A$3:$B$78,2,FALSE)</f>
        <v>38</v>
      </c>
      <c r="Z19" s="57">
        <f>VLOOKUP('北段 (人資版)'!Z19,'工作表1'!$A$3:$B$78,2,FALSE)</f>
        <v>38</v>
      </c>
      <c r="AA19" s="57">
        <f>VLOOKUP('北段 (人資版)'!AA19,'工作表1'!$A$3:$B$78,2,FALSE)</f>
        <v>91</v>
      </c>
      <c r="AB19" s="57">
        <f>VLOOKUP('北段 (人資版)'!AB19,'工作表1'!$A$3:$B$78,2,FALSE)</f>
        <v>38</v>
      </c>
      <c r="AC19" s="57">
        <f>VLOOKUP('北段 (人資版)'!AC19,'工作表1'!$A$3:$B$78,2,FALSE)</f>
        <v>38</v>
      </c>
      <c r="AD19" s="57" t="str">
        <f>VLOOKUP('北段 (人資版)'!AD19,'工作表1'!$A$3:$B$78,2,FALSE)</f>
        <v>#N/A</v>
      </c>
      <c r="AE19" s="57">
        <f>VLOOKUP('北段 (人資版)'!AE19,'工作表1'!$A$3:$B$78,2,FALSE)</f>
        <v>70</v>
      </c>
      <c r="AF19" s="57">
        <f>VLOOKUP('北段 (人資版)'!AF19,'工作表1'!$A$3:$B$78,2,FALSE)</f>
        <v>70</v>
      </c>
      <c r="AG19" s="57">
        <f>VLOOKUP('北段 (人資版)'!AG19,'工作表1'!$A$3:$B$78,2,FALSE)</f>
        <v>92</v>
      </c>
      <c r="AH19" s="57" t="str">
        <f>VLOOKUP('北段 (人資版)'!AH19,'工作表1'!$A$3:$B$78,2,FALSE)</f>
        <v>#ERROR!</v>
      </c>
      <c r="AI19" s="57" t="str">
        <f>VLOOKUP('北段 (人資版)'!AI19,'工作表1'!$A$3:$B$78,2,FALSE)</f>
        <v>#ERROR!</v>
      </c>
      <c r="AJ19" s="57" t="str">
        <f>VLOOKUP('北段 (人資版)'!AJ19,'工作表1'!$A$3:$B$78,2,FALSE)</f>
        <v>#ERROR!</v>
      </c>
      <c r="AK19" s="57" t="str">
        <f>VLOOKUP('北段 (人資版)'!AK19,'工作表1'!$A$3:$B$78,2,FALSE)</f>
        <v>#ERROR!</v>
      </c>
      <c r="AL19" s="57" t="str">
        <f>VLOOKUP('北段 (人資版)'!AL19,'工作表1'!$A$3:$B$78,2,FALSE)</f>
        <v>#ERROR!</v>
      </c>
      <c r="AM19" s="57" t="str">
        <f>VLOOKUP('北段 (人資版)'!AM19,'工作表1'!$A$3:$B$78,2,FALSE)</f>
        <v>#ERROR!</v>
      </c>
      <c r="AN19" s="57" t="str">
        <f>VLOOKUP('北段 (人資版)'!AN19,'工作表1'!$A$3:$B$78,2,FALSE)</f>
        <v>#ERROR!</v>
      </c>
    </row>
    <row r="20" ht="39.0" customHeight="1">
      <c r="A20" s="59"/>
      <c r="B20" s="57" t="str">
        <f>'北段'!B9</f>
        <v>T02363</v>
      </c>
      <c r="C20" s="57" t="str">
        <f>VLOOKUP(B20,'北段'!B:C,2,FALSE)</f>
        <v>林孟錡</v>
      </c>
      <c r="D20" s="57">
        <f>VLOOKUP('北段 (人資版)'!D20,'工作表1'!$A$3:$B$78,2,FALSE)</f>
        <v>70</v>
      </c>
      <c r="E20" s="57">
        <f>VLOOKUP('北段 (人資版)'!E20,'工作表1'!$A$3:$B$78,2,FALSE)</f>
        <v>70</v>
      </c>
      <c r="F20" s="57">
        <f>VLOOKUP('北段 (人資版)'!F20,'工作表1'!$A$3:$B$78,2,FALSE)</f>
        <v>70</v>
      </c>
      <c r="G20" s="57">
        <f>VLOOKUP('北段 (人資版)'!G20,'工作表1'!$A$3:$B$78,2,FALSE)</f>
        <v>70</v>
      </c>
      <c r="H20" s="57">
        <f>VLOOKUP('北段 (人資版)'!H20,'工作表1'!$A$3:$B$78,2,FALSE)</f>
        <v>70</v>
      </c>
      <c r="I20" s="57">
        <f>VLOOKUP('北段 (人資版)'!I20,'工作表1'!$A$3:$B$78,2,FALSE)</f>
        <v>91</v>
      </c>
      <c r="J20" s="57">
        <f>VLOOKUP('北段 (人資版)'!J20,'工作表1'!$A$3:$B$78,2,FALSE)</f>
        <v>92</v>
      </c>
      <c r="K20" s="57">
        <f>VLOOKUP('北段 (人資版)'!K20,'工作表1'!$A$3:$B$78,2,FALSE)</f>
        <v>92</v>
      </c>
      <c r="L20" s="57">
        <f>VLOOKUP('北段 (人資版)'!L20,'工作表1'!$A$3:$B$78,2,FALSE)</f>
        <v>70</v>
      </c>
      <c r="M20" s="57">
        <f>VLOOKUP('北段 (人資版)'!M20,'工作表1'!$A$3:$B$78,2,FALSE)</f>
        <v>70</v>
      </c>
      <c r="N20" s="57">
        <f>VLOOKUP('北段 (人資版)'!N20,'工作表1'!$A$3:$B$78,2,FALSE)</f>
        <v>70</v>
      </c>
      <c r="O20" s="57">
        <f>VLOOKUP('北段 (人資版)'!O20,'工作表1'!$A$3:$B$78,2,FALSE)</f>
        <v>70</v>
      </c>
      <c r="P20" s="57">
        <f>VLOOKUP('北段 (人資版)'!P20,'工作表1'!$A$3:$B$78,2,FALSE)</f>
        <v>70</v>
      </c>
      <c r="Q20" s="57">
        <f>VLOOKUP('北段 (人資版)'!Q20,'工作表1'!$A$3:$B$78,2,FALSE)</f>
        <v>70</v>
      </c>
      <c r="R20" s="57">
        <f>VLOOKUP('北段 (人資版)'!R20,'工作表1'!$A$3:$B$78,2,FALSE)</f>
        <v>91</v>
      </c>
      <c r="S20" s="57">
        <f>VLOOKUP('北段 (人資版)'!S20,'工作表1'!$A$3:$B$78,2,FALSE)</f>
        <v>70</v>
      </c>
      <c r="T20" s="57">
        <f>VLOOKUP('北段 (人資版)'!T20,'工作表1'!$A$3:$B$78,2,FALSE)</f>
        <v>70</v>
      </c>
      <c r="U20" s="57">
        <f>VLOOKUP('北段 (人資版)'!U20,'工作表1'!$A$3:$B$78,2,FALSE)</f>
        <v>70</v>
      </c>
      <c r="V20" s="57">
        <f>VLOOKUP('北段 (人資版)'!V20,'工作表1'!$A$3:$B$78,2,FALSE)</f>
        <v>70</v>
      </c>
      <c r="W20" s="57">
        <f>VLOOKUP('北段 (人資版)'!W20,'工作表1'!$A$3:$B$78,2,FALSE)</f>
        <v>70</v>
      </c>
      <c r="X20" s="57">
        <f>VLOOKUP('北段 (人資版)'!X20,'工作表1'!$A$3:$B$78,2,FALSE)</f>
        <v>91</v>
      </c>
      <c r="Y20" s="57">
        <f>VLOOKUP('北段 (人資版)'!Y20,'工作表1'!$A$3:$B$78,2,FALSE)</f>
        <v>70</v>
      </c>
      <c r="Z20" s="57">
        <f>VLOOKUP('北段 (人資版)'!Z20,'工作表1'!$A$3:$B$78,2,FALSE)</f>
        <v>70</v>
      </c>
      <c r="AA20" s="57">
        <f>VLOOKUP('北段 (人資版)'!AA20,'工作表1'!$A$3:$B$78,2,FALSE)</f>
        <v>70</v>
      </c>
      <c r="AB20" s="57">
        <f>VLOOKUP('北段 (人資版)'!AB20,'工作表1'!$A$3:$B$78,2,FALSE)</f>
        <v>91</v>
      </c>
      <c r="AC20" s="57">
        <f>VLOOKUP('北段 (人資版)'!AC20,'工作表1'!$A$3:$B$78,2,FALSE)</f>
        <v>70</v>
      </c>
      <c r="AD20" s="57">
        <f>VLOOKUP('北段 (人資版)'!AD20,'工作表1'!$A$3:$B$78,2,FALSE)</f>
        <v>70</v>
      </c>
      <c r="AE20" s="57">
        <f>VLOOKUP('北段 (人資版)'!AE20,'工作表1'!$A$3:$B$78,2,FALSE)</f>
        <v>70</v>
      </c>
      <c r="AF20" s="57">
        <f>VLOOKUP('北段 (人資版)'!AF20,'工作表1'!$A$3:$B$78,2,FALSE)</f>
        <v>92</v>
      </c>
      <c r="AG20" s="57">
        <f>VLOOKUP('北段 (人資版)'!AG20,'工作表1'!$A$3:$B$78,2,FALSE)</f>
        <v>92</v>
      </c>
      <c r="AH20" s="57" t="str">
        <f>VLOOKUP('北段 (人資版)'!AH20,'工作表1'!$A$3:$B$78,2,FALSE)</f>
        <v>#ERROR!</v>
      </c>
      <c r="AI20" s="57" t="str">
        <f>VLOOKUP('北段 (人資版)'!AI20,'工作表1'!$A$3:$B$78,2,FALSE)</f>
        <v>#ERROR!</v>
      </c>
      <c r="AJ20" s="57" t="str">
        <f>VLOOKUP('北段 (人資版)'!AJ20,'工作表1'!$A$3:$B$78,2,FALSE)</f>
        <v>#ERROR!</v>
      </c>
      <c r="AK20" s="57" t="str">
        <f>VLOOKUP('北段 (人資版)'!AK20,'工作表1'!$A$3:$B$78,2,FALSE)</f>
        <v>#ERROR!</v>
      </c>
      <c r="AL20" s="57" t="str">
        <f>VLOOKUP('北段 (人資版)'!AL20,'工作表1'!$A$3:$B$78,2,FALSE)</f>
        <v>#ERROR!</v>
      </c>
      <c r="AM20" s="57" t="str">
        <f>VLOOKUP('北段 (人資版)'!AM20,'工作表1'!$A$3:$B$78,2,FALSE)</f>
        <v>#ERROR!</v>
      </c>
      <c r="AN20" s="57" t="str">
        <f>VLOOKUP('北段 (人資版)'!AN20,'工作表1'!$A$3:$B$78,2,FALSE)</f>
        <v>#ERROR!</v>
      </c>
    </row>
    <row r="21" ht="39.0" customHeight="1">
      <c r="A21" s="59"/>
      <c r="B21" s="57" t="str">
        <f>'北段'!B10</f>
        <v>T02504</v>
      </c>
      <c r="C21" s="57" t="str">
        <f>VLOOKUP(B21,'北段'!B:C,2,FALSE)</f>
        <v>潘元浩</v>
      </c>
      <c r="D21" s="57">
        <f>VLOOKUP('北段 (人資版)'!D21,'工作表1'!$A$3:$B$78,2,FALSE)</f>
        <v>66</v>
      </c>
      <c r="E21" s="57">
        <f>VLOOKUP('北段 (人資版)'!E21,'工作表1'!$A$3:$B$78,2,FALSE)</f>
        <v>66</v>
      </c>
      <c r="F21" s="57">
        <f>VLOOKUP('北段 (人資版)'!F21,'工作表1'!$A$3:$B$78,2,FALSE)</f>
        <v>66</v>
      </c>
      <c r="G21" s="57">
        <f>VLOOKUP('北段 (人資版)'!G21,'工作表1'!$A$3:$B$78,2,FALSE)</f>
        <v>91</v>
      </c>
      <c r="H21" s="57">
        <f>VLOOKUP('北段 (人資版)'!H21,'工作表1'!$A$3:$B$78,2,FALSE)</f>
        <v>70</v>
      </c>
      <c r="I21" s="57">
        <f>VLOOKUP('北段 (人資版)'!I21,'工作表1'!$A$3:$B$78,2,FALSE)</f>
        <v>70</v>
      </c>
      <c r="J21" s="57">
        <f>VLOOKUP('北段 (人資版)'!J21,'工作表1'!$A$3:$B$78,2,FALSE)</f>
        <v>70</v>
      </c>
      <c r="K21" s="57">
        <f>VLOOKUP('北段 (人資版)'!K21,'工作表1'!$A$3:$B$78,2,FALSE)</f>
        <v>70</v>
      </c>
      <c r="L21" s="57">
        <f>VLOOKUP('北段 (人資版)'!L21,'工作表1'!$A$3:$B$78,2,FALSE)</f>
        <v>92</v>
      </c>
      <c r="M21" s="57">
        <f>VLOOKUP('北段 (人資版)'!M21,'工作表1'!$A$3:$B$78,2,FALSE)</f>
        <v>91</v>
      </c>
      <c r="N21" s="57">
        <f>VLOOKUP('北段 (人資版)'!N21,'工作表1'!$A$3:$B$78,2,FALSE)</f>
        <v>66</v>
      </c>
      <c r="O21" s="57">
        <f>VLOOKUP('北段 (人資版)'!O21,'工作表1'!$A$3:$B$78,2,FALSE)</f>
        <v>66</v>
      </c>
      <c r="P21" s="57">
        <f>VLOOKUP('北段 (人資版)'!P21,'工作表1'!$A$3:$B$78,2,FALSE)</f>
        <v>92</v>
      </c>
      <c r="Q21" s="57">
        <f>VLOOKUP('北段 (人資版)'!Q21,'工作表1'!$A$3:$B$78,2,FALSE)</f>
        <v>66</v>
      </c>
      <c r="R21" s="57">
        <f>VLOOKUP('北段 (人資版)'!R21,'工作表1'!$A$3:$B$78,2,FALSE)</f>
        <v>66</v>
      </c>
      <c r="S21" s="57">
        <f>VLOOKUP('北段 (人資版)'!S21,'工作表1'!$A$3:$B$78,2,FALSE)</f>
        <v>66</v>
      </c>
      <c r="T21" s="57">
        <f>VLOOKUP('北段 (人資版)'!T21,'工作表1'!$A$3:$B$78,2,FALSE)</f>
        <v>66</v>
      </c>
      <c r="U21" s="57">
        <f>VLOOKUP('北段 (人資版)'!U21,'工作表1'!$A$3:$B$78,2,FALSE)</f>
        <v>92</v>
      </c>
      <c r="V21" s="57" t="str">
        <f>VLOOKUP('北段 (人資版)'!V21,'工作表1'!$A$3:$B$78,2,FALSE)</f>
        <v>05</v>
      </c>
      <c r="W21" s="57">
        <f>VLOOKUP('北段 (人資版)'!W21,'工作表1'!$A$3:$B$78,2,FALSE)</f>
        <v>66</v>
      </c>
      <c r="X21" s="57">
        <f>VLOOKUP('北段 (人資版)'!X21,'工作表1'!$A$3:$B$78,2,FALSE)</f>
        <v>91</v>
      </c>
      <c r="Y21" s="57" t="str">
        <f>VLOOKUP('北段 (人資版)'!Y21,'工作表1'!$A$3:$B$78,2,FALSE)</f>
        <v>07</v>
      </c>
      <c r="Z21" s="57" t="str">
        <f>VLOOKUP('北段 (人資版)'!Z21,'工作表1'!$A$3:$B$78,2,FALSE)</f>
        <v>07</v>
      </c>
      <c r="AA21" s="57">
        <f>VLOOKUP('北段 (人資版)'!AA21,'工作表1'!$A$3:$B$78,2,FALSE)</f>
        <v>92</v>
      </c>
      <c r="AB21" s="57">
        <f>VLOOKUP('北段 (人資版)'!AB21,'工作表1'!$A$3:$B$78,2,FALSE)</f>
        <v>66</v>
      </c>
      <c r="AC21" s="57">
        <f>VLOOKUP('北段 (人資版)'!AC21,'工作表1'!$A$3:$B$78,2,FALSE)</f>
        <v>66</v>
      </c>
      <c r="AD21" s="57" t="str">
        <f>VLOOKUP('北段 (人資版)'!AD21,'工作表1'!$A$3:$B$78,2,FALSE)</f>
        <v>#N/A</v>
      </c>
      <c r="AE21" s="57">
        <f>VLOOKUP('北段 (人資版)'!AE21,'工作表1'!$A$3:$B$78,2,FALSE)</f>
        <v>66</v>
      </c>
      <c r="AF21" s="57">
        <f>VLOOKUP('北段 (人資版)'!AF21,'工作表1'!$A$3:$B$78,2,FALSE)</f>
        <v>66</v>
      </c>
      <c r="AG21" s="57">
        <f>VLOOKUP('北段 (人資版)'!AG21,'工作表1'!$A$3:$B$78,2,FALSE)</f>
        <v>91</v>
      </c>
      <c r="AH21" s="57" t="str">
        <f>VLOOKUP('北段 (人資版)'!AH21,'工作表1'!$A$3:$B$78,2,FALSE)</f>
        <v>#ERROR!</v>
      </c>
      <c r="AI21" s="57" t="str">
        <f>VLOOKUP('北段 (人資版)'!AI21,'工作表1'!$A$3:$B$78,2,FALSE)</f>
        <v>#ERROR!</v>
      </c>
      <c r="AJ21" s="57" t="str">
        <f>VLOOKUP('北段 (人資版)'!AJ21,'工作表1'!$A$3:$B$78,2,FALSE)</f>
        <v>#ERROR!</v>
      </c>
      <c r="AK21" s="57" t="str">
        <f>VLOOKUP('北段 (人資版)'!AK21,'工作表1'!$A$3:$B$78,2,FALSE)</f>
        <v>#ERROR!</v>
      </c>
      <c r="AL21" s="57" t="str">
        <f>VLOOKUP('北段 (人資版)'!AL21,'工作表1'!$A$3:$B$78,2,FALSE)</f>
        <v>#ERROR!</v>
      </c>
      <c r="AM21" s="57" t="str">
        <f>VLOOKUP('北段 (人資版)'!AM21,'工作表1'!$A$3:$B$78,2,FALSE)</f>
        <v>#ERROR!</v>
      </c>
      <c r="AN21" s="57" t="str">
        <f>VLOOKUP('北段 (人資版)'!AN21,'工作表1'!$A$3:$B$78,2,FALSE)</f>
        <v>#ERROR!</v>
      </c>
    </row>
    <row r="22" ht="39.75" customHeight="1">
      <c r="A22" s="59"/>
      <c r="B22" s="57" t="str">
        <f>'北段'!B11</f>
        <v>T02505</v>
      </c>
      <c r="C22" s="57" t="str">
        <f>VLOOKUP(B22,'北段'!B:C,2,FALSE)</f>
        <v>李慧盺</v>
      </c>
      <c r="D22" s="57">
        <f>VLOOKUP('北段 (人資版)'!D22,'工作表1'!$A$3:$B$78,2,FALSE)</f>
        <v>90</v>
      </c>
      <c r="E22" s="57">
        <f>VLOOKUP('北段 (人資版)'!E22,'工作表1'!$A$3:$B$78,2,FALSE)</f>
        <v>92</v>
      </c>
      <c r="F22" s="57">
        <f>VLOOKUP('北段 (人資版)'!F22,'工作表1'!$A$3:$B$78,2,FALSE)</f>
        <v>66</v>
      </c>
      <c r="G22" s="57">
        <f>VLOOKUP('北段 (人資版)'!G22,'工作表1'!$A$3:$B$78,2,FALSE)</f>
        <v>66</v>
      </c>
      <c r="H22" s="57">
        <f>VLOOKUP('北段 (人資版)'!H22,'工作表1'!$A$3:$B$78,2,FALSE)</f>
        <v>91</v>
      </c>
      <c r="I22" s="57">
        <f>VLOOKUP('北段 (人資版)'!I22,'工作表1'!$A$3:$B$78,2,FALSE)</f>
        <v>70</v>
      </c>
      <c r="J22" s="57">
        <f>VLOOKUP('北段 (人資版)'!J22,'工作表1'!$A$3:$B$78,2,FALSE)</f>
        <v>70</v>
      </c>
      <c r="K22" s="57">
        <f>VLOOKUP('北段 (人資版)'!K22,'工作表1'!$A$3:$B$78,2,FALSE)</f>
        <v>70</v>
      </c>
      <c r="L22" s="57">
        <f>VLOOKUP('北段 (人資版)'!L22,'工作表1'!$A$3:$B$78,2,FALSE)</f>
        <v>70</v>
      </c>
      <c r="M22" s="57">
        <f>VLOOKUP('北段 (人資版)'!M22,'工作表1'!$A$3:$B$78,2,FALSE)</f>
        <v>92</v>
      </c>
      <c r="N22" s="57">
        <f>VLOOKUP('北段 (人資版)'!N22,'工作表1'!$A$3:$B$78,2,FALSE)</f>
        <v>92</v>
      </c>
      <c r="O22" s="57" t="str">
        <f>VLOOKUP('北段 (人資版)'!O22,'工作表1'!$A$3:$B$78,2,FALSE)</f>
        <v>#N/A</v>
      </c>
      <c r="P22" s="57">
        <f>VLOOKUP('北段 (人資版)'!P22,'工作表1'!$A$3:$B$78,2,FALSE)</f>
        <v>66</v>
      </c>
      <c r="Q22" s="57">
        <f>VLOOKUP('北段 (人資版)'!Q22,'工作表1'!$A$3:$B$78,2,FALSE)</f>
        <v>66</v>
      </c>
      <c r="R22" s="57">
        <f>VLOOKUP('北段 (人資版)'!R22,'工作表1'!$A$3:$B$78,2,FALSE)</f>
        <v>91</v>
      </c>
      <c r="S22" s="57">
        <f>VLOOKUP('北段 (人資版)'!S22,'工作表1'!$A$3:$B$78,2,FALSE)</f>
        <v>66</v>
      </c>
      <c r="T22" s="57">
        <f>VLOOKUP('北段 (人資版)'!T22,'工作表1'!$A$3:$B$78,2,FALSE)</f>
        <v>66</v>
      </c>
      <c r="U22" s="57">
        <f>VLOOKUP('北段 (人資版)'!U22,'工作表1'!$A$3:$B$78,2,FALSE)</f>
        <v>66</v>
      </c>
      <c r="V22" s="57">
        <f>VLOOKUP('北段 (人資版)'!V22,'工作表1'!$A$3:$B$78,2,FALSE)</f>
        <v>92</v>
      </c>
      <c r="W22" s="57" t="str">
        <f>VLOOKUP('北段 (人資版)'!W22,'工作表1'!$A$3:$B$78,2,FALSE)</f>
        <v>05</v>
      </c>
      <c r="X22" s="57">
        <f>VLOOKUP('北段 (人資版)'!X22,'工作表1'!$A$3:$B$78,2,FALSE)</f>
        <v>91</v>
      </c>
      <c r="Y22" s="57" t="str">
        <f>VLOOKUP('北段 (人資版)'!Y22,'工作表1'!$A$3:$B$78,2,FALSE)</f>
        <v>07</v>
      </c>
      <c r="Z22" s="57" t="str">
        <f>VLOOKUP('北段 (人資版)'!Z22,'工作表1'!$A$3:$B$78,2,FALSE)</f>
        <v>07</v>
      </c>
      <c r="AA22" s="57">
        <f>VLOOKUP('北段 (人資版)'!AA22,'工作表1'!$A$3:$B$78,2,FALSE)</f>
        <v>92</v>
      </c>
      <c r="AB22" s="57">
        <f>VLOOKUP('北段 (人資版)'!AB22,'工作表1'!$A$3:$B$78,2,FALSE)</f>
        <v>66</v>
      </c>
      <c r="AC22" s="57">
        <f>VLOOKUP('北段 (人資版)'!AC22,'工作表1'!$A$3:$B$78,2,FALSE)</f>
        <v>66</v>
      </c>
      <c r="AD22" s="57">
        <f>VLOOKUP('北段 (人資版)'!AD22,'工作表1'!$A$3:$B$78,2,FALSE)</f>
        <v>66</v>
      </c>
      <c r="AE22" s="57">
        <f>VLOOKUP('北段 (人資版)'!AE22,'工作表1'!$A$3:$B$78,2,FALSE)</f>
        <v>66</v>
      </c>
      <c r="AF22" s="57" t="str">
        <f>VLOOKUP('北段 (人資版)'!AF22,'工作表1'!$A$3:$B$78,2,FALSE)</f>
        <v>#N/A</v>
      </c>
      <c r="AG22" s="57">
        <f>VLOOKUP('北段 (人資版)'!AG22,'工作表1'!$A$3:$B$78,2,FALSE)</f>
        <v>91</v>
      </c>
      <c r="AH22" s="57" t="str">
        <f>VLOOKUP('北段 (人資版)'!AH22,'工作表1'!$A$3:$B$78,2,FALSE)</f>
        <v>#ERROR!</v>
      </c>
      <c r="AI22" s="57" t="str">
        <f>VLOOKUP('北段 (人資版)'!AI22,'工作表1'!$A$3:$B$78,2,FALSE)</f>
        <v>#ERROR!</v>
      </c>
      <c r="AJ22" s="57" t="str">
        <f>VLOOKUP('北段 (人資版)'!AJ22,'工作表1'!$A$3:$B$78,2,FALSE)</f>
        <v>#ERROR!</v>
      </c>
      <c r="AK22" s="57" t="str">
        <f>VLOOKUP('北段 (人資版)'!AK22,'工作表1'!$A$3:$B$78,2,FALSE)</f>
        <v>#ERROR!</v>
      </c>
      <c r="AL22" s="57" t="str">
        <f>VLOOKUP('北段 (人資版)'!AL22,'工作表1'!$A$3:$B$78,2,FALSE)</f>
        <v>#ERROR!</v>
      </c>
      <c r="AM22" s="57" t="str">
        <f>VLOOKUP('北段 (人資版)'!AM22,'工作表1'!$A$3:$B$78,2,FALSE)</f>
        <v>#ERROR!</v>
      </c>
      <c r="AN22" s="57" t="str">
        <f>VLOOKUP('北段 (人資版)'!AN22,'工作表1'!$A$3:$B$78,2,FALSE)</f>
        <v>#ERROR!</v>
      </c>
    </row>
    <row r="23" ht="39.0" customHeight="1">
      <c r="A23" s="59"/>
      <c r="B23" s="57" t="str">
        <f>'北段'!B14</f>
        <v>T00557</v>
      </c>
      <c r="C23" s="57" t="str">
        <f>VLOOKUP(B23,'北段'!B:C,2,FALSE)</f>
        <v>陳志明</v>
      </c>
      <c r="D23" s="57">
        <f>VLOOKUP('北段 (人資版)'!D23,'工作表1'!$A$3:$B$78,2,FALSE)</f>
        <v>38</v>
      </c>
      <c r="E23" s="57">
        <f>VLOOKUP('北段 (人資版)'!E23,'工作表1'!$A$3:$B$78,2,FALSE)</f>
        <v>92</v>
      </c>
      <c r="F23" s="57">
        <f>VLOOKUP('北段 (人資版)'!F23,'工作表1'!$A$3:$B$78,2,FALSE)</f>
        <v>38</v>
      </c>
      <c r="G23" s="57" t="str">
        <f>VLOOKUP('北段 (人資版)'!G23,'工作表1'!$A$3:$B$78,2,FALSE)</f>
        <v>#N/A</v>
      </c>
      <c r="H23" s="57">
        <f>VLOOKUP('北段 (人資版)'!H23,'工作表1'!$A$3:$B$78,2,FALSE)</f>
        <v>38</v>
      </c>
      <c r="I23" s="57">
        <f>VLOOKUP('北段 (人資版)'!I23,'工作表1'!$A$3:$B$78,2,FALSE)</f>
        <v>38</v>
      </c>
      <c r="J23" s="57">
        <f>VLOOKUP('北段 (人資版)'!J23,'工作表1'!$A$3:$B$78,2,FALSE)</f>
        <v>38</v>
      </c>
      <c r="K23" s="57" t="str">
        <f>VLOOKUP('北段 (人資版)'!K23,'工作表1'!$A$3:$B$78,2,FALSE)</f>
        <v>07</v>
      </c>
      <c r="L23" s="57">
        <f>VLOOKUP('北段 (人資版)'!L23,'工作表1'!$A$3:$B$78,2,FALSE)</f>
        <v>91</v>
      </c>
      <c r="M23" s="57">
        <f>VLOOKUP('北段 (人資版)'!M23,'工作表1'!$A$3:$B$78,2,FALSE)</f>
        <v>91</v>
      </c>
      <c r="N23" s="57">
        <f>VLOOKUP('北段 (人資版)'!N23,'工作表1'!$A$3:$B$78,2,FALSE)</f>
        <v>38</v>
      </c>
      <c r="O23" s="57">
        <f>VLOOKUP('北段 (人資版)'!O23,'工作表1'!$A$3:$B$78,2,FALSE)</f>
        <v>66</v>
      </c>
      <c r="P23" s="57">
        <f>VLOOKUP('北段 (人資版)'!P23,'工作表1'!$A$3:$B$78,2,FALSE)</f>
        <v>66</v>
      </c>
      <c r="Q23" s="57" t="str">
        <f>VLOOKUP('北段 (人資版)'!Q23,'工作表1'!$A$3:$B$78,2,FALSE)</f>
        <v>#N/A</v>
      </c>
      <c r="R23" s="57">
        <f>VLOOKUP('北段 (人資版)'!R23,'工作表1'!$A$3:$B$78,2,FALSE)</f>
        <v>92</v>
      </c>
      <c r="S23" s="57">
        <f>VLOOKUP('北段 (人資版)'!S23,'工作表1'!$A$3:$B$78,2,FALSE)</f>
        <v>92</v>
      </c>
      <c r="T23" s="57">
        <f>VLOOKUP('北段 (人資版)'!T23,'工作表1'!$A$3:$B$78,2,FALSE)</f>
        <v>66</v>
      </c>
      <c r="U23" s="57">
        <f>VLOOKUP('北段 (人資版)'!U23,'工作表1'!$A$3:$B$78,2,FALSE)</f>
        <v>91</v>
      </c>
      <c r="V23" s="57">
        <f>VLOOKUP('北段 (人資版)'!V23,'工作表1'!$A$3:$B$78,2,FALSE)</f>
        <v>66</v>
      </c>
      <c r="W23" s="57" t="str">
        <f>VLOOKUP('北段 (人資版)'!W23,'工作表1'!$A$3:$B$78,2,FALSE)</f>
        <v>05</v>
      </c>
      <c r="X23" s="57">
        <f>VLOOKUP('北段 (人資版)'!X23,'工作表1'!$A$3:$B$78,2,FALSE)</f>
        <v>92</v>
      </c>
      <c r="Y23" s="57">
        <f>VLOOKUP('北段 (人資版)'!Y23,'工作表1'!$A$3:$B$78,2,FALSE)</f>
        <v>92</v>
      </c>
      <c r="Z23" s="57">
        <f>VLOOKUP('北段 (人資版)'!Z23,'工作表1'!$A$3:$B$78,2,FALSE)</f>
        <v>66</v>
      </c>
      <c r="AA23" s="57">
        <f>VLOOKUP('北段 (人資版)'!AA23,'工作表1'!$A$3:$B$78,2,FALSE)</f>
        <v>66</v>
      </c>
      <c r="AB23" s="57" t="str">
        <f>VLOOKUP('北段 (人資版)'!AB23,'工作表1'!$A$3:$B$78,2,FALSE)</f>
        <v>#N/A</v>
      </c>
      <c r="AC23" s="57">
        <f>VLOOKUP('北段 (人資版)'!AC23,'工作表1'!$A$3:$B$78,2,FALSE)</f>
        <v>91</v>
      </c>
      <c r="AD23" s="57">
        <f>VLOOKUP('北段 (人資版)'!AD23,'工作表1'!$A$3:$B$78,2,FALSE)</f>
        <v>38</v>
      </c>
      <c r="AE23" s="57">
        <f>VLOOKUP('北段 (人資版)'!AE23,'工作表1'!$A$3:$B$78,2,FALSE)</f>
        <v>38</v>
      </c>
      <c r="AF23" s="57">
        <f>VLOOKUP('北段 (人資版)'!AF23,'工作表1'!$A$3:$B$78,2,FALSE)</f>
        <v>90</v>
      </c>
      <c r="AG23" s="57" t="str">
        <f>VLOOKUP('北段 (人資版)'!AG23,'工作表1'!$A$3:$B$78,2,FALSE)</f>
        <v>#N/A</v>
      </c>
      <c r="AH23" s="57" t="str">
        <f>VLOOKUP('北段 (人資版)'!AH23,'工作表1'!$A$3:$B$78,2,FALSE)</f>
        <v>#ERROR!</v>
      </c>
      <c r="AI23" s="57" t="str">
        <f>VLOOKUP('北段 (人資版)'!AI23,'工作表1'!$A$3:$B$78,2,FALSE)</f>
        <v>#ERROR!</v>
      </c>
      <c r="AJ23" s="57" t="str">
        <f>VLOOKUP('北段 (人資版)'!AJ23,'工作表1'!$A$3:$B$78,2,FALSE)</f>
        <v>#ERROR!</v>
      </c>
      <c r="AK23" s="57" t="str">
        <f>VLOOKUP('北段 (人資版)'!AK23,'工作表1'!$A$3:$B$78,2,FALSE)</f>
        <v>#ERROR!</v>
      </c>
      <c r="AL23" s="57" t="str">
        <f>VLOOKUP('北段 (人資版)'!AL23,'工作表1'!$A$3:$B$78,2,FALSE)</f>
        <v>#ERROR!</v>
      </c>
      <c r="AM23" s="57" t="str">
        <f>VLOOKUP('北段 (人資版)'!AM23,'工作表1'!$A$3:$B$78,2,FALSE)</f>
        <v>#ERROR!</v>
      </c>
      <c r="AN23" s="57" t="str">
        <f>VLOOKUP('北段 (人資版)'!AN23,'工作表1'!$A$3:$B$78,2,FALSE)</f>
        <v>#ERROR!</v>
      </c>
    </row>
    <row r="24" ht="39.0" customHeight="1">
      <c r="A24" s="59"/>
      <c r="B24" s="57" t="str">
        <f>'北段'!B15</f>
        <v>T00929</v>
      </c>
      <c r="C24" s="57" t="str">
        <f>VLOOKUP(B24,'北段'!B:C,2,FALSE)</f>
        <v>簡婉蓁</v>
      </c>
      <c r="D24" s="57" t="str">
        <f>VLOOKUP('北段 (人資版)'!D24,'工作表1'!$A$3:$B$78,2,FALSE)</f>
        <v>#N/A</v>
      </c>
      <c r="E24" s="57">
        <f>VLOOKUP('北段 (人資版)'!E24,'工作表1'!$A$3:$B$78,2,FALSE)</f>
        <v>92</v>
      </c>
      <c r="F24" s="57">
        <f>VLOOKUP('北段 (人資版)'!F24,'工作表1'!$A$3:$B$78,2,FALSE)</f>
        <v>92</v>
      </c>
      <c r="G24" s="57">
        <f>VLOOKUP('北段 (人資版)'!G24,'工作表1'!$A$3:$B$78,2,FALSE)</f>
        <v>91</v>
      </c>
      <c r="H24" s="57">
        <f>VLOOKUP('北段 (人資版)'!H24,'工作表1'!$A$3:$B$78,2,FALSE)</f>
        <v>90</v>
      </c>
      <c r="I24" s="57">
        <f>VLOOKUP('北段 (人資版)'!I24,'工作表1'!$A$3:$B$78,2,FALSE)</f>
        <v>90</v>
      </c>
      <c r="J24" s="57">
        <f>VLOOKUP('北段 (人資版)'!J24,'工作表1'!$A$3:$B$78,2,FALSE)</f>
        <v>90</v>
      </c>
      <c r="K24" s="57">
        <f>VLOOKUP('北段 (人資版)'!K24,'工作表1'!$A$3:$B$78,2,FALSE)</f>
        <v>90</v>
      </c>
      <c r="L24" s="57">
        <f>VLOOKUP('北段 (人資版)'!L24,'工作表1'!$A$3:$B$78,2,FALSE)</f>
        <v>92</v>
      </c>
      <c r="M24" s="57">
        <f>VLOOKUP('北段 (人資版)'!M24,'工作表1'!$A$3:$B$78,2,FALSE)</f>
        <v>91</v>
      </c>
      <c r="N24" s="57">
        <f>VLOOKUP('北段 (人資版)'!N24,'工作表1'!$A$3:$B$78,2,FALSE)</f>
        <v>38</v>
      </c>
      <c r="O24" s="57">
        <f>VLOOKUP('北段 (人資版)'!O24,'工作表1'!$A$3:$B$78,2,FALSE)</f>
        <v>38</v>
      </c>
      <c r="P24" s="57">
        <f>VLOOKUP('北段 (人資版)'!P24,'工作表1'!$A$3:$B$78,2,FALSE)</f>
        <v>38</v>
      </c>
      <c r="Q24" s="57">
        <f>VLOOKUP('北段 (人資版)'!Q24,'工作表1'!$A$3:$B$78,2,FALSE)</f>
        <v>38</v>
      </c>
      <c r="R24" s="57" t="str">
        <f>VLOOKUP('北段 (人資版)'!R24,'工作表1'!$A$3:$B$78,2,FALSE)</f>
        <v>#N/A</v>
      </c>
      <c r="S24" s="57">
        <f>VLOOKUP('北段 (人資版)'!S24,'工作表1'!$A$3:$B$78,2,FALSE)</f>
        <v>38</v>
      </c>
      <c r="T24" s="57">
        <f>VLOOKUP('北段 (人資版)'!T24,'工作表1'!$A$3:$B$78,2,FALSE)</f>
        <v>91</v>
      </c>
      <c r="U24" s="57">
        <f>VLOOKUP('北段 (人資版)'!U24,'工作表1'!$A$3:$B$78,2,FALSE)</f>
        <v>38</v>
      </c>
      <c r="V24" s="57">
        <f>VLOOKUP('北段 (人資版)'!V24,'工作表1'!$A$3:$B$78,2,FALSE)</f>
        <v>38</v>
      </c>
      <c r="W24" s="57">
        <f>VLOOKUP('北段 (人資版)'!W24,'工作表1'!$A$3:$B$78,2,FALSE)</f>
        <v>38</v>
      </c>
      <c r="X24" s="57" t="str">
        <f>VLOOKUP('北段 (人資版)'!X24,'工作表1'!$A$3:$B$78,2,FALSE)</f>
        <v>05</v>
      </c>
      <c r="Y24" s="57">
        <f>VLOOKUP('北段 (人資版)'!Y24,'工作表1'!$A$3:$B$78,2,FALSE)</f>
        <v>92</v>
      </c>
      <c r="Z24" s="57">
        <f>VLOOKUP('北段 (人資版)'!Z24,'工作表1'!$A$3:$B$78,2,FALSE)</f>
        <v>92</v>
      </c>
      <c r="AA24" s="57">
        <f>VLOOKUP('北段 (人資版)'!AA24,'工作表1'!$A$3:$B$78,2,FALSE)</f>
        <v>38</v>
      </c>
      <c r="AB24" s="57">
        <f>VLOOKUP('北段 (人資版)'!AB24,'工作表1'!$A$3:$B$78,2,FALSE)</f>
        <v>38</v>
      </c>
      <c r="AC24" s="57">
        <f>VLOOKUP('北段 (人資版)'!AC24,'工作表1'!$A$3:$B$78,2,FALSE)</f>
        <v>38</v>
      </c>
      <c r="AD24" s="57">
        <f>VLOOKUP('北段 (人資版)'!AD24,'工作表1'!$A$3:$B$78,2,FALSE)</f>
        <v>38</v>
      </c>
      <c r="AE24" s="57">
        <f>VLOOKUP('北段 (人資版)'!AE24,'工作表1'!$A$3:$B$78,2,FALSE)</f>
        <v>38</v>
      </c>
      <c r="AF24" s="57">
        <f>VLOOKUP('北段 (人資版)'!AF24,'工作表1'!$A$3:$B$78,2,FALSE)</f>
        <v>91</v>
      </c>
      <c r="AG24" s="57">
        <f>VLOOKUP('北段 (人資版)'!AG24,'工作表1'!$A$3:$B$78,2,FALSE)</f>
        <v>38</v>
      </c>
      <c r="AH24" s="57" t="str">
        <f>VLOOKUP('北段 (人資版)'!AH24,'工作表1'!$A$3:$B$78,2,FALSE)</f>
        <v>#ERROR!</v>
      </c>
      <c r="AI24" s="57" t="str">
        <f>VLOOKUP('北段 (人資版)'!AI24,'工作表1'!$A$3:$B$78,2,FALSE)</f>
        <v>#ERROR!</v>
      </c>
      <c r="AJ24" s="57" t="str">
        <f>VLOOKUP('北段 (人資版)'!AJ24,'工作表1'!$A$3:$B$78,2,FALSE)</f>
        <v>#ERROR!</v>
      </c>
      <c r="AK24" s="57" t="str">
        <f>VLOOKUP('北段 (人資版)'!AK24,'工作表1'!$A$3:$B$78,2,FALSE)</f>
        <v>#ERROR!</v>
      </c>
      <c r="AL24" s="57" t="str">
        <f>VLOOKUP('北段 (人資版)'!AL24,'工作表1'!$A$3:$B$78,2,FALSE)</f>
        <v>#ERROR!</v>
      </c>
      <c r="AM24" s="57" t="str">
        <f>VLOOKUP('北段 (人資版)'!AM24,'工作表1'!$A$3:$B$78,2,FALSE)</f>
        <v>#ERROR!</v>
      </c>
      <c r="AN24" s="57" t="str">
        <f>VLOOKUP('北段 (人資版)'!AN24,'工作表1'!$A$3:$B$78,2,FALSE)</f>
        <v>#ERROR!</v>
      </c>
    </row>
    <row r="25" ht="39.75" customHeight="1">
      <c r="A25" s="59"/>
      <c r="B25" s="57" t="str">
        <f>'北段'!B16</f>
        <v>T01459</v>
      </c>
      <c r="C25" s="57" t="str">
        <f>VLOOKUP(B25,'北段'!B:C,2,FALSE)</f>
        <v>林禹丞</v>
      </c>
      <c r="D25" s="57">
        <f>VLOOKUP('北段 (人資版)'!D25,'工作表1'!$A$3:$B$78,2,FALSE)</f>
        <v>66</v>
      </c>
      <c r="E25" s="57">
        <f>VLOOKUP('北段 (人資版)'!E25,'工作表1'!$A$3:$B$78,2,FALSE)</f>
        <v>66</v>
      </c>
      <c r="F25" s="57">
        <f>VLOOKUP('北段 (人資版)'!F25,'工作表1'!$A$3:$B$78,2,FALSE)</f>
        <v>91</v>
      </c>
      <c r="G25" s="57">
        <f>VLOOKUP('北段 (人資版)'!G25,'工作表1'!$A$3:$B$78,2,FALSE)</f>
        <v>92</v>
      </c>
      <c r="H25" s="57">
        <f>VLOOKUP('北段 (人資版)'!H25,'工作表1'!$A$3:$B$78,2,FALSE)</f>
        <v>38</v>
      </c>
      <c r="I25" s="57">
        <f>VLOOKUP('北段 (人資版)'!I25,'工作表1'!$A$3:$B$78,2,FALSE)</f>
        <v>38</v>
      </c>
      <c r="J25" s="57">
        <f>VLOOKUP('北段 (人資版)'!J25,'工作表1'!$A$3:$B$78,2,FALSE)</f>
        <v>38</v>
      </c>
      <c r="K25" s="57">
        <f>VLOOKUP('北段 (人資版)'!K25,'工作表1'!$A$3:$B$78,2,FALSE)</f>
        <v>38</v>
      </c>
      <c r="L25" s="57">
        <f>VLOOKUP('北段 (人資版)'!L25,'工作表1'!$A$3:$B$78,2,FALSE)</f>
        <v>38</v>
      </c>
      <c r="M25" s="57">
        <f>VLOOKUP('北段 (人資版)'!M25,'工作表1'!$A$3:$B$78,2,FALSE)</f>
        <v>91</v>
      </c>
      <c r="N25" s="57" t="str">
        <f>VLOOKUP('北段 (人資版)'!N25,'工作表1'!$A$3:$B$78,2,FALSE)</f>
        <v>07</v>
      </c>
      <c r="O25" s="57">
        <f>VLOOKUP('北段 (人資版)'!O25,'工作表1'!$A$3:$B$78,2,FALSE)</f>
        <v>38</v>
      </c>
      <c r="P25" s="57" t="str">
        <f>VLOOKUP('北段 (人資版)'!P25,'工作表1'!$A$3:$B$78,2,FALSE)</f>
        <v>07</v>
      </c>
      <c r="Q25" s="57">
        <f>VLOOKUP('北段 (人資版)'!Q25,'工作表1'!$A$3:$B$78,2,FALSE)</f>
        <v>38</v>
      </c>
      <c r="R25" s="57">
        <f>VLOOKUP('北段 (人資版)'!R25,'工作表1'!$A$3:$B$78,2,FALSE)</f>
        <v>92</v>
      </c>
      <c r="S25" s="57">
        <f>VLOOKUP('北段 (人資版)'!S25,'工作表1'!$A$3:$B$78,2,FALSE)</f>
        <v>38</v>
      </c>
      <c r="T25" s="57">
        <f>VLOOKUP('北段 (人資版)'!T25,'工作表1'!$A$3:$B$78,2,FALSE)</f>
        <v>91</v>
      </c>
      <c r="U25" s="57">
        <f>VLOOKUP('北段 (人資版)'!U25,'工作表1'!$A$3:$B$78,2,FALSE)</f>
        <v>92</v>
      </c>
      <c r="V25" s="57" t="str">
        <f>VLOOKUP('北段 (人資版)'!V25,'工作表1'!$A$3:$B$78,2,FALSE)</f>
        <v>#N/A</v>
      </c>
      <c r="W25" s="57" t="str">
        <f>VLOOKUP('北段 (人資版)'!W25,'工作表1'!$A$3:$B$78,2,FALSE)</f>
        <v>05</v>
      </c>
      <c r="X25" s="57">
        <f>VLOOKUP('北段 (人資版)'!X25,'工作表1'!$A$3:$B$78,2,FALSE)</f>
        <v>38</v>
      </c>
      <c r="Y25" s="57">
        <f>VLOOKUP('北段 (人資版)'!Y25,'工作表1'!$A$3:$B$78,2,FALSE)</f>
        <v>38</v>
      </c>
      <c r="Z25" s="57">
        <f>VLOOKUP('北段 (人資版)'!Z25,'工作表1'!$A$3:$B$78,2,FALSE)</f>
        <v>38</v>
      </c>
      <c r="AA25" s="57">
        <f>VLOOKUP('北段 (人資版)'!AA25,'工作表1'!$A$3:$B$78,2,FALSE)</f>
        <v>91</v>
      </c>
      <c r="AB25" s="57" t="str">
        <f>VLOOKUP('北段 (人資版)'!AB25,'工作表1'!$A$3:$B$78,2,FALSE)</f>
        <v>07</v>
      </c>
      <c r="AC25" s="57">
        <f>VLOOKUP('北段 (人資版)'!AC25,'工作表1'!$A$3:$B$78,2,FALSE)</f>
        <v>38</v>
      </c>
      <c r="AD25" s="57">
        <f>VLOOKUP('北段 (人資版)'!AD25,'工作表1'!$A$3:$B$78,2,FALSE)</f>
        <v>92</v>
      </c>
      <c r="AE25" s="57">
        <f>VLOOKUP('北段 (人資版)'!AE25,'工作表1'!$A$3:$B$78,2,FALSE)</f>
        <v>38</v>
      </c>
      <c r="AF25" s="57">
        <f>VLOOKUP('北段 (人資版)'!AF25,'工作表1'!$A$3:$B$78,2,FALSE)</f>
        <v>38</v>
      </c>
      <c r="AG25" s="57">
        <f>VLOOKUP('北段 (人資版)'!AG25,'工作表1'!$A$3:$B$78,2,FALSE)</f>
        <v>38</v>
      </c>
      <c r="AH25" s="57" t="str">
        <f>VLOOKUP('北段 (人資版)'!AH25,'工作表1'!$A$3:$B$78,2,FALSE)</f>
        <v>#ERROR!</v>
      </c>
      <c r="AI25" s="57" t="str">
        <f>VLOOKUP('北段 (人資版)'!AI25,'工作表1'!$A$3:$B$78,2,FALSE)</f>
        <v>#ERROR!</v>
      </c>
      <c r="AJ25" s="57" t="str">
        <f>VLOOKUP('北段 (人資版)'!AJ25,'工作表1'!$A$3:$B$78,2,FALSE)</f>
        <v>#ERROR!</v>
      </c>
      <c r="AK25" s="57" t="str">
        <f>VLOOKUP('北段 (人資版)'!AK25,'工作表1'!$A$3:$B$78,2,FALSE)</f>
        <v>#ERROR!</v>
      </c>
      <c r="AL25" s="57" t="str">
        <f>VLOOKUP('北段 (人資版)'!AL25,'工作表1'!$A$3:$B$78,2,FALSE)</f>
        <v>#ERROR!</v>
      </c>
      <c r="AM25" s="57" t="str">
        <f>VLOOKUP('北段 (人資版)'!AM25,'工作表1'!$A$3:$B$78,2,FALSE)</f>
        <v>#ERROR!</v>
      </c>
      <c r="AN25" s="57" t="str">
        <f>VLOOKUP('北段 (人資版)'!AN25,'工作表1'!$A$3:$B$78,2,FALSE)</f>
        <v>#ERROR!</v>
      </c>
    </row>
    <row r="26" ht="39.75" customHeight="1">
      <c r="A26" s="59"/>
      <c r="B26" s="57" t="str">
        <f>'北段'!B17</f>
        <v>T01600</v>
      </c>
      <c r="C26" s="57" t="str">
        <f>VLOOKUP(B26,'北段'!B:C,2,FALSE)</f>
        <v>陳奎羽</v>
      </c>
      <c r="D26" s="57">
        <f>VLOOKUP('北段 (人資版)'!D26,'工作表1'!$A$3:$B$78,2,FALSE)</f>
        <v>38</v>
      </c>
      <c r="E26" s="57">
        <f>VLOOKUP('北段 (人資版)'!E26,'工作表1'!$A$3:$B$78,2,FALSE)</f>
        <v>92</v>
      </c>
      <c r="F26" s="57">
        <f>VLOOKUP('北段 (人資版)'!F26,'工作表1'!$A$3:$B$78,2,FALSE)</f>
        <v>38</v>
      </c>
      <c r="G26" s="57">
        <f>VLOOKUP('北段 (人資版)'!G26,'工作表1'!$A$3:$B$78,2,FALSE)</f>
        <v>38</v>
      </c>
      <c r="H26" s="57" t="str">
        <f>VLOOKUP('北段 (人資版)'!H26,'工作表1'!$A$3:$B$78,2,FALSE)</f>
        <v>#N/A</v>
      </c>
      <c r="I26" s="57">
        <f>VLOOKUP('北段 (人資版)'!I26,'工作表1'!$A$3:$B$78,2,FALSE)</f>
        <v>38</v>
      </c>
      <c r="J26" s="57">
        <f>VLOOKUP('北段 (人資版)'!J26,'工作表1'!$A$3:$B$78,2,FALSE)</f>
        <v>38</v>
      </c>
      <c r="K26" s="57">
        <f>VLOOKUP('北段 (人資版)'!K26,'工作表1'!$A$3:$B$78,2,FALSE)</f>
        <v>91</v>
      </c>
      <c r="L26" s="57">
        <f>VLOOKUP('北段 (人資版)'!L26,'工作表1'!$A$3:$B$78,2,FALSE)</f>
        <v>38</v>
      </c>
      <c r="M26" s="57">
        <f>VLOOKUP('北段 (人資版)'!M26,'工作表1'!$A$3:$B$78,2,FALSE)</f>
        <v>38</v>
      </c>
      <c r="N26" s="57">
        <f>VLOOKUP('北段 (人資版)'!N26,'工作表1'!$A$3:$B$78,2,FALSE)</f>
        <v>38</v>
      </c>
      <c r="O26" s="57">
        <f>VLOOKUP('北段 (人資版)'!O26,'工作表1'!$A$3:$B$78,2,FALSE)</f>
        <v>38</v>
      </c>
      <c r="P26" s="57">
        <f>VLOOKUP('北段 (人資版)'!P26,'工作表1'!$A$3:$B$78,2,FALSE)</f>
        <v>92</v>
      </c>
      <c r="Q26" s="57">
        <f>VLOOKUP('北段 (人資版)'!Q26,'工作表1'!$A$3:$B$78,2,FALSE)</f>
        <v>91</v>
      </c>
      <c r="R26" s="57">
        <f>VLOOKUP('北段 (人資版)'!R26,'工作表1'!$A$3:$B$78,2,FALSE)</f>
        <v>38</v>
      </c>
      <c r="S26" s="57">
        <f>VLOOKUP('北段 (人資版)'!S26,'工作表1'!$A$3:$B$78,2,FALSE)</f>
        <v>92</v>
      </c>
      <c r="T26" s="57">
        <f>VLOOKUP('北段 (人資版)'!T26,'工作表1'!$A$3:$B$78,2,FALSE)</f>
        <v>38</v>
      </c>
      <c r="U26" s="57">
        <f>VLOOKUP('北段 (人資版)'!U26,'工作表1'!$A$3:$B$78,2,FALSE)</f>
        <v>92</v>
      </c>
      <c r="V26" s="57">
        <f>VLOOKUP('北段 (人資版)'!V26,'工作表1'!$A$3:$B$78,2,FALSE)</f>
        <v>92</v>
      </c>
      <c r="W26" s="57">
        <f>VLOOKUP('北段 (人資版)'!W26,'工作表1'!$A$3:$B$78,2,FALSE)</f>
        <v>38</v>
      </c>
      <c r="X26" s="57">
        <f>VLOOKUP('北段 (人資版)'!X26,'工作表1'!$A$3:$B$78,2,FALSE)</f>
        <v>38</v>
      </c>
      <c r="Y26" s="57">
        <f>VLOOKUP('北段 (人資版)'!Y26,'工作表1'!$A$3:$B$78,2,FALSE)</f>
        <v>38</v>
      </c>
      <c r="Z26" s="57">
        <f>VLOOKUP('北段 (人資版)'!Z26,'工作表1'!$A$3:$B$78,2,FALSE)</f>
        <v>91</v>
      </c>
      <c r="AA26" s="57" t="str">
        <f>VLOOKUP('北段 (人資版)'!AA26,'工作表1'!$A$3:$B$78,2,FALSE)</f>
        <v>07</v>
      </c>
      <c r="AB26" s="57">
        <f>VLOOKUP('北段 (人資版)'!AB26,'工作表1'!$A$3:$B$78,2,FALSE)</f>
        <v>91</v>
      </c>
      <c r="AC26" s="57">
        <f>VLOOKUP('北段 (人資版)'!AC26,'工作表1'!$A$3:$B$78,2,FALSE)</f>
        <v>38</v>
      </c>
      <c r="AD26" s="57">
        <f>VLOOKUP('北段 (人資版)'!AD26,'工作表1'!$A$3:$B$78,2,FALSE)</f>
        <v>38</v>
      </c>
      <c r="AE26" s="57" t="str">
        <f>VLOOKUP('北段 (人資版)'!AE26,'工作表1'!$A$3:$B$78,2,FALSE)</f>
        <v>05</v>
      </c>
      <c r="AF26" s="57">
        <f>VLOOKUP('北段 (人資版)'!AF26,'工作表1'!$A$3:$B$78,2,FALSE)</f>
        <v>38</v>
      </c>
      <c r="AG26" s="57" t="str">
        <f>VLOOKUP('北段 (人資版)'!AG26,'工作表1'!$A$3:$B$78,2,FALSE)</f>
        <v>07</v>
      </c>
      <c r="AH26" s="57" t="str">
        <f>VLOOKUP('北段 (人資版)'!AH26,'工作表1'!$A$3:$B$78,2,FALSE)</f>
        <v>#ERROR!</v>
      </c>
      <c r="AI26" s="57" t="str">
        <f>VLOOKUP('北段 (人資版)'!AI26,'工作表1'!$A$3:$B$78,2,FALSE)</f>
        <v>#ERROR!</v>
      </c>
      <c r="AJ26" s="57" t="str">
        <f>VLOOKUP('北段 (人資版)'!AJ26,'工作表1'!$A$3:$B$78,2,FALSE)</f>
        <v>#ERROR!</v>
      </c>
      <c r="AK26" s="57" t="str">
        <f>VLOOKUP('北段 (人資版)'!AK26,'工作表1'!$A$3:$B$78,2,FALSE)</f>
        <v>#ERROR!</v>
      </c>
      <c r="AL26" s="57" t="str">
        <f>VLOOKUP('北段 (人資版)'!AL26,'工作表1'!$A$3:$B$78,2,FALSE)</f>
        <v>#ERROR!</v>
      </c>
      <c r="AM26" s="57" t="str">
        <f>VLOOKUP('北段 (人資版)'!AM26,'工作表1'!$A$3:$B$78,2,FALSE)</f>
        <v>#ERROR!</v>
      </c>
      <c r="AN26" s="57" t="str">
        <f>VLOOKUP('北段 (人資版)'!AN26,'工作表1'!$A$3:$B$78,2,FALSE)</f>
        <v>#ERROR!</v>
      </c>
    </row>
    <row r="27" ht="39.75" customHeight="1">
      <c r="A27" s="59"/>
      <c r="B27" s="57" t="str">
        <f>'北段'!B18</f>
        <v>T01795</v>
      </c>
      <c r="C27" s="57" t="str">
        <f>VLOOKUP(B27,'北段'!B:C,2,FALSE)</f>
        <v>黃羿綾</v>
      </c>
      <c r="D27" s="57">
        <f>VLOOKUP('北段 (人資版)'!D27,'工作表1'!$A$3:$B$78,2,FALSE)</f>
        <v>91</v>
      </c>
      <c r="E27" s="57">
        <f>VLOOKUP('北段 (人資版)'!E27,'工作表1'!$A$3:$B$78,2,FALSE)</f>
        <v>92</v>
      </c>
      <c r="F27" s="57">
        <f>VLOOKUP('北段 (人資版)'!F27,'工作表1'!$A$3:$B$78,2,FALSE)</f>
        <v>92</v>
      </c>
      <c r="G27" s="57">
        <f>VLOOKUP('北段 (人資版)'!G27,'工作表1'!$A$3:$B$78,2,FALSE)</f>
        <v>91</v>
      </c>
      <c r="H27" s="57">
        <f>VLOOKUP('北段 (人資版)'!H27,'工作表1'!$A$3:$B$78,2,FALSE)</f>
        <v>66</v>
      </c>
      <c r="I27" s="57">
        <f>VLOOKUP('北段 (人資版)'!I27,'工作表1'!$A$3:$B$78,2,FALSE)</f>
        <v>66</v>
      </c>
      <c r="J27" s="57">
        <f>VLOOKUP('北段 (人資版)'!J27,'工作表1'!$A$3:$B$78,2,FALSE)</f>
        <v>66</v>
      </c>
      <c r="K27" s="57">
        <f>VLOOKUP('北段 (人資版)'!K27,'工作表1'!$A$3:$B$78,2,FALSE)</f>
        <v>92</v>
      </c>
      <c r="L27" s="57">
        <f>VLOOKUP('北段 (人資版)'!L27,'工作表1'!$A$3:$B$78,2,FALSE)</f>
        <v>90</v>
      </c>
      <c r="M27" s="57">
        <f>VLOOKUP('北段 (人資版)'!M27,'工作表1'!$A$3:$B$78,2,FALSE)</f>
        <v>91</v>
      </c>
      <c r="N27" s="57">
        <f>VLOOKUP('北段 (人資版)'!N27,'工作表1'!$A$3:$B$78,2,FALSE)</f>
        <v>66</v>
      </c>
      <c r="O27" s="57">
        <f>VLOOKUP('北段 (人資版)'!O27,'工作表1'!$A$3:$B$78,2,FALSE)</f>
        <v>66</v>
      </c>
      <c r="P27" s="57">
        <f>VLOOKUP('北段 (人資版)'!P27,'工作表1'!$A$3:$B$78,2,FALSE)</f>
        <v>66</v>
      </c>
      <c r="Q27" s="57">
        <f>VLOOKUP('北段 (人資版)'!Q27,'工作表1'!$A$3:$B$78,2,FALSE)</f>
        <v>66</v>
      </c>
      <c r="R27" s="57">
        <f>VLOOKUP('北段 (人資版)'!R27,'工作表1'!$A$3:$B$78,2,FALSE)</f>
        <v>66</v>
      </c>
      <c r="S27" s="57">
        <f>VLOOKUP('北段 (人資版)'!S27,'工作表1'!$A$3:$B$78,2,FALSE)</f>
        <v>66</v>
      </c>
      <c r="T27" s="57">
        <f>VLOOKUP('北段 (人資版)'!T27,'工作表1'!$A$3:$B$78,2,FALSE)</f>
        <v>91</v>
      </c>
      <c r="U27" s="57" t="str">
        <f>VLOOKUP('北段 (人資版)'!U27,'工作表1'!$A$3:$B$78,2,FALSE)</f>
        <v>#N/A</v>
      </c>
      <c r="V27" s="57">
        <f>VLOOKUP('北段 (人資版)'!V27,'工作表1'!$A$3:$B$78,2,FALSE)</f>
        <v>66</v>
      </c>
      <c r="W27" s="57">
        <f>VLOOKUP('北段 (人資版)'!W27,'工作表1'!$A$3:$B$78,2,FALSE)</f>
        <v>66</v>
      </c>
      <c r="X27" s="57">
        <f>VLOOKUP('北段 (人資版)'!X27,'工作表1'!$A$3:$B$78,2,FALSE)</f>
        <v>66</v>
      </c>
      <c r="Y27" s="57">
        <f>VLOOKUP('北段 (人資版)'!Y27,'工作表1'!$A$3:$B$78,2,FALSE)</f>
        <v>66</v>
      </c>
      <c r="Z27" s="57">
        <f>VLOOKUP('北段 (人資版)'!Z27,'工作表1'!$A$3:$B$78,2,FALSE)</f>
        <v>66</v>
      </c>
      <c r="AA27" s="57">
        <f>VLOOKUP('北段 (人資版)'!AA27,'工作表1'!$A$3:$B$78,2,FALSE)</f>
        <v>92</v>
      </c>
      <c r="AB27" s="57" t="str">
        <f>VLOOKUP('北段 (人資版)'!AB27,'工作表1'!$A$3:$B$78,2,FALSE)</f>
        <v>05</v>
      </c>
      <c r="AC27" s="57" t="str">
        <f>VLOOKUP('北段 (人資版)'!AC27,'工作表1'!$A$3:$B$78,2,FALSE)</f>
        <v>#N/A</v>
      </c>
      <c r="AD27" s="57">
        <f>VLOOKUP('北段 (人資版)'!AD27,'工作表1'!$A$3:$B$78,2,FALSE)</f>
        <v>66</v>
      </c>
      <c r="AE27" s="57" t="str">
        <f>VLOOKUP('北段 (人資版)'!AE27,'工作表1'!$A$3:$B$78,2,FALSE)</f>
        <v>#N/A</v>
      </c>
      <c r="AF27" s="57">
        <f>VLOOKUP('北段 (人資版)'!AF27,'工作表1'!$A$3:$B$78,2,FALSE)</f>
        <v>91</v>
      </c>
      <c r="AG27" s="57">
        <f>VLOOKUP('北段 (人資版)'!AG27,'工作表1'!$A$3:$B$78,2,FALSE)</f>
        <v>92</v>
      </c>
      <c r="AH27" s="57" t="str">
        <f>VLOOKUP('北段 (人資版)'!AH27,'工作表1'!$A$3:$B$78,2,FALSE)</f>
        <v>#ERROR!</v>
      </c>
      <c r="AI27" s="57" t="str">
        <f>VLOOKUP('北段 (人資版)'!AI27,'工作表1'!$A$3:$B$78,2,FALSE)</f>
        <v>#ERROR!</v>
      </c>
      <c r="AJ27" s="57" t="str">
        <f>VLOOKUP('北段 (人資版)'!AJ27,'工作表1'!$A$3:$B$78,2,FALSE)</f>
        <v>#ERROR!</v>
      </c>
      <c r="AK27" s="57" t="str">
        <f>VLOOKUP('北段 (人資版)'!AK27,'工作表1'!$A$3:$B$78,2,FALSE)</f>
        <v>#ERROR!</v>
      </c>
      <c r="AL27" s="57" t="str">
        <f>VLOOKUP('北段 (人資版)'!AL27,'工作表1'!$A$3:$B$78,2,FALSE)</f>
        <v>#ERROR!</v>
      </c>
      <c r="AM27" s="57" t="str">
        <f>VLOOKUP('北段 (人資版)'!AM27,'工作表1'!$A$3:$B$78,2,FALSE)</f>
        <v>#ERROR!</v>
      </c>
      <c r="AN27" s="57" t="str">
        <f>VLOOKUP('北段 (人資版)'!AN27,'工作表1'!$A$3:$B$78,2,FALSE)</f>
        <v>#ERROR!</v>
      </c>
    </row>
    <row r="28" ht="39.75" customHeight="1">
      <c r="A28" s="59"/>
      <c r="B28" s="57" t="str">
        <f>'北段'!B19</f>
        <v>T02222</v>
      </c>
      <c r="C28" s="57" t="str">
        <f>VLOOKUP(B28,'北段'!B:C,2,FALSE)</f>
        <v>𡍼文妤</v>
      </c>
      <c r="D28" s="57">
        <f>VLOOKUP('北段 (人資版)'!D28,'工作表1'!$A$3:$B$78,2,FALSE)</f>
        <v>91</v>
      </c>
      <c r="E28" s="57">
        <f>VLOOKUP('北段 (人資版)'!E28,'工作表1'!$A$3:$B$78,2,FALSE)</f>
        <v>38</v>
      </c>
      <c r="F28" s="57">
        <f>VLOOKUP('北段 (人資版)'!F28,'工作表1'!$A$3:$B$78,2,FALSE)</f>
        <v>38</v>
      </c>
      <c r="G28" s="57">
        <f>VLOOKUP('北段 (人資版)'!G28,'工作表1'!$A$3:$B$78,2,FALSE)</f>
        <v>38</v>
      </c>
      <c r="H28" s="57">
        <f>VLOOKUP('北段 (人資版)'!H28,'工作表1'!$A$3:$B$78,2,FALSE)</f>
        <v>91</v>
      </c>
      <c r="I28" s="57">
        <f>VLOOKUP('北段 (人資版)'!I28,'工作表1'!$A$3:$B$78,2,FALSE)</f>
        <v>92</v>
      </c>
      <c r="J28" s="57">
        <f>VLOOKUP('北段 (人資版)'!J28,'工作表1'!$A$3:$B$78,2,FALSE)</f>
        <v>38</v>
      </c>
      <c r="K28" s="57">
        <f>VLOOKUP('北段 (人資版)'!K28,'工作表1'!$A$3:$B$78,2,FALSE)</f>
        <v>38</v>
      </c>
      <c r="L28" s="57">
        <f>VLOOKUP('北段 (人資版)'!L28,'工作表1'!$A$3:$B$78,2,FALSE)</f>
        <v>38</v>
      </c>
      <c r="M28" s="57">
        <f>VLOOKUP('北段 (人資版)'!M28,'工作表1'!$A$3:$B$78,2,FALSE)</f>
        <v>38</v>
      </c>
      <c r="N28" s="57">
        <f>VLOOKUP('北段 (人資版)'!N28,'工作表1'!$A$3:$B$78,2,FALSE)</f>
        <v>38</v>
      </c>
      <c r="O28" s="57">
        <f>VLOOKUP('北段 (人資版)'!O28,'工作表1'!$A$3:$B$78,2,FALSE)</f>
        <v>91</v>
      </c>
      <c r="P28" s="57">
        <f>VLOOKUP('北段 (人資版)'!P28,'工作表1'!$A$3:$B$78,2,FALSE)</f>
        <v>92</v>
      </c>
      <c r="Q28" s="57">
        <f>VLOOKUP('北段 (人資版)'!Q28,'工作表1'!$A$3:$B$78,2,FALSE)</f>
        <v>38</v>
      </c>
      <c r="R28" s="57">
        <f>VLOOKUP('北段 (人資版)'!R28,'工作表1'!$A$3:$B$78,2,FALSE)</f>
        <v>38</v>
      </c>
      <c r="S28" s="57">
        <f>VLOOKUP('北段 (人資版)'!S28,'工作表1'!$A$3:$B$78,2,FALSE)</f>
        <v>38</v>
      </c>
      <c r="T28" s="57">
        <f>VLOOKUP('北段 (人資版)'!T28,'工作表1'!$A$3:$B$78,2,FALSE)</f>
        <v>38</v>
      </c>
      <c r="U28" s="57">
        <f>VLOOKUP('北段 (人資版)'!U28,'工作表1'!$A$3:$B$78,2,FALSE)</f>
        <v>91</v>
      </c>
      <c r="V28" s="57" t="str">
        <f>VLOOKUP('北段 (人資版)'!V28,'工作表1'!$A$3:$B$78,2,FALSE)</f>
        <v>#N/A</v>
      </c>
      <c r="W28" s="57" t="str">
        <f>VLOOKUP('北段 (人資版)'!W28,'工作表1'!$A$3:$B$78,2,FALSE)</f>
        <v>#N/A</v>
      </c>
      <c r="X28" s="57">
        <f>VLOOKUP('北段 (人資版)'!X28,'工作表1'!$A$3:$B$78,2,FALSE)</f>
        <v>38</v>
      </c>
      <c r="Y28" s="57">
        <f>VLOOKUP('北段 (人資版)'!Y28,'工作表1'!$A$3:$B$78,2,FALSE)</f>
        <v>38</v>
      </c>
      <c r="Z28" s="57">
        <f>VLOOKUP('北段 (人資版)'!Z28,'工作表1'!$A$3:$B$78,2,FALSE)</f>
        <v>38</v>
      </c>
      <c r="AA28" s="57">
        <f>VLOOKUP('北段 (人資版)'!AA28,'工作表1'!$A$3:$B$78,2,FALSE)</f>
        <v>91</v>
      </c>
      <c r="AB28" s="57">
        <f>VLOOKUP('北段 (人資版)'!AB28,'工作表1'!$A$3:$B$78,2,FALSE)</f>
        <v>92</v>
      </c>
      <c r="AC28" s="57">
        <f>VLOOKUP('北段 (人資版)'!AC28,'工作表1'!$A$3:$B$78,2,FALSE)</f>
        <v>38</v>
      </c>
      <c r="AD28" s="57">
        <f>VLOOKUP('北段 (人資版)'!AD28,'工作表1'!$A$3:$B$78,2,FALSE)</f>
        <v>92</v>
      </c>
      <c r="AE28" s="57">
        <f>VLOOKUP('北段 (人資版)'!AE28,'工作表1'!$A$3:$B$78,2,FALSE)</f>
        <v>38</v>
      </c>
      <c r="AF28" s="57">
        <f>VLOOKUP('北段 (人資版)'!AF28,'工作表1'!$A$3:$B$78,2,FALSE)</f>
        <v>38</v>
      </c>
      <c r="AG28" s="57" t="str">
        <f>VLOOKUP('北段 (人資版)'!AG28,'工作表1'!$A$3:$B$78,2,FALSE)</f>
        <v>05</v>
      </c>
      <c r="AH28" s="57" t="str">
        <f>VLOOKUP('北段 (人資版)'!AH28,'工作表1'!$A$3:$B$78,2,FALSE)</f>
        <v>#ERROR!</v>
      </c>
      <c r="AI28" s="57" t="str">
        <f>VLOOKUP('北段 (人資版)'!AI28,'工作表1'!$A$3:$B$78,2,FALSE)</f>
        <v>#ERROR!</v>
      </c>
      <c r="AJ28" s="57" t="str">
        <f>VLOOKUP('北段 (人資版)'!AJ28,'工作表1'!$A$3:$B$78,2,FALSE)</f>
        <v>#ERROR!</v>
      </c>
      <c r="AK28" s="57" t="str">
        <f>VLOOKUP('北段 (人資版)'!AK28,'工作表1'!$A$3:$B$78,2,FALSE)</f>
        <v>#ERROR!</v>
      </c>
      <c r="AL28" s="57" t="str">
        <f>VLOOKUP('北段 (人資版)'!AL28,'工作表1'!$A$3:$B$78,2,FALSE)</f>
        <v>#ERROR!</v>
      </c>
      <c r="AM28" s="57" t="str">
        <f>VLOOKUP('北段 (人資版)'!AM28,'工作表1'!$A$3:$B$78,2,FALSE)</f>
        <v>#ERROR!</v>
      </c>
      <c r="AN28" s="57" t="str">
        <f>VLOOKUP('北段 (人資版)'!AN28,'工作表1'!$A$3:$B$78,2,FALSE)</f>
        <v>#ERROR!</v>
      </c>
    </row>
    <row r="29" ht="39.75" customHeight="1">
      <c r="A29" s="59"/>
      <c r="B29" s="57" t="str">
        <f>'北段'!B20</f>
        <v>T02233</v>
      </c>
      <c r="C29" s="57" t="str">
        <f>VLOOKUP(B29,'北段'!B:C,2,FALSE)</f>
        <v>簡悅如</v>
      </c>
      <c r="D29" s="57">
        <f>VLOOKUP('北段 (人資版)'!D29,'工作表1'!$A$3:$B$78,2,FALSE)</f>
        <v>38</v>
      </c>
      <c r="E29" s="57">
        <f>VLOOKUP('北段 (人資版)'!E29,'工作表1'!$A$3:$B$78,2,FALSE)</f>
        <v>38</v>
      </c>
      <c r="F29" s="57">
        <f>VLOOKUP('北段 (人資版)'!F29,'工作表1'!$A$3:$B$78,2,FALSE)</f>
        <v>38</v>
      </c>
      <c r="G29" s="57">
        <f>VLOOKUP('北段 (人資版)'!G29,'工作表1'!$A$3:$B$78,2,FALSE)</f>
        <v>92</v>
      </c>
      <c r="H29" s="57" t="str">
        <f>VLOOKUP('北段 (人資版)'!H29,'工作表1'!$A$3:$B$78,2,FALSE)</f>
        <v>07</v>
      </c>
      <c r="I29" s="57">
        <f>VLOOKUP('北段 (人資版)'!I29,'工作表1'!$A$3:$B$78,2,FALSE)</f>
        <v>38</v>
      </c>
      <c r="J29" s="57">
        <f>VLOOKUP('北段 (人資版)'!J29,'工作表1'!$A$3:$B$78,2,FALSE)</f>
        <v>91</v>
      </c>
      <c r="K29" s="57">
        <f>VLOOKUP('北段 (人資版)'!K29,'工作表1'!$A$3:$B$78,2,FALSE)</f>
        <v>38</v>
      </c>
      <c r="L29" s="57">
        <f>VLOOKUP('北段 (人資版)'!L29,'工作表1'!$A$3:$B$78,2,FALSE)</f>
        <v>38</v>
      </c>
      <c r="M29" s="57">
        <f>VLOOKUP('北段 (人資版)'!M29,'工作表1'!$A$3:$B$78,2,FALSE)</f>
        <v>38</v>
      </c>
      <c r="N29" s="57">
        <f>VLOOKUP('北段 (人資版)'!N29,'工作表1'!$A$3:$B$78,2,FALSE)</f>
        <v>92</v>
      </c>
      <c r="O29" s="57">
        <f>VLOOKUP('北段 (人資版)'!O29,'工作表1'!$A$3:$B$78,2,FALSE)</f>
        <v>91</v>
      </c>
      <c r="P29" s="57">
        <f>VLOOKUP('北段 (人資版)'!P29,'工作表1'!$A$3:$B$78,2,FALSE)</f>
        <v>38</v>
      </c>
      <c r="Q29" s="57">
        <f>VLOOKUP('北段 (人資版)'!Q29,'工作表1'!$A$3:$B$78,2,FALSE)</f>
        <v>92</v>
      </c>
      <c r="R29" s="57" t="str">
        <f>VLOOKUP('北段 (人資版)'!R29,'工作表1'!$A$3:$B$78,2,FALSE)</f>
        <v>07</v>
      </c>
      <c r="S29" s="57" t="str">
        <f>VLOOKUP('北段 (人資版)'!S29,'工作表1'!$A$3:$B$78,2,FALSE)</f>
        <v>07</v>
      </c>
      <c r="T29" s="57" t="str">
        <f>VLOOKUP('北段 (人資版)'!T29,'工作表1'!$A$3:$B$78,2,FALSE)</f>
        <v>07</v>
      </c>
      <c r="U29" s="57">
        <f>VLOOKUP('北段 (人資版)'!U29,'工作表1'!$A$3:$B$78,2,FALSE)</f>
        <v>38</v>
      </c>
      <c r="V29" s="57">
        <f>VLOOKUP('北段 (人資版)'!V29,'工作表1'!$A$3:$B$78,2,FALSE)</f>
        <v>92</v>
      </c>
      <c r="W29" s="57">
        <f>VLOOKUP('北段 (人資版)'!W29,'工作表1'!$A$3:$B$78,2,FALSE)</f>
        <v>38</v>
      </c>
      <c r="X29" s="57">
        <f>VLOOKUP('北段 (人資版)'!X29,'工作表1'!$A$3:$B$78,2,FALSE)</f>
        <v>91</v>
      </c>
      <c r="Y29" s="57">
        <f>VLOOKUP('北段 (人資版)'!Y29,'工作表1'!$A$3:$B$78,2,FALSE)</f>
        <v>92</v>
      </c>
      <c r="Z29" s="57" t="str">
        <f>VLOOKUP('北段 (人資版)'!Z29,'工作表1'!$A$3:$B$78,2,FALSE)</f>
        <v>#N/A</v>
      </c>
      <c r="AA29" s="57">
        <f>VLOOKUP('北段 (人資版)'!AA29,'工作表1'!$A$3:$B$78,2,FALSE)</f>
        <v>38</v>
      </c>
      <c r="AB29" s="57">
        <f>VLOOKUP('北段 (人資版)'!AB29,'工作表1'!$A$3:$B$78,2,FALSE)</f>
        <v>38</v>
      </c>
      <c r="AC29" s="57">
        <f>VLOOKUP('北段 (人資版)'!AC29,'工作表1'!$A$3:$B$78,2,FALSE)</f>
        <v>91</v>
      </c>
      <c r="AD29" s="57">
        <f>VLOOKUP('北段 (人資版)'!AD29,'工作表1'!$A$3:$B$78,2,FALSE)</f>
        <v>38</v>
      </c>
      <c r="AE29" s="57" t="str">
        <f>VLOOKUP('北段 (人資版)'!AE29,'工作表1'!$A$3:$B$78,2,FALSE)</f>
        <v>05</v>
      </c>
      <c r="AF29" s="57" t="str">
        <f>VLOOKUP('北段 (人資版)'!AF29,'工作表1'!$A$3:$B$78,2,FALSE)</f>
        <v>#N/A</v>
      </c>
      <c r="AG29" s="57">
        <f>VLOOKUP('北段 (人資版)'!AG29,'工作表1'!$A$3:$B$78,2,FALSE)</f>
        <v>38</v>
      </c>
      <c r="AH29" s="57" t="str">
        <f>VLOOKUP('北段 (人資版)'!AH29,'工作表1'!$A$3:$B$78,2,FALSE)</f>
        <v>#ERROR!</v>
      </c>
      <c r="AI29" s="57" t="str">
        <f>VLOOKUP('北段 (人資版)'!AI29,'工作表1'!$A$3:$B$78,2,FALSE)</f>
        <v>#ERROR!</v>
      </c>
      <c r="AJ29" s="57" t="str">
        <f>VLOOKUP('北段 (人資版)'!AJ29,'工作表1'!$A$3:$B$78,2,FALSE)</f>
        <v>#ERROR!</v>
      </c>
      <c r="AK29" s="57" t="str">
        <f>VLOOKUP('北段 (人資版)'!AK29,'工作表1'!$A$3:$B$78,2,FALSE)</f>
        <v>#ERROR!</v>
      </c>
      <c r="AL29" s="57" t="str">
        <f>VLOOKUP('北段 (人資版)'!AL29,'工作表1'!$A$3:$B$78,2,FALSE)</f>
        <v>#ERROR!</v>
      </c>
      <c r="AM29" s="57" t="str">
        <f>VLOOKUP('北段 (人資版)'!AM29,'工作表1'!$A$3:$B$78,2,FALSE)</f>
        <v>#ERROR!</v>
      </c>
      <c r="AN29" s="57" t="str">
        <f>VLOOKUP('北段 (人資版)'!AN29,'工作表1'!$A$3:$B$78,2,FALSE)</f>
        <v>#ERROR!</v>
      </c>
    </row>
    <row r="30" ht="39.75" customHeight="1">
      <c r="A30" s="114"/>
      <c r="B30" s="57" t="str">
        <f>'北段'!B21</f>
        <v>T02498</v>
      </c>
      <c r="C30" s="57" t="str">
        <f>VLOOKUP(B30,'北段'!B:C,2,FALSE)</f>
        <v>張芯瑜</v>
      </c>
      <c r="D30" s="57">
        <f>VLOOKUP('北段 (人資版)'!D30,'工作表1'!$A$3:$B$78,2,FALSE)</f>
        <v>66</v>
      </c>
      <c r="E30" s="57">
        <f>VLOOKUP('北段 (人資版)'!E30,'工作表1'!$A$3:$B$78,2,FALSE)</f>
        <v>91</v>
      </c>
      <c r="F30" s="57">
        <f>VLOOKUP('北段 (人資版)'!F30,'工作表1'!$A$3:$B$78,2,FALSE)</f>
        <v>91</v>
      </c>
      <c r="G30" s="57">
        <f>VLOOKUP('北段 (人資版)'!G30,'工作表1'!$A$3:$B$78,2,FALSE)</f>
        <v>92</v>
      </c>
      <c r="H30" s="57" t="str">
        <f>VLOOKUP('北段 (人資版)'!H30,'工作表1'!$A$3:$B$78,2,FALSE)</f>
        <v>07</v>
      </c>
      <c r="I30" s="57" t="str">
        <f>VLOOKUP('北段 (人資版)'!I30,'工作表1'!$A$3:$B$78,2,FALSE)</f>
        <v>07</v>
      </c>
      <c r="J30" s="57">
        <f>VLOOKUP('北段 (人資版)'!J30,'工作表1'!$A$3:$B$78,2,FALSE)</f>
        <v>90</v>
      </c>
      <c r="K30" s="57">
        <f>VLOOKUP('北段 (人資版)'!K30,'工作表1'!$A$3:$B$78,2,FALSE)</f>
        <v>92</v>
      </c>
      <c r="L30" s="57">
        <f>VLOOKUP('北段 (人資版)'!L30,'工作表1'!$A$3:$B$78,2,FALSE)</f>
        <v>66</v>
      </c>
      <c r="M30" s="57">
        <f>VLOOKUP('北段 (人資版)'!M30,'工作表1'!$A$3:$B$78,2,FALSE)</f>
        <v>66</v>
      </c>
      <c r="N30" s="57" t="str">
        <f>VLOOKUP('北段 (人資版)'!N30,'工作表1'!$A$3:$B$78,2,FALSE)</f>
        <v>#N/A</v>
      </c>
      <c r="O30" s="57">
        <f>VLOOKUP('北段 (人資版)'!O30,'工作表1'!$A$3:$B$78,2,FALSE)</f>
        <v>66</v>
      </c>
      <c r="P30" s="57">
        <f>VLOOKUP('北段 (人資版)'!P30,'工作表1'!$A$3:$B$78,2,FALSE)</f>
        <v>66</v>
      </c>
      <c r="Q30" s="57">
        <f>VLOOKUP('北段 (人資版)'!Q30,'工作表1'!$A$3:$B$78,2,FALSE)</f>
        <v>91</v>
      </c>
      <c r="R30" s="57">
        <f>VLOOKUP('北段 (人資版)'!R30,'工作表1'!$A$3:$B$78,2,FALSE)</f>
        <v>66</v>
      </c>
      <c r="S30" s="57">
        <f>VLOOKUP('北段 (人資版)'!S30,'工作表1'!$A$3:$B$78,2,FALSE)</f>
        <v>66</v>
      </c>
      <c r="T30" s="57">
        <f>VLOOKUP('北段 (人資版)'!T30,'工作表1'!$A$3:$B$78,2,FALSE)</f>
        <v>66</v>
      </c>
      <c r="U30" s="57">
        <f>VLOOKUP('北段 (人資版)'!U30,'工作表1'!$A$3:$B$78,2,FALSE)</f>
        <v>91</v>
      </c>
      <c r="V30" s="57">
        <f>VLOOKUP('北段 (人資版)'!V30,'工作表1'!$A$3:$B$78,2,FALSE)</f>
        <v>38</v>
      </c>
      <c r="W30" s="57">
        <f>VLOOKUP('北段 (人資版)'!W30,'工作表1'!$A$3:$B$78,2,FALSE)</f>
        <v>66</v>
      </c>
      <c r="X30" s="57">
        <f>VLOOKUP('北段 (人資版)'!X30,'工作表1'!$A$3:$B$78,2,FALSE)</f>
        <v>66</v>
      </c>
      <c r="Y30" s="57" t="str">
        <f>VLOOKUP('北段 (人資版)'!Y30,'工作表1'!$A$3:$B$78,2,FALSE)</f>
        <v>#N/A</v>
      </c>
      <c r="Z30" s="57">
        <f>VLOOKUP('北段 (人資版)'!Z30,'工作表1'!$A$3:$B$78,2,FALSE)</f>
        <v>66</v>
      </c>
      <c r="AA30" s="57">
        <f>VLOOKUP('北段 (人資版)'!AA30,'工作表1'!$A$3:$B$78,2,FALSE)</f>
        <v>92</v>
      </c>
      <c r="AB30" s="57" t="str">
        <f>VLOOKUP('北段 (人資版)'!AB30,'工作表1'!$A$3:$B$78,2,FALSE)</f>
        <v>05</v>
      </c>
      <c r="AC30" s="57">
        <f>VLOOKUP('北段 (人資版)'!AC30,'工作表1'!$A$3:$B$78,2,FALSE)</f>
        <v>66</v>
      </c>
      <c r="AD30" s="57">
        <f>VLOOKUP('北段 (人資版)'!AD30,'工作表1'!$A$3:$B$78,2,FALSE)</f>
        <v>92</v>
      </c>
      <c r="AE30" s="57">
        <f>VLOOKUP('北段 (人資版)'!AE30,'工作表1'!$A$3:$B$78,2,FALSE)</f>
        <v>66</v>
      </c>
      <c r="AF30" s="57">
        <f>VLOOKUP('北段 (人資版)'!AF30,'工作表1'!$A$3:$B$78,2,FALSE)</f>
        <v>66</v>
      </c>
      <c r="AG30" s="57">
        <f>VLOOKUP('北段 (人資版)'!AG30,'工作表1'!$A$3:$B$78,2,FALSE)</f>
        <v>91</v>
      </c>
      <c r="AH30" s="57" t="str">
        <f>VLOOKUP('北段 (人資版)'!AH30,'工作表1'!$A$3:$B$78,2,FALSE)</f>
        <v>#ERROR!</v>
      </c>
      <c r="AI30" s="57" t="str">
        <f>VLOOKUP('北段 (人資版)'!AI30,'工作表1'!$A$3:$B$78,2,FALSE)</f>
        <v>#ERROR!</v>
      </c>
      <c r="AJ30" s="57" t="str">
        <f>VLOOKUP('北段 (人資版)'!AJ30,'工作表1'!$A$3:$B$78,2,FALSE)</f>
        <v>#ERROR!</v>
      </c>
      <c r="AK30" s="57" t="str">
        <f>VLOOKUP('北段 (人資版)'!AK30,'工作表1'!$A$3:$B$78,2,FALSE)</f>
        <v>#ERROR!</v>
      </c>
      <c r="AL30" s="57" t="str">
        <f>VLOOKUP('北段 (人資版)'!AL30,'工作表1'!$A$3:$B$78,2,FALSE)</f>
        <v>#ERROR!</v>
      </c>
      <c r="AM30" s="57" t="str">
        <f>VLOOKUP('北段 (人資版)'!AM30,'工作表1'!$A$3:$B$78,2,FALSE)</f>
        <v>#ERROR!</v>
      </c>
      <c r="AN30" s="57" t="str">
        <f>VLOOKUP('北段 (人資版)'!AN30,'工作表1'!$A$3:$B$78,2,FALSE)</f>
        <v>#ERROR!</v>
      </c>
    </row>
    <row r="31" ht="39.75" customHeight="1">
      <c r="A31" s="43" t="s">
        <v>139</v>
      </c>
      <c r="B31" s="57" t="str">
        <f>#REF!</f>
        <v>#REF!</v>
      </c>
      <c r="C31" s="57" t="str">
        <f>VLOOKUP(B31,'北段'!B:C,2,FALSE)</f>
        <v>#REF!</v>
      </c>
      <c r="D31" s="57" t="str">
        <f>VLOOKUP('北段 (人資版)'!D31,'工作表1'!$A$3:$B$78,2,FALSE)</f>
        <v>#REF!</v>
      </c>
      <c r="E31" s="57" t="str">
        <f>VLOOKUP('北段 (人資版)'!E31,'工作表1'!$A$3:$B$78,2,FALSE)</f>
        <v>#REF!</v>
      </c>
      <c r="F31" s="57" t="str">
        <f>VLOOKUP('北段 (人資版)'!F31,'工作表1'!$A$3:$B$78,2,FALSE)</f>
        <v>#REF!</v>
      </c>
      <c r="G31" s="57" t="str">
        <f>VLOOKUP('北段 (人資版)'!G31,'工作表1'!$A$3:$B$78,2,FALSE)</f>
        <v>#REF!</v>
      </c>
      <c r="H31" s="57" t="str">
        <f>VLOOKUP('北段 (人資版)'!H31,'工作表1'!$A$3:$B$78,2,FALSE)</f>
        <v>#REF!</v>
      </c>
      <c r="I31" s="57" t="str">
        <f>VLOOKUP('北段 (人資版)'!I31,'工作表1'!$A$3:$B$78,2,FALSE)</f>
        <v>#REF!</v>
      </c>
      <c r="J31" s="57" t="str">
        <f>VLOOKUP('北段 (人資版)'!J31,'工作表1'!$A$3:$B$78,2,FALSE)</f>
        <v>#REF!</v>
      </c>
      <c r="K31" s="57" t="str">
        <f>VLOOKUP('北段 (人資版)'!K31,'工作表1'!$A$3:$B$78,2,FALSE)</f>
        <v>#REF!</v>
      </c>
      <c r="L31" s="57" t="str">
        <f>VLOOKUP('北段 (人資版)'!L31,'工作表1'!$A$3:$B$78,2,FALSE)</f>
        <v>#REF!</v>
      </c>
      <c r="M31" s="57" t="str">
        <f>VLOOKUP('北段 (人資版)'!M31,'工作表1'!$A$3:$B$78,2,FALSE)</f>
        <v>#REF!</v>
      </c>
      <c r="N31" s="57" t="str">
        <f>VLOOKUP('北段 (人資版)'!N31,'工作表1'!$A$3:$B$78,2,FALSE)</f>
        <v>#REF!</v>
      </c>
      <c r="O31" s="57" t="str">
        <f>VLOOKUP('北段 (人資版)'!O31,'工作表1'!$A$3:$B$78,2,FALSE)</f>
        <v>#REF!</v>
      </c>
      <c r="P31" s="57" t="str">
        <f>VLOOKUP('北段 (人資版)'!P31,'工作表1'!$A$3:$B$78,2,FALSE)</f>
        <v>#REF!</v>
      </c>
      <c r="Q31" s="57" t="str">
        <f>VLOOKUP('北段 (人資版)'!Q31,'工作表1'!$A$3:$B$78,2,FALSE)</f>
        <v>#REF!</v>
      </c>
      <c r="R31" s="57" t="str">
        <f>VLOOKUP('北段 (人資版)'!R31,'工作表1'!$A$3:$B$78,2,FALSE)</f>
        <v>#REF!</v>
      </c>
      <c r="S31" s="57" t="str">
        <f>VLOOKUP('北段 (人資版)'!S31,'工作表1'!$A$3:$B$78,2,FALSE)</f>
        <v>#REF!</v>
      </c>
      <c r="T31" s="57" t="str">
        <f>VLOOKUP('北段 (人資版)'!T31,'工作表1'!$A$3:$B$78,2,FALSE)</f>
        <v>#REF!</v>
      </c>
      <c r="U31" s="57" t="str">
        <f>VLOOKUP('北段 (人資版)'!U31,'工作表1'!$A$3:$B$78,2,FALSE)</f>
        <v>#REF!</v>
      </c>
      <c r="V31" s="57" t="str">
        <f>VLOOKUP('北段 (人資版)'!V31,'工作表1'!$A$3:$B$78,2,FALSE)</f>
        <v>#REF!</v>
      </c>
      <c r="W31" s="57" t="str">
        <f>VLOOKUP('北段 (人資版)'!W31,'工作表1'!$A$3:$B$78,2,FALSE)</f>
        <v>#REF!</v>
      </c>
      <c r="X31" s="57" t="str">
        <f>VLOOKUP('北段 (人資版)'!X31,'工作表1'!$A$3:$B$78,2,FALSE)</f>
        <v>#REF!</v>
      </c>
      <c r="Y31" s="57" t="str">
        <f>VLOOKUP('北段 (人資版)'!Y31,'工作表1'!$A$3:$B$78,2,FALSE)</f>
        <v>#REF!</v>
      </c>
      <c r="Z31" s="57" t="str">
        <f>VLOOKUP('北段 (人資版)'!Z31,'工作表1'!$A$3:$B$78,2,FALSE)</f>
        <v>#REF!</v>
      </c>
      <c r="AA31" s="57" t="str">
        <f>VLOOKUP('北段 (人資版)'!AA31,'工作表1'!$A$3:$B$78,2,FALSE)</f>
        <v>#REF!</v>
      </c>
      <c r="AB31" s="57" t="str">
        <f>VLOOKUP('北段 (人資版)'!AB31,'工作表1'!$A$3:$B$78,2,FALSE)</f>
        <v>#REF!</v>
      </c>
      <c r="AC31" s="57" t="str">
        <f>VLOOKUP('北段 (人資版)'!AC31,'工作表1'!$A$3:$B$78,2,FALSE)</f>
        <v>#REF!</v>
      </c>
      <c r="AD31" s="57" t="str">
        <f>VLOOKUP('北段 (人資版)'!AD31,'工作表1'!$A$3:$B$78,2,FALSE)</f>
        <v>#REF!</v>
      </c>
      <c r="AE31" s="57" t="str">
        <f>VLOOKUP('北段 (人資版)'!AE31,'工作表1'!$A$3:$B$78,2,FALSE)</f>
        <v>#REF!</v>
      </c>
      <c r="AF31" s="57" t="str">
        <f>VLOOKUP('北段 (人資版)'!AF31,'工作表1'!$A$3:$B$78,2,FALSE)</f>
        <v>#REF!</v>
      </c>
      <c r="AG31" s="57" t="str">
        <f>VLOOKUP('北段 (人資版)'!AG31,'工作表1'!$A$3:$B$78,2,FALSE)</f>
        <v>#REF!</v>
      </c>
      <c r="AH31" s="57" t="str">
        <f>VLOOKUP('北段 (人資版)'!AH31,'工作表1'!$A$3:$B$78,2,FALSE)</f>
        <v>#ERROR!</v>
      </c>
      <c r="AI31" s="57" t="str">
        <f>VLOOKUP('北段 (人資版)'!AI31,'工作表1'!$A$3:$B$78,2,FALSE)</f>
        <v>#ERROR!</v>
      </c>
      <c r="AJ31" s="57" t="str">
        <f>VLOOKUP('北段 (人資版)'!AJ31,'工作表1'!$A$3:$B$78,2,FALSE)</f>
        <v>#ERROR!</v>
      </c>
      <c r="AK31" s="57" t="str">
        <f>VLOOKUP('北段 (人資版)'!AK31,'工作表1'!$A$3:$B$78,2,FALSE)</f>
        <v>#ERROR!</v>
      </c>
      <c r="AL31" s="57" t="str">
        <f>VLOOKUP('北段 (人資版)'!AL31,'工作表1'!$A$3:$B$78,2,FALSE)</f>
        <v>#ERROR!</v>
      </c>
      <c r="AM31" s="57" t="str">
        <f>VLOOKUP('北段 (人資版)'!AM31,'工作表1'!$A$3:$B$78,2,FALSE)</f>
        <v>#ERROR!</v>
      </c>
      <c r="AN31" s="57" t="str">
        <f>VLOOKUP('北段 (人資版)'!AN31,'工作表1'!$A$3:$B$78,2,FALSE)</f>
        <v>#ERROR!</v>
      </c>
    </row>
    <row r="32" ht="39.75" customHeight="1">
      <c r="A32" s="59"/>
      <c r="B32" s="57" t="str">
        <f>'北段'!B22</f>
        <v>T02613</v>
      </c>
      <c r="C32" s="57" t="str">
        <f>VLOOKUP(B32,'北段'!B:C,2,FALSE)</f>
        <v>張雅荃</v>
      </c>
      <c r="D32" s="57">
        <f>VLOOKUP('北段 (人資版)'!D32,'工作表1'!$A$3:$B$78,2,FALSE)</f>
        <v>92</v>
      </c>
      <c r="E32" s="57">
        <f>VLOOKUP('北段 (人資版)'!E32,'工作表1'!$A$3:$B$78,2,FALSE)</f>
        <v>66</v>
      </c>
      <c r="F32" s="57">
        <f>VLOOKUP('北段 (人資版)'!F32,'工作表1'!$A$3:$B$78,2,FALSE)</f>
        <v>66</v>
      </c>
      <c r="G32" s="57">
        <f>VLOOKUP('北段 (人資版)'!G32,'工作表1'!$A$3:$B$78,2,FALSE)</f>
        <v>66</v>
      </c>
      <c r="H32" s="57">
        <f>VLOOKUP('北段 (人資版)'!H32,'工作表1'!$A$3:$B$78,2,FALSE)</f>
        <v>66</v>
      </c>
      <c r="I32" s="57">
        <f>VLOOKUP('北段 (人資版)'!I32,'工作表1'!$A$3:$B$78,2,FALSE)</f>
        <v>91</v>
      </c>
      <c r="J32" s="57">
        <f>VLOOKUP('北段 (人資版)'!J32,'工作表1'!$A$3:$B$78,2,FALSE)</f>
        <v>66</v>
      </c>
      <c r="K32" s="57">
        <f>VLOOKUP('北段 (人資版)'!K32,'工作表1'!$A$3:$B$78,2,FALSE)</f>
        <v>66</v>
      </c>
      <c r="L32" s="57">
        <f>VLOOKUP('北段 (人資版)'!L32,'工作表1'!$A$3:$B$78,2,FALSE)</f>
        <v>66</v>
      </c>
      <c r="M32" s="57">
        <f>VLOOKUP('北段 (人資版)'!M32,'工作表1'!$A$3:$B$78,2,FALSE)</f>
        <v>66</v>
      </c>
      <c r="N32" s="57" t="str">
        <f>VLOOKUP('北段 (人資版)'!N32,'工作表1'!$A$3:$B$78,2,FALSE)</f>
        <v>#N/A</v>
      </c>
      <c r="O32" s="57">
        <f>VLOOKUP('北段 (人資版)'!O32,'工作表1'!$A$3:$B$78,2,FALSE)</f>
        <v>92</v>
      </c>
      <c r="P32" s="57">
        <f>VLOOKUP('北段 (人資版)'!P32,'工作表1'!$A$3:$B$78,2,FALSE)</f>
        <v>91</v>
      </c>
      <c r="Q32" s="57" t="str">
        <f>VLOOKUP('北段 (人資版)'!Q32,'工作表1'!$A$3:$B$78,2,FALSE)</f>
        <v>#N/A</v>
      </c>
      <c r="R32" s="57">
        <f>VLOOKUP('北段 (人資版)'!R32,'工作表1'!$A$3:$B$78,2,FALSE)</f>
        <v>92</v>
      </c>
      <c r="S32" s="57" t="str">
        <f>VLOOKUP('北段 (人資版)'!S32,'工作表1'!$A$3:$B$78,2,FALSE)</f>
        <v>#N/A</v>
      </c>
      <c r="T32" s="57">
        <f>VLOOKUP('北段 (人資版)'!T32,'工作表1'!$A$3:$B$78,2,FALSE)</f>
        <v>66</v>
      </c>
      <c r="U32" s="57">
        <f>VLOOKUP('北段 (人資版)'!U32,'工作表1'!$A$3:$B$78,2,FALSE)</f>
        <v>66</v>
      </c>
      <c r="V32" s="57">
        <f>VLOOKUP('北段 (人資版)'!V32,'工作表1'!$A$3:$B$78,2,FALSE)</f>
        <v>91</v>
      </c>
      <c r="W32" s="57">
        <f>VLOOKUP('北段 (人資版)'!W32,'工作表1'!$A$3:$B$78,2,FALSE)</f>
        <v>66</v>
      </c>
      <c r="X32" s="57">
        <f>VLOOKUP('北段 (人資版)'!X32,'工作表1'!$A$3:$B$78,2,FALSE)</f>
        <v>66</v>
      </c>
      <c r="Y32" s="57">
        <f>VLOOKUP('北段 (人資版)'!Y32,'工作表1'!$A$3:$B$78,2,FALSE)</f>
        <v>66</v>
      </c>
      <c r="Z32" s="57">
        <f>VLOOKUP('北段 (人資版)'!Z32,'工作表1'!$A$3:$B$78,2,FALSE)</f>
        <v>92</v>
      </c>
      <c r="AA32" s="57">
        <f>VLOOKUP('北段 (人資版)'!AA32,'工作表1'!$A$3:$B$78,2,FALSE)</f>
        <v>92</v>
      </c>
      <c r="AB32" s="57">
        <f>VLOOKUP('北段 (人資版)'!AB32,'工作表1'!$A$3:$B$78,2,FALSE)</f>
        <v>66</v>
      </c>
      <c r="AC32" s="57">
        <f>VLOOKUP('北段 (人資版)'!AC32,'工作表1'!$A$3:$B$78,2,FALSE)</f>
        <v>66</v>
      </c>
      <c r="AD32" s="57">
        <f>VLOOKUP('北段 (人資版)'!AD32,'工作表1'!$A$3:$B$78,2,FALSE)</f>
        <v>90</v>
      </c>
      <c r="AE32" s="57">
        <f>VLOOKUP('北段 (人資版)'!AE32,'工作表1'!$A$3:$B$78,2,FALSE)</f>
        <v>66</v>
      </c>
      <c r="AF32" s="57">
        <f>VLOOKUP('北段 (人資版)'!AF32,'工作表1'!$A$3:$B$78,2,FALSE)</f>
        <v>91</v>
      </c>
      <c r="AG32" s="57" t="str">
        <f>VLOOKUP('北段 (人資版)'!AG32,'工作表1'!$A$3:$B$78,2,FALSE)</f>
        <v>05</v>
      </c>
      <c r="AH32" s="57" t="str">
        <f>VLOOKUP('北段 (人資版)'!AH32,'工作表1'!$A$3:$B$78,2,FALSE)</f>
        <v>#ERROR!</v>
      </c>
      <c r="AI32" s="57" t="str">
        <f>VLOOKUP('北段 (人資版)'!AI32,'工作表1'!$A$3:$B$78,2,FALSE)</f>
        <v>#ERROR!</v>
      </c>
      <c r="AJ32" s="57" t="str">
        <f>VLOOKUP('北段 (人資版)'!AJ32,'工作表1'!$A$3:$B$78,2,FALSE)</f>
        <v>#ERROR!</v>
      </c>
      <c r="AK32" s="57" t="str">
        <f>VLOOKUP('北段 (人資版)'!AK32,'工作表1'!$A$3:$B$78,2,FALSE)</f>
        <v>#ERROR!</v>
      </c>
      <c r="AL32" s="57" t="str">
        <f>VLOOKUP('北段 (人資版)'!AL32,'工作表1'!$A$3:$B$78,2,FALSE)</f>
        <v>#ERROR!</v>
      </c>
      <c r="AM32" s="57" t="str">
        <f>VLOOKUP('北段 (人資版)'!AM32,'工作表1'!$A$3:$B$78,2,FALSE)</f>
        <v>#ERROR!</v>
      </c>
      <c r="AN32" s="57" t="str">
        <f>VLOOKUP('北段 (人資版)'!AN32,'工作表1'!$A$3:$B$78,2,FALSE)</f>
        <v>#ERROR!</v>
      </c>
    </row>
    <row r="33" ht="39.75" customHeight="1">
      <c r="A33" s="59"/>
      <c r="B33" s="57" t="str">
        <f t="shared" ref="B33:B69" si="3">#REF!</f>
        <v>#REF!</v>
      </c>
      <c r="C33" s="57" t="str">
        <f>VLOOKUP(B33,'北段'!B:C,2,FALSE)</f>
        <v>#REF!</v>
      </c>
      <c r="D33" s="57" t="str">
        <f>VLOOKUP('北段 (人資版)'!D33,'工作表1'!$A$3:$B$78,2,FALSE)</f>
        <v>#REF!</v>
      </c>
      <c r="E33" s="57" t="str">
        <f>VLOOKUP('北段 (人資版)'!E33,'工作表1'!$A$3:$B$78,2,FALSE)</f>
        <v>#REF!</v>
      </c>
      <c r="F33" s="57" t="str">
        <f>VLOOKUP('北段 (人資版)'!F33,'工作表1'!$A$3:$B$78,2,FALSE)</f>
        <v>#REF!</v>
      </c>
      <c r="G33" s="57" t="str">
        <f>VLOOKUP('北段 (人資版)'!G33,'工作表1'!$A$3:$B$78,2,FALSE)</f>
        <v>#REF!</v>
      </c>
      <c r="H33" s="57" t="str">
        <f>VLOOKUP('北段 (人資版)'!H33,'工作表1'!$A$3:$B$78,2,FALSE)</f>
        <v>#REF!</v>
      </c>
      <c r="I33" s="57" t="str">
        <f>VLOOKUP('北段 (人資版)'!I33,'工作表1'!$A$3:$B$78,2,FALSE)</f>
        <v>#REF!</v>
      </c>
      <c r="J33" s="57" t="str">
        <f>VLOOKUP('北段 (人資版)'!J33,'工作表1'!$A$3:$B$78,2,FALSE)</f>
        <v>#REF!</v>
      </c>
      <c r="K33" s="57" t="str">
        <f>VLOOKUP('北段 (人資版)'!K33,'工作表1'!$A$3:$B$78,2,FALSE)</f>
        <v>#REF!</v>
      </c>
      <c r="L33" s="57" t="str">
        <f>VLOOKUP('北段 (人資版)'!L33,'工作表1'!$A$3:$B$78,2,FALSE)</f>
        <v>#REF!</v>
      </c>
      <c r="M33" s="57" t="str">
        <f>VLOOKUP('北段 (人資版)'!M33,'工作表1'!$A$3:$B$78,2,FALSE)</f>
        <v>#REF!</v>
      </c>
      <c r="N33" s="57" t="str">
        <f>VLOOKUP('北段 (人資版)'!N33,'工作表1'!$A$3:$B$78,2,FALSE)</f>
        <v>#REF!</v>
      </c>
      <c r="O33" s="57" t="str">
        <f>VLOOKUP('北段 (人資版)'!O33,'工作表1'!$A$3:$B$78,2,FALSE)</f>
        <v>#REF!</v>
      </c>
      <c r="P33" s="57" t="str">
        <f>VLOOKUP('北段 (人資版)'!P33,'工作表1'!$A$3:$B$78,2,FALSE)</f>
        <v>#REF!</v>
      </c>
      <c r="Q33" s="57" t="str">
        <f>VLOOKUP('北段 (人資版)'!Q33,'工作表1'!$A$3:$B$78,2,FALSE)</f>
        <v>#REF!</v>
      </c>
      <c r="R33" s="57" t="str">
        <f>VLOOKUP('北段 (人資版)'!R33,'工作表1'!$A$3:$B$78,2,FALSE)</f>
        <v>#REF!</v>
      </c>
      <c r="S33" s="57" t="str">
        <f>VLOOKUP('北段 (人資版)'!S33,'工作表1'!$A$3:$B$78,2,FALSE)</f>
        <v>#REF!</v>
      </c>
      <c r="T33" s="57" t="str">
        <f>VLOOKUP('北段 (人資版)'!T33,'工作表1'!$A$3:$B$78,2,FALSE)</f>
        <v>#REF!</v>
      </c>
      <c r="U33" s="57" t="str">
        <f>VLOOKUP('北段 (人資版)'!U33,'工作表1'!$A$3:$B$78,2,FALSE)</f>
        <v>#REF!</v>
      </c>
      <c r="V33" s="57" t="str">
        <f>VLOOKUP('北段 (人資版)'!V33,'工作表1'!$A$3:$B$78,2,FALSE)</f>
        <v>#REF!</v>
      </c>
      <c r="W33" s="57" t="str">
        <f>VLOOKUP('北段 (人資版)'!W33,'工作表1'!$A$3:$B$78,2,FALSE)</f>
        <v>#REF!</v>
      </c>
      <c r="X33" s="57" t="str">
        <f>VLOOKUP('北段 (人資版)'!X33,'工作表1'!$A$3:$B$78,2,FALSE)</f>
        <v>#REF!</v>
      </c>
      <c r="Y33" s="57" t="str">
        <f>VLOOKUP('北段 (人資版)'!Y33,'工作表1'!$A$3:$B$78,2,FALSE)</f>
        <v>#REF!</v>
      </c>
      <c r="Z33" s="57" t="str">
        <f>VLOOKUP('北段 (人資版)'!Z33,'工作表1'!$A$3:$B$78,2,FALSE)</f>
        <v>#REF!</v>
      </c>
      <c r="AA33" s="57" t="str">
        <f>VLOOKUP('北段 (人資版)'!AA33,'工作表1'!$A$3:$B$78,2,FALSE)</f>
        <v>#REF!</v>
      </c>
      <c r="AB33" s="57" t="str">
        <f>VLOOKUP('北段 (人資版)'!AB33,'工作表1'!$A$3:$B$78,2,FALSE)</f>
        <v>#REF!</v>
      </c>
      <c r="AC33" s="57" t="str">
        <f>VLOOKUP('北段 (人資版)'!AC33,'工作表1'!$A$3:$B$78,2,FALSE)</f>
        <v>#REF!</v>
      </c>
      <c r="AD33" s="57" t="str">
        <f>VLOOKUP('北段 (人資版)'!AD33,'工作表1'!$A$3:$B$78,2,FALSE)</f>
        <v>#REF!</v>
      </c>
      <c r="AE33" s="57" t="str">
        <f>VLOOKUP('北段 (人資版)'!AE33,'工作表1'!$A$3:$B$78,2,FALSE)</f>
        <v>#REF!</v>
      </c>
      <c r="AF33" s="57" t="str">
        <f>VLOOKUP('北段 (人資版)'!AF33,'工作表1'!$A$3:$B$78,2,FALSE)</f>
        <v>#REF!</v>
      </c>
      <c r="AG33" s="57" t="str">
        <f>VLOOKUP('北段 (人資版)'!AG33,'工作表1'!$A$3:$B$78,2,FALSE)</f>
        <v>#REF!</v>
      </c>
      <c r="AH33" s="57" t="str">
        <f>VLOOKUP('北段 (人資版)'!AH33,'工作表1'!$A$3:$B$78,2,FALSE)</f>
        <v>#ERROR!</v>
      </c>
      <c r="AI33" s="57" t="str">
        <f>VLOOKUP('北段 (人資版)'!AI33,'工作表1'!$A$3:$B$78,2,FALSE)</f>
        <v>#ERROR!</v>
      </c>
      <c r="AJ33" s="57" t="str">
        <f>VLOOKUP('北段 (人資版)'!AJ33,'工作表1'!$A$3:$B$78,2,FALSE)</f>
        <v>#ERROR!</v>
      </c>
      <c r="AK33" s="57" t="str">
        <f>VLOOKUP('北段 (人資版)'!AK33,'工作表1'!$A$3:$B$78,2,FALSE)</f>
        <v>#ERROR!</v>
      </c>
      <c r="AL33" s="57" t="str">
        <f>VLOOKUP('北段 (人資版)'!AL33,'工作表1'!$A$3:$B$78,2,FALSE)</f>
        <v>#ERROR!</v>
      </c>
      <c r="AM33" s="57" t="str">
        <f>VLOOKUP('北段 (人資版)'!AM33,'工作表1'!$A$3:$B$78,2,FALSE)</f>
        <v>#ERROR!</v>
      </c>
      <c r="AN33" s="57" t="str">
        <f>VLOOKUP('北段 (人資版)'!AN33,'工作表1'!$A$3:$B$78,2,FALSE)</f>
        <v>#ERROR!</v>
      </c>
    </row>
    <row r="34" ht="39.75" customHeight="1">
      <c r="A34" s="59"/>
      <c r="B34" s="57" t="str">
        <f t="shared" si="3"/>
        <v>#REF!</v>
      </c>
      <c r="C34" s="57" t="str">
        <f>VLOOKUP(B34,'北段'!B:C,2,FALSE)</f>
        <v>#REF!</v>
      </c>
      <c r="D34" s="57" t="str">
        <f>VLOOKUP('北段 (人資版)'!D34,'工作表1'!$A$3:$B$78,2,FALSE)</f>
        <v>#REF!</v>
      </c>
      <c r="E34" s="57" t="str">
        <f>VLOOKUP('北段 (人資版)'!E34,'工作表1'!$A$3:$B$78,2,FALSE)</f>
        <v>#REF!</v>
      </c>
      <c r="F34" s="57" t="str">
        <f>VLOOKUP('北段 (人資版)'!F34,'工作表1'!$A$3:$B$78,2,FALSE)</f>
        <v>#REF!</v>
      </c>
      <c r="G34" s="57" t="str">
        <f>VLOOKUP('北段 (人資版)'!G34,'工作表1'!$A$3:$B$78,2,FALSE)</f>
        <v>#REF!</v>
      </c>
      <c r="H34" s="57" t="str">
        <f>VLOOKUP('北段 (人資版)'!H34,'工作表1'!$A$3:$B$78,2,FALSE)</f>
        <v>#REF!</v>
      </c>
      <c r="I34" s="57" t="str">
        <f>VLOOKUP('北段 (人資版)'!I34,'工作表1'!$A$3:$B$78,2,FALSE)</f>
        <v>#REF!</v>
      </c>
      <c r="J34" s="57" t="str">
        <f>VLOOKUP('北段 (人資版)'!J34,'工作表1'!$A$3:$B$78,2,FALSE)</f>
        <v>#REF!</v>
      </c>
      <c r="K34" s="57" t="str">
        <f>VLOOKUP('北段 (人資版)'!K34,'工作表1'!$A$3:$B$78,2,FALSE)</f>
        <v>#REF!</v>
      </c>
      <c r="L34" s="57" t="str">
        <f>VLOOKUP('北段 (人資版)'!L34,'工作表1'!$A$3:$B$78,2,FALSE)</f>
        <v>#REF!</v>
      </c>
      <c r="M34" s="57" t="str">
        <f>VLOOKUP('北段 (人資版)'!M34,'工作表1'!$A$3:$B$78,2,FALSE)</f>
        <v>#REF!</v>
      </c>
      <c r="N34" s="57" t="str">
        <f>VLOOKUP('北段 (人資版)'!N34,'工作表1'!$A$3:$B$78,2,FALSE)</f>
        <v>#REF!</v>
      </c>
      <c r="O34" s="57" t="str">
        <f>VLOOKUP('北段 (人資版)'!O34,'工作表1'!$A$3:$B$78,2,FALSE)</f>
        <v>#REF!</v>
      </c>
      <c r="P34" s="57" t="str">
        <f>VLOOKUP('北段 (人資版)'!P34,'工作表1'!$A$3:$B$78,2,FALSE)</f>
        <v>#REF!</v>
      </c>
      <c r="Q34" s="57" t="str">
        <f>VLOOKUP('北段 (人資版)'!Q34,'工作表1'!$A$3:$B$78,2,FALSE)</f>
        <v>#REF!</v>
      </c>
      <c r="R34" s="57" t="str">
        <f>VLOOKUP('北段 (人資版)'!R34,'工作表1'!$A$3:$B$78,2,FALSE)</f>
        <v>#REF!</v>
      </c>
      <c r="S34" s="57" t="str">
        <f>VLOOKUP('北段 (人資版)'!S34,'工作表1'!$A$3:$B$78,2,FALSE)</f>
        <v>#REF!</v>
      </c>
      <c r="T34" s="57" t="str">
        <f>VLOOKUP('北段 (人資版)'!T34,'工作表1'!$A$3:$B$78,2,FALSE)</f>
        <v>#REF!</v>
      </c>
      <c r="U34" s="57" t="str">
        <f>VLOOKUP('北段 (人資版)'!U34,'工作表1'!$A$3:$B$78,2,FALSE)</f>
        <v>#REF!</v>
      </c>
      <c r="V34" s="57" t="str">
        <f>VLOOKUP('北段 (人資版)'!V34,'工作表1'!$A$3:$B$78,2,FALSE)</f>
        <v>#REF!</v>
      </c>
      <c r="W34" s="57" t="str">
        <f>VLOOKUP('北段 (人資版)'!W34,'工作表1'!$A$3:$B$78,2,FALSE)</f>
        <v>#REF!</v>
      </c>
      <c r="X34" s="57" t="str">
        <f>VLOOKUP('北段 (人資版)'!X34,'工作表1'!$A$3:$B$78,2,FALSE)</f>
        <v>#REF!</v>
      </c>
      <c r="Y34" s="57" t="str">
        <f>VLOOKUP('北段 (人資版)'!Y34,'工作表1'!$A$3:$B$78,2,FALSE)</f>
        <v>#REF!</v>
      </c>
      <c r="Z34" s="57" t="str">
        <f>VLOOKUP('北段 (人資版)'!Z34,'工作表1'!$A$3:$B$78,2,FALSE)</f>
        <v>#REF!</v>
      </c>
      <c r="AA34" s="57" t="str">
        <f>VLOOKUP('北段 (人資版)'!AA34,'工作表1'!$A$3:$B$78,2,FALSE)</f>
        <v>#REF!</v>
      </c>
      <c r="AB34" s="57" t="str">
        <f>VLOOKUP('北段 (人資版)'!AB34,'工作表1'!$A$3:$B$78,2,FALSE)</f>
        <v>#REF!</v>
      </c>
      <c r="AC34" s="57" t="str">
        <f>VLOOKUP('北段 (人資版)'!AC34,'工作表1'!$A$3:$B$78,2,FALSE)</f>
        <v>#REF!</v>
      </c>
      <c r="AD34" s="57" t="str">
        <f>VLOOKUP('北段 (人資版)'!AD34,'工作表1'!$A$3:$B$78,2,FALSE)</f>
        <v>#REF!</v>
      </c>
      <c r="AE34" s="57" t="str">
        <f>VLOOKUP('北段 (人資版)'!AE34,'工作表1'!$A$3:$B$78,2,FALSE)</f>
        <v>#REF!</v>
      </c>
      <c r="AF34" s="57" t="str">
        <f>VLOOKUP('北段 (人資版)'!AF34,'工作表1'!$A$3:$B$78,2,FALSE)</f>
        <v>#REF!</v>
      </c>
      <c r="AG34" s="57" t="str">
        <f>VLOOKUP('北段 (人資版)'!AG34,'工作表1'!$A$3:$B$78,2,FALSE)</f>
        <v>#REF!</v>
      </c>
      <c r="AH34" s="57" t="str">
        <f>VLOOKUP('北段 (人資版)'!AH34,'工作表1'!$A$3:$B$78,2,FALSE)</f>
        <v>#ERROR!</v>
      </c>
      <c r="AI34" s="57" t="str">
        <f>VLOOKUP('北段 (人資版)'!AI34,'工作表1'!$A$3:$B$78,2,FALSE)</f>
        <v>#ERROR!</v>
      </c>
      <c r="AJ34" s="57" t="str">
        <f>VLOOKUP('北段 (人資版)'!AJ34,'工作表1'!$A$3:$B$78,2,FALSE)</f>
        <v>#ERROR!</v>
      </c>
      <c r="AK34" s="57" t="str">
        <f>VLOOKUP('北段 (人資版)'!AK34,'工作表1'!$A$3:$B$78,2,FALSE)</f>
        <v>#ERROR!</v>
      </c>
      <c r="AL34" s="57" t="str">
        <f>VLOOKUP('北段 (人資版)'!AL34,'工作表1'!$A$3:$B$78,2,FALSE)</f>
        <v>#ERROR!</v>
      </c>
      <c r="AM34" s="57" t="str">
        <f>VLOOKUP('北段 (人資版)'!AM34,'工作表1'!$A$3:$B$78,2,FALSE)</f>
        <v>#ERROR!</v>
      </c>
      <c r="AN34" s="57" t="str">
        <f>VLOOKUP('北段 (人資版)'!AN34,'工作表1'!$A$3:$B$78,2,FALSE)</f>
        <v>#ERROR!</v>
      </c>
    </row>
    <row r="35" ht="39.75" customHeight="1">
      <c r="A35" s="59"/>
      <c r="B35" s="57" t="str">
        <f t="shared" si="3"/>
        <v>#REF!</v>
      </c>
      <c r="C35" s="57" t="str">
        <f>VLOOKUP(B35,'北段'!B:C,2,FALSE)</f>
        <v>#REF!</v>
      </c>
      <c r="D35" s="57" t="str">
        <f>VLOOKUP('北段 (人資版)'!D35,'工作表1'!$A$3:$B$78,2,FALSE)</f>
        <v>#REF!</v>
      </c>
      <c r="E35" s="57" t="str">
        <f>VLOOKUP('北段 (人資版)'!E35,'工作表1'!$A$3:$B$78,2,FALSE)</f>
        <v>#REF!</v>
      </c>
      <c r="F35" s="57" t="str">
        <f>VLOOKUP('北段 (人資版)'!F35,'工作表1'!$A$3:$B$78,2,FALSE)</f>
        <v>#REF!</v>
      </c>
      <c r="G35" s="57" t="str">
        <f>VLOOKUP('北段 (人資版)'!G35,'工作表1'!$A$3:$B$78,2,FALSE)</f>
        <v>#REF!</v>
      </c>
      <c r="H35" s="57" t="str">
        <f>VLOOKUP('北段 (人資版)'!H35,'工作表1'!$A$3:$B$78,2,FALSE)</f>
        <v>#REF!</v>
      </c>
      <c r="I35" s="57" t="str">
        <f>VLOOKUP('北段 (人資版)'!I35,'工作表1'!$A$3:$B$78,2,FALSE)</f>
        <v>#REF!</v>
      </c>
      <c r="J35" s="57" t="str">
        <f>VLOOKUP('北段 (人資版)'!J35,'工作表1'!$A$3:$B$78,2,FALSE)</f>
        <v>#REF!</v>
      </c>
      <c r="K35" s="57" t="str">
        <f>VLOOKUP('北段 (人資版)'!K35,'工作表1'!$A$3:$B$78,2,FALSE)</f>
        <v>#REF!</v>
      </c>
      <c r="L35" s="57" t="str">
        <f>VLOOKUP('北段 (人資版)'!L35,'工作表1'!$A$3:$B$78,2,FALSE)</f>
        <v>#REF!</v>
      </c>
      <c r="M35" s="57" t="str">
        <f>VLOOKUP('北段 (人資版)'!M35,'工作表1'!$A$3:$B$78,2,FALSE)</f>
        <v>#REF!</v>
      </c>
      <c r="N35" s="57" t="str">
        <f>VLOOKUP('北段 (人資版)'!N35,'工作表1'!$A$3:$B$78,2,FALSE)</f>
        <v>#REF!</v>
      </c>
      <c r="O35" s="57" t="str">
        <f>VLOOKUP('北段 (人資版)'!O35,'工作表1'!$A$3:$B$78,2,FALSE)</f>
        <v>#REF!</v>
      </c>
      <c r="P35" s="57" t="str">
        <f>VLOOKUP('北段 (人資版)'!P35,'工作表1'!$A$3:$B$78,2,FALSE)</f>
        <v>#REF!</v>
      </c>
      <c r="Q35" s="57" t="str">
        <f>VLOOKUP('北段 (人資版)'!Q35,'工作表1'!$A$3:$B$78,2,FALSE)</f>
        <v>#REF!</v>
      </c>
      <c r="R35" s="57" t="str">
        <f>VLOOKUP('北段 (人資版)'!R35,'工作表1'!$A$3:$B$78,2,FALSE)</f>
        <v>#REF!</v>
      </c>
      <c r="S35" s="57" t="str">
        <f>VLOOKUP('北段 (人資版)'!S35,'工作表1'!$A$3:$B$78,2,FALSE)</f>
        <v>#REF!</v>
      </c>
      <c r="T35" s="57" t="str">
        <f>VLOOKUP('北段 (人資版)'!T35,'工作表1'!$A$3:$B$78,2,FALSE)</f>
        <v>#REF!</v>
      </c>
      <c r="U35" s="57" t="str">
        <f>VLOOKUP('北段 (人資版)'!U35,'工作表1'!$A$3:$B$78,2,FALSE)</f>
        <v>#REF!</v>
      </c>
      <c r="V35" s="57" t="str">
        <f>VLOOKUP('北段 (人資版)'!V35,'工作表1'!$A$3:$B$78,2,FALSE)</f>
        <v>#REF!</v>
      </c>
      <c r="W35" s="57" t="str">
        <f>VLOOKUP('北段 (人資版)'!W35,'工作表1'!$A$3:$B$78,2,FALSE)</f>
        <v>#REF!</v>
      </c>
      <c r="X35" s="57" t="str">
        <f>VLOOKUP('北段 (人資版)'!X35,'工作表1'!$A$3:$B$78,2,FALSE)</f>
        <v>#REF!</v>
      </c>
      <c r="Y35" s="57" t="str">
        <f>VLOOKUP('北段 (人資版)'!Y35,'工作表1'!$A$3:$B$78,2,FALSE)</f>
        <v>#REF!</v>
      </c>
      <c r="Z35" s="57" t="str">
        <f>VLOOKUP('北段 (人資版)'!Z35,'工作表1'!$A$3:$B$78,2,FALSE)</f>
        <v>#REF!</v>
      </c>
      <c r="AA35" s="57" t="str">
        <f>VLOOKUP('北段 (人資版)'!AA35,'工作表1'!$A$3:$B$78,2,FALSE)</f>
        <v>#REF!</v>
      </c>
      <c r="AB35" s="57" t="str">
        <f>VLOOKUP('北段 (人資版)'!AB35,'工作表1'!$A$3:$B$78,2,FALSE)</f>
        <v>#REF!</v>
      </c>
      <c r="AC35" s="57" t="str">
        <f>VLOOKUP('北段 (人資版)'!AC35,'工作表1'!$A$3:$B$78,2,FALSE)</f>
        <v>#REF!</v>
      </c>
      <c r="AD35" s="57" t="str">
        <f>VLOOKUP('北段 (人資版)'!AD35,'工作表1'!$A$3:$B$78,2,FALSE)</f>
        <v>#REF!</v>
      </c>
      <c r="AE35" s="57" t="str">
        <f>VLOOKUP('北段 (人資版)'!AE35,'工作表1'!$A$3:$B$78,2,FALSE)</f>
        <v>#REF!</v>
      </c>
      <c r="AF35" s="57" t="str">
        <f>VLOOKUP('北段 (人資版)'!AF35,'工作表1'!$A$3:$B$78,2,FALSE)</f>
        <v>#REF!</v>
      </c>
      <c r="AG35" s="57" t="str">
        <f>VLOOKUP('北段 (人資版)'!AG35,'工作表1'!$A$3:$B$78,2,FALSE)</f>
        <v>#REF!</v>
      </c>
      <c r="AH35" s="57" t="str">
        <f>VLOOKUP('北段 (人資版)'!AH35,'工作表1'!$A$3:$B$78,2,FALSE)</f>
        <v>#ERROR!</v>
      </c>
      <c r="AI35" s="57" t="str">
        <f>VLOOKUP('北段 (人資版)'!AI35,'工作表1'!$A$3:$B$78,2,FALSE)</f>
        <v>#ERROR!</v>
      </c>
      <c r="AJ35" s="57" t="str">
        <f>VLOOKUP('北段 (人資版)'!AJ35,'工作表1'!$A$3:$B$78,2,FALSE)</f>
        <v>#ERROR!</v>
      </c>
      <c r="AK35" s="57" t="str">
        <f>VLOOKUP('北段 (人資版)'!AK35,'工作表1'!$A$3:$B$78,2,FALSE)</f>
        <v>#ERROR!</v>
      </c>
      <c r="AL35" s="57" t="str">
        <f>VLOOKUP('北段 (人資版)'!AL35,'工作表1'!$A$3:$B$78,2,FALSE)</f>
        <v>#ERROR!</v>
      </c>
      <c r="AM35" s="57" t="str">
        <f>VLOOKUP('北段 (人資版)'!AM35,'工作表1'!$A$3:$B$78,2,FALSE)</f>
        <v>#ERROR!</v>
      </c>
      <c r="AN35" s="57" t="str">
        <f>VLOOKUP('北段 (人資版)'!AN35,'工作表1'!$A$3:$B$78,2,FALSE)</f>
        <v>#ERROR!</v>
      </c>
    </row>
    <row r="36" ht="39.75" customHeight="1">
      <c r="A36" s="59"/>
      <c r="B36" s="57" t="str">
        <f t="shared" si="3"/>
        <v>#REF!</v>
      </c>
      <c r="C36" s="57" t="str">
        <f>VLOOKUP(B36,'北段'!B:C,2,FALSE)</f>
        <v>#REF!</v>
      </c>
      <c r="D36" s="57" t="str">
        <f>VLOOKUP('北段 (人資版)'!D36,'工作表1'!$A$3:$B$78,2,FALSE)</f>
        <v>#REF!</v>
      </c>
      <c r="E36" s="57" t="str">
        <f>VLOOKUP('北段 (人資版)'!E36,'工作表1'!$A$3:$B$78,2,FALSE)</f>
        <v>#REF!</v>
      </c>
      <c r="F36" s="57" t="str">
        <f>VLOOKUP('北段 (人資版)'!F36,'工作表1'!$A$3:$B$78,2,FALSE)</f>
        <v>#REF!</v>
      </c>
      <c r="G36" s="57" t="str">
        <f>VLOOKUP('北段 (人資版)'!G36,'工作表1'!$A$3:$B$78,2,FALSE)</f>
        <v>#REF!</v>
      </c>
      <c r="H36" s="57" t="str">
        <f>VLOOKUP('北段 (人資版)'!H36,'工作表1'!$A$3:$B$78,2,FALSE)</f>
        <v>#REF!</v>
      </c>
      <c r="I36" s="57" t="str">
        <f>VLOOKUP('北段 (人資版)'!I36,'工作表1'!$A$3:$B$78,2,FALSE)</f>
        <v>#REF!</v>
      </c>
      <c r="J36" s="57" t="str">
        <f>VLOOKUP('北段 (人資版)'!J36,'工作表1'!$A$3:$B$78,2,FALSE)</f>
        <v>#REF!</v>
      </c>
      <c r="K36" s="57" t="str">
        <f>VLOOKUP('北段 (人資版)'!K36,'工作表1'!$A$3:$B$78,2,FALSE)</f>
        <v>#REF!</v>
      </c>
      <c r="L36" s="57" t="str">
        <f>VLOOKUP('北段 (人資版)'!L36,'工作表1'!$A$3:$B$78,2,FALSE)</f>
        <v>#REF!</v>
      </c>
      <c r="M36" s="57" t="str">
        <f>VLOOKUP('北段 (人資版)'!M36,'工作表1'!$A$3:$B$78,2,FALSE)</f>
        <v>#REF!</v>
      </c>
      <c r="N36" s="57" t="str">
        <f>VLOOKUP('北段 (人資版)'!N36,'工作表1'!$A$3:$B$78,2,FALSE)</f>
        <v>#REF!</v>
      </c>
      <c r="O36" s="57" t="str">
        <f>VLOOKUP('北段 (人資版)'!O36,'工作表1'!$A$3:$B$78,2,FALSE)</f>
        <v>#REF!</v>
      </c>
      <c r="P36" s="57" t="str">
        <f>VLOOKUP('北段 (人資版)'!P36,'工作表1'!$A$3:$B$78,2,FALSE)</f>
        <v>#REF!</v>
      </c>
      <c r="Q36" s="57" t="str">
        <f>VLOOKUP('北段 (人資版)'!Q36,'工作表1'!$A$3:$B$78,2,FALSE)</f>
        <v>#REF!</v>
      </c>
      <c r="R36" s="57" t="str">
        <f>VLOOKUP('北段 (人資版)'!R36,'工作表1'!$A$3:$B$78,2,FALSE)</f>
        <v>#REF!</v>
      </c>
      <c r="S36" s="57" t="str">
        <f>VLOOKUP('北段 (人資版)'!S36,'工作表1'!$A$3:$B$78,2,FALSE)</f>
        <v>#REF!</v>
      </c>
      <c r="T36" s="57" t="str">
        <f>VLOOKUP('北段 (人資版)'!T36,'工作表1'!$A$3:$B$78,2,FALSE)</f>
        <v>#REF!</v>
      </c>
      <c r="U36" s="57" t="str">
        <f>VLOOKUP('北段 (人資版)'!U36,'工作表1'!$A$3:$B$78,2,FALSE)</f>
        <v>#REF!</v>
      </c>
      <c r="V36" s="57" t="str">
        <f>VLOOKUP('北段 (人資版)'!V36,'工作表1'!$A$3:$B$78,2,FALSE)</f>
        <v>#REF!</v>
      </c>
      <c r="W36" s="57" t="str">
        <f>VLOOKUP('北段 (人資版)'!W36,'工作表1'!$A$3:$B$78,2,FALSE)</f>
        <v>#REF!</v>
      </c>
      <c r="X36" s="57" t="str">
        <f>VLOOKUP('北段 (人資版)'!X36,'工作表1'!$A$3:$B$78,2,FALSE)</f>
        <v>#REF!</v>
      </c>
      <c r="Y36" s="57" t="str">
        <f>VLOOKUP('北段 (人資版)'!Y36,'工作表1'!$A$3:$B$78,2,FALSE)</f>
        <v>#REF!</v>
      </c>
      <c r="Z36" s="57" t="str">
        <f>VLOOKUP('北段 (人資版)'!Z36,'工作表1'!$A$3:$B$78,2,FALSE)</f>
        <v>#REF!</v>
      </c>
      <c r="AA36" s="57" t="str">
        <f>VLOOKUP('北段 (人資版)'!AA36,'工作表1'!$A$3:$B$78,2,FALSE)</f>
        <v>#REF!</v>
      </c>
      <c r="AB36" s="57" t="str">
        <f>VLOOKUP('北段 (人資版)'!AB36,'工作表1'!$A$3:$B$78,2,FALSE)</f>
        <v>#REF!</v>
      </c>
      <c r="AC36" s="57" t="str">
        <f>VLOOKUP('北段 (人資版)'!AC36,'工作表1'!$A$3:$B$78,2,FALSE)</f>
        <v>#REF!</v>
      </c>
      <c r="AD36" s="57" t="str">
        <f>VLOOKUP('北段 (人資版)'!AD36,'工作表1'!$A$3:$B$78,2,FALSE)</f>
        <v>#REF!</v>
      </c>
      <c r="AE36" s="57" t="str">
        <f>VLOOKUP('北段 (人資版)'!AE36,'工作表1'!$A$3:$B$78,2,FALSE)</f>
        <v>#REF!</v>
      </c>
      <c r="AF36" s="57" t="str">
        <f>VLOOKUP('北段 (人資版)'!AF36,'工作表1'!$A$3:$B$78,2,FALSE)</f>
        <v>#REF!</v>
      </c>
      <c r="AG36" s="57" t="str">
        <f>VLOOKUP('北段 (人資版)'!AG36,'工作表1'!$A$3:$B$78,2,FALSE)</f>
        <v>#REF!</v>
      </c>
      <c r="AH36" s="57" t="str">
        <f>VLOOKUP('北段 (人資版)'!AH36,'工作表1'!$A$3:$B$78,2,FALSE)</f>
        <v>#ERROR!</v>
      </c>
      <c r="AI36" s="57" t="str">
        <f>VLOOKUP('北段 (人資版)'!AI36,'工作表1'!$A$3:$B$78,2,FALSE)</f>
        <v>#ERROR!</v>
      </c>
      <c r="AJ36" s="57" t="str">
        <f>VLOOKUP('北段 (人資版)'!AJ36,'工作表1'!$A$3:$B$78,2,FALSE)</f>
        <v>#ERROR!</v>
      </c>
      <c r="AK36" s="57" t="str">
        <f>VLOOKUP('北段 (人資版)'!AK36,'工作表1'!$A$3:$B$78,2,FALSE)</f>
        <v>#ERROR!</v>
      </c>
      <c r="AL36" s="57" t="str">
        <f>VLOOKUP('北段 (人資版)'!AL36,'工作表1'!$A$3:$B$78,2,FALSE)</f>
        <v>#ERROR!</v>
      </c>
      <c r="AM36" s="57" t="str">
        <f>VLOOKUP('北段 (人資版)'!AM36,'工作表1'!$A$3:$B$78,2,FALSE)</f>
        <v>#ERROR!</v>
      </c>
      <c r="AN36" s="57" t="str">
        <f>VLOOKUP('北段 (人資版)'!AN36,'工作表1'!$A$3:$B$78,2,FALSE)</f>
        <v>#ERROR!</v>
      </c>
    </row>
    <row r="37" ht="39.75" customHeight="1">
      <c r="A37" s="59"/>
      <c r="B37" s="57" t="str">
        <f t="shared" si="3"/>
        <v>#REF!</v>
      </c>
      <c r="C37" s="57" t="str">
        <f>VLOOKUP(B37,'北段'!B:C,2,FALSE)</f>
        <v>#REF!</v>
      </c>
      <c r="D37" s="57" t="str">
        <f>VLOOKUP('北段 (人資版)'!D37,'工作表1'!$A$3:$B$78,2,FALSE)</f>
        <v>#REF!</v>
      </c>
      <c r="E37" s="57" t="str">
        <f>VLOOKUP('北段 (人資版)'!E37,'工作表1'!$A$3:$B$78,2,FALSE)</f>
        <v>#REF!</v>
      </c>
      <c r="F37" s="57" t="str">
        <f>VLOOKUP('北段 (人資版)'!F37,'工作表1'!$A$3:$B$78,2,FALSE)</f>
        <v>#REF!</v>
      </c>
      <c r="G37" s="57" t="str">
        <f>VLOOKUP('北段 (人資版)'!G37,'工作表1'!$A$3:$B$78,2,FALSE)</f>
        <v>#REF!</v>
      </c>
      <c r="H37" s="57" t="str">
        <f>VLOOKUP('北段 (人資版)'!H37,'工作表1'!$A$3:$B$78,2,FALSE)</f>
        <v>#REF!</v>
      </c>
      <c r="I37" s="57" t="str">
        <f>VLOOKUP('北段 (人資版)'!I37,'工作表1'!$A$3:$B$78,2,FALSE)</f>
        <v>#REF!</v>
      </c>
      <c r="J37" s="57" t="str">
        <f>VLOOKUP('北段 (人資版)'!J37,'工作表1'!$A$3:$B$78,2,FALSE)</f>
        <v>#REF!</v>
      </c>
      <c r="K37" s="57" t="str">
        <f>VLOOKUP('北段 (人資版)'!K37,'工作表1'!$A$3:$B$78,2,FALSE)</f>
        <v>#REF!</v>
      </c>
      <c r="L37" s="57" t="str">
        <f>VLOOKUP('北段 (人資版)'!L37,'工作表1'!$A$3:$B$78,2,FALSE)</f>
        <v>#REF!</v>
      </c>
      <c r="M37" s="57" t="str">
        <f>VLOOKUP('北段 (人資版)'!M37,'工作表1'!$A$3:$B$78,2,FALSE)</f>
        <v>#REF!</v>
      </c>
      <c r="N37" s="57" t="str">
        <f>VLOOKUP('北段 (人資版)'!N37,'工作表1'!$A$3:$B$78,2,FALSE)</f>
        <v>#REF!</v>
      </c>
      <c r="O37" s="57" t="str">
        <f>VLOOKUP('北段 (人資版)'!O37,'工作表1'!$A$3:$B$78,2,FALSE)</f>
        <v>#REF!</v>
      </c>
      <c r="P37" s="57" t="str">
        <f>VLOOKUP('北段 (人資版)'!P37,'工作表1'!$A$3:$B$78,2,FALSE)</f>
        <v>#REF!</v>
      </c>
      <c r="Q37" s="57" t="str">
        <f>VLOOKUP('北段 (人資版)'!Q37,'工作表1'!$A$3:$B$78,2,FALSE)</f>
        <v>#REF!</v>
      </c>
      <c r="R37" s="57" t="str">
        <f>VLOOKUP('北段 (人資版)'!R37,'工作表1'!$A$3:$B$78,2,FALSE)</f>
        <v>#REF!</v>
      </c>
      <c r="S37" s="57" t="str">
        <f>VLOOKUP('北段 (人資版)'!S37,'工作表1'!$A$3:$B$78,2,FALSE)</f>
        <v>#REF!</v>
      </c>
      <c r="T37" s="57" t="str">
        <f>VLOOKUP('北段 (人資版)'!T37,'工作表1'!$A$3:$B$78,2,FALSE)</f>
        <v>#REF!</v>
      </c>
      <c r="U37" s="57" t="str">
        <f>VLOOKUP('北段 (人資版)'!U37,'工作表1'!$A$3:$B$78,2,FALSE)</f>
        <v>#REF!</v>
      </c>
      <c r="V37" s="57" t="str">
        <f>VLOOKUP('北段 (人資版)'!V37,'工作表1'!$A$3:$B$78,2,FALSE)</f>
        <v>#REF!</v>
      </c>
      <c r="W37" s="57" t="str">
        <f>VLOOKUP('北段 (人資版)'!W37,'工作表1'!$A$3:$B$78,2,FALSE)</f>
        <v>#REF!</v>
      </c>
      <c r="X37" s="57" t="str">
        <f>VLOOKUP('北段 (人資版)'!X37,'工作表1'!$A$3:$B$78,2,FALSE)</f>
        <v>#REF!</v>
      </c>
      <c r="Y37" s="57" t="str">
        <f>VLOOKUP('北段 (人資版)'!Y37,'工作表1'!$A$3:$B$78,2,FALSE)</f>
        <v>#REF!</v>
      </c>
      <c r="Z37" s="57" t="str">
        <f>VLOOKUP('北段 (人資版)'!Z37,'工作表1'!$A$3:$B$78,2,FALSE)</f>
        <v>#REF!</v>
      </c>
      <c r="AA37" s="57" t="str">
        <f>VLOOKUP('北段 (人資版)'!AA37,'工作表1'!$A$3:$B$78,2,FALSE)</f>
        <v>#REF!</v>
      </c>
      <c r="AB37" s="57" t="str">
        <f>VLOOKUP('北段 (人資版)'!AB37,'工作表1'!$A$3:$B$78,2,FALSE)</f>
        <v>#REF!</v>
      </c>
      <c r="AC37" s="57" t="str">
        <f>VLOOKUP('北段 (人資版)'!AC37,'工作表1'!$A$3:$B$78,2,FALSE)</f>
        <v>#REF!</v>
      </c>
      <c r="AD37" s="57" t="str">
        <f>VLOOKUP('北段 (人資版)'!AD37,'工作表1'!$A$3:$B$78,2,FALSE)</f>
        <v>#REF!</v>
      </c>
      <c r="AE37" s="57" t="str">
        <f>VLOOKUP('北段 (人資版)'!AE37,'工作表1'!$A$3:$B$78,2,FALSE)</f>
        <v>#REF!</v>
      </c>
      <c r="AF37" s="57" t="str">
        <f>VLOOKUP('北段 (人資版)'!AF37,'工作表1'!$A$3:$B$78,2,FALSE)</f>
        <v>#REF!</v>
      </c>
      <c r="AG37" s="57" t="str">
        <f>VLOOKUP('北段 (人資版)'!AG37,'工作表1'!$A$3:$B$78,2,FALSE)</f>
        <v>#REF!</v>
      </c>
      <c r="AH37" s="57" t="str">
        <f>VLOOKUP('北段 (人資版)'!AH37,'工作表1'!$A$3:$B$78,2,FALSE)</f>
        <v>#ERROR!</v>
      </c>
      <c r="AI37" s="57" t="str">
        <f>VLOOKUP('北段 (人資版)'!AI37,'工作表1'!$A$3:$B$78,2,FALSE)</f>
        <v>#ERROR!</v>
      </c>
      <c r="AJ37" s="57" t="str">
        <f>VLOOKUP('北段 (人資版)'!AJ37,'工作表1'!$A$3:$B$78,2,FALSE)</f>
        <v>#ERROR!</v>
      </c>
      <c r="AK37" s="57" t="str">
        <f>VLOOKUP('北段 (人資版)'!AK37,'工作表1'!$A$3:$B$78,2,FALSE)</f>
        <v>#ERROR!</v>
      </c>
      <c r="AL37" s="57" t="str">
        <f>VLOOKUP('北段 (人資版)'!AL37,'工作表1'!$A$3:$B$78,2,FALSE)</f>
        <v>#ERROR!</v>
      </c>
      <c r="AM37" s="57" t="str">
        <f>VLOOKUP('北段 (人資版)'!AM37,'工作表1'!$A$3:$B$78,2,FALSE)</f>
        <v>#ERROR!</v>
      </c>
      <c r="AN37" s="57" t="str">
        <f>VLOOKUP('北段 (人資版)'!AN37,'工作表1'!$A$3:$B$78,2,FALSE)</f>
        <v>#ERROR!</v>
      </c>
    </row>
    <row r="38" ht="39.75" customHeight="1">
      <c r="A38" s="59"/>
      <c r="B38" s="57" t="str">
        <f t="shared" si="3"/>
        <v>#REF!</v>
      </c>
      <c r="C38" s="57" t="str">
        <f>VLOOKUP(B38,'北段'!B:C,2,FALSE)</f>
        <v>#REF!</v>
      </c>
      <c r="D38" s="57" t="str">
        <f>VLOOKUP('北段 (人資版)'!D38,'工作表1'!$A$3:$B$78,2,FALSE)</f>
        <v>#REF!</v>
      </c>
      <c r="E38" s="57" t="str">
        <f>VLOOKUP('北段 (人資版)'!E38,'工作表1'!$A$3:$B$78,2,FALSE)</f>
        <v>#REF!</v>
      </c>
      <c r="F38" s="57" t="str">
        <f>VLOOKUP('北段 (人資版)'!F38,'工作表1'!$A$3:$B$78,2,FALSE)</f>
        <v>#REF!</v>
      </c>
      <c r="G38" s="57" t="str">
        <f>VLOOKUP('北段 (人資版)'!G38,'工作表1'!$A$3:$B$78,2,FALSE)</f>
        <v>#REF!</v>
      </c>
      <c r="H38" s="57" t="str">
        <f>VLOOKUP('北段 (人資版)'!H38,'工作表1'!$A$3:$B$78,2,FALSE)</f>
        <v>#REF!</v>
      </c>
      <c r="I38" s="57" t="str">
        <f>VLOOKUP('北段 (人資版)'!I38,'工作表1'!$A$3:$B$78,2,FALSE)</f>
        <v>#REF!</v>
      </c>
      <c r="J38" s="57" t="str">
        <f>VLOOKUP('北段 (人資版)'!J38,'工作表1'!$A$3:$B$78,2,FALSE)</f>
        <v>#REF!</v>
      </c>
      <c r="K38" s="57" t="str">
        <f>VLOOKUP('北段 (人資版)'!K38,'工作表1'!$A$3:$B$78,2,FALSE)</f>
        <v>#REF!</v>
      </c>
      <c r="L38" s="57" t="str">
        <f>VLOOKUP('北段 (人資版)'!L38,'工作表1'!$A$3:$B$78,2,FALSE)</f>
        <v>#REF!</v>
      </c>
      <c r="M38" s="57" t="str">
        <f>VLOOKUP('北段 (人資版)'!M38,'工作表1'!$A$3:$B$78,2,FALSE)</f>
        <v>#REF!</v>
      </c>
      <c r="N38" s="57" t="str">
        <f>VLOOKUP('北段 (人資版)'!N38,'工作表1'!$A$3:$B$78,2,FALSE)</f>
        <v>#REF!</v>
      </c>
      <c r="O38" s="57" t="str">
        <f>VLOOKUP('北段 (人資版)'!O38,'工作表1'!$A$3:$B$78,2,FALSE)</f>
        <v>#REF!</v>
      </c>
      <c r="P38" s="57" t="str">
        <f>VLOOKUP('北段 (人資版)'!P38,'工作表1'!$A$3:$B$78,2,FALSE)</f>
        <v>#REF!</v>
      </c>
      <c r="Q38" s="57" t="str">
        <f>VLOOKUP('北段 (人資版)'!Q38,'工作表1'!$A$3:$B$78,2,FALSE)</f>
        <v>#REF!</v>
      </c>
      <c r="R38" s="57" t="str">
        <f>VLOOKUP('北段 (人資版)'!R38,'工作表1'!$A$3:$B$78,2,FALSE)</f>
        <v>#REF!</v>
      </c>
      <c r="S38" s="57" t="str">
        <f>VLOOKUP('北段 (人資版)'!S38,'工作表1'!$A$3:$B$78,2,FALSE)</f>
        <v>#REF!</v>
      </c>
      <c r="T38" s="57" t="str">
        <f>VLOOKUP('北段 (人資版)'!T38,'工作表1'!$A$3:$B$78,2,FALSE)</f>
        <v>#REF!</v>
      </c>
      <c r="U38" s="57" t="str">
        <f>VLOOKUP('北段 (人資版)'!U38,'工作表1'!$A$3:$B$78,2,FALSE)</f>
        <v>#REF!</v>
      </c>
      <c r="V38" s="57" t="str">
        <f>VLOOKUP('北段 (人資版)'!V38,'工作表1'!$A$3:$B$78,2,FALSE)</f>
        <v>#REF!</v>
      </c>
      <c r="W38" s="57" t="str">
        <f>VLOOKUP('北段 (人資版)'!W38,'工作表1'!$A$3:$B$78,2,FALSE)</f>
        <v>#REF!</v>
      </c>
      <c r="X38" s="57" t="str">
        <f>VLOOKUP('北段 (人資版)'!X38,'工作表1'!$A$3:$B$78,2,FALSE)</f>
        <v>#REF!</v>
      </c>
      <c r="Y38" s="57" t="str">
        <f>VLOOKUP('北段 (人資版)'!Y38,'工作表1'!$A$3:$B$78,2,FALSE)</f>
        <v>#REF!</v>
      </c>
      <c r="Z38" s="57" t="str">
        <f>VLOOKUP('北段 (人資版)'!Z38,'工作表1'!$A$3:$B$78,2,FALSE)</f>
        <v>#REF!</v>
      </c>
      <c r="AA38" s="57" t="str">
        <f>VLOOKUP('北段 (人資版)'!AA38,'工作表1'!$A$3:$B$78,2,FALSE)</f>
        <v>#REF!</v>
      </c>
      <c r="AB38" s="57" t="str">
        <f>VLOOKUP('北段 (人資版)'!AB38,'工作表1'!$A$3:$B$78,2,FALSE)</f>
        <v>#REF!</v>
      </c>
      <c r="AC38" s="57" t="str">
        <f>VLOOKUP('北段 (人資版)'!AC38,'工作表1'!$A$3:$B$78,2,FALSE)</f>
        <v>#REF!</v>
      </c>
      <c r="AD38" s="57" t="str">
        <f>VLOOKUP('北段 (人資版)'!AD38,'工作表1'!$A$3:$B$78,2,FALSE)</f>
        <v>#REF!</v>
      </c>
      <c r="AE38" s="57" t="str">
        <f>VLOOKUP('北段 (人資版)'!AE38,'工作表1'!$A$3:$B$78,2,FALSE)</f>
        <v>#REF!</v>
      </c>
      <c r="AF38" s="57" t="str">
        <f>VLOOKUP('北段 (人資版)'!AF38,'工作表1'!$A$3:$B$78,2,FALSE)</f>
        <v>#REF!</v>
      </c>
      <c r="AG38" s="57" t="str">
        <f>VLOOKUP('北段 (人資版)'!AG38,'工作表1'!$A$3:$B$78,2,FALSE)</f>
        <v>#REF!</v>
      </c>
      <c r="AH38" s="57" t="str">
        <f>VLOOKUP('北段 (人資版)'!AH38,'工作表1'!$A$3:$B$78,2,FALSE)</f>
        <v>#ERROR!</v>
      </c>
      <c r="AI38" s="57" t="str">
        <f>VLOOKUP('北段 (人資版)'!AI38,'工作表1'!$A$3:$B$78,2,FALSE)</f>
        <v>#ERROR!</v>
      </c>
      <c r="AJ38" s="57" t="str">
        <f>VLOOKUP('北段 (人資版)'!AJ38,'工作表1'!$A$3:$B$78,2,FALSE)</f>
        <v>#ERROR!</v>
      </c>
      <c r="AK38" s="57" t="str">
        <f>VLOOKUP('北段 (人資版)'!AK38,'工作表1'!$A$3:$B$78,2,FALSE)</f>
        <v>#ERROR!</v>
      </c>
      <c r="AL38" s="57" t="str">
        <f>VLOOKUP('北段 (人資版)'!AL38,'工作表1'!$A$3:$B$78,2,FALSE)</f>
        <v>#ERROR!</v>
      </c>
      <c r="AM38" s="57" t="str">
        <f>VLOOKUP('北段 (人資版)'!AM38,'工作表1'!$A$3:$B$78,2,FALSE)</f>
        <v>#ERROR!</v>
      </c>
      <c r="AN38" s="57" t="str">
        <f>VLOOKUP('北段 (人資版)'!AN38,'工作表1'!$A$3:$B$78,2,FALSE)</f>
        <v>#ERROR!</v>
      </c>
    </row>
    <row r="39" ht="39.0" customHeight="1">
      <c r="A39" s="114"/>
      <c r="B39" s="57" t="str">
        <f t="shared" si="3"/>
        <v>#REF!</v>
      </c>
      <c r="C39" s="57" t="str">
        <f>VLOOKUP(B39,'北段'!B:C,2,FALSE)</f>
        <v>#REF!</v>
      </c>
      <c r="D39" s="57" t="str">
        <f>VLOOKUP('北段 (人資版)'!D39,'工作表1'!$A$3:$B$78,2,FALSE)</f>
        <v>#REF!</v>
      </c>
      <c r="E39" s="57" t="str">
        <f>VLOOKUP('北段 (人資版)'!E39,'工作表1'!$A$3:$B$78,2,FALSE)</f>
        <v>#REF!</v>
      </c>
      <c r="F39" s="57" t="str">
        <f>VLOOKUP('北段 (人資版)'!F39,'工作表1'!$A$3:$B$78,2,FALSE)</f>
        <v>#REF!</v>
      </c>
      <c r="G39" s="57" t="str">
        <f>VLOOKUP('北段 (人資版)'!G39,'工作表1'!$A$3:$B$78,2,FALSE)</f>
        <v>#REF!</v>
      </c>
      <c r="H39" s="57" t="str">
        <f>VLOOKUP('北段 (人資版)'!H39,'工作表1'!$A$3:$B$78,2,FALSE)</f>
        <v>#REF!</v>
      </c>
      <c r="I39" s="57" t="str">
        <f>VLOOKUP('北段 (人資版)'!I39,'工作表1'!$A$3:$B$78,2,FALSE)</f>
        <v>#REF!</v>
      </c>
      <c r="J39" s="57" t="str">
        <f>VLOOKUP('北段 (人資版)'!J39,'工作表1'!$A$3:$B$78,2,FALSE)</f>
        <v>#REF!</v>
      </c>
      <c r="K39" s="57" t="str">
        <f>VLOOKUP('北段 (人資版)'!K39,'工作表1'!$A$3:$B$78,2,FALSE)</f>
        <v>#REF!</v>
      </c>
      <c r="L39" s="57" t="str">
        <f>VLOOKUP('北段 (人資版)'!L39,'工作表1'!$A$3:$B$78,2,FALSE)</f>
        <v>#REF!</v>
      </c>
      <c r="M39" s="57" t="str">
        <f>VLOOKUP('北段 (人資版)'!M39,'工作表1'!$A$3:$B$78,2,FALSE)</f>
        <v>#REF!</v>
      </c>
      <c r="N39" s="57" t="str">
        <f>VLOOKUP('北段 (人資版)'!N39,'工作表1'!$A$3:$B$78,2,FALSE)</f>
        <v>#REF!</v>
      </c>
      <c r="O39" s="57" t="str">
        <f>VLOOKUP('北段 (人資版)'!O39,'工作表1'!$A$3:$B$78,2,FALSE)</f>
        <v>#REF!</v>
      </c>
      <c r="P39" s="57" t="str">
        <f>VLOOKUP('北段 (人資版)'!P39,'工作表1'!$A$3:$B$78,2,FALSE)</f>
        <v>#REF!</v>
      </c>
      <c r="Q39" s="57" t="str">
        <f>VLOOKUP('北段 (人資版)'!Q39,'工作表1'!$A$3:$B$78,2,FALSE)</f>
        <v>#REF!</v>
      </c>
      <c r="R39" s="57" t="str">
        <f>VLOOKUP('北段 (人資版)'!R39,'工作表1'!$A$3:$B$78,2,FALSE)</f>
        <v>#REF!</v>
      </c>
      <c r="S39" s="57" t="str">
        <f>VLOOKUP('北段 (人資版)'!S39,'工作表1'!$A$3:$B$78,2,FALSE)</f>
        <v>#REF!</v>
      </c>
      <c r="T39" s="57" t="str">
        <f>VLOOKUP('北段 (人資版)'!T39,'工作表1'!$A$3:$B$78,2,FALSE)</f>
        <v>#REF!</v>
      </c>
      <c r="U39" s="57" t="str">
        <f>VLOOKUP('北段 (人資版)'!U39,'工作表1'!$A$3:$B$78,2,FALSE)</f>
        <v>#REF!</v>
      </c>
      <c r="V39" s="57" t="str">
        <f>VLOOKUP('北段 (人資版)'!V39,'工作表1'!$A$3:$B$78,2,FALSE)</f>
        <v>#REF!</v>
      </c>
      <c r="W39" s="57" t="str">
        <f>VLOOKUP('北段 (人資版)'!W39,'工作表1'!$A$3:$B$78,2,FALSE)</f>
        <v>#REF!</v>
      </c>
      <c r="X39" s="57" t="str">
        <f>VLOOKUP('北段 (人資版)'!X39,'工作表1'!$A$3:$B$78,2,FALSE)</f>
        <v>#REF!</v>
      </c>
      <c r="Y39" s="57" t="str">
        <f>VLOOKUP('北段 (人資版)'!Y39,'工作表1'!$A$3:$B$78,2,FALSE)</f>
        <v>#REF!</v>
      </c>
      <c r="Z39" s="57" t="str">
        <f>VLOOKUP('北段 (人資版)'!Z39,'工作表1'!$A$3:$B$78,2,FALSE)</f>
        <v>#REF!</v>
      </c>
      <c r="AA39" s="57" t="str">
        <f>VLOOKUP('北段 (人資版)'!AA39,'工作表1'!$A$3:$B$78,2,FALSE)</f>
        <v>#REF!</v>
      </c>
      <c r="AB39" s="57" t="str">
        <f>VLOOKUP('北段 (人資版)'!AB39,'工作表1'!$A$3:$B$78,2,FALSE)</f>
        <v>#REF!</v>
      </c>
      <c r="AC39" s="57" t="str">
        <f>VLOOKUP('北段 (人資版)'!AC39,'工作表1'!$A$3:$B$78,2,FALSE)</f>
        <v>#REF!</v>
      </c>
      <c r="AD39" s="57" t="str">
        <f>VLOOKUP('北段 (人資版)'!AD39,'工作表1'!$A$3:$B$78,2,FALSE)</f>
        <v>#REF!</v>
      </c>
      <c r="AE39" s="57" t="str">
        <f>VLOOKUP('北段 (人資版)'!AE39,'工作表1'!$A$3:$B$78,2,FALSE)</f>
        <v>#REF!</v>
      </c>
      <c r="AF39" s="57" t="str">
        <f>VLOOKUP('北段 (人資版)'!AF39,'工作表1'!$A$3:$B$78,2,FALSE)</f>
        <v>#REF!</v>
      </c>
      <c r="AG39" s="57" t="str">
        <f>VLOOKUP('北段 (人資版)'!AG39,'工作表1'!$A$3:$B$78,2,FALSE)</f>
        <v>#REF!</v>
      </c>
      <c r="AH39" s="57" t="str">
        <f>VLOOKUP('北段 (人資版)'!AH39,'工作表1'!$A$3:$B$78,2,FALSE)</f>
        <v>#ERROR!</v>
      </c>
      <c r="AI39" s="57" t="str">
        <f>VLOOKUP('北段 (人資版)'!AI39,'工作表1'!$A$3:$B$78,2,FALSE)</f>
        <v>#ERROR!</v>
      </c>
      <c r="AJ39" s="57" t="str">
        <f>VLOOKUP('北段 (人資版)'!AJ39,'工作表1'!$A$3:$B$78,2,FALSE)</f>
        <v>#ERROR!</v>
      </c>
      <c r="AK39" s="57" t="str">
        <f>VLOOKUP('北段 (人資版)'!AK39,'工作表1'!$A$3:$B$78,2,FALSE)</f>
        <v>#ERROR!</v>
      </c>
      <c r="AL39" s="57" t="str">
        <f>VLOOKUP('北段 (人資版)'!AL39,'工作表1'!$A$3:$B$78,2,FALSE)</f>
        <v>#ERROR!</v>
      </c>
      <c r="AM39" s="57" t="str">
        <f>VLOOKUP('北段 (人資版)'!AM39,'工作表1'!$A$3:$B$78,2,FALSE)</f>
        <v>#ERROR!</v>
      </c>
      <c r="AN39" s="57" t="str">
        <f>VLOOKUP('北段 (人資版)'!AN39,'工作表1'!$A$3:$B$78,2,FALSE)</f>
        <v>#ERROR!</v>
      </c>
    </row>
    <row r="40" ht="39.75" customHeight="1">
      <c r="A40" s="43" t="s">
        <v>140</v>
      </c>
      <c r="B40" s="57" t="str">
        <f t="shared" si="3"/>
        <v>#REF!</v>
      </c>
      <c r="C40" s="57" t="str">
        <f>VLOOKUP(B40,'北段'!B:C,2,FALSE)</f>
        <v>#REF!</v>
      </c>
      <c r="D40" s="57" t="str">
        <f>VLOOKUP('北段 (人資版)'!D40,'工作表1'!$A$3:$B$78,2,FALSE)</f>
        <v>#REF!</v>
      </c>
      <c r="E40" s="57" t="str">
        <f>VLOOKUP('北段 (人資版)'!E40,'工作表1'!$A$3:$B$78,2,FALSE)</f>
        <v>#REF!</v>
      </c>
      <c r="F40" s="57" t="str">
        <f>VLOOKUP('北段 (人資版)'!F40,'工作表1'!$A$3:$B$78,2,FALSE)</f>
        <v>#REF!</v>
      </c>
      <c r="G40" s="57" t="str">
        <f>VLOOKUP('北段 (人資版)'!G40,'工作表1'!$A$3:$B$78,2,FALSE)</f>
        <v>#REF!</v>
      </c>
      <c r="H40" s="57" t="str">
        <f>VLOOKUP('北段 (人資版)'!H40,'工作表1'!$A$3:$B$78,2,FALSE)</f>
        <v>#REF!</v>
      </c>
      <c r="I40" s="57" t="str">
        <f>VLOOKUP('北段 (人資版)'!I40,'工作表1'!$A$3:$B$78,2,FALSE)</f>
        <v>#REF!</v>
      </c>
      <c r="J40" s="57" t="str">
        <f>VLOOKUP('北段 (人資版)'!J40,'工作表1'!$A$3:$B$78,2,FALSE)</f>
        <v>#REF!</v>
      </c>
      <c r="K40" s="57" t="str">
        <f>VLOOKUP('北段 (人資版)'!K40,'工作表1'!$A$3:$B$78,2,FALSE)</f>
        <v>#REF!</v>
      </c>
      <c r="L40" s="57" t="str">
        <f>VLOOKUP('北段 (人資版)'!L40,'工作表1'!$A$3:$B$78,2,FALSE)</f>
        <v>#REF!</v>
      </c>
      <c r="M40" s="57" t="str">
        <f>VLOOKUP('北段 (人資版)'!M40,'工作表1'!$A$3:$B$78,2,FALSE)</f>
        <v>#REF!</v>
      </c>
      <c r="N40" s="57" t="str">
        <f>VLOOKUP('北段 (人資版)'!N40,'工作表1'!$A$3:$B$78,2,FALSE)</f>
        <v>#REF!</v>
      </c>
      <c r="O40" s="57" t="str">
        <f>VLOOKUP('北段 (人資版)'!O40,'工作表1'!$A$3:$B$78,2,FALSE)</f>
        <v>#REF!</v>
      </c>
      <c r="P40" s="57" t="str">
        <f>VLOOKUP('北段 (人資版)'!P40,'工作表1'!$A$3:$B$78,2,FALSE)</f>
        <v>#REF!</v>
      </c>
      <c r="Q40" s="57" t="str">
        <f>VLOOKUP('北段 (人資版)'!Q40,'工作表1'!$A$3:$B$78,2,FALSE)</f>
        <v>#REF!</v>
      </c>
      <c r="R40" s="57" t="str">
        <f>VLOOKUP('北段 (人資版)'!R40,'工作表1'!$A$3:$B$78,2,FALSE)</f>
        <v>#REF!</v>
      </c>
      <c r="S40" s="57" t="str">
        <f>VLOOKUP('北段 (人資版)'!S40,'工作表1'!$A$3:$B$78,2,FALSE)</f>
        <v>#REF!</v>
      </c>
      <c r="T40" s="57" t="str">
        <f>VLOOKUP('北段 (人資版)'!T40,'工作表1'!$A$3:$B$78,2,FALSE)</f>
        <v>#REF!</v>
      </c>
      <c r="U40" s="57" t="str">
        <f>VLOOKUP('北段 (人資版)'!U40,'工作表1'!$A$3:$B$78,2,FALSE)</f>
        <v>#REF!</v>
      </c>
      <c r="V40" s="57" t="str">
        <f>VLOOKUP('北段 (人資版)'!V40,'工作表1'!$A$3:$B$78,2,FALSE)</f>
        <v>#REF!</v>
      </c>
      <c r="W40" s="57" t="str">
        <f>VLOOKUP('北段 (人資版)'!W40,'工作表1'!$A$3:$B$78,2,FALSE)</f>
        <v>#REF!</v>
      </c>
      <c r="X40" s="57" t="str">
        <f>VLOOKUP('北段 (人資版)'!X40,'工作表1'!$A$3:$B$78,2,FALSE)</f>
        <v>#REF!</v>
      </c>
      <c r="Y40" s="57" t="str">
        <f>VLOOKUP('北段 (人資版)'!Y40,'工作表1'!$A$3:$B$78,2,FALSE)</f>
        <v>#REF!</v>
      </c>
      <c r="Z40" s="57" t="str">
        <f>VLOOKUP('北段 (人資版)'!Z40,'工作表1'!$A$3:$B$78,2,FALSE)</f>
        <v>#REF!</v>
      </c>
      <c r="AA40" s="57" t="str">
        <f>VLOOKUP('北段 (人資版)'!AA40,'工作表1'!$A$3:$B$78,2,FALSE)</f>
        <v>#REF!</v>
      </c>
      <c r="AB40" s="57" t="str">
        <f>VLOOKUP('北段 (人資版)'!AB40,'工作表1'!$A$3:$B$78,2,FALSE)</f>
        <v>#REF!</v>
      </c>
      <c r="AC40" s="57" t="str">
        <f>VLOOKUP('北段 (人資版)'!AC40,'工作表1'!$A$3:$B$78,2,FALSE)</f>
        <v>#REF!</v>
      </c>
      <c r="AD40" s="57" t="str">
        <f>VLOOKUP('北段 (人資版)'!AD40,'工作表1'!$A$3:$B$78,2,FALSE)</f>
        <v>#REF!</v>
      </c>
      <c r="AE40" s="57" t="str">
        <f>VLOOKUP('北段 (人資版)'!AE40,'工作表1'!$A$3:$B$78,2,FALSE)</f>
        <v>#REF!</v>
      </c>
      <c r="AF40" s="57" t="str">
        <f>VLOOKUP('北段 (人資版)'!AF40,'工作表1'!$A$3:$B$78,2,FALSE)</f>
        <v>#REF!</v>
      </c>
      <c r="AG40" s="57" t="str">
        <f>VLOOKUP('北段 (人資版)'!AG40,'工作表1'!$A$3:$B$78,2,FALSE)</f>
        <v>#REF!</v>
      </c>
      <c r="AH40" s="57" t="str">
        <f>VLOOKUP('北段 (人資版)'!AH40,'工作表1'!$A$3:$B$78,2,FALSE)</f>
        <v>#ERROR!</v>
      </c>
      <c r="AI40" s="57" t="str">
        <f>VLOOKUP('北段 (人資版)'!AI40,'工作表1'!$A$3:$B$78,2,FALSE)</f>
        <v>#ERROR!</v>
      </c>
      <c r="AJ40" s="57" t="str">
        <f>VLOOKUP('北段 (人資版)'!AJ40,'工作表1'!$A$3:$B$78,2,FALSE)</f>
        <v>#ERROR!</v>
      </c>
      <c r="AK40" s="57" t="str">
        <f>VLOOKUP('北段 (人資版)'!AK40,'工作表1'!$A$3:$B$78,2,FALSE)</f>
        <v>#ERROR!</v>
      </c>
      <c r="AL40" s="57" t="str">
        <f>VLOOKUP('北段 (人資版)'!AL40,'工作表1'!$A$3:$B$78,2,FALSE)</f>
        <v>#ERROR!</v>
      </c>
      <c r="AM40" s="57" t="str">
        <f>VLOOKUP('北段 (人資版)'!AM40,'工作表1'!$A$3:$B$78,2,FALSE)</f>
        <v>#ERROR!</v>
      </c>
      <c r="AN40" s="57" t="str">
        <f>VLOOKUP('北段 (人資版)'!AN40,'工作表1'!$A$3:$B$78,2,FALSE)</f>
        <v>#ERROR!</v>
      </c>
    </row>
    <row r="41" ht="39.75" customHeight="1">
      <c r="A41" s="59"/>
      <c r="B41" s="57" t="str">
        <f t="shared" si="3"/>
        <v>#REF!</v>
      </c>
      <c r="C41" s="57" t="str">
        <f>VLOOKUP(B41,'北段'!B:C,2,FALSE)</f>
        <v>#REF!</v>
      </c>
      <c r="D41" s="57" t="str">
        <f>VLOOKUP('北段 (人資版)'!D41,'工作表1'!$A$3:$B$78,2,FALSE)</f>
        <v>#REF!</v>
      </c>
      <c r="E41" s="57" t="str">
        <f>VLOOKUP('北段 (人資版)'!E41,'工作表1'!$A$3:$B$78,2,FALSE)</f>
        <v>#REF!</v>
      </c>
      <c r="F41" s="57" t="str">
        <f>VLOOKUP('北段 (人資版)'!F41,'工作表1'!$A$3:$B$78,2,FALSE)</f>
        <v>#REF!</v>
      </c>
      <c r="G41" s="57" t="str">
        <f>VLOOKUP('北段 (人資版)'!G41,'工作表1'!$A$3:$B$78,2,FALSE)</f>
        <v>#REF!</v>
      </c>
      <c r="H41" s="57" t="str">
        <f>VLOOKUP('北段 (人資版)'!H41,'工作表1'!$A$3:$B$78,2,FALSE)</f>
        <v>#REF!</v>
      </c>
      <c r="I41" s="57" t="str">
        <f>VLOOKUP('北段 (人資版)'!I41,'工作表1'!$A$3:$B$78,2,FALSE)</f>
        <v>#REF!</v>
      </c>
      <c r="J41" s="57" t="str">
        <f>VLOOKUP('北段 (人資版)'!J41,'工作表1'!$A$3:$B$78,2,FALSE)</f>
        <v>#REF!</v>
      </c>
      <c r="K41" s="57" t="str">
        <f>VLOOKUP('北段 (人資版)'!K41,'工作表1'!$A$3:$B$78,2,FALSE)</f>
        <v>#REF!</v>
      </c>
      <c r="L41" s="57" t="str">
        <f>VLOOKUP('北段 (人資版)'!L41,'工作表1'!$A$3:$B$78,2,FALSE)</f>
        <v>#REF!</v>
      </c>
      <c r="M41" s="57" t="str">
        <f>VLOOKUP('北段 (人資版)'!M41,'工作表1'!$A$3:$B$78,2,FALSE)</f>
        <v>#REF!</v>
      </c>
      <c r="N41" s="57" t="str">
        <f>VLOOKUP('北段 (人資版)'!N41,'工作表1'!$A$3:$B$78,2,FALSE)</f>
        <v>#REF!</v>
      </c>
      <c r="O41" s="57" t="str">
        <f>VLOOKUP('北段 (人資版)'!O41,'工作表1'!$A$3:$B$78,2,FALSE)</f>
        <v>#REF!</v>
      </c>
      <c r="P41" s="57" t="str">
        <f>VLOOKUP('北段 (人資版)'!P41,'工作表1'!$A$3:$B$78,2,FALSE)</f>
        <v>#REF!</v>
      </c>
      <c r="Q41" s="57" t="str">
        <f>VLOOKUP('北段 (人資版)'!Q41,'工作表1'!$A$3:$B$78,2,FALSE)</f>
        <v>#REF!</v>
      </c>
      <c r="R41" s="57" t="str">
        <f>VLOOKUP('北段 (人資版)'!R41,'工作表1'!$A$3:$B$78,2,FALSE)</f>
        <v>#REF!</v>
      </c>
      <c r="S41" s="57" t="str">
        <f>VLOOKUP('北段 (人資版)'!S41,'工作表1'!$A$3:$B$78,2,FALSE)</f>
        <v>#REF!</v>
      </c>
      <c r="T41" s="57" t="str">
        <f>VLOOKUP('北段 (人資版)'!T41,'工作表1'!$A$3:$B$78,2,FALSE)</f>
        <v>#REF!</v>
      </c>
      <c r="U41" s="57" t="str">
        <f>VLOOKUP('北段 (人資版)'!U41,'工作表1'!$A$3:$B$78,2,FALSE)</f>
        <v>#REF!</v>
      </c>
      <c r="V41" s="57" t="str">
        <f>VLOOKUP('北段 (人資版)'!V41,'工作表1'!$A$3:$B$78,2,FALSE)</f>
        <v>#REF!</v>
      </c>
      <c r="W41" s="57" t="str">
        <f>VLOOKUP('北段 (人資版)'!W41,'工作表1'!$A$3:$B$78,2,FALSE)</f>
        <v>#REF!</v>
      </c>
      <c r="X41" s="57" t="str">
        <f>VLOOKUP('北段 (人資版)'!X41,'工作表1'!$A$3:$B$78,2,FALSE)</f>
        <v>#REF!</v>
      </c>
      <c r="Y41" s="57" t="str">
        <f>VLOOKUP('北段 (人資版)'!Y41,'工作表1'!$A$3:$B$78,2,FALSE)</f>
        <v>#REF!</v>
      </c>
      <c r="Z41" s="57" t="str">
        <f>VLOOKUP('北段 (人資版)'!Z41,'工作表1'!$A$3:$B$78,2,FALSE)</f>
        <v>#REF!</v>
      </c>
      <c r="AA41" s="57" t="str">
        <f>VLOOKUP('北段 (人資版)'!AA41,'工作表1'!$A$3:$B$78,2,FALSE)</f>
        <v>#REF!</v>
      </c>
      <c r="AB41" s="57" t="str">
        <f>VLOOKUP('北段 (人資版)'!AB41,'工作表1'!$A$3:$B$78,2,FALSE)</f>
        <v>#REF!</v>
      </c>
      <c r="AC41" s="57" t="str">
        <f>VLOOKUP('北段 (人資版)'!AC41,'工作表1'!$A$3:$B$78,2,FALSE)</f>
        <v>#REF!</v>
      </c>
      <c r="AD41" s="57" t="str">
        <f>VLOOKUP('北段 (人資版)'!AD41,'工作表1'!$A$3:$B$78,2,FALSE)</f>
        <v>#REF!</v>
      </c>
      <c r="AE41" s="57" t="str">
        <f>VLOOKUP('北段 (人資版)'!AE41,'工作表1'!$A$3:$B$78,2,FALSE)</f>
        <v>#REF!</v>
      </c>
      <c r="AF41" s="57" t="str">
        <f>VLOOKUP('北段 (人資版)'!AF41,'工作表1'!$A$3:$B$78,2,FALSE)</f>
        <v>#REF!</v>
      </c>
      <c r="AG41" s="57" t="str">
        <f>VLOOKUP('北段 (人資版)'!AG41,'工作表1'!$A$3:$B$78,2,FALSE)</f>
        <v>#REF!</v>
      </c>
      <c r="AH41" s="57" t="str">
        <f>VLOOKUP('北段 (人資版)'!AH41,'工作表1'!$A$3:$B$78,2,FALSE)</f>
        <v>#ERROR!</v>
      </c>
      <c r="AI41" s="57" t="str">
        <f>VLOOKUP('北段 (人資版)'!AI41,'工作表1'!$A$3:$B$78,2,FALSE)</f>
        <v>#ERROR!</v>
      </c>
      <c r="AJ41" s="57" t="str">
        <f>VLOOKUP('北段 (人資版)'!AJ41,'工作表1'!$A$3:$B$78,2,FALSE)</f>
        <v>#ERROR!</v>
      </c>
      <c r="AK41" s="57" t="str">
        <f>VLOOKUP('北段 (人資版)'!AK41,'工作表1'!$A$3:$B$78,2,FALSE)</f>
        <v>#ERROR!</v>
      </c>
      <c r="AL41" s="57" t="str">
        <f>VLOOKUP('北段 (人資版)'!AL41,'工作表1'!$A$3:$B$78,2,FALSE)</f>
        <v>#ERROR!</v>
      </c>
      <c r="AM41" s="57" t="str">
        <f>VLOOKUP('北段 (人資版)'!AM41,'工作表1'!$A$3:$B$78,2,FALSE)</f>
        <v>#ERROR!</v>
      </c>
      <c r="AN41" s="57" t="str">
        <f>VLOOKUP('北段 (人資版)'!AN41,'工作表1'!$A$3:$B$78,2,FALSE)</f>
        <v>#ERROR!</v>
      </c>
    </row>
    <row r="42" ht="39.75" customHeight="1">
      <c r="A42" s="59"/>
      <c r="B42" s="57" t="str">
        <f t="shared" si="3"/>
        <v>#REF!</v>
      </c>
      <c r="C42" s="57" t="str">
        <f>VLOOKUP(B42,'北段'!B:C,2,FALSE)</f>
        <v>#REF!</v>
      </c>
      <c r="D42" s="57" t="str">
        <f>VLOOKUP('北段 (人資版)'!D42,'工作表1'!$A$3:$B$78,2,FALSE)</f>
        <v>#REF!</v>
      </c>
      <c r="E42" s="57" t="str">
        <f>VLOOKUP('北段 (人資版)'!E42,'工作表1'!$A$3:$B$78,2,FALSE)</f>
        <v>#REF!</v>
      </c>
      <c r="F42" s="57" t="str">
        <f>VLOOKUP('北段 (人資版)'!F42,'工作表1'!$A$3:$B$78,2,FALSE)</f>
        <v>#REF!</v>
      </c>
      <c r="G42" s="57" t="str">
        <f>VLOOKUP('北段 (人資版)'!G42,'工作表1'!$A$3:$B$78,2,FALSE)</f>
        <v>#REF!</v>
      </c>
      <c r="H42" s="57" t="str">
        <f>VLOOKUP('北段 (人資版)'!H42,'工作表1'!$A$3:$B$78,2,FALSE)</f>
        <v>#REF!</v>
      </c>
      <c r="I42" s="57" t="str">
        <f>VLOOKUP('北段 (人資版)'!I42,'工作表1'!$A$3:$B$78,2,FALSE)</f>
        <v>#REF!</v>
      </c>
      <c r="J42" s="57" t="str">
        <f>VLOOKUP('北段 (人資版)'!J42,'工作表1'!$A$3:$B$78,2,FALSE)</f>
        <v>#REF!</v>
      </c>
      <c r="K42" s="57" t="str">
        <f>VLOOKUP('北段 (人資版)'!K42,'工作表1'!$A$3:$B$78,2,FALSE)</f>
        <v>#REF!</v>
      </c>
      <c r="L42" s="57" t="str">
        <f>VLOOKUP('北段 (人資版)'!L42,'工作表1'!$A$3:$B$78,2,FALSE)</f>
        <v>#REF!</v>
      </c>
      <c r="M42" s="57" t="str">
        <f>VLOOKUP('北段 (人資版)'!M42,'工作表1'!$A$3:$B$78,2,FALSE)</f>
        <v>#REF!</v>
      </c>
      <c r="N42" s="57" t="str">
        <f>VLOOKUP('北段 (人資版)'!N42,'工作表1'!$A$3:$B$78,2,FALSE)</f>
        <v>#REF!</v>
      </c>
      <c r="O42" s="57" t="str">
        <f>VLOOKUP('北段 (人資版)'!O42,'工作表1'!$A$3:$B$78,2,FALSE)</f>
        <v>#REF!</v>
      </c>
      <c r="P42" s="57" t="str">
        <f>VLOOKUP('北段 (人資版)'!P42,'工作表1'!$A$3:$B$78,2,FALSE)</f>
        <v>#REF!</v>
      </c>
      <c r="Q42" s="57" t="str">
        <f>VLOOKUP('北段 (人資版)'!Q42,'工作表1'!$A$3:$B$78,2,FALSE)</f>
        <v>#REF!</v>
      </c>
      <c r="R42" s="57" t="str">
        <f>VLOOKUP('北段 (人資版)'!R42,'工作表1'!$A$3:$B$78,2,FALSE)</f>
        <v>#REF!</v>
      </c>
      <c r="S42" s="57" t="str">
        <f>VLOOKUP('北段 (人資版)'!S42,'工作表1'!$A$3:$B$78,2,FALSE)</f>
        <v>#REF!</v>
      </c>
      <c r="T42" s="57" t="str">
        <f>VLOOKUP('北段 (人資版)'!T42,'工作表1'!$A$3:$B$78,2,FALSE)</f>
        <v>#REF!</v>
      </c>
      <c r="U42" s="57" t="str">
        <f>VLOOKUP('北段 (人資版)'!U42,'工作表1'!$A$3:$B$78,2,FALSE)</f>
        <v>#REF!</v>
      </c>
      <c r="V42" s="57" t="str">
        <f>VLOOKUP('北段 (人資版)'!V42,'工作表1'!$A$3:$B$78,2,FALSE)</f>
        <v>#REF!</v>
      </c>
      <c r="W42" s="57" t="str">
        <f>VLOOKUP('北段 (人資版)'!W42,'工作表1'!$A$3:$B$78,2,FALSE)</f>
        <v>#REF!</v>
      </c>
      <c r="X42" s="57" t="str">
        <f>VLOOKUP('北段 (人資版)'!X42,'工作表1'!$A$3:$B$78,2,FALSE)</f>
        <v>#REF!</v>
      </c>
      <c r="Y42" s="57" t="str">
        <f>VLOOKUP('北段 (人資版)'!Y42,'工作表1'!$A$3:$B$78,2,FALSE)</f>
        <v>#REF!</v>
      </c>
      <c r="Z42" s="57" t="str">
        <f>VLOOKUP('北段 (人資版)'!Z42,'工作表1'!$A$3:$B$78,2,FALSE)</f>
        <v>#REF!</v>
      </c>
      <c r="AA42" s="57" t="str">
        <f>VLOOKUP('北段 (人資版)'!AA42,'工作表1'!$A$3:$B$78,2,FALSE)</f>
        <v>#REF!</v>
      </c>
      <c r="AB42" s="57" t="str">
        <f>VLOOKUP('北段 (人資版)'!AB42,'工作表1'!$A$3:$B$78,2,FALSE)</f>
        <v>#REF!</v>
      </c>
      <c r="AC42" s="57" t="str">
        <f>VLOOKUP('北段 (人資版)'!AC42,'工作表1'!$A$3:$B$78,2,FALSE)</f>
        <v>#REF!</v>
      </c>
      <c r="AD42" s="57" t="str">
        <f>VLOOKUP('北段 (人資版)'!AD42,'工作表1'!$A$3:$B$78,2,FALSE)</f>
        <v>#REF!</v>
      </c>
      <c r="AE42" s="57" t="str">
        <f>VLOOKUP('北段 (人資版)'!AE42,'工作表1'!$A$3:$B$78,2,FALSE)</f>
        <v>#REF!</v>
      </c>
      <c r="AF42" s="57" t="str">
        <f>VLOOKUP('北段 (人資版)'!AF42,'工作表1'!$A$3:$B$78,2,FALSE)</f>
        <v>#REF!</v>
      </c>
      <c r="AG42" s="57" t="str">
        <f>VLOOKUP('北段 (人資版)'!AG42,'工作表1'!$A$3:$B$78,2,FALSE)</f>
        <v>#REF!</v>
      </c>
      <c r="AH42" s="57" t="str">
        <f>VLOOKUP('北段 (人資版)'!AH42,'工作表1'!$A$3:$B$78,2,FALSE)</f>
        <v>#ERROR!</v>
      </c>
      <c r="AI42" s="57" t="str">
        <f>VLOOKUP('北段 (人資版)'!AI42,'工作表1'!$A$3:$B$78,2,FALSE)</f>
        <v>#ERROR!</v>
      </c>
      <c r="AJ42" s="57" t="str">
        <f>VLOOKUP('北段 (人資版)'!AJ42,'工作表1'!$A$3:$B$78,2,FALSE)</f>
        <v>#ERROR!</v>
      </c>
      <c r="AK42" s="57" t="str">
        <f>VLOOKUP('北段 (人資版)'!AK42,'工作表1'!$A$3:$B$78,2,FALSE)</f>
        <v>#ERROR!</v>
      </c>
      <c r="AL42" s="57" t="str">
        <f>VLOOKUP('北段 (人資版)'!AL42,'工作表1'!$A$3:$B$78,2,FALSE)</f>
        <v>#ERROR!</v>
      </c>
      <c r="AM42" s="57" t="str">
        <f>VLOOKUP('北段 (人資版)'!AM42,'工作表1'!$A$3:$B$78,2,FALSE)</f>
        <v>#ERROR!</v>
      </c>
      <c r="AN42" s="57" t="str">
        <f>VLOOKUP('北段 (人資版)'!AN42,'工作表1'!$A$3:$B$78,2,FALSE)</f>
        <v>#ERROR!</v>
      </c>
    </row>
    <row r="43" ht="39.0" customHeight="1">
      <c r="A43" s="59"/>
      <c r="B43" s="57" t="str">
        <f t="shared" si="3"/>
        <v>#REF!</v>
      </c>
      <c r="C43" s="57" t="str">
        <f>VLOOKUP(B43,'北段'!B:C,2,FALSE)</f>
        <v>#REF!</v>
      </c>
      <c r="D43" s="57" t="str">
        <f>VLOOKUP('北段 (人資版)'!D43,'工作表1'!$A$3:$B$78,2,FALSE)</f>
        <v>#REF!</v>
      </c>
      <c r="E43" s="57" t="str">
        <f>VLOOKUP('北段 (人資版)'!E43,'工作表1'!$A$3:$B$78,2,FALSE)</f>
        <v>#REF!</v>
      </c>
      <c r="F43" s="57" t="str">
        <f>VLOOKUP('北段 (人資版)'!F43,'工作表1'!$A$3:$B$78,2,FALSE)</f>
        <v>#REF!</v>
      </c>
      <c r="G43" s="57" t="str">
        <f>VLOOKUP('北段 (人資版)'!G43,'工作表1'!$A$3:$B$78,2,FALSE)</f>
        <v>#REF!</v>
      </c>
      <c r="H43" s="57" t="str">
        <f>VLOOKUP('北段 (人資版)'!H43,'工作表1'!$A$3:$B$78,2,FALSE)</f>
        <v>#REF!</v>
      </c>
      <c r="I43" s="57" t="str">
        <f>VLOOKUP('北段 (人資版)'!I43,'工作表1'!$A$3:$B$78,2,FALSE)</f>
        <v>#REF!</v>
      </c>
      <c r="J43" s="57" t="str">
        <f>VLOOKUP('北段 (人資版)'!J43,'工作表1'!$A$3:$B$78,2,FALSE)</f>
        <v>#REF!</v>
      </c>
      <c r="K43" s="57" t="str">
        <f>VLOOKUP('北段 (人資版)'!K43,'工作表1'!$A$3:$B$78,2,FALSE)</f>
        <v>#REF!</v>
      </c>
      <c r="L43" s="57" t="str">
        <f>VLOOKUP('北段 (人資版)'!L43,'工作表1'!$A$3:$B$78,2,FALSE)</f>
        <v>#REF!</v>
      </c>
      <c r="M43" s="57" t="str">
        <f>VLOOKUP('北段 (人資版)'!M43,'工作表1'!$A$3:$B$78,2,FALSE)</f>
        <v>#REF!</v>
      </c>
      <c r="N43" s="57" t="str">
        <f>VLOOKUP('北段 (人資版)'!N43,'工作表1'!$A$3:$B$78,2,FALSE)</f>
        <v>#REF!</v>
      </c>
      <c r="O43" s="57" t="str">
        <f>VLOOKUP('北段 (人資版)'!O43,'工作表1'!$A$3:$B$78,2,FALSE)</f>
        <v>#REF!</v>
      </c>
      <c r="P43" s="57" t="str">
        <f>VLOOKUP('北段 (人資版)'!P43,'工作表1'!$A$3:$B$78,2,FALSE)</f>
        <v>#REF!</v>
      </c>
      <c r="Q43" s="57" t="str">
        <f>VLOOKUP('北段 (人資版)'!Q43,'工作表1'!$A$3:$B$78,2,FALSE)</f>
        <v>#REF!</v>
      </c>
      <c r="R43" s="57" t="str">
        <f>VLOOKUP('北段 (人資版)'!R43,'工作表1'!$A$3:$B$78,2,FALSE)</f>
        <v>#REF!</v>
      </c>
      <c r="S43" s="57" t="str">
        <f>VLOOKUP('北段 (人資版)'!S43,'工作表1'!$A$3:$B$78,2,FALSE)</f>
        <v>#REF!</v>
      </c>
      <c r="T43" s="57" t="str">
        <f>VLOOKUP('北段 (人資版)'!T43,'工作表1'!$A$3:$B$78,2,FALSE)</f>
        <v>#REF!</v>
      </c>
      <c r="U43" s="57" t="str">
        <f>VLOOKUP('北段 (人資版)'!U43,'工作表1'!$A$3:$B$78,2,FALSE)</f>
        <v>#REF!</v>
      </c>
      <c r="V43" s="57" t="str">
        <f>VLOOKUP('北段 (人資版)'!V43,'工作表1'!$A$3:$B$78,2,FALSE)</f>
        <v>#REF!</v>
      </c>
      <c r="W43" s="57" t="str">
        <f>VLOOKUP('北段 (人資版)'!W43,'工作表1'!$A$3:$B$78,2,FALSE)</f>
        <v>#REF!</v>
      </c>
      <c r="X43" s="57" t="str">
        <f>VLOOKUP('北段 (人資版)'!X43,'工作表1'!$A$3:$B$78,2,FALSE)</f>
        <v>#REF!</v>
      </c>
      <c r="Y43" s="57" t="str">
        <f>VLOOKUP('北段 (人資版)'!Y43,'工作表1'!$A$3:$B$78,2,FALSE)</f>
        <v>#REF!</v>
      </c>
      <c r="Z43" s="57" t="str">
        <f>VLOOKUP('北段 (人資版)'!Z43,'工作表1'!$A$3:$B$78,2,FALSE)</f>
        <v>#REF!</v>
      </c>
      <c r="AA43" s="57" t="str">
        <f>VLOOKUP('北段 (人資版)'!AA43,'工作表1'!$A$3:$B$78,2,FALSE)</f>
        <v>#REF!</v>
      </c>
      <c r="AB43" s="57" t="str">
        <f>VLOOKUP('北段 (人資版)'!AB43,'工作表1'!$A$3:$B$78,2,FALSE)</f>
        <v>#REF!</v>
      </c>
      <c r="AC43" s="57" t="str">
        <f>VLOOKUP('北段 (人資版)'!AC43,'工作表1'!$A$3:$B$78,2,FALSE)</f>
        <v>#REF!</v>
      </c>
      <c r="AD43" s="57" t="str">
        <f>VLOOKUP('北段 (人資版)'!AD43,'工作表1'!$A$3:$B$78,2,FALSE)</f>
        <v>#REF!</v>
      </c>
      <c r="AE43" s="57" t="str">
        <f>VLOOKUP('北段 (人資版)'!AE43,'工作表1'!$A$3:$B$78,2,FALSE)</f>
        <v>#REF!</v>
      </c>
      <c r="AF43" s="57" t="str">
        <f>VLOOKUP('北段 (人資版)'!AF43,'工作表1'!$A$3:$B$78,2,FALSE)</f>
        <v>#REF!</v>
      </c>
      <c r="AG43" s="57" t="str">
        <f>VLOOKUP('北段 (人資版)'!AG43,'工作表1'!$A$3:$B$78,2,FALSE)</f>
        <v>#REF!</v>
      </c>
      <c r="AH43" s="57" t="str">
        <f>VLOOKUP('北段 (人資版)'!AH43,'工作表1'!$A$3:$B$78,2,FALSE)</f>
        <v>#ERROR!</v>
      </c>
      <c r="AI43" s="57" t="str">
        <f>VLOOKUP('北段 (人資版)'!AI43,'工作表1'!$A$3:$B$78,2,FALSE)</f>
        <v>#ERROR!</v>
      </c>
      <c r="AJ43" s="57" t="str">
        <f>VLOOKUP('北段 (人資版)'!AJ43,'工作表1'!$A$3:$B$78,2,FALSE)</f>
        <v>#ERROR!</v>
      </c>
      <c r="AK43" s="57" t="str">
        <f>VLOOKUP('北段 (人資版)'!AK43,'工作表1'!$A$3:$B$78,2,FALSE)</f>
        <v>#ERROR!</v>
      </c>
      <c r="AL43" s="57" t="str">
        <f>VLOOKUP('北段 (人資版)'!AL43,'工作表1'!$A$3:$B$78,2,FALSE)</f>
        <v>#ERROR!</v>
      </c>
      <c r="AM43" s="57" t="str">
        <f>VLOOKUP('北段 (人資版)'!AM43,'工作表1'!$A$3:$B$78,2,FALSE)</f>
        <v>#ERROR!</v>
      </c>
      <c r="AN43" s="57" t="str">
        <f>VLOOKUP('北段 (人資版)'!AN43,'工作表1'!$A$3:$B$78,2,FALSE)</f>
        <v>#ERROR!</v>
      </c>
    </row>
    <row r="44" ht="39.0" customHeight="1">
      <c r="A44" s="59"/>
      <c r="B44" s="57" t="str">
        <f t="shared" si="3"/>
        <v>#REF!</v>
      </c>
      <c r="C44" s="57" t="str">
        <f>VLOOKUP(B44,'北段'!B:C,2,FALSE)</f>
        <v>#REF!</v>
      </c>
      <c r="D44" s="57" t="str">
        <f>VLOOKUP('北段 (人資版)'!D44,'工作表1'!$A$3:$B$78,2,FALSE)</f>
        <v>#REF!</v>
      </c>
      <c r="E44" s="57" t="str">
        <f>VLOOKUP('北段 (人資版)'!E44,'工作表1'!$A$3:$B$78,2,FALSE)</f>
        <v>#REF!</v>
      </c>
      <c r="F44" s="57" t="str">
        <f>VLOOKUP('北段 (人資版)'!F44,'工作表1'!$A$3:$B$78,2,FALSE)</f>
        <v>#REF!</v>
      </c>
      <c r="G44" s="57" t="str">
        <f>VLOOKUP('北段 (人資版)'!G44,'工作表1'!$A$3:$B$78,2,FALSE)</f>
        <v>#REF!</v>
      </c>
      <c r="H44" s="57" t="str">
        <f>VLOOKUP('北段 (人資版)'!H44,'工作表1'!$A$3:$B$78,2,FALSE)</f>
        <v>#REF!</v>
      </c>
      <c r="I44" s="57" t="str">
        <f>VLOOKUP('北段 (人資版)'!I44,'工作表1'!$A$3:$B$78,2,FALSE)</f>
        <v>#REF!</v>
      </c>
      <c r="J44" s="57" t="str">
        <f>VLOOKUP('北段 (人資版)'!J44,'工作表1'!$A$3:$B$78,2,FALSE)</f>
        <v>#REF!</v>
      </c>
      <c r="K44" s="57" t="str">
        <f>VLOOKUP('北段 (人資版)'!K44,'工作表1'!$A$3:$B$78,2,FALSE)</f>
        <v>#REF!</v>
      </c>
      <c r="L44" s="57" t="str">
        <f>VLOOKUP('北段 (人資版)'!L44,'工作表1'!$A$3:$B$78,2,FALSE)</f>
        <v>#REF!</v>
      </c>
      <c r="M44" s="57" t="str">
        <f>VLOOKUP('北段 (人資版)'!M44,'工作表1'!$A$3:$B$78,2,FALSE)</f>
        <v>#REF!</v>
      </c>
      <c r="N44" s="57" t="str">
        <f>VLOOKUP('北段 (人資版)'!N44,'工作表1'!$A$3:$B$78,2,FALSE)</f>
        <v>#REF!</v>
      </c>
      <c r="O44" s="57" t="str">
        <f>VLOOKUP('北段 (人資版)'!O44,'工作表1'!$A$3:$B$78,2,FALSE)</f>
        <v>#REF!</v>
      </c>
      <c r="P44" s="57" t="str">
        <f>VLOOKUP('北段 (人資版)'!P44,'工作表1'!$A$3:$B$78,2,FALSE)</f>
        <v>#REF!</v>
      </c>
      <c r="Q44" s="57" t="str">
        <f>VLOOKUP('北段 (人資版)'!Q44,'工作表1'!$A$3:$B$78,2,FALSE)</f>
        <v>#REF!</v>
      </c>
      <c r="R44" s="57" t="str">
        <f>VLOOKUP('北段 (人資版)'!R44,'工作表1'!$A$3:$B$78,2,FALSE)</f>
        <v>#REF!</v>
      </c>
      <c r="S44" s="57" t="str">
        <f>VLOOKUP('北段 (人資版)'!S44,'工作表1'!$A$3:$B$78,2,FALSE)</f>
        <v>#REF!</v>
      </c>
      <c r="T44" s="57" t="str">
        <f>VLOOKUP('北段 (人資版)'!T44,'工作表1'!$A$3:$B$78,2,FALSE)</f>
        <v>#REF!</v>
      </c>
      <c r="U44" s="57" t="str">
        <f>VLOOKUP('北段 (人資版)'!U44,'工作表1'!$A$3:$B$78,2,FALSE)</f>
        <v>#REF!</v>
      </c>
      <c r="V44" s="57" t="str">
        <f>VLOOKUP('北段 (人資版)'!V44,'工作表1'!$A$3:$B$78,2,FALSE)</f>
        <v>#REF!</v>
      </c>
      <c r="W44" s="57" t="str">
        <f>VLOOKUP('北段 (人資版)'!W44,'工作表1'!$A$3:$B$78,2,FALSE)</f>
        <v>#REF!</v>
      </c>
      <c r="X44" s="57" t="str">
        <f>VLOOKUP('北段 (人資版)'!X44,'工作表1'!$A$3:$B$78,2,FALSE)</f>
        <v>#REF!</v>
      </c>
      <c r="Y44" s="57" t="str">
        <f>VLOOKUP('北段 (人資版)'!Y44,'工作表1'!$A$3:$B$78,2,FALSE)</f>
        <v>#REF!</v>
      </c>
      <c r="Z44" s="57" t="str">
        <f>VLOOKUP('北段 (人資版)'!Z44,'工作表1'!$A$3:$B$78,2,FALSE)</f>
        <v>#REF!</v>
      </c>
      <c r="AA44" s="57" t="str">
        <f>VLOOKUP('北段 (人資版)'!AA44,'工作表1'!$A$3:$B$78,2,FALSE)</f>
        <v>#REF!</v>
      </c>
      <c r="AB44" s="57" t="str">
        <f>VLOOKUP('北段 (人資版)'!AB44,'工作表1'!$A$3:$B$78,2,FALSE)</f>
        <v>#REF!</v>
      </c>
      <c r="AC44" s="57" t="str">
        <f>VLOOKUP('北段 (人資版)'!AC44,'工作表1'!$A$3:$B$78,2,FALSE)</f>
        <v>#REF!</v>
      </c>
      <c r="AD44" s="57" t="str">
        <f>VLOOKUP('北段 (人資版)'!AD44,'工作表1'!$A$3:$B$78,2,FALSE)</f>
        <v>#REF!</v>
      </c>
      <c r="AE44" s="57" t="str">
        <f>VLOOKUP('北段 (人資版)'!AE44,'工作表1'!$A$3:$B$78,2,FALSE)</f>
        <v>#REF!</v>
      </c>
      <c r="AF44" s="57" t="str">
        <f>VLOOKUP('北段 (人資版)'!AF44,'工作表1'!$A$3:$B$78,2,FALSE)</f>
        <v>#REF!</v>
      </c>
      <c r="AG44" s="57" t="str">
        <f>VLOOKUP('北段 (人資版)'!AG44,'工作表1'!$A$3:$B$78,2,FALSE)</f>
        <v>#REF!</v>
      </c>
      <c r="AH44" s="57" t="str">
        <f>VLOOKUP('北段 (人資版)'!AH44,'工作表1'!$A$3:$B$78,2,FALSE)</f>
        <v>#ERROR!</v>
      </c>
      <c r="AI44" s="57" t="str">
        <f>VLOOKUP('北段 (人資版)'!AI44,'工作表1'!$A$3:$B$78,2,FALSE)</f>
        <v>#ERROR!</v>
      </c>
      <c r="AJ44" s="57" t="str">
        <f>VLOOKUP('北段 (人資版)'!AJ44,'工作表1'!$A$3:$B$78,2,FALSE)</f>
        <v>#ERROR!</v>
      </c>
      <c r="AK44" s="57" t="str">
        <f>VLOOKUP('北段 (人資版)'!AK44,'工作表1'!$A$3:$B$78,2,FALSE)</f>
        <v>#ERROR!</v>
      </c>
      <c r="AL44" s="57" t="str">
        <f>VLOOKUP('北段 (人資版)'!AL44,'工作表1'!$A$3:$B$78,2,FALSE)</f>
        <v>#ERROR!</v>
      </c>
      <c r="AM44" s="57" t="str">
        <f>VLOOKUP('北段 (人資版)'!AM44,'工作表1'!$A$3:$B$78,2,FALSE)</f>
        <v>#ERROR!</v>
      </c>
      <c r="AN44" s="57" t="str">
        <f>VLOOKUP('北段 (人資版)'!AN44,'工作表1'!$A$3:$B$78,2,FALSE)</f>
        <v>#ERROR!</v>
      </c>
    </row>
    <row r="45" ht="39.0" customHeight="1">
      <c r="A45" s="59"/>
      <c r="B45" s="57" t="str">
        <f t="shared" si="3"/>
        <v>#REF!</v>
      </c>
      <c r="C45" s="57" t="str">
        <f>VLOOKUP(B45,'北段'!B:C,2,FALSE)</f>
        <v>#REF!</v>
      </c>
      <c r="D45" s="57" t="str">
        <f>VLOOKUP('北段 (人資版)'!D45,'工作表1'!$A$3:$B$78,2,FALSE)</f>
        <v>#REF!</v>
      </c>
      <c r="E45" s="57" t="str">
        <f>VLOOKUP('北段 (人資版)'!E45,'工作表1'!$A$3:$B$78,2,FALSE)</f>
        <v>#REF!</v>
      </c>
      <c r="F45" s="57" t="str">
        <f>VLOOKUP('北段 (人資版)'!F45,'工作表1'!$A$3:$B$78,2,FALSE)</f>
        <v>#REF!</v>
      </c>
      <c r="G45" s="57" t="str">
        <f>VLOOKUP('北段 (人資版)'!G45,'工作表1'!$A$3:$B$78,2,FALSE)</f>
        <v>#REF!</v>
      </c>
      <c r="H45" s="57" t="str">
        <f>VLOOKUP('北段 (人資版)'!H45,'工作表1'!$A$3:$B$78,2,FALSE)</f>
        <v>#REF!</v>
      </c>
      <c r="I45" s="57" t="str">
        <f>VLOOKUP('北段 (人資版)'!I45,'工作表1'!$A$3:$B$78,2,FALSE)</f>
        <v>#REF!</v>
      </c>
      <c r="J45" s="57" t="str">
        <f>VLOOKUP('北段 (人資版)'!J45,'工作表1'!$A$3:$B$78,2,FALSE)</f>
        <v>#REF!</v>
      </c>
      <c r="K45" s="57" t="str">
        <f>VLOOKUP('北段 (人資版)'!K45,'工作表1'!$A$3:$B$78,2,FALSE)</f>
        <v>#REF!</v>
      </c>
      <c r="L45" s="57" t="str">
        <f>VLOOKUP('北段 (人資版)'!L45,'工作表1'!$A$3:$B$78,2,FALSE)</f>
        <v>#REF!</v>
      </c>
      <c r="M45" s="57" t="str">
        <f>VLOOKUP('北段 (人資版)'!M45,'工作表1'!$A$3:$B$78,2,FALSE)</f>
        <v>#REF!</v>
      </c>
      <c r="N45" s="57" t="str">
        <f>VLOOKUP('北段 (人資版)'!N45,'工作表1'!$A$3:$B$78,2,FALSE)</f>
        <v>#REF!</v>
      </c>
      <c r="O45" s="57" t="str">
        <f>VLOOKUP('北段 (人資版)'!O45,'工作表1'!$A$3:$B$78,2,FALSE)</f>
        <v>#REF!</v>
      </c>
      <c r="P45" s="57" t="str">
        <f>VLOOKUP('北段 (人資版)'!P45,'工作表1'!$A$3:$B$78,2,FALSE)</f>
        <v>#REF!</v>
      </c>
      <c r="Q45" s="57" t="str">
        <f>VLOOKUP('北段 (人資版)'!Q45,'工作表1'!$A$3:$B$78,2,FALSE)</f>
        <v>#REF!</v>
      </c>
      <c r="R45" s="57" t="str">
        <f>VLOOKUP('北段 (人資版)'!R45,'工作表1'!$A$3:$B$78,2,FALSE)</f>
        <v>#REF!</v>
      </c>
      <c r="S45" s="57" t="str">
        <f>VLOOKUP('北段 (人資版)'!S45,'工作表1'!$A$3:$B$78,2,FALSE)</f>
        <v>#REF!</v>
      </c>
      <c r="T45" s="57" t="str">
        <f>VLOOKUP('北段 (人資版)'!T45,'工作表1'!$A$3:$B$78,2,FALSE)</f>
        <v>#REF!</v>
      </c>
      <c r="U45" s="57" t="str">
        <f>VLOOKUP('北段 (人資版)'!U45,'工作表1'!$A$3:$B$78,2,FALSE)</f>
        <v>#REF!</v>
      </c>
      <c r="V45" s="57" t="str">
        <f>VLOOKUP('北段 (人資版)'!V45,'工作表1'!$A$3:$B$78,2,FALSE)</f>
        <v>#REF!</v>
      </c>
      <c r="W45" s="57" t="str">
        <f>VLOOKUP('北段 (人資版)'!W45,'工作表1'!$A$3:$B$78,2,FALSE)</f>
        <v>#REF!</v>
      </c>
      <c r="X45" s="57" t="str">
        <f>VLOOKUP('北段 (人資版)'!X45,'工作表1'!$A$3:$B$78,2,FALSE)</f>
        <v>#REF!</v>
      </c>
      <c r="Y45" s="57" t="str">
        <f>VLOOKUP('北段 (人資版)'!Y45,'工作表1'!$A$3:$B$78,2,FALSE)</f>
        <v>#REF!</v>
      </c>
      <c r="Z45" s="57" t="str">
        <f>VLOOKUP('北段 (人資版)'!Z45,'工作表1'!$A$3:$B$78,2,FALSE)</f>
        <v>#REF!</v>
      </c>
      <c r="AA45" s="57" t="str">
        <f>VLOOKUP('北段 (人資版)'!AA45,'工作表1'!$A$3:$B$78,2,FALSE)</f>
        <v>#REF!</v>
      </c>
      <c r="AB45" s="57" t="str">
        <f>VLOOKUP('北段 (人資版)'!AB45,'工作表1'!$A$3:$B$78,2,FALSE)</f>
        <v>#REF!</v>
      </c>
      <c r="AC45" s="57" t="str">
        <f>VLOOKUP('北段 (人資版)'!AC45,'工作表1'!$A$3:$B$78,2,FALSE)</f>
        <v>#REF!</v>
      </c>
      <c r="AD45" s="57" t="str">
        <f>VLOOKUP('北段 (人資版)'!AD45,'工作表1'!$A$3:$B$78,2,FALSE)</f>
        <v>#REF!</v>
      </c>
      <c r="AE45" s="57" t="str">
        <f>VLOOKUP('北段 (人資版)'!AE45,'工作表1'!$A$3:$B$78,2,FALSE)</f>
        <v>#REF!</v>
      </c>
      <c r="AF45" s="57" t="str">
        <f>VLOOKUP('北段 (人資版)'!AF45,'工作表1'!$A$3:$B$78,2,FALSE)</f>
        <v>#REF!</v>
      </c>
      <c r="AG45" s="57" t="str">
        <f>VLOOKUP('北段 (人資版)'!AG45,'工作表1'!$A$3:$B$78,2,FALSE)</f>
        <v>#REF!</v>
      </c>
      <c r="AH45" s="57" t="str">
        <f>VLOOKUP('北段 (人資版)'!AH45,'工作表1'!$A$3:$B$78,2,FALSE)</f>
        <v>#ERROR!</v>
      </c>
      <c r="AI45" s="57" t="str">
        <f>VLOOKUP('北段 (人資版)'!AI45,'工作表1'!$A$3:$B$78,2,FALSE)</f>
        <v>#ERROR!</v>
      </c>
      <c r="AJ45" s="57" t="str">
        <f>VLOOKUP('北段 (人資版)'!AJ45,'工作表1'!$A$3:$B$78,2,FALSE)</f>
        <v>#ERROR!</v>
      </c>
      <c r="AK45" s="57" t="str">
        <f>VLOOKUP('北段 (人資版)'!AK45,'工作表1'!$A$3:$B$78,2,FALSE)</f>
        <v>#ERROR!</v>
      </c>
      <c r="AL45" s="57" t="str">
        <f>VLOOKUP('北段 (人資版)'!AL45,'工作表1'!$A$3:$B$78,2,FALSE)</f>
        <v>#ERROR!</v>
      </c>
      <c r="AM45" s="57" t="str">
        <f>VLOOKUP('北段 (人資版)'!AM45,'工作表1'!$A$3:$B$78,2,FALSE)</f>
        <v>#ERROR!</v>
      </c>
      <c r="AN45" s="57" t="str">
        <f>VLOOKUP('北段 (人資版)'!AN45,'工作表1'!$A$3:$B$78,2,FALSE)</f>
        <v>#ERROR!</v>
      </c>
    </row>
    <row r="46" ht="39.75" customHeight="1">
      <c r="A46" s="59"/>
      <c r="B46" s="57" t="str">
        <f t="shared" si="3"/>
        <v>#REF!</v>
      </c>
      <c r="C46" s="57" t="str">
        <f>VLOOKUP(B46,'北段'!B:C,2,FALSE)</f>
        <v>#REF!</v>
      </c>
      <c r="D46" s="57" t="str">
        <f>VLOOKUP('北段 (人資版)'!D46,'工作表1'!$A$3:$B$78,2,FALSE)</f>
        <v>#REF!</v>
      </c>
      <c r="E46" s="57" t="str">
        <f>VLOOKUP('北段 (人資版)'!E46,'工作表1'!$A$3:$B$78,2,FALSE)</f>
        <v>#REF!</v>
      </c>
      <c r="F46" s="57" t="str">
        <f>VLOOKUP('北段 (人資版)'!F46,'工作表1'!$A$3:$B$78,2,FALSE)</f>
        <v>#REF!</v>
      </c>
      <c r="G46" s="57" t="str">
        <f>VLOOKUP('北段 (人資版)'!G46,'工作表1'!$A$3:$B$78,2,FALSE)</f>
        <v>#REF!</v>
      </c>
      <c r="H46" s="57" t="str">
        <f>VLOOKUP('北段 (人資版)'!H46,'工作表1'!$A$3:$B$78,2,FALSE)</f>
        <v>#REF!</v>
      </c>
      <c r="I46" s="57" t="str">
        <f>VLOOKUP('北段 (人資版)'!I46,'工作表1'!$A$3:$B$78,2,FALSE)</f>
        <v>#REF!</v>
      </c>
      <c r="J46" s="57" t="str">
        <f>VLOOKUP('北段 (人資版)'!J46,'工作表1'!$A$3:$B$78,2,FALSE)</f>
        <v>#REF!</v>
      </c>
      <c r="K46" s="57" t="str">
        <f>VLOOKUP('北段 (人資版)'!K46,'工作表1'!$A$3:$B$78,2,FALSE)</f>
        <v>#REF!</v>
      </c>
      <c r="L46" s="57" t="str">
        <f>VLOOKUP('北段 (人資版)'!L46,'工作表1'!$A$3:$B$78,2,FALSE)</f>
        <v>#REF!</v>
      </c>
      <c r="M46" s="57" t="str">
        <f>VLOOKUP('北段 (人資版)'!M46,'工作表1'!$A$3:$B$78,2,FALSE)</f>
        <v>#REF!</v>
      </c>
      <c r="N46" s="57" t="str">
        <f>VLOOKUP('北段 (人資版)'!N46,'工作表1'!$A$3:$B$78,2,FALSE)</f>
        <v>#REF!</v>
      </c>
      <c r="O46" s="57" t="str">
        <f>VLOOKUP('北段 (人資版)'!O46,'工作表1'!$A$3:$B$78,2,FALSE)</f>
        <v>#REF!</v>
      </c>
      <c r="P46" s="57" t="str">
        <f>VLOOKUP('北段 (人資版)'!P46,'工作表1'!$A$3:$B$78,2,FALSE)</f>
        <v>#REF!</v>
      </c>
      <c r="Q46" s="57" t="str">
        <f>VLOOKUP('北段 (人資版)'!Q46,'工作表1'!$A$3:$B$78,2,FALSE)</f>
        <v>#REF!</v>
      </c>
      <c r="R46" s="57" t="str">
        <f>VLOOKUP('北段 (人資版)'!R46,'工作表1'!$A$3:$B$78,2,FALSE)</f>
        <v>#REF!</v>
      </c>
      <c r="S46" s="57" t="str">
        <f>VLOOKUP('北段 (人資版)'!S46,'工作表1'!$A$3:$B$78,2,FALSE)</f>
        <v>#REF!</v>
      </c>
      <c r="T46" s="57" t="str">
        <f>VLOOKUP('北段 (人資版)'!T46,'工作表1'!$A$3:$B$78,2,FALSE)</f>
        <v>#REF!</v>
      </c>
      <c r="U46" s="57" t="str">
        <f>VLOOKUP('北段 (人資版)'!U46,'工作表1'!$A$3:$B$78,2,FALSE)</f>
        <v>#REF!</v>
      </c>
      <c r="V46" s="57" t="str">
        <f>VLOOKUP('北段 (人資版)'!V46,'工作表1'!$A$3:$B$78,2,FALSE)</f>
        <v>#REF!</v>
      </c>
      <c r="W46" s="57" t="str">
        <f>VLOOKUP('北段 (人資版)'!W46,'工作表1'!$A$3:$B$78,2,FALSE)</f>
        <v>#REF!</v>
      </c>
      <c r="X46" s="57" t="str">
        <f>VLOOKUP('北段 (人資版)'!X46,'工作表1'!$A$3:$B$78,2,FALSE)</f>
        <v>#REF!</v>
      </c>
      <c r="Y46" s="57" t="str">
        <f>VLOOKUP('北段 (人資版)'!Y46,'工作表1'!$A$3:$B$78,2,FALSE)</f>
        <v>#REF!</v>
      </c>
      <c r="Z46" s="57" t="str">
        <f>VLOOKUP('北段 (人資版)'!Z46,'工作表1'!$A$3:$B$78,2,FALSE)</f>
        <v>#REF!</v>
      </c>
      <c r="AA46" s="57" t="str">
        <f>VLOOKUP('北段 (人資版)'!AA46,'工作表1'!$A$3:$B$78,2,FALSE)</f>
        <v>#REF!</v>
      </c>
      <c r="AB46" s="57" t="str">
        <f>VLOOKUP('北段 (人資版)'!AB46,'工作表1'!$A$3:$B$78,2,FALSE)</f>
        <v>#REF!</v>
      </c>
      <c r="AC46" s="57" t="str">
        <f>VLOOKUP('北段 (人資版)'!AC46,'工作表1'!$A$3:$B$78,2,FALSE)</f>
        <v>#REF!</v>
      </c>
      <c r="AD46" s="57" t="str">
        <f>VLOOKUP('北段 (人資版)'!AD46,'工作表1'!$A$3:$B$78,2,FALSE)</f>
        <v>#REF!</v>
      </c>
      <c r="AE46" s="57" t="str">
        <f>VLOOKUP('北段 (人資版)'!AE46,'工作表1'!$A$3:$B$78,2,FALSE)</f>
        <v>#REF!</v>
      </c>
      <c r="AF46" s="57" t="str">
        <f>VLOOKUP('北段 (人資版)'!AF46,'工作表1'!$A$3:$B$78,2,FALSE)</f>
        <v>#REF!</v>
      </c>
      <c r="AG46" s="57" t="str">
        <f>VLOOKUP('北段 (人資版)'!AG46,'工作表1'!$A$3:$B$78,2,FALSE)</f>
        <v>#REF!</v>
      </c>
      <c r="AH46" s="57" t="str">
        <f>VLOOKUP('北段 (人資版)'!AH46,'工作表1'!$A$3:$B$78,2,FALSE)</f>
        <v>#ERROR!</v>
      </c>
      <c r="AI46" s="57" t="str">
        <f>VLOOKUP('北段 (人資版)'!AI46,'工作表1'!$A$3:$B$78,2,FALSE)</f>
        <v>#ERROR!</v>
      </c>
      <c r="AJ46" s="57" t="str">
        <f>VLOOKUP('北段 (人資版)'!AJ46,'工作表1'!$A$3:$B$78,2,FALSE)</f>
        <v>#ERROR!</v>
      </c>
      <c r="AK46" s="57" t="str">
        <f>VLOOKUP('北段 (人資版)'!AK46,'工作表1'!$A$3:$B$78,2,FALSE)</f>
        <v>#ERROR!</v>
      </c>
      <c r="AL46" s="57" t="str">
        <f>VLOOKUP('北段 (人資版)'!AL46,'工作表1'!$A$3:$B$78,2,FALSE)</f>
        <v>#ERROR!</v>
      </c>
      <c r="AM46" s="57" t="str">
        <f>VLOOKUP('北段 (人資版)'!AM46,'工作表1'!$A$3:$B$78,2,FALSE)</f>
        <v>#ERROR!</v>
      </c>
      <c r="AN46" s="57" t="str">
        <f>VLOOKUP('北段 (人資版)'!AN46,'工作表1'!$A$3:$B$78,2,FALSE)</f>
        <v>#ERROR!</v>
      </c>
    </row>
    <row r="47" ht="39.75" customHeight="1">
      <c r="A47" s="59"/>
      <c r="B47" s="57" t="str">
        <f t="shared" si="3"/>
        <v>#REF!</v>
      </c>
      <c r="C47" s="57" t="str">
        <f>VLOOKUP(B47,'北段'!B:C,2,FALSE)</f>
        <v>#REF!</v>
      </c>
      <c r="D47" s="57" t="str">
        <f>VLOOKUP('北段 (人資版)'!D47,'工作表1'!$A$3:$B$78,2,FALSE)</f>
        <v>#REF!</v>
      </c>
      <c r="E47" s="57" t="str">
        <f>VLOOKUP('北段 (人資版)'!E47,'工作表1'!$A$3:$B$78,2,FALSE)</f>
        <v>#REF!</v>
      </c>
      <c r="F47" s="57" t="str">
        <f>VLOOKUP('北段 (人資版)'!F47,'工作表1'!$A$3:$B$78,2,FALSE)</f>
        <v>#REF!</v>
      </c>
      <c r="G47" s="57" t="str">
        <f>VLOOKUP('北段 (人資版)'!G47,'工作表1'!$A$3:$B$78,2,FALSE)</f>
        <v>#REF!</v>
      </c>
      <c r="H47" s="57" t="str">
        <f>VLOOKUP('北段 (人資版)'!H47,'工作表1'!$A$3:$B$78,2,FALSE)</f>
        <v>#REF!</v>
      </c>
      <c r="I47" s="57" t="str">
        <f>VLOOKUP('北段 (人資版)'!I47,'工作表1'!$A$3:$B$78,2,FALSE)</f>
        <v>#REF!</v>
      </c>
      <c r="J47" s="57" t="str">
        <f>VLOOKUP('北段 (人資版)'!J47,'工作表1'!$A$3:$B$78,2,FALSE)</f>
        <v>#REF!</v>
      </c>
      <c r="K47" s="57" t="str">
        <f>VLOOKUP('北段 (人資版)'!K47,'工作表1'!$A$3:$B$78,2,FALSE)</f>
        <v>#REF!</v>
      </c>
      <c r="L47" s="57" t="str">
        <f>VLOOKUP('北段 (人資版)'!L47,'工作表1'!$A$3:$B$78,2,FALSE)</f>
        <v>#REF!</v>
      </c>
      <c r="M47" s="57" t="str">
        <f>VLOOKUP('北段 (人資版)'!M47,'工作表1'!$A$3:$B$78,2,FALSE)</f>
        <v>#REF!</v>
      </c>
      <c r="N47" s="57" t="str">
        <f>VLOOKUP('北段 (人資版)'!N47,'工作表1'!$A$3:$B$78,2,FALSE)</f>
        <v>#REF!</v>
      </c>
      <c r="O47" s="57" t="str">
        <f>VLOOKUP('北段 (人資版)'!O47,'工作表1'!$A$3:$B$78,2,FALSE)</f>
        <v>#REF!</v>
      </c>
      <c r="P47" s="57" t="str">
        <f>VLOOKUP('北段 (人資版)'!P47,'工作表1'!$A$3:$B$78,2,FALSE)</f>
        <v>#REF!</v>
      </c>
      <c r="Q47" s="57" t="str">
        <f>VLOOKUP('北段 (人資版)'!Q47,'工作表1'!$A$3:$B$78,2,FALSE)</f>
        <v>#REF!</v>
      </c>
      <c r="R47" s="57" t="str">
        <f>VLOOKUP('北段 (人資版)'!R47,'工作表1'!$A$3:$B$78,2,FALSE)</f>
        <v>#REF!</v>
      </c>
      <c r="S47" s="57" t="str">
        <f>VLOOKUP('北段 (人資版)'!S47,'工作表1'!$A$3:$B$78,2,FALSE)</f>
        <v>#REF!</v>
      </c>
      <c r="T47" s="57" t="str">
        <f>VLOOKUP('北段 (人資版)'!T47,'工作表1'!$A$3:$B$78,2,FALSE)</f>
        <v>#REF!</v>
      </c>
      <c r="U47" s="57" t="str">
        <f>VLOOKUP('北段 (人資版)'!U47,'工作表1'!$A$3:$B$78,2,FALSE)</f>
        <v>#REF!</v>
      </c>
      <c r="V47" s="57" t="str">
        <f>VLOOKUP('北段 (人資版)'!V47,'工作表1'!$A$3:$B$78,2,FALSE)</f>
        <v>#REF!</v>
      </c>
      <c r="W47" s="57" t="str">
        <f>VLOOKUP('北段 (人資版)'!W47,'工作表1'!$A$3:$B$78,2,FALSE)</f>
        <v>#REF!</v>
      </c>
      <c r="X47" s="57" t="str">
        <f>VLOOKUP('北段 (人資版)'!X47,'工作表1'!$A$3:$B$78,2,FALSE)</f>
        <v>#REF!</v>
      </c>
      <c r="Y47" s="57" t="str">
        <f>VLOOKUP('北段 (人資版)'!Y47,'工作表1'!$A$3:$B$78,2,FALSE)</f>
        <v>#REF!</v>
      </c>
      <c r="Z47" s="57" t="str">
        <f>VLOOKUP('北段 (人資版)'!Z47,'工作表1'!$A$3:$B$78,2,FALSE)</f>
        <v>#REF!</v>
      </c>
      <c r="AA47" s="57" t="str">
        <f>VLOOKUP('北段 (人資版)'!AA47,'工作表1'!$A$3:$B$78,2,FALSE)</f>
        <v>#REF!</v>
      </c>
      <c r="AB47" s="57" t="str">
        <f>VLOOKUP('北段 (人資版)'!AB47,'工作表1'!$A$3:$B$78,2,FALSE)</f>
        <v>#REF!</v>
      </c>
      <c r="AC47" s="57" t="str">
        <f>VLOOKUP('北段 (人資版)'!AC47,'工作表1'!$A$3:$B$78,2,FALSE)</f>
        <v>#REF!</v>
      </c>
      <c r="AD47" s="57" t="str">
        <f>VLOOKUP('北段 (人資版)'!AD47,'工作表1'!$A$3:$B$78,2,FALSE)</f>
        <v>#REF!</v>
      </c>
      <c r="AE47" s="57" t="str">
        <f>VLOOKUP('北段 (人資版)'!AE47,'工作表1'!$A$3:$B$78,2,FALSE)</f>
        <v>#REF!</v>
      </c>
      <c r="AF47" s="57" t="str">
        <f>VLOOKUP('北段 (人資版)'!AF47,'工作表1'!$A$3:$B$78,2,FALSE)</f>
        <v>#REF!</v>
      </c>
      <c r="AG47" s="57" t="str">
        <f>VLOOKUP('北段 (人資版)'!AG47,'工作表1'!$A$3:$B$78,2,FALSE)</f>
        <v>#REF!</v>
      </c>
      <c r="AH47" s="57" t="str">
        <f>VLOOKUP('北段 (人資版)'!AH47,'工作表1'!$A$3:$B$78,2,FALSE)</f>
        <v>#ERROR!</v>
      </c>
      <c r="AI47" s="57" t="str">
        <f>VLOOKUP('北段 (人資版)'!AI47,'工作表1'!$A$3:$B$78,2,FALSE)</f>
        <v>#ERROR!</v>
      </c>
      <c r="AJ47" s="57" t="str">
        <f>VLOOKUP('北段 (人資版)'!AJ47,'工作表1'!$A$3:$B$78,2,FALSE)</f>
        <v>#ERROR!</v>
      </c>
      <c r="AK47" s="57" t="str">
        <f>VLOOKUP('北段 (人資版)'!AK47,'工作表1'!$A$3:$B$78,2,FALSE)</f>
        <v>#ERROR!</v>
      </c>
      <c r="AL47" s="57" t="str">
        <f>VLOOKUP('北段 (人資版)'!AL47,'工作表1'!$A$3:$B$78,2,FALSE)</f>
        <v>#ERROR!</v>
      </c>
      <c r="AM47" s="57" t="str">
        <f>VLOOKUP('北段 (人資版)'!AM47,'工作表1'!$A$3:$B$78,2,FALSE)</f>
        <v>#ERROR!</v>
      </c>
      <c r="AN47" s="57" t="str">
        <f>VLOOKUP('北段 (人資版)'!AN47,'工作表1'!$A$3:$B$78,2,FALSE)</f>
        <v>#ERROR!</v>
      </c>
    </row>
    <row r="48" ht="39.0" customHeight="1">
      <c r="A48" s="59"/>
      <c r="B48" s="57" t="str">
        <f t="shared" si="3"/>
        <v>#REF!</v>
      </c>
      <c r="C48" s="57" t="str">
        <f>VLOOKUP(B48,'北段'!B:C,2,FALSE)</f>
        <v>#REF!</v>
      </c>
      <c r="D48" s="57" t="str">
        <f>VLOOKUP('北段 (人資版)'!D48,'工作表1'!$A$3:$B$78,2,FALSE)</f>
        <v>#REF!</v>
      </c>
      <c r="E48" s="57" t="str">
        <f>VLOOKUP('北段 (人資版)'!E48,'工作表1'!$A$3:$B$78,2,FALSE)</f>
        <v>#REF!</v>
      </c>
      <c r="F48" s="57" t="str">
        <f>VLOOKUP('北段 (人資版)'!F48,'工作表1'!$A$3:$B$78,2,FALSE)</f>
        <v>#REF!</v>
      </c>
      <c r="G48" s="57" t="str">
        <f>VLOOKUP('北段 (人資版)'!G48,'工作表1'!$A$3:$B$78,2,FALSE)</f>
        <v>#REF!</v>
      </c>
      <c r="H48" s="57" t="str">
        <f>VLOOKUP('北段 (人資版)'!H48,'工作表1'!$A$3:$B$78,2,FALSE)</f>
        <v>#REF!</v>
      </c>
      <c r="I48" s="57" t="str">
        <f>VLOOKUP('北段 (人資版)'!I48,'工作表1'!$A$3:$B$78,2,FALSE)</f>
        <v>#REF!</v>
      </c>
      <c r="J48" s="57" t="str">
        <f>VLOOKUP('北段 (人資版)'!J48,'工作表1'!$A$3:$B$78,2,FALSE)</f>
        <v>#REF!</v>
      </c>
      <c r="K48" s="57" t="str">
        <f>VLOOKUP('北段 (人資版)'!K48,'工作表1'!$A$3:$B$78,2,FALSE)</f>
        <v>#REF!</v>
      </c>
      <c r="L48" s="57" t="str">
        <f>VLOOKUP('北段 (人資版)'!L48,'工作表1'!$A$3:$B$78,2,FALSE)</f>
        <v>#REF!</v>
      </c>
      <c r="M48" s="57" t="str">
        <f>VLOOKUP('北段 (人資版)'!M48,'工作表1'!$A$3:$B$78,2,FALSE)</f>
        <v>#REF!</v>
      </c>
      <c r="N48" s="57" t="str">
        <f>VLOOKUP('北段 (人資版)'!N48,'工作表1'!$A$3:$B$78,2,FALSE)</f>
        <v>#REF!</v>
      </c>
      <c r="O48" s="57" t="str">
        <f>VLOOKUP('北段 (人資版)'!O48,'工作表1'!$A$3:$B$78,2,FALSE)</f>
        <v>#REF!</v>
      </c>
      <c r="P48" s="57" t="str">
        <f>VLOOKUP('北段 (人資版)'!P48,'工作表1'!$A$3:$B$78,2,FALSE)</f>
        <v>#REF!</v>
      </c>
      <c r="Q48" s="57" t="str">
        <f>VLOOKUP('北段 (人資版)'!Q48,'工作表1'!$A$3:$B$78,2,FALSE)</f>
        <v>#REF!</v>
      </c>
      <c r="R48" s="57" t="str">
        <f>VLOOKUP('北段 (人資版)'!R48,'工作表1'!$A$3:$B$78,2,FALSE)</f>
        <v>#REF!</v>
      </c>
      <c r="S48" s="57" t="str">
        <f>VLOOKUP('北段 (人資版)'!S48,'工作表1'!$A$3:$B$78,2,FALSE)</f>
        <v>#REF!</v>
      </c>
      <c r="T48" s="57" t="str">
        <f>VLOOKUP('北段 (人資版)'!T48,'工作表1'!$A$3:$B$78,2,FALSE)</f>
        <v>#REF!</v>
      </c>
      <c r="U48" s="57" t="str">
        <f>VLOOKUP('北段 (人資版)'!U48,'工作表1'!$A$3:$B$78,2,FALSE)</f>
        <v>#REF!</v>
      </c>
      <c r="V48" s="57" t="str">
        <f>VLOOKUP('北段 (人資版)'!V48,'工作表1'!$A$3:$B$78,2,FALSE)</f>
        <v>#REF!</v>
      </c>
      <c r="W48" s="57" t="str">
        <f>VLOOKUP('北段 (人資版)'!W48,'工作表1'!$A$3:$B$78,2,FALSE)</f>
        <v>#REF!</v>
      </c>
      <c r="X48" s="57" t="str">
        <f>VLOOKUP('北段 (人資版)'!X48,'工作表1'!$A$3:$B$78,2,FALSE)</f>
        <v>#REF!</v>
      </c>
      <c r="Y48" s="57" t="str">
        <f>VLOOKUP('北段 (人資版)'!Y48,'工作表1'!$A$3:$B$78,2,FALSE)</f>
        <v>#REF!</v>
      </c>
      <c r="Z48" s="57" t="str">
        <f>VLOOKUP('北段 (人資版)'!Z48,'工作表1'!$A$3:$B$78,2,FALSE)</f>
        <v>#REF!</v>
      </c>
      <c r="AA48" s="57" t="str">
        <f>VLOOKUP('北段 (人資版)'!AA48,'工作表1'!$A$3:$B$78,2,FALSE)</f>
        <v>#REF!</v>
      </c>
      <c r="AB48" s="57" t="str">
        <f>VLOOKUP('北段 (人資版)'!AB48,'工作表1'!$A$3:$B$78,2,FALSE)</f>
        <v>#REF!</v>
      </c>
      <c r="AC48" s="57" t="str">
        <f>VLOOKUP('北段 (人資版)'!AC48,'工作表1'!$A$3:$B$78,2,FALSE)</f>
        <v>#REF!</v>
      </c>
      <c r="AD48" s="57" t="str">
        <f>VLOOKUP('北段 (人資版)'!AD48,'工作表1'!$A$3:$B$78,2,FALSE)</f>
        <v>#REF!</v>
      </c>
      <c r="AE48" s="57" t="str">
        <f>VLOOKUP('北段 (人資版)'!AE48,'工作表1'!$A$3:$B$78,2,FALSE)</f>
        <v>#REF!</v>
      </c>
      <c r="AF48" s="57" t="str">
        <f>VLOOKUP('北段 (人資版)'!AF48,'工作表1'!$A$3:$B$78,2,FALSE)</f>
        <v>#REF!</v>
      </c>
      <c r="AG48" s="57" t="str">
        <f>VLOOKUP('北段 (人資版)'!AG48,'工作表1'!$A$3:$B$78,2,FALSE)</f>
        <v>#REF!</v>
      </c>
      <c r="AH48" s="57" t="str">
        <f>VLOOKUP('北段 (人資版)'!AH48,'工作表1'!$A$3:$B$78,2,FALSE)</f>
        <v>#ERROR!</v>
      </c>
      <c r="AI48" s="57" t="str">
        <f>VLOOKUP('北段 (人資版)'!AI48,'工作表1'!$A$3:$B$78,2,FALSE)</f>
        <v>#ERROR!</v>
      </c>
      <c r="AJ48" s="57" t="str">
        <f>VLOOKUP('北段 (人資版)'!AJ48,'工作表1'!$A$3:$B$78,2,FALSE)</f>
        <v>#ERROR!</v>
      </c>
      <c r="AK48" s="57" t="str">
        <f>VLOOKUP('北段 (人資版)'!AK48,'工作表1'!$A$3:$B$78,2,FALSE)</f>
        <v>#ERROR!</v>
      </c>
      <c r="AL48" s="57" t="str">
        <f>VLOOKUP('北段 (人資版)'!AL48,'工作表1'!$A$3:$B$78,2,FALSE)</f>
        <v>#ERROR!</v>
      </c>
      <c r="AM48" s="57" t="str">
        <f>VLOOKUP('北段 (人資版)'!AM48,'工作表1'!$A$3:$B$78,2,FALSE)</f>
        <v>#ERROR!</v>
      </c>
      <c r="AN48" s="57" t="str">
        <f>VLOOKUP('北段 (人資版)'!AN48,'工作表1'!$A$3:$B$78,2,FALSE)</f>
        <v>#ERROR!</v>
      </c>
    </row>
    <row r="49" ht="39.0" customHeight="1">
      <c r="A49" s="59"/>
      <c r="B49" s="57" t="str">
        <f t="shared" si="3"/>
        <v>#REF!</v>
      </c>
      <c r="C49" s="57" t="str">
        <f>VLOOKUP(B49,'北段'!B:C,2,FALSE)</f>
        <v>#REF!</v>
      </c>
      <c r="D49" s="57" t="str">
        <f>VLOOKUP('北段 (人資版)'!D49,'工作表1'!$A$3:$B$78,2,FALSE)</f>
        <v>#REF!</v>
      </c>
      <c r="E49" s="57" t="str">
        <f>VLOOKUP('北段 (人資版)'!E49,'工作表1'!$A$3:$B$78,2,FALSE)</f>
        <v>#REF!</v>
      </c>
      <c r="F49" s="57" t="str">
        <f>VLOOKUP('北段 (人資版)'!F49,'工作表1'!$A$3:$B$78,2,FALSE)</f>
        <v>#REF!</v>
      </c>
      <c r="G49" s="57" t="str">
        <f>VLOOKUP('北段 (人資版)'!G49,'工作表1'!$A$3:$B$78,2,FALSE)</f>
        <v>#REF!</v>
      </c>
      <c r="H49" s="57" t="str">
        <f>VLOOKUP('北段 (人資版)'!H49,'工作表1'!$A$3:$B$78,2,FALSE)</f>
        <v>#REF!</v>
      </c>
      <c r="I49" s="57" t="str">
        <f>VLOOKUP('北段 (人資版)'!I49,'工作表1'!$A$3:$B$78,2,FALSE)</f>
        <v>#REF!</v>
      </c>
      <c r="J49" s="57" t="str">
        <f>VLOOKUP('北段 (人資版)'!J49,'工作表1'!$A$3:$B$78,2,FALSE)</f>
        <v>#REF!</v>
      </c>
      <c r="K49" s="57" t="str">
        <f>VLOOKUP('北段 (人資版)'!K49,'工作表1'!$A$3:$B$78,2,FALSE)</f>
        <v>#REF!</v>
      </c>
      <c r="L49" s="57" t="str">
        <f>VLOOKUP('北段 (人資版)'!L49,'工作表1'!$A$3:$B$78,2,FALSE)</f>
        <v>#REF!</v>
      </c>
      <c r="M49" s="57" t="str">
        <f>VLOOKUP('北段 (人資版)'!M49,'工作表1'!$A$3:$B$78,2,FALSE)</f>
        <v>#REF!</v>
      </c>
      <c r="N49" s="57" t="str">
        <f>VLOOKUP('北段 (人資版)'!N49,'工作表1'!$A$3:$B$78,2,FALSE)</f>
        <v>#REF!</v>
      </c>
      <c r="O49" s="57" t="str">
        <f>VLOOKUP('北段 (人資版)'!O49,'工作表1'!$A$3:$B$78,2,FALSE)</f>
        <v>#REF!</v>
      </c>
      <c r="P49" s="57" t="str">
        <f>VLOOKUP('北段 (人資版)'!P49,'工作表1'!$A$3:$B$78,2,FALSE)</f>
        <v>#REF!</v>
      </c>
      <c r="Q49" s="57" t="str">
        <f>VLOOKUP('北段 (人資版)'!Q49,'工作表1'!$A$3:$B$78,2,FALSE)</f>
        <v>#REF!</v>
      </c>
      <c r="R49" s="57" t="str">
        <f>VLOOKUP('北段 (人資版)'!R49,'工作表1'!$A$3:$B$78,2,FALSE)</f>
        <v>#REF!</v>
      </c>
      <c r="S49" s="57" t="str">
        <f>VLOOKUP('北段 (人資版)'!S49,'工作表1'!$A$3:$B$78,2,FALSE)</f>
        <v>#REF!</v>
      </c>
      <c r="T49" s="57" t="str">
        <f>VLOOKUP('北段 (人資版)'!T49,'工作表1'!$A$3:$B$78,2,FALSE)</f>
        <v>#REF!</v>
      </c>
      <c r="U49" s="57" t="str">
        <f>VLOOKUP('北段 (人資版)'!U49,'工作表1'!$A$3:$B$78,2,FALSE)</f>
        <v>#REF!</v>
      </c>
      <c r="V49" s="57" t="str">
        <f>VLOOKUP('北段 (人資版)'!V49,'工作表1'!$A$3:$B$78,2,FALSE)</f>
        <v>#REF!</v>
      </c>
      <c r="W49" s="57" t="str">
        <f>VLOOKUP('北段 (人資版)'!W49,'工作表1'!$A$3:$B$78,2,FALSE)</f>
        <v>#REF!</v>
      </c>
      <c r="X49" s="57" t="str">
        <f>VLOOKUP('北段 (人資版)'!X49,'工作表1'!$A$3:$B$78,2,FALSE)</f>
        <v>#REF!</v>
      </c>
      <c r="Y49" s="57" t="str">
        <f>VLOOKUP('北段 (人資版)'!Y49,'工作表1'!$A$3:$B$78,2,FALSE)</f>
        <v>#REF!</v>
      </c>
      <c r="Z49" s="57" t="str">
        <f>VLOOKUP('北段 (人資版)'!Z49,'工作表1'!$A$3:$B$78,2,FALSE)</f>
        <v>#REF!</v>
      </c>
      <c r="AA49" s="57" t="str">
        <f>VLOOKUP('北段 (人資版)'!AA49,'工作表1'!$A$3:$B$78,2,FALSE)</f>
        <v>#REF!</v>
      </c>
      <c r="AB49" s="57" t="str">
        <f>VLOOKUP('北段 (人資版)'!AB49,'工作表1'!$A$3:$B$78,2,FALSE)</f>
        <v>#REF!</v>
      </c>
      <c r="AC49" s="57" t="str">
        <f>VLOOKUP('北段 (人資版)'!AC49,'工作表1'!$A$3:$B$78,2,FALSE)</f>
        <v>#REF!</v>
      </c>
      <c r="AD49" s="57" t="str">
        <f>VLOOKUP('北段 (人資版)'!AD49,'工作表1'!$A$3:$B$78,2,FALSE)</f>
        <v>#REF!</v>
      </c>
      <c r="AE49" s="57" t="str">
        <f>VLOOKUP('北段 (人資版)'!AE49,'工作表1'!$A$3:$B$78,2,FALSE)</f>
        <v>#REF!</v>
      </c>
      <c r="AF49" s="57" t="str">
        <f>VLOOKUP('北段 (人資版)'!AF49,'工作表1'!$A$3:$B$78,2,FALSE)</f>
        <v>#REF!</v>
      </c>
      <c r="AG49" s="57" t="str">
        <f>VLOOKUP('北段 (人資版)'!AG49,'工作表1'!$A$3:$B$78,2,FALSE)</f>
        <v>#REF!</v>
      </c>
      <c r="AH49" s="57" t="str">
        <f>VLOOKUP('北段 (人資版)'!AH49,'工作表1'!$A$3:$B$78,2,FALSE)</f>
        <v>#ERROR!</v>
      </c>
      <c r="AI49" s="57" t="str">
        <f>VLOOKUP('北段 (人資版)'!AI49,'工作表1'!$A$3:$B$78,2,FALSE)</f>
        <v>#ERROR!</v>
      </c>
      <c r="AJ49" s="57" t="str">
        <f>VLOOKUP('北段 (人資版)'!AJ49,'工作表1'!$A$3:$B$78,2,FALSE)</f>
        <v>#ERROR!</v>
      </c>
      <c r="AK49" s="57" t="str">
        <f>VLOOKUP('北段 (人資版)'!AK49,'工作表1'!$A$3:$B$78,2,FALSE)</f>
        <v>#ERROR!</v>
      </c>
      <c r="AL49" s="57" t="str">
        <f>VLOOKUP('北段 (人資版)'!AL49,'工作表1'!$A$3:$B$78,2,FALSE)</f>
        <v>#ERROR!</v>
      </c>
      <c r="AM49" s="57" t="str">
        <f>VLOOKUP('北段 (人資版)'!AM49,'工作表1'!$A$3:$B$78,2,FALSE)</f>
        <v>#ERROR!</v>
      </c>
      <c r="AN49" s="57" t="str">
        <f>VLOOKUP('北段 (人資版)'!AN49,'工作表1'!$A$3:$B$78,2,FALSE)</f>
        <v>#ERROR!</v>
      </c>
    </row>
    <row r="50" ht="39.75" customHeight="1">
      <c r="A50" s="43" t="s">
        <v>141</v>
      </c>
      <c r="B50" s="57" t="str">
        <f t="shared" si="3"/>
        <v>#REF!</v>
      </c>
      <c r="C50" s="57" t="str">
        <f>VLOOKUP(B50,'北段'!B:C,2,FALSE)</f>
        <v>#REF!</v>
      </c>
      <c r="D50" s="57" t="str">
        <f>VLOOKUP('北段 (人資版)'!D50,'工作表1'!$A$3:$B$78,2,FALSE)</f>
        <v>#REF!</v>
      </c>
      <c r="E50" s="57" t="str">
        <f>VLOOKUP('北段 (人資版)'!E50,'工作表1'!$A$3:$B$78,2,FALSE)</f>
        <v>#REF!</v>
      </c>
      <c r="F50" s="57" t="str">
        <f>VLOOKUP('北段 (人資版)'!F50,'工作表1'!$A$3:$B$78,2,FALSE)</f>
        <v>#REF!</v>
      </c>
      <c r="G50" s="57" t="str">
        <f>VLOOKUP('北段 (人資版)'!G50,'工作表1'!$A$3:$B$78,2,FALSE)</f>
        <v>#REF!</v>
      </c>
      <c r="H50" s="57" t="str">
        <f>VLOOKUP('北段 (人資版)'!H50,'工作表1'!$A$3:$B$78,2,FALSE)</f>
        <v>#REF!</v>
      </c>
      <c r="I50" s="57" t="str">
        <f>VLOOKUP('北段 (人資版)'!I50,'工作表1'!$A$3:$B$78,2,FALSE)</f>
        <v>#REF!</v>
      </c>
      <c r="J50" s="57" t="str">
        <f>VLOOKUP('北段 (人資版)'!J50,'工作表1'!$A$3:$B$78,2,FALSE)</f>
        <v>#REF!</v>
      </c>
      <c r="K50" s="57" t="str">
        <f>VLOOKUP('北段 (人資版)'!K50,'工作表1'!$A$3:$B$78,2,FALSE)</f>
        <v>#REF!</v>
      </c>
      <c r="L50" s="57" t="str">
        <f>VLOOKUP('北段 (人資版)'!L50,'工作表1'!$A$3:$B$78,2,FALSE)</f>
        <v>#REF!</v>
      </c>
      <c r="M50" s="57" t="str">
        <f>VLOOKUP('北段 (人資版)'!M50,'工作表1'!$A$3:$B$78,2,FALSE)</f>
        <v>#REF!</v>
      </c>
      <c r="N50" s="57" t="str">
        <f>VLOOKUP('北段 (人資版)'!N50,'工作表1'!$A$3:$B$78,2,FALSE)</f>
        <v>#REF!</v>
      </c>
      <c r="O50" s="57" t="str">
        <f>VLOOKUP('北段 (人資版)'!O50,'工作表1'!$A$3:$B$78,2,FALSE)</f>
        <v>#REF!</v>
      </c>
      <c r="P50" s="57" t="str">
        <f>VLOOKUP('北段 (人資版)'!P50,'工作表1'!$A$3:$B$78,2,FALSE)</f>
        <v>#REF!</v>
      </c>
      <c r="Q50" s="57" t="str">
        <f>VLOOKUP('北段 (人資版)'!Q50,'工作表1'!$A$3:$B$78,2,FALSE)</f>
        <v>#REF!</v>
      </c>
      <c r="R50" s="57" t="str">
        <f>VLOOKUP('北段 (人資版)'!R50,'工作表1'!$A$3:$B$78,2,FALSE)</f>
        <v>#REF!</v>
      </c>
      <c r="S50" s="57" t="str">
        <f>VLOOKUP('北段 (人資版)'!S50,'工作表1'!$A$3:$B$78,2,FALSE)</f>
        <v>#REF!</v>
      </c>
      <c r="T50" s="57" t="str">
        <f>VLOOKUP('北段 (人資版)'!T50,'工作表1'!$A$3:$B$78,2,FALSE)</f>
        <v>#REF!</v>
      </c>
      <c r="U50" s="57" t="str">
        <f>VLOOKUP('北段 (人資版)'!U50,'工作表1'!$A$3:$B$78,2,FALSE)</f>
        <v>#REF!</v>
      </c>
      <c r="V50" s="57" t="str">
        <f>VLOOKUP('北段 (人資版)'!V50,'工作表1'!$A$3:$B$78,2,FALSE)</f>
        <v>#REF!</v>
      </c>
      <c r="W50" s="57" t="str">
        <f>VLOOKUP('北段 (人資版)'!W50,'工作表1'!$A$3:$B$78,2,FALSE)</f>
        <v>#REF!</v>
      </c>
      <c r="X50" s="57" t="str">
        <f>VLOOKUP('北段 (人資版)'!X50,'工作表1'!$A$3:$B$78,2,FALSE)</f>
        <v>#REF!</v>
      </c>
      <c r="Y50" s="57" t="str">
        <f>VLOOKUP('北段 (人資版)'!Y50,'工作表1'!$A$3:$B$78,2,FALSE)</f>
        <v>#REF!</v>
      </c>
      <c r="Z50" s="57" t="str">
        <f>VLOOKUP('北段 (人資版)'!Z50,'工作表1'!$A$3:$B$78,2,FALSE)</f>
        <v>#REF!</v>
      </c>
      <c r="AA50" s="57" t="str">
        <f>VLOOKUP('北段 (人資版)'!AA50,'工作表1'!$A$3:$B$78,2,FALSE)</f>
        <v>#REF!</v>
      </c>
      <c r="AB50" s="57" t="str">
        <f>VLOOKUP('北段 (人資版)'!AB50,'工作表1'!$A$3:$B$78,2,FALSE)</f>
        <v>#REF!</v>
      </c>
      <c r="AC50" s="57" t="str">
        <f>VLOOKUP('北段 (人資版)'!AC50,'工作表1'!$A$3:$B$78,2,FALSE)</f>
        <v>#REF!</v>
      </c>
      <c r="AD50" s="57" t="str">
        <f>VLOOKUP('北段 (人資版)'!AD50,'工作表1'!$A$3:$B$78,2,FALSE)</f>
        <v>#REF!</v>
      </c>
      <c r="AE50" s="57" t="str">
        <f>VLOOKUP('北段 (人資版)'!AE50,'工作表1'!$A$3:$B$78,2,FALSE)</f>
        <v>#REF!</v>
      </c>
      <c r="AF50" s="57" t="str">
        <f>VLOOKUP('北段 (人資版)'!AF50,'工作表1'!$A$3:$B$78,2,FALSE)</f>
        <v>#REF!</v>
      </c>
      <c r="AG50" s="57" t="str">
        <f>VLOOKUP('北段 (人資版)'!AG50,'工作表1'!$A$3:$B$78,2,FALSE)</f>
        <v>#REF!</v>
      </c>
      <c r="AH50" s="57" t="str">
        <f>VLOOKUP('北段 (人資版)'!AH50,'工作表1'!$A$3:$B$78,2,FALSE)</f>
        <v>#ERROR!</v>
      </c>
      <c r="AI50" s="57" t="str">
        <f>VLOOKUP('北段 (人資版)'!AI50,'工作表1'!$A$3:$B$78,2,FALSE)</f>
        <v>#ERROR!</v>
      </c>
      <c r="AJ50" s="57" t="str">
        <f>VLOOKUP('北段 (人資版)'!AJ50,'工作表1'!$A$3:$B$78,2,FALSE)</f>
        <v>#ERROR!</v>
      </c>
      <c r="AK50" s="57" t="str">
        <f>VLOOKUP('北段 (人資版)'!AK50,'工作表1'!$A$3:$B$78,2,FALSE)</f>
        <v>#ERROR!</v>
      </c>
      <c r="AL50" s="57" t="str">
        <f>VLOOKUP('北段 (人資版)'!AL50,'工作表1'!$A$3:$B$78,2,FALSE)</f>
        <v>#ERROR!</v>
      </c>
      <c r="AM50" s="57" t="str">
        <f>VLOOKUP('北段 (人資版)'!AM50,'工作表1'!$A$3:$B$78,2,FALSE)</f>
        <v>#ERROR!</v>
      </c>
      <c r="AN50" s="57" t="str">
        <f>VLOOKUP('北段 (人資版)'!AN50,'工作表1'!$A$3:$B$78,2,FALSE)</f>
        <v>#ERROR!</v>
      </c>
    </row>
    <row r="51" ht="39.75" customHeight="1">
      <c r="A51" s="59"/>
      <c r="B51" s="57" t="str">
        <f t="shared" si="3"/>
        <v>#REF!</v>
      </c>
      <c r="C51" s="57" t="str">
        <f>VLOOKUP(B51,'北段'!B:C,2,FALSE)</f>
        <v>#REF!</v>
      </c>
      <c r="D51" s="57" t="str">
        <f>VLOOKUP('北段 (人資版)'!D51,'工作表1'!$A$3:$B$78,2,FALSE)</f>
        <v>#REF!</v>
      </c>
      <c r="E51" s="57" t="str">
        <f>VLOOKUP('北段 (人資版)'!E51,'工作表1'!$A$3:$B$78,2,FALSE)</f>
        <v>#REF!</v>
      </c>
      <c r="F51" s="57" t="str">
        <f>VLOOKUP('北段 (人資版)'!F51,'工作表1'!$A$3:$B$78,2,FALSE)</f>
        <v>#REF!</v>
      </c>
      <c r="G51" s="57" t="str">
        <f>VLOOKUP('北段 (人資版)'!G51,'工作表1'!$A$3:$B$78,2,FALSE)</f>
        <v>#REF!</v>
      </c>
      <c r="H51" s="57" t="str">
        <f>VLOOKUP('北段 (人資版)'!H51,'工作表1'!$A$3:$B$78,2,FALSE)</f>
        <v>#REF!</v>
      </c>
      <c r="I51" s="57" t="str">
        <f>VLOOKUP('北段 (人資版)'!I51,'工作表1'!$A$3:$B$78,2,FALSE)</f>
        <v>#REF!</v>
      </c>
      <c r="J51" s="57" t="str">
        <f>VLOOKUP('北段 (人資版)'!J51,'工作表1'!$A$3:$B$78,2,FALSE)</f>
        <v>#REF!</v>
      </c>
      <c r="K51" s="57" t="str">
        <f>VLOOKUP('北段 (人資版)'!K51,'工作表1'!$A$3:$B$78,2,FALSE)</f>
        <v>#REF!</v>
      </c>
      <c r="L51" s="57" t="str">
        <f>VLOOKUP('北段 (人資版)'!L51,'工作表1'!$A$3:$B$78,2,FALSE)</f>
        <v>#REF!</v>
      </c>
      <c r="M51" s="57" t="str">
        <f>VLOOKUP('北段 (人資版)'!M51,'工作表1'!$A$3:$B$78,2,FALSE)</f>
        <v>#REF!</v>
      </c>
      <c r="N51" s="57" t="str">
        <f>VLOOKUP('北段 (人資版)'!N51,'工作表1'!$A$3:$B$78,2,FALSE)</f>
        <v>#REF!</v>
      </c>
      <c r="O51" s="57" t="str">
        <f>VLOOKUP('北段 (人資版)'!O51,'工作表1'!$A$3:$B$78,2,FALSE)</f>
        <v>#REF!</v>
      </c>
      <c r="P51" s="57" t="str">
        <f>VLOOKUP('北段 (人資版)'!P51,'工作表1'!$A$3:$B$78,2,FALSE)</f>
        <v>#REF!</v>
      </c>
      <c r="Q51" s="57" t="str">
        <f>VLOOKUP('北段 (人資版)'!Q51,'工作表1'!$A$3:$B$78,2,FALSE)</f>
        <v>#REF!</v>
      </c>
      <c r="R51" s="57" t="str">
        <f>VLOOKUP('北段 (人資版)'!R51,'工作表1'!$A$3:$B$78,2,FALSE)</f>
        <v>#REF!</v>
      </c>
      <c r="S51" s="57" t="str">
        <f>VLOOKUP('北段 (人資版)'!S51,'工作表1'!$A$3:$B$78,2,FALSE)</f>
        <v>#REF!</v>
      </c>
      <c r="T51" s="57" t="str">
        <f>VLOOKUP('北段 (人資版)'!T51,'工作表1'!$A$3:$B$78,2,FALSE)</f>
        <v>#REF!</v>
      </c>
      <c r="U51" s="57" t="str">
        <f>VLOOKUP('北段 (人資版)'!U51,'工作表1'!$A$3:$B$78,2,FALSE)</f>
        <v>#REF!</v>
      </c>
      <c r="V51" s="57" t="str">
        <f>VLOOKUP('北段 (人資版)'!V51,'工作表1'!$A$3:$B$78,2,FALSE)</f>
        <v>#REF!</v>
      </c>
      <c r="W51" s="57" t="str">
        <f>VLOOKUP('北段 (人資版)'!W51,'工作表1'!$A$3:$B$78,2,FALSE)</f>
        <v>#REF!</v>
      </c>
      <c r="X51" s="57" t="str">
        <f>VLOOKUP('北段 (人資版)'!X51,'工作表1'!$A$3:$B$78,2,FALSE)</f>
        <v>#REF!</v>
      </c>
      <c r="Y51" s="57" t="str">
        <f>VLOOKUP('北段 (人資版)'!Y51,'工作表1'!$A$3:$B$78,2,FALSE)</f>
        <v>#REF!</v>
      </c>
      <c r="Z51" s="57" t="str">
        <f>VLOOKUP('北段 (人資版)'!Z51,'工作表1'!$A$3:$B$78,2,FALSE)</f>
        <v>#REF!</v>
      </c>
      <c r="AA51" s="57" t="str">
        <f>VLOOKUP('北段 (人資版)'!AA51,'工作表1'!$A$3:$B$78,2,FALSE)</f>
        <v>#REF!</v>
      </c>
      <c r="AB51" s="57" t="str">
        <f>VLOOKUP('北段 (人資版)'!AB51,'工作表1'!$A$3:$B$78,2,FALSE)</f>
        <v>#REF!</v>
      </c>
      <c r="AC51" s="57" t="str">
        <f>VLOOKUP('北段 (人資版)'!AC51,'工作表1'!$A$3:$B$78,2,FALSE)</f>
        <v>#REF!</v>
      </c>
      <c r="AD51" s="57" t="str">
        <f>VLOOKUP('北段 (人資版)'!AD51,'工作表1'!$A$3:$B$78,2,FALSE)</f>
        <v>#REF!</v>
      </c>
      <c r="AE51" s="57" t="str">
        <f>VLOOKUP('北段 (人資版)'!AE51,'工作表1'!$A$3:$B$78,2,FALSE)</f>
        <v>#REF!</v>
      </c>
      <c r="AF51" s="57" t="str">
        <f>VLOOKUP('北段 (人資版)'!AF51,'工作表1'!$A$3:$B$78,2,FALSE)</f>
        <v>#REF!</v>
      </c>
      <c r="AG51" s="57" t="str">
        <f>VLOOKUP('北段 (人資版)'!AG51,'工作表1'!$A$3:$B$78,2,FALSE)</f>
        <v>#REF!</v>
      </c>
      <c r="AH51" s="57" t="str">
        <f>VLOOKUP('北段 (人資版)'!AH51,'工作表1'!$A$3:$B$78,2,FALSE)</f>
        <v>#ERROR!</v>
      </c>
      <c r="AI51" s="57" t="str">
        <f>VLOOKUP('北段 (人資版)'!AI51,'工作表1'!$A$3:$B$78,2,FALSE)</f>
        <v>#ERROR!</v>
      </c>
      <c r="AJ51" s="57" t="str">
        <f>VLOOKUP('北段 (人資版)'!AJ51,'工作表1'!$A$3:$B$78,2,FALSE)</f>
        <v>#ERROR!</v>
      </c>
      <c r="AK51" s="57" t="str">
        <f>VLOOKUP('北段 (人資版)'!AK51,'工作表1'!$A$3:$B$78,2,FALSE)</f>
        <v>#ERROR!</v>
      </c>
      <c r="AL51" s="57" t="str">
        <f>VLOOKUP('北段 (人資版)'!AL51,'工作表1'!$A$3:$B$78,2,FALSE)</f>
        <v>#ERROR!</v>
      </c>
      <c r="AM51" s="57" t="str">
        <f>VLOOKUP('北段 (人資版)'!AM51,'工作表1'!$A$3:$B$78,2,FALSE)</f>
        <v>#ERROR!</v>
      </c>
      <c r="AN51" s="57" t="str">
        <f>VLOOKUP('北段 (人資版)'!AN51,'工作表1'!$A$3:$B$78,2,FALSE)</f>
        <v>#ERROR!</v>
      </c>
    </row>
    <row r="52" ht="39.0" customHeight="1">
      <c r="A52" s="59"/>
      <c r="B52" s="57" t="str">
        <f t="shared" si="3"/>
        <v>#REF!</v>
      </c>
      <c r="C52" s="57" t="str">
        <f>VLOOKUP(B52,'北段'!B:C,2,FALSE)</f>
        <v>#REF!</v>
      </c>
      <c r="D52" s="57" t="str">
        <f>VLOOKUP('北段 (人資版)'!D52,'工作表1'!$A$3:$B$78,2,FALSE)</f>
        <v>#REF!</v>
      </c>
      <c r="E52" s="57" t="str">
        <f>VLOOKUP('北段 (人資版)'!E52,'工作表1'!$A$3:$B$78,2,FALSE)</f>
        <v>#REF!</v>
      </c>
      <c r="F52" s="57" t="str">
        <f>VLOOKUP('北段 (人資版)'!F52,'工作表1'!$A$3:$B$78,2,FALSE)</f>
        <v>#REF!</v>
      </c>
      <c r="G52" s="57" t="str">
        <f>VLOOKUP('北段 (人資版)'!G52,'工作表1'!$A$3:$B$78,2,FALSE)</f>
        <v>#REF!</v>
      </c>
      <c r="H52" s="57" t="str">
        <f>VLOOKUP('北段 (人資版)'!H52,'工作表1'!$A$3:$B$78,2,FALSE)</f>
        <v>#REF!</v>
      </c>
      <c r="I52" s="57" t="str">
        <f>VLOOKUP('北段 (人資版)'!I52,'工作表1'!$A$3:$B$78,2,FALSE)</f>
        <v>#REF!</v>
      </c>
      <c r="J52" s="57" t="str">
        <f>VLOOKUP('北段 (人資版)'!J52,'工作表1'!$A$3:$B$78,2,FALSE)</f>
        <v>#REF!</v>
      </c>
      <c r="K52" s="57" t="str">
        <f>VLOOKUP('北段 (人資版)'!K52,'工作表1'!$A$3:$B$78,2,FALSE)</f>
        <v>#REF!</v>
      </c>
      <c r="L52" s="57" t="str">
        <f>VLOOKUP('北段 (人資版)'!L52,'工作表1'!$A$3:$B$78,2,FALSE)</f>
        <v>#REF!</v>
      </c>
      <c r="M52" s="57" t="str">
        <f>VLOOKUP('北段 (人資版)'!M52,'工作表1'!$A$3:$B$78,2,FALSE)</f>
        <v>#REF!</v>
      </c>
      <c r="N52" s="57" t="str">
        <f>VLOOKUP('北段 (人資版)'!N52,'工作表1'!$A$3:$B$78,2,FALSE)</f>
        <v>#REF!</v>
      </c>
      <c r="O52" s="57" t="str">
        <f>VLOOKUP('北段 (人資版)'!O52,'工作表1'!$A$3:$B$78,2,FALSE)</f>
        <v>#REF!</v>
      </c>
      <c r="P52" s="57" t="str">
        <f>VLOOKUP('北段 (人資版)'!P52,'工作表1'!$A$3:$B$78,2,FALSE)</f>
        <v>#REF!</v>
      </c>
      <c r="Q52" s="57" t="str">
        <f>VLOOKUP('北段 (人資版)'!Q52,'工作表1'!$A$3:$B$78,2,FALSE)</f>
        <v>#REF!</v>
      </c>
      <c r="R52" s="57" t="str">
        <f>VLOOKUP('北段 (人資版)'!R52,'工作表1'!$A$3:$B$78,2,FALSE)</f>
        <v>#REF!</v>
      </c>
      <c r="S52" s="57" t="str">
        <f>VLOOKUP('北段 (人資版)'!S52,'工作表1'!$A$3:$B$78,2,FALSE)</f>
        <v>#REF!</v>
      </c>
      <c r="T52" s="57" t="str">
        <f>VLOOKUP('北段 (人資版)'!T52,'工作表1'!$A$3:$B$78,2,FALSE)</f>
        <v>#REF!</v>
      </c>
      <c r="U52" s="57" t="str">
        <f>VLOOKUP('北段 (人資版)'!U52,'工作表1'!$A$3:$B$78,2,FALSE)</f>
        <v>#REF!</v>
      </c>
      <c r="V52" s="57" t="str">
        <f>VLOOKUP('北段 (人資版)'!V52,'工作表1'!$A$3:$B$78,2,FALSE)</f>
        <v>#REF!</v>
      </c>
      <c r="W52" s="57" t="str">
        <f>VLOOKUP('北段 (人資版)'!W52,'工作表1'!$A$3:$B$78,2,FALSE)</f>
        <v>#REF!</v>
      </c>
      <c r="X52" s="57" t="str">
        <f>VLOOKUP('北段 (人資版)'!X52,'工作表1'!$A$3:$B$78,2,FALSE)</f>
        <v>#REF!</v>
      </c>
      <c r="Y52" s="57" t="str">
        <f>VLOOKUP('北段 (人資版)'!Y52,'工作表1'!$A$3:$B$78,2,FALSE)</f>
        <v>#REF!</v>
      </c>
      <c r="Z52" s="57" t="str">
        <f>VLOOKUP('北段 (人資版)'!Z52,'工作表1'!$A$3:$B$78,2,FALSE)</f>
        <v>#REF!</v>
      </c>
      <c r="AA52" s="57" t="str">
        <f>VLOOKUP('北段 (人資版)'!AA52,'工作表1'!$A$3:$B$78,2,FALSE)</f>
        <v>#REF!</v>
      </c>
      <c r="AB52" s="57" t="str">
        <f>VLOOKUP('北段 (人資版)'!AB52,'工作表1'!$A$3:$B$78,2,FALSE)</f>
        <v>#REF!</v>
      </c>
      <c r="AC52" s="57" t="str">
        <f>VLOOKUP('北段 (人資版)'!AC52,'工作表1'!$A$3:$B$78,2,FALSE)</f>
        <v>#REF!</v>
      </c>
      <c r="AD52" s="57" t="str">
        <f>VLOOKUP('北段 (人資版)'!AD52,'工作表1'!$A$3:$B$78,2,FALSE)</f>
        <v>#REF!</v>
      </c>
      <c r="AE52" s="57" t="str">
        <f>VLOOKUP('北段 (人資版)'!AE52,'工作表1'!$A$3:$B$78,2,FALSE)</f>
        <v>#REF!</v>
      </c>
      <c r="AF52" s="57" t="str">
        <f>VLOOKUP('北段 (人資版)'!AF52,'工作表1'!$A$3:$B$78,2,FALSE)</f>
        <v>#REF!</v>
      </c>
      <c r="AG52" s="57" t="str">
        <f>VLOOKUP('北段 (人資版)'!AG52,'工作表1'!$A$3:$B$78,2,FALSE)</f>
        <v>#REF!</v>
      </c>
      <c r="AH52" s="57" t="str">
        <f>VLOOKUP('北段 (人資版)'!AH52,'工作表1'!$A$3:$B$78,2,FALSE)</f>
        <v>#ERROR!</v>
      </c>
      <c r="AI52" s="57" t="str">
        <f>VLOOKUP('北段 (人資版)'!AI52,'工作表1'!$A$3:$B$78,2,FALSE)</f>
        <v>#ERROR!</v>
      </c>
      <c r="AJ52" s="57" t="str">
        <f>VLOOKUP('北段 (人資版)'!AJ52,'工作表1'!$A$3:$B$78,2,FALSE)</f>
        <v>#ERROR!</v>
      </c>
      <c r="AK52" s="57" t="str">
        <f>VLOOKUP('北段 (人資版)'!AK52,'工作表1'!$A$3:$B$78,2,FALSE)</f>
        <v>#ERROR!</v>
      </c>
      <c r="AL52" s="57" t="str">
        <f>VLOOKUP('北段 (人資版)'!AL52,'工作表1'!$A$3:$B$78,2,FALSE)</f>
        <v>#ERROR!</v>
      </c>
      <c r="AM52" s="57" t="str">
        <f>VLOOKUP('北段 (人資版)'!AM52,'工作表1'!$A$3:$B$78,2,FALSE)</f>
        <v>#ERROR!</v>
      </c>
      <c r="AN52" s="57" t="str">
        <f>VLOOKUP('北段 (人資版)'!AN52,'工作表1'!$A$3:$B$78,2,FALSE)</f>
        <v>#ERROR!</v>
      </c>
    </row>
    <row r="53" ht="39.75" customHeight="1">
      <c r="A53" s="59"/>
      <c r="B53" s="57" t="str">
        <f t="shared" si="3"/>
        <v>#REF!</v>
      </c>
      <c r="C53" s="57" t="str">
        <f>VLOOKUP(B53,'北段'!B:C,2,FALSE)</f>
        <v>#REF!</v>
      </c>
      <c r="D53" s="57" t="str">
        <f>VLOOKUP('北段 (人資版)'!D53,'工作表1'!$A$3:$B$78,2,FALSE)</f>
        <v>#REF!</v>
      </c>
      <c r="E53" s="57" t="str">
        <f>VLOOKUP('北段 (人資版)'!E53,'工作表1'!$A$3:$B$78,2,FALSE)</f>
        <v>#REF!</v>
      </c>
      <c r="F53" s="57" t="str">
        <f>VLOOKUP('北段 (人資版)'!F53,'工作表1'!$A$3:$B$78,2,FALSE)</f>
        <v>#REF!</v>
      </c>
      <c r="G53" s="57" t="str">
        <f>VLOOKUP('北段 (人資版)'!G53,'工作表1'!$A$3:$B$78,2,FALSE)</f>
        <v>#REF!</v>
      </c>
      <c r="H53" s="57" t="str">
        <f>VLOOKUP('北段 (人資版)'!H53,'工作表1'!$A$3:$B$78,2,FALSE)</f>
        <v>#REF!</v>
      </c>
      <c r="I53" s="57" t="str">
        <f>VLOOKUP('北段 (人資版)'!I53,'工作表1'!$A$3:$B$78,2,FALSE)</f>
        <v>#REF!</v>
      </c>
      <c r="J53" s="57" t="str">
        <f>VLOOKUP('北段 (人資版)'!J53,'工作表1'!$A$3:$B$78,2,FALSE)</f>
        <v>#REF!</v>
      </c>
      <c r="K53" s="57" t="str">
        <f>VLOOKUP('北段 (人資版)'!K53,'工作表1'!$A$3:$B$78,2,FALSE)</f>
        <v>#REF!</v>
      </c>
      <c r="L53" s="57" t="str">
        <f>VLOOKUP('北段 (人資版)'!L53,'工作表1'!$A$3:$B$78,2,FALSE)</f>
        <v>#REF!</v>
      </c>
      <c r="M53" s="57" t="str">
        <f>VLOOKUP('北段 (人資版)'!M53,'工作表1'!$A$3:$B$78,2,FALSE)</f>
        <v>#REF!</v>
      </c>
      <c r="N53" s="57" t="str">
        <f>VLOOKUP('北段 (人資版)'!N53,'工作表1'!$A$3:$B$78,2,FALSE)</f>
        <v>#REF!</v>
      </c>
      <c r="O53" s="57" t="str">
        <f>VLOOKUP('北段 (人資版)'!O53,'工作表1'!$A$3:$B$78,2,FALSE)</f>
        <v>#REF!</v>
      </c>
      <c r="P53" s="57" t="str">
        <f>VLOOKUP('北段 (人資版)'!P53,'工作表1'!$A$3:$B$78,2,FALSE)</f>
        <v>#REF!</v>
      </c>
      <c r="Q53" s="57" t="str">
        <f>VLOOKUP('北段 (人資版)'!Q53,'工作表1'!$A$3:$B$78,2,FALSE)</f>
        <v>#REF!</v>
      </c>
      <c r="R53" s="57" t="str">
        <f>VLOOKUP('北段 (人資版)'!R53,'工作表1'!$A$3:$B$78,2,FALSE)</f>
        <v>#REF!</v>
      </c>
      <c r="S53" s="57" t="str">
        <f>VLOOKUP('北段 (人資版)'!S53,'工作表1'!$A$3:$B$78,2,FALSE)</f>
        <v>#REF!</v>
      </c>
      <c r="T53" s="57" t="str">
        <f>VLOOKUP('北段 (人資版)'!T53,'工作表1'!$A$3:$B$78,2,FALSE)</f>
        <v>#REF!</v>
      </c>
      <c r="U53" s="57" t="str">
        <f>VLOOKUP('北段 (人資版)'!U53,'工作表1'!$A$3:$B$78,2,FALSE)</f>
        <v>#REF!</v>
      </c>
      <c r="V53" s="57" t="str">
        <f>VLOOKUP('北段 (人資版)'!V53,'工作表1'!$A$3:$B$78,2,FALSE)</f>
        <v>#REF!</v>
      </c>
      <c r="W53" s="57" t="str">
        <f>VLOOKUP('北段 (人資版)'!W53,'工作表1'!$A$3:$B$78,2,FALSE)</f>
        <v>#REF!</v>
      </c>
      <c r="X53" s="57" t="str">
        <f>VLOOKUP('北段 (人資版)'!X53,'工作表1'!$A$3:$B$78,2,FALSE)</f>
        <v>#REF!</v>
      </c>
      <c r="Y53" s="57" t="str">
        <f>VLOOKUP('北段 (人資版)'!Y53,'工作表1'!$A$3:$B$78,2,FALSE)</f>
        <v>#REF!</v>
      </c>
      <c r="Z53" s="57" t="str">
        <f>VLOOKUP('北段 (人資版)'!Z53,'工作表1'!$A$3:$B$78,2,FALSE)</f>
        <v>#REF!</v>
      </c>
      <c r="AA53" s="57" t="str">
        <f>VLOOKUP('北段 (人資版)'!AA53,'工作表1'!$A$3:$B$78,2,FALSE)</f>
        <v>#REF!</v>
      </c>
      <c r="AB53" s="57" t="str">
        <f>VLOOKUP('北段 (人資版)'!AB53,'工作表1'!$A$3:$B$78,2,FALSE)</f>
        <v>#REF!</v>
      </c>
      <c r="AC53" s="57" t="str">
        <f>VLOOKUP('北段 (人資版)'!AC53,'工作表1'!$A$3:$B$78,2,FALSE)</f>
        <v>#REF!</v>
      </c>
      <c r="AD53" s="57" t="str">
        <f>VLOOKUP('北段 (人資版)'!AD53,'工作表1'!$A$3:$B$78,2,FALSE)</f>
        <v>#REF!</v>
      </c>
      <c r="AE53" s="57" t="str">
        <f>VLOOKUP('北段 (人資版)'!AE53,'工作表1'!$A$3:$B$78,2,FALSE)</f>
        <v>#REF!</v>
      </c>
      <c r="AF53" s="57" t="str">
        <f>VLOOKUP('北段 (人資版)'!AF53,'工作表1'!$A$3:$B$78,2,FALSE)</f>
        <v>#REF!</v>
      </c>
      <c r="AG53" s="57" t="str">
        <f>VLOOKUP('北段 (人資版)'!AG53,'工作表1'!$A$3:$B$78,2,FALSE)</f>
        <v>#REF!</v>
      </c>
      <c r="AH53" s="57" t="str">
        <f>VLOOKUP('北段 (人資版)'!AH53,'工作表1'!$A$3:$B$78,2,FALSE)</f>
        <v>#ERROR!</v>
      </c>
      <c r="AI53" s="57" t="str">
        <f>VLOOKUP('北段 (人資版)'!AI53,'工作表1'!$A$3:$B$78,2,FALSE)</f>
        <v>#ERROR!</v>
      </c>
      <c r="AJ53" s="57" t="str">
        <f>VLOOKUP('北段 (人資版)'!AJ53,'工作表1'!$A$3:$B$78,2,FALSE)</f>
        <v>#ERROR!</v>
      </c>
      <c r="AK53" s="57" t="str">
        <f>VLOOKUP('北段 (人資版)'!AK53,'工作表1'!$A$3:$B$78,2,FALSE)</f>
        <v>#ERROR!</v>
      </c>
      <c r="AL53" s="57" t="str">
        <f>VLOOKUP('北段 (人資版)'!AL53,'工作表1'!$A$3:$B$78,2,FALSE)</f>
        <v>#ERROR!</v>
      </c>
      <c r="AM53" s="57" t="str">
        <f>VLOOKUP('北段 (人資版)'!AM53,'工作表1'!$A$3:$B$78,2,FALSE)</f>
        <v>#ERROR!</v>
      </c>
      <c r="AN53" s="57" t="str">
        <f>VLOOKUP('北段 (人資版)'!AN53,'工作表1'!$A$3:$B$78,2,FALSE)</f>
        <v>#ERROR!</v>
      </c>
    </row>
    <row r="54" ht="39.75" customHeight="1">
      <c r="A54" s="59"/>
      <c r="B54" s="57" t="str">
        <f t="shared" si="3"/>
        <v>#REF!</v>
      </c>
      <c r="C54" s="57" t="str">
        <f>VLOOKUP(B54,'北段'!B:C,2,FALSE)</f>
        <v>#REF!</v>
      </c>
      <c r="D54" s="57" t="str">
        <f>VLOOKUP('北段 (人資版)'!D54,'工作表1'!$A$3:$B$78,2,FALSE)</f>
        <v>#REF!</v>
      </c>
      <c r="E54" s="57" t="str">
        <f>VLOOKUP('北段 (人資版)'!E54,'工作表1'!$A$3:$B$78,2,FALSE)</f>
        <v>#REF!</v>
      </c>
      <c r="F54" s="57" t="str">
        <f>VLOOKUP('北段 (人資版)'!F54,'工作表1'!$A$3:$B$78,2,FALSE)</f>
        <v>#REF!</v>
      </c>
      <c r="G54" s="57" t="str">
        <f>VLOOKUP('北段 (人資版)'!G54,'工作表1'!$A$3:$B$78,2,FALSE)</f>
        <v>#REF!</v>
      </c>
      <c r="H54" s="57" t="str">
        <f>VLOOKUP('北段 (人資版)'!H54,'工作表1'!$A$3:$B$78,2,FALSE)</f>
        <v>#REF!</v>
      </c>
      <c r="I54" s="57" t="str">
        <f>VLOOKUP('北段 (人資版)'!I54,'工作表1'!$A$3:$B$78,2,FALSE)</f>
        <v>#REF!</v>
      </c>
      <c r="J54" s="57" t="str">
        <f>VLOOKUP('北段 (人資版)'!J54,'工作表1'!$A$3:$B$78,2,FALSE)</f>
        <v>#REF!</v>
      </c>
      <c r="K54" s="57" t="str">
        <f>VLOOKUP('北段 (人資版)'!K54,'工作表1'!$A$3:$B$78,2,FALSE)</f>
        <v>#REF!</v>
      </c>
      <c r="L54" s="57" t="str">
        <f>VLOOKUP('北段 (人資版)'!L54,'工作表1'!$A$3:$B$78,2,FALSE)</f>
        <v>#REF!</v>
      </c>
      <c r="M54" s="57" t="str">
        <f>VLOOKUP('北段 (人資版)'!M54,'工作表1'!$A$3:$B$78,2,FALSE)</f>
        <v>#REF!</v>
      </c>
      <c r="N54" s="57" t="str">
        <f>VLOOKUP('北段 (人資版)'!N54,'工作表1'!$A$3:$B$78,2,FALSE)</f>
        <v>#REF!</v>
      </c>
      <c r="O54" s="57" t="str">
        <f>VLOOKUP('北段 (人資版)'!O54,'工作表1'!$A$3:$B$78,2,FALSE)</f>
        <v>#REF!</v>
      </c>
      <c r="P54" s="57" t="str">
        <f>VLOOKUP('北段 (人資版)'!P54,'工作表1'!$A$3:$B$78,2,FALSE)</f>
        <v>#REF!</v>
      </c>
      <c r="Q54" s="57" t="str">
        <f>VLOOKUP('北段 (人資版)'!Q54,'工作表1'!$A$3:$B$78,2,FALSE)</f>
        <v>#REF!</v>
      </c>
      <c r="R54" s="57" t="str">
        <f>VLOOKUP('北段 (人資版)'!R54,'工作表1'!$A$3:$B$78,2,FALSE)</f>
        <v>#REF!</v>
      </c>
      <c r="S54" s="57" t="str">
        <f>VLOOKUP('北段 (人資版)'!S54,'工作表1'!$A$3:$B$78,2,FALSE)</f>
        <v>#REF!</v>
      </c>
      <c r="T54" s="57" t="str">
        <f>VLOOKUP('北段 (人資版)'!T54,'工作表1'!$A$3:$B$78,2,FALSE)</f>
        <v>#REF!</v>
      </c>
      <c r="U54" s="57" t="str">
        <f>VLOOKUP('北段 (人資版)'!U54,'工作表1'!$A$3:$B$78,2,FALSE)</f>
        <v>#REF!</v>
      </c>
      <c r="V54" s="57" t="str">
        <f>VLOOKUP('北段 (人資版)'!V54,'工作表1'!$A$3:$B$78,2,FALSE)</f>
        <v>#REF!</v>
      </c>
      <c r="W54" s="57" t="str">
        <f>VLOOKUP('北段 (人資版)'!W54,'工作表1'!$A$3:$B$78,2,FALSE)</f>
        <v>#REF!</v>
      </c>
      <c r="X54" s="57" t="str">
        <f>VLOOKUP('北段 (人資版)'!X54,'工作表1'!$A$3:$B$78,2,FALSE)</f>
        <v>#REF!</v>
      </c>
      <c r="Y54" s="57" t="str">
        <f>VLOOKUP('北段 (人資版)'!Y54,'工作表1'!$A$3:$B$78,2,FALSE)</f>
        <v>#REF!</v>
      </c>
      <c r="Z54" s="57" t="str">
        <f>VLOOKUP('北段 (人資版)'!Z54,'工作表1'!$A$3:$B$78,2,FALSE)</f>
        <v>#REF!</v>
      </c>
      <c r="AA54" s="57" t="str">
        <f>VLOOKUP('北段 (人資版)'!AA54,'工作表1'!$A$3:$B$78,2,FALSE)</f>
        <v>#REF!</v>
      </c>
      <c r="AB54" s="57" t="str">
        <f>VLOOKUP('北段 (人資版)'!AB54,'工作表1'!$A$3:$B$78,2,FALSE)</f>
        <v>#REF!</v>
      </c>
      <c r="AC54" s="57" t="str">
        <f>VLOOKUP('北段 (人資版)'!AC54,'工作表1'!$A$3:$B$78,2,FALSE)</f>
        <v>#REF!</v>
      </c>
      <c r="AD54" s="57" t="str">
        <f>VLOOKUP('北段 (人資版)'!AD54,'工作表1'!$A$3:$B$78,2,FALSE)</f>
        <v>#REF!</v>
      </c>
      <c r="AE54" s="57" t="str">
        <f>VLOOKUP('北段 (人資版)'!AE54,'工作表1'!$A$3:$B$78,2,FALSE)</f>
        <v>#REF!</v>
      </c>
      <c r="AF54" s="57" t="str">
        <f>VLOOKUP('北段 (人資版)'!AF54,'工作表1'!$A$3:$B$78,2,FALSE)</f>
        <v>#REF!</v>
      </c>
      <c r="AG54" s="57" t="str">
        <f>VLOOKUP('北段 (人資版)'!AG54,'工作表1'!$A$3:$B$78,2,FALSE)</f>
        <v>#REF!</v>
      </c>
      <c r="AH54" s="57" t="str">
        <f>VLOOKUP('北段 (人資版)'!AH54,'工作表1'!$A$3:$B$78,2,FALSE)</f>
        <v>#ERROR!</v>
      </c>
      <c r="AI54" s="57" t="str">
        <f>VLOOKUP('北段 (人資版)'!AI54,'工作表1'!$A$3:$B$78,2,FALSE)</f>
        <v>#ERROR!</v>
      </c>
      <c r="AJ54" s="57" t="str">
        <f>VLOOKUP('北段 (人資版)'!AJ54,'工作表1'!$A$3:$B$78,2,FALSE)</f>
        <v>#ERROR!</v>
      </c>
      <c r="AK54" s="57" t="str">
        <f>VLOOKUP('北段 (人資版)'!AK54,'工作表1'!$A$3:$B$78,2,FALSE)</f>
        <v>#ERROR!</v>
      </c>
      <c r="AL54" s="57" t="str">
        <f>VLOOKUP('北段 (人資版)'!AL54,'工作表1'!$A$3:$B$78,2,FALSE)</f>
        <v>#ERROR!</v>
      </c>
      <c r="AM54" s="57" t="str">
        <f>VLOOKUP('北段 (人資版)'!AM54,'工作表1'!$A$3:$B$78,2,FALSE)</f>
        <v>#ERROR!</v>
      </c>
      <c r="AN54" s="57" t="str">
        <f>VLOOKUP('北段 (人資版)'!AN54,'工作表1'!$A$3:$B$78,2,FALSE)</f>
        <v>#ERROR!</v>
      </c>
    </row>
    <row r="55" ht="39.75" customHeight="1">
      <c r="A55" s="59"/>
      <c r="B55" s="57" t="str">
        <f t="shared" si="3"/>
        <v>#REF!</v>
      </c>
      <c r="C55" s="57" t="str">
        <f>VLOOKUP(B55,'北段'!B:C,2,FALSE)</f>
        <v>#REF!</v>
      </c>
      <c r="D55" s="57" t="str">
        <f>VLOOKUP('北段 (人資版)'!D55,'工作表1'!$A$3:$B$78,2,FALSE)</f>
        <v>#REF!</v>
      </c>
      <c r="E55" s="57" t="str">
        <f>VLOOKUP('北段 (人資版)'!E55,'工作表1'!$A$3:$B$78,2,FALSE)</f>
        <v>#REF!</v>
      </c>
      <c r="F55" s="57" t="str">
        <f>VLOOKUP('北段 (人資版)'!F55,'工作表1'!$A$3:$B$78,2,FALSE)</f>
        <v>#REF!</v>
      </c>
      <c r="G55" s="57" t="str">
        <f>VLOOKUP('北段 (人資版)'!G55,'工作表1'!$A$3:$B$78,2,FALSE)</f>
        <v>#REF!</v>
      </c>
      <c r="H55" s="57" t="str">
        <f>VLOOKUP('北段 (人資版)'!H55,'工作表1'!$A$3:$B$78,2,FALSE)</f>
        <v>#REF!</v>
      </c>
      <c r="I55" s="57" t="str">
        <f>VLOOKUP('北段 (人資版)'!I55,'工作表1'!$A$3:$B$78,2,FALSE)</f>
        <v>#REF!</v>
      </c>
      <c r="J55" s="57" t="str">
        <f>VLOOKUP('北段 (人資版)'!J55,'工作表1'!$A$3:$B$78,2,FALSE)</f>
        <v>#REF!</v>
      </c>
      <c r="K55" s="57" t="str">
        <f>VLOOKUP('北段 (人資版)'!K55,'工作表1'!$A$3:$B$78,2,FALSE)</f>
        <v>#REF!</v>
      </c>
      <c r="L55" s="57" t="str">
        <f>VLOOKUP('北段 (人資版)'!L55,'工作表1'!$A$3:$B$78,2,FALSE)</f>
        <v>#REF!</v>
      </c>
      <c r="M55" s="57" t="str">
        <f>VLOOKUP('北段 (人資版)'!M55,'工作表1'!$A$3:$B$78,2,FALSE)</f>
        <v>#REF!</v>
      </c>
      <c r="N55" s="57" t="str">
        <f>VLOOKUP('北段 (人資版)'!N55,'工作表1'!$A$3:$B$78,2,FALSE)</f>
        <v>#REF!</v>
      </c>
      <c r="O55" s="57" t="str">
        <f>VLOOKUP('北段 (人資版)'!O55,'工作表1'!$A$3:$B$78,2,FALSE)</f>
        <v>#REF!</v>
      </c>
      <c r="P55" s="57" t="str">
        <f>VLOOKUP('北段 (人資版)'!P55,'工作表1'!$A$3:$B$78,2,FALSE)</f>
        <v>#REF!</v>
      </c>
      <c r="Q55" s="57" t="str">
        <f>VLOOKUP('北段 (人資版)'!Q55,'工作表1'!$A$3:$B$78,2,FALSE)</f>
        <v>#REF!</v>
      </c>
      <c r="R55" s="57" t="str">
        <f>VLOOKUP('北段 (人資版)'!R55,'工作表1'!$A$3:$B$78,2,FALSE)</f>
        <v>#REF!</v>
      </c>
      <c r="S55" s="57" t="str">
        <f>VLOOKUP('北段 (人資版)'!S55,'工作表1'!$A$3:$B$78,2,FALSE)</f>
        <v>#REF!</v>
      </c>
      <c r="T55" s="57" t="str">
        <f>VLOOKUP('北段 (人資版)'!T55,'工作表1'!$A$3:$B$78,2,FALSE)</f>
        <v>#REF!</v>
      </c>
      <c r="U55" s="57" t="str">
        <f>VLOOKUP('北段 (人資版)'!U55,'工作表1'!$A$3:$B$78,2,FALSE)</f>
        <v>#REF!</v>
      </c>
      <c r="V55" s="57" t="str">
        <f>VLOOKUP('北段 (人資版)'!V55,'工作表1'!$A$3:$B$78,2,FALSE)</f>
        <v>#REF!</v>
      </c>
      <c r="W55" s="57" t="str">
        <f>VLOOKUP('北段 (人資版)'!W55,'工作表1'!$A$3:$B$78,2,FALSE)</f>
        <v>#REF!</v>
      </c>
      <c r="X55" s="57" t="str">
        <f>VLOOKUP('北段 (人資版)'!X55,'工作表1'!$A$3:$B$78,2,FALSE)</f>
        <v>#REF!</v>
      </c>
      <c r="Y55" s="57" t="str">
        <f>VLOOKUP('北段 (人資版)'!Y55,'工作表1'!$A$3:$B$78,2,FALSE)</f>
        <v>#REF!</v>
      </c>
      <c r="Z55" s="57" t="str">
        <f>VLOOKUP('北段 (人資版)'!Z55,'工作表1'!$A$3:$B$78,2,FALSE)</f>
        <v>#REF!</v>
      </c>
      <c r="AA55" s="57" t="str">
        <f>VLOOKUP('北段 (人資版)'!AA55,'工作表1'!$A$3:$B$78,2,FALSE)</f>
        <v>#REF!</v>
      </c>
      <c r="AB55" s="57" t="str">
        <f>VLOOKUP('北段 (人資版)'!AB55,'工作表1'!$A$3:$B$78,2,FALSE)</f>
        <v>#REF!</v>
      </c>
      <c r="AC55" s="57" t="str">
        <f>VLOOKUP('北段 (人資版)'!AC55,'工作表1'!$A$3:$B$78,2,FALSE)</f>
        <v>#REF!</v>
      </c>
      <c r="AD55" s="57" t="str">
        <f>VLOOKUP('北段 (人資版)'!AD55,'工作表1'!$A$3:$B$78,2,FALSE)</f>
        <v>#REF!</v>
      </c>
      <c r="AE55" s="57" t="str">
        <f>VLOOKUP('北段 (人資版)'!AE55,'工作表1'!$A$3:$B$78,2,FALSE)</f>
        <v>#REF!</v>
      </c>
      <c r="AF55" s="57" t="str">
        <f>VLOOKUP('北段 (人資版)'!AF55,'工作表1'!$A$3:$B$78,2,FALSE)</f>
        <v>#REF!</v>
      </c>
      <c r="AG55" s="57" t="str">
        <f>VLOOKUP('北段 (人資版)'!AG55,'工作表1'!$A$3:$B$78,2,FALSE)</f>
        <v>#REF!</v>
      </c>
      <c r="AH55" s="57" t="str">
        <f>VLOOKUP('北段 (人資版)'!AH55,'工作表1'!$A$3:$B$78,2,FALSE)</f>
        <v>#ERROR!</v>
      </c>
      <c r="AI55" s="57" t="str">
        <f>VLOOKUP('北段 (人資版)'!AI55,'工作表1'!$A$3:$B$78,2,FALSE)</f>
        <v>#ERROR!</v>
      </c>
      <c r="AJ55" s="57" t="str">
        <f>VLOOKUP('北段 (人資版)'!AJ55,'工作表1'!$A$3:$B$78,2,FALSE)</f>
        <v>#ERROR!</v>
      </c>
      <c r="AK55" s="57" t="str">
        <f>VLOOKUP('北段 (人資版)'!AK55,'工作表1'!$A$3:$B$78,2,FALSE)</f>
        <v>#ERROR!</v>
      </c>
      <c r="AL55" s="57" t="str">
        <f>VLOOKUP('北段 (人資版)'!AL55,'工作表1'!$A$3:$B$78,2,FALSE)</f>
        <v>#ERROR!</v>
      </c>
      <c r="AM55" s="57" t="str">
        <f>VLOOKUP('北段 (人資版)'!AM55,'工作表1'!$A$3:$B$78,2,FALSE)</f>
        <v>#ERROR!</v>
      </c>
      <c r="AN55" s="57" t="str">
        <f>VLOOKUP('北段 (人資版)'!AN55,'工作表1'!$A$3:$B$78,2,FALSE)</f>
        <v>#ERROR!</v>
      </c>
    </row>
    <row r="56" ht="39.75" customHeight="1">
      <c r="A56" s="193"/>
      <c r="B56" s="57" t="str">
        <f t="shared" si="3"/>
        <v>#REF!</v>
      </c>
      <c r="C56" s="57" t="str">
        <f>VLOOKUP(B56,'北段'!B:C,2,FALSE)</f>
        <v>#REF!</v>
      </c>
      <c r="D56" s="57" t="str">
        <f>VLOOKUP('北段 (人資版)'!D56,'工作表1'!$A$3:$B$78,2,FALSE)</f>
        <v>#REF!</v>
      </c>
      <c r="E56" s="57" t="str">
        <f>VLOOKUP('北段 (人資版)'!E56,'工作表1'!$A$3:$B$78,2,FALSE)</f>
        <v>#REF!</v>
      </c>
      <c r="F56" s="57" t="str">
        <f>VLOOKUP('北段 (人資版)'!F56,'工作表1'!$A$3:$B$78,2,FALSE)</f>
        <v>#REF!</v>
      </c>
      <c r="G56" s="57" t="str">
        <f>VLOOKUP('北段 (人資版)'!G56,'工作表1'!$A$3:$B$78,2,FALSE)</f>
        <v>#REF!</v>
      </c>
      <c r="H56" s="57" t="str">
        <f>VLOOKUP('北段 (人資版)'!H56,'工作表1'!$A$3:$B$78,2,FALSE)</f>
        <v>#REF!</v>
      </c>
      <c r="I56" s="57" t="str">
        <f>VLOOKUP('北段 (人資版)'!I56,'工作表1'!$A$3:$B$78,2,FALSE)</f>
        <v>#REF!</v>
      </c>
      <c r="J56" s="57" t="str">
        <f>VLOOKUP('北段 (人資版)'!J56,'工作表1'!$A$3:$B$78,2,FALSE)</f>
        <v>#REF!</v>
      </c>
      <c r="K56" s="57" t="str">
        <f>VLOOKUP('北段 (人資版)'!K56,'工作表1'!$A$3:$B$78,2,FALSE)</f>
        <v>#REF!</v>
      </c>
      <c r="L56" s="57" t="str">
        <f>VLOOKUP('北段 (人資版)'!L56,'工作表1'!$A$3:$B$78,2,FALSE)</f>
        <v>#REF!</v>
      </c>
      <c r="M56" s="57" t="str">
        <f>VLOOKUP('北段 (人資版)'!M56,'工作表1'!$A$3:$B$78,2,FALSE)</f>
        <v>#REF!</v>
      </c>
      <c r="N56" s="57" t="str">
        <f>VLOOKUP('北段 (人資版)'!N56,'工作表1'!$A$3:$B$78,2,FALSE)</f>
        <v>#REF!</v>
      </c>
      <c r="O56" s="57" t="str">
        <f>VLOOKUP('北段 (人資版)'!O56,'工作表1'!$A$3:$B$78,2,FALSE)</f>
        <v>#REF!</v>
      </c>
      <c r="P56" s="57" t="str">
        <f>VLOOKUP('北段 (人資版)'!P56,'工作表1'!$A$3:$B$78,2,FALSE)</f>
        <v>#REF!</v>
      </c>
      <c r="Q56" s="57" t="str">
        <f>VLOOKUP('北段 (人資版)'!Q56,'工作表1'!$A$3:$B$78,2,FALSE)</f>
        <v>#REF!</v>
      </c>
      <c r="R56" s="57" t="str">
        <f>VLOOKUP('北段 (人資版)'!R56,'工作表1'!$A$3:$B$78,2,FALSE)</f>
        <v>#REF!</v>
      </c>
      <c r="S56" s="57" t="str">
        <f>VLOOKUP('北段 (人資版)'!S56,'工作表1'!$A$3:$B$78,2,FALSE)</f>
        <v>#REF!</v>
      </c>
      <c r="T56" s="57" t="str">
        <f>VLOOKUP('北段 (人資版)'!T56,'工作表1'!$A$3:$B$78,2,FALSE)</f>
        <v>#REF!</v>
      </c>
      <c r="U56" s="57" t="str">
        <f>VLOOKUP('北段 (人資版)'!U56,'工作表1'!$A$3:$B$78,2,FALSE)</f>
        <v>#REF!</v>
      </c>
      <c r="V56" s="57" t="str">
        <f>VLOOKUP('北段 (人資版)'!V56,'工作表1'!$A$3:$B$78,2,FALSE)</f>
        <v>#REF!</v>
      </c>
      <c r="W56" s="57" t="str">
        <f>VLOOKUP('北段 (人資版)'!W56,'工作表1'!$A$3:$B$78,2,FALSE)</f>
        <v>#REF!</v>
      </c>
      <c r="X56" s="57" t="str">
        <f>VLOOKUP('北段 (人資版)'!X56,'工作表1'!$A$3:$B$78,2,FALSE)</f>
        <v>#REF!</v>
      </c>
      <c r="Y56" s="57" t="str">
        <f>VLOOKUP('北段 (人資版)'!Y56,'工作表1'!$A$3:$B$78,2,FALSE)</f>
        <v>#REF!</v>
      </c>
      <c r="Z56" s="57" t="str">
        <f>VLOOKUP('北段 (人資版)'!Z56,'工作表1'!$A$3:$B$78,2,FALSE)</f>
        <v>#REF!</v>
      </c>
      <c r="AA56" s="57" t="str">
        <f>VLOOKUP('北段 (人資版)'!AA56,'工作表1'!$A$3:$B$78,2,FALSE)</f>
        <v>#REF!</v>
      </c>
      <c r="AB56" s="57" t="str">
        <f>VLOOKUP('北段 (人資版)'!AB56,'工作表1'!$A$3:$B$78,2,FALSE)</f>
        <v>#REF!</v>
      </c>
      <c r="AC56" s="57" t="str">
        <f>VLOOKUP('北段 (人資版)'!AC56,'工作表1'!$A$3:$B$78,2,FALSE)</f>
        <v>#REF!</v>
      </c>
      <c r="AD56" s="57" t="str">
        <f>VLOOKUP('北段 (人資版)'!AD56,'工作表1'!$A$3:$B$78,2,FALSE)</f>
        <v>#REF!</v>
      </c>
      <c r="AE56" s="57" t="str">
        <f>VLOOKUP('北段 (人資版)'!AE56,'工作表1'!$A$3:$B$78,2,FALSE)</f>
        <v>#REF!</v>
      </c>
      <c r="AF56" s="57" t="str">
        <f>VLOOKUP('北段 (人資版)'!AF56,'工作表1'!$A$3:$B$78,2,FALSE)</f>
        <v>#REF!</v>
      </c>
      <c r="AG56" s="57" t="str">
        <f>VLOOKUP('北段 (人資版)'!AG56,'工作表1'!$A$3:$B$78,2,FALSE)</f>
        <v>#REF!</v>
      </c>
      <c r="AH56" s="57" t="str">
        <f>VLOOKUP('北段 (人資版)'!AH56,'工作表1'!$A$3:$B$78,2,FALSE)</f>
        <v>#ERROR!</v>
      </c>
      <c r="AI56" s="57" t="str">
        <f>VLOOKUP('北段 (人資版)'!AI56,'工作表1'!$A$3:$B$78,2,FALSE)</f>
        <v>#ERROR!</v>
      </c>
      <c r="AJ56" s="57" t="str">
        <f>VLOOKUP('北段 (人資版)'!AJ56,'工作表1'!$A$3:$B$78,2,FALSE)</f>
        <v>#ERROR!</v>
      </c>
      <c r="AK56" s="57" t="str">
        <f>VLOOKUP('北段 (人資版)'!AK56,'工作表1'!$A$3:$B$78,2,FALSE)</f>
        <v>#ERROR!</v>
      </c>
      <c r="AL56" s="57" t="str">
        <f>VLOOKUP('北段 (人資版)'!AL56,'工作表1'!$A$3:$B$78,2,FALSE)</f>
        <v>#ERROR!</v>
      </c>
      <c r="AM56" s="57" t="str">
        <f>VLOOKUP('北段 (人資版)'!AM56,'工作表1'!$A$3:$B$78,2,FALSE)</f>
        <v>#ERROR!</v>
      </c>
      <c r="AN56" s="57" t="str">
        <f>VLOOKUP('北段 (人資版)'!AN56,'工作表1'!$A$3:$B$78,2,FALSE)</f>
        <v>#ERROR!</v>
      </c>
    </row>
    <row r="57" ht="39.75" customHeight="1">
      <c r="A57" s="43" t="s">
        <v>142</v>
      </c>
      <c r="B57" s="57" t="str">
        <f t="shared" si="3"/>
        <v>#REF!</v>
      </c>
      <c r="C57" s="57" t="str">
        <f>VLOOKUP(B57,'北段'!B:C,2,FALSE)</f>
        <v>#REF!</v>
      </c>
      <c r="D57" s="57" t="str">
        <f>VLOOKUP('北段 (人資版)'!D57,'工作表1'!$A$3:$B$78,2,FALSE)</f>
        <v>#REF!</v>
      </c>
      <c r="E57" s="57" t="str">
        <f>VLOOKUP('北段 (人資版)'!E57,'工作表1'!$A$3:$B$78,2,FALSE)</f>
        <v>#REF!</v>
      </c>
      <c r="F57" s="57" t="str">
        <f>VLOOKUP('北段 (人資版)'!F57,'工作表1'!$A$3:$B$78,2,FALSE)</f>
        <v>#REF!</v>
      </c>
      <c r="G57" s="57" t="str">
        <f>VLOOKUP('北段 (人資版)'!G57,'工作表1'!$A$3:$B$78,2,FALSE)</f>
        <v>#REF!</v>
      </c>
      <c r="H57" s="57" t="str">
        <f>VLOOKUP('北段 (人資版)'!H57,'工作表1'!$A$3:$B$78,2,FALSE)</f>
        <v>#REF!</v>
      </c>
      <c r="I57" s="57" t="str">
        <f>VLOOKUP('北段 (人資版)'!I57,'工作表1'!$A$3:$B$78,2,FALSE)</f>
        <v>#REF!</v>
      </c>
      <c r="J57" s="57" t="str">
        <f>VLOOKUP('北段 (人資版)'!J57,'工作表1'!$A$3:$B$78,2,FALSE)</f>
        <v>#REF!</v>
      </c>
      <c r="K57" s="57" t="str">
        <f>VLOOKUP('北段 (人資版)'!K57,'工作表1'!$A$3:$B$78,2,FALSE)</f>
        <v>#REF!</v>
      </c>
      <c r="L57" s="57" t="str">
        <f>VLOOKUP('北段 (人資版)'!L57,'工作表1'!$A$3:$B$78,2,FALSE)</f>
        <v>#REF!</v>
      </c>
      <c r="M57" s="57" t="str">
        <f>VLOOKUP('北段 (人資版)'!M57,'工作表1'!$A$3:$B$78,2,FALSE)</f>
        <v>#REF!</v>
      </c>
      <c r="N57" s="57" t="str">
        <f>VLOOKUP('北段 (人資版)'!N57,'工作表1'!$A$3:$B$78,2,FALSE)</f>
        <v>#REF!</v>
      </c>
      <c r="O57" s="57" t="str">
        <f>VLOOKUP('北段 (人資版)'!O57,'工作表1'!$A$3:$B$78,2,FALSE)</f>
        <v>#REF!</v>
      </c>
      <c r="P57" s="57" t="str">
        <f>VLOOKUP('北段 (人資版)'!P57,'工作表1'!$A$3:$B$78,2,FALSE)</f>
        <v>#REF!</v>
      </c>
      <c r="Q57" s="57" t="str">
        <f>VLOOKUP('北段 (人資版)'!Q57,'工作表1'!$A$3:$B$78,2,FALSE)</f>
        <v>#REF!</v>
      </c>
      <c r="R57" s="57" t="str">
        <f>VLOOKUP('北段 (人資版)'!R57,'工作表1'!$A$3:$B$78,2,FALSE)</f>
        <v>#REF!</v>
      </c>
      <c r="S57" s="57" t="str">
        <f>VLOOKUP('北段 (人資版)'!S57,'工作表1'!$A$3:$B$78,2,FALSE)</f>
        <v>#REF!</v>
      </c>
      <c r="T57" s="57" t="str">
        <f>VLOOKUP('北段 (人資版)'!T57,'工作表1'!$A$3:$B$78,2,FALSE)</f>
        <v>#REF!</v>
      </c>
      <c r="U57" s="57" t="str">
        <f>VLOOKUP('北段 (人資版)'!U57,'工作表1'!$A$3:$B$78,2,FALSE)</f>
        <v>#REF!</v>
      </c>
      <c r="V57" s="57" t="str">
        <f>VLOOKUP('北段 (人資版)'!V57,'工作表1'!$A$3:$B$78,2,FALSE)</f>
        <v>#REF!</v>
      </c>
      <c r="W57" s="57" t="str">
        <f>VLOOKUP('北段 (人資版)'!W57,'工作表1'!$A$3:$B$78,2,FALSE)</f>
        <v>#REF!</v>
      </c>
      <c r="X57" s="57" t="str">
        <f>VLOOKUP('北段 (人資版)'!X57,'工作表1'!$A$3:$B$78,2,FALSE)</f>
        <v>#REF!</v>
      </c>
      <c r="Y57" s="57" t="str">
        <f>VLOOKUP('北段 (人資版)'!Y57,'工作表1'!$A$3:$B$78,2,FALSE)</f>
        <v>#REF!</v>
      </c>
      <c r="Z57" s="57" t="str">
        <f>VLOOKUP('北段 (人資版)'!Z57,'工作表1'!$A$3:$B$78,2,FALSE)</f>
        <v>#REF!</v>
      </c>
      <c r="AA57" s="57" t="str">
        <f>VLOOKUP('北段 (人資版)'!AA57,'工作表1'!$A$3:$B$78,2,FALSE)</f>
        <v>#REF!</v>
      </c>
      <c r="AB57" s="57" t="str">
        <f>VLOOKUP('北段 (人資版)'!AB57,'工作表1'!$A$3:$B$78,2,FALSE)</f>
        <v>#REF!</v>
      </c>
      <c r="AC57" s="57" t="str">
        <f>VLOOKUP('北段 (人資版)'!AC57,'工作表1'!$A$3:$B$78,2,FALSE)</f>
        <v>#REF!</v>
      </c>
      <c r="AD57" s="57" t="str">
        <f>VLOOKUP('北段 (人資版)'!AD57,'工作表1'!$A$3:$B$78,2,FALSE)</f>
        <v>#REF!</v>
      </c>
      <c r="AE57" s="57" t="str">
        <f>VLOOKUP('北段 (人資版)'!AE57,'工作表1'!$A$3:$B$78,2,FALSE)</f>
        <v>#REF!</v>
      </c>
      <c r="AF57" s="57" t="str">
        <f>VLOOKUP('北段 (人資版)'!AF57,'工作表1'!$A$3:$B$78,2,FALSE)</f>
        <v>#REF!</v>
      </c>
      <c r="AG57" s="57" t="str">
        <f>VLOOKUP('北段 (人資版)'!AG57,'工作表1'!$A$3:$B$78,2,FALSE)</f>
        <v>#REF!</v>
      </c>
      <c r="AH57" s="57" t="str">
        <f>VLOOKUP('北段 (人資版)'!AH57,'工作表1'!$A$3:$B$78,2,FALSE)</f>
        <v>#ERROR!</v>
      </c>
      <c r="AI57" s="57" t="str">
        <f>VLOOKUP('北段 (人資版)'!AI57,'工作表1'!$A$3:$B$78,2,FALSE)</f>
        <v>#ERROR!</v>
      </c>
      <c r="AJ57" s="57" t="str">
        <f>VLOOKUP('北段 (人資版)'!AJ57,'工作表1'!$A$3:$B$78,2,FALSE)</f>
        <v>#ERROR!</v>
      </c>
      <c r="AK57" s="57" t="str">
        <f>VLOOKUP('北段 (人資版)'!AK57,'工作表1'!$A$3:$B$78,2,FALSE)</f>
        <v>#ERROR!</v>
      </c>
      <c r="AL57" s="57" t="str">
        <f>VLOOKUP('北段 (人資版)'!AL57,'工作表1'!$A$3:$B$78,2,FALSE)</f>
        <v>#ERROR!</v>
      </c>
      <c r="AM57" s="57" t="str">
        <f>VLOOKUP('北段 (人資版)'!AM57,'工作表1'!$A$3:$B$78,2,FALSE)</f>
        <v>#ERROR!</v>
      </c>
      <c r="AN57" s="57" t="str">
        <f>VLOOKUP('北段 (人資版)'!AN57,'工作表1'!$A$3:$B$78,2,FALSE)</f>
        <v>#ERROR!</v>
      </c>
    </row>
    <row r="58" ht="39.0" customHeight="1">
      <c r="A58" s="59"/>
      <c r="B58" s="57" t="str">
        <f t="shared" si="3"/>
        <v>#REF!</v>
      </c>
      <c r="C58" s="57" t="str">
        <f>VLOOKUP(B58,'北段'!B:C,2,FALSE)</f>
        <v>#REF!</v>
      </c>
      <c r="D58" s="57" t="str">
        <f>VLOOKUP('北段 (人資版)'!D58,'工作表1'!$A$3:$B$78,2,FALSE)</f>
        <v>#REF!</v>
      </c>
      <c r="E58" s="57" t="str">
        <f>VLOOKUP('北段 (人資版)'!E58,'工作表1'!$A$3:$B$78,2,FALSE)</f>
        <v>#REF!</v>
      </c>
      <c r="F58" s="57" t="str">
        <f>VLOOKUP('北段 (人資版)'!F58,'工作表1'!$A$3:$B$78,2,FALSE)</f>
        <v>#REF!</v>
      </c>
      <c r="G58" s="57" t="str">
        <f>VLOOKUP('北段 (人資版)'!G58,'工作表1'!$A$3:$B$78,2,FALSE)</f>
        <v>#REF!</v>
      </c>
      <c r="H58" s="57" t="str">
        <f>VLOOKUP('北段 (人資版)'!H58,'工作表1'!$A$3:$B$78,2,FALSE)</f>
        <v>#REF!</v>
      </c>
      <c r="I58" s="57" t="str">
        <f>VLOOKUP('北段 (人資版)'!I58,'工作表1'!$A$3:$B$78,2,FALSE)</f>
        <v>#REF!</v>
      </c>
      <c r="J58" s="57" t="str">
        <f>VLOOKUP('北段 (人資版)'!J58,'工作表1'!$A$3:$B$78,2,FALSE)</f>
        <v>#REF!</v>
      </c>
      <c r="K58" s="57" t="str">
        <f>VLOOKUP('北段 (人資版)'!K58,'工作表1'!$A$3:$B$78,2,FALSE)</f>
        <v>#REF!</v>
      </c>
      <c r="L58" s="57" t="str">
        <f>VLOOKUP('北段 (人資版)'!L58,'工作表1'!$A$3:$B$78,2,FALSE)</f>
        <v>#REF!</v>
      </c>
      <c r="M58" s="57" t="str">
        <f>VLOOKUP('北段 (人資版)'!M58,'工作表1'!$A$3:$B$78,2,FALSE)</f>
        <v>#REF!</v>
      </c>
      <c r="N58" s="57" t="str">
        <f>VLOOKUP('北段 (人資版)'!N58,'工作表1'!$A$3:$B$78,2,FALSE)</f>
        <v>#REF!</v>
      </c>
      <c r="O58" s="57" t="str">
        <f>VLOOKUP('北段 (人資版)'!O58,'工作表1'!$A$3:$B$78,2,FALSE)</f>
        <v>#REF!</v>
      </c>
      <c r="P58" s="57" t="str">
        <f>VLOOKUP('北段 (人資版)'!P58,'工作表1'!$A$3:$B$78,2,FALSE)</f>
        <v>#REF!</v>
      </c>
      <c r="Q58" s="57" t="str">
        <f>VLOOKUP('北段 (人資版)'!Q58,'工作表1'!$A$3:$B$78,2,FALSE)</f>
        <v>#REF!</v>
      </c>
      <c r="R58" s="57" t="str">
        <f>VLOOKUP('北段 (人資版)'!R58,'工作表1'!$A$3:$B$78,2,FALSE)</f>
        <v>#REF!</v>
      </c>
      <c r="S58" s="57" t="str">
        <f>VLOOKUP('北段 (人資版)'!S58,'工作表1'!$A$3:$B$78,2,FALSE)</f>
        <v>#REF!</v>
      </c>
      <c r="T58" s="57" t="str">
        <f>VLOOKUP('北段 (人資版)'!T58,'工作表1'!$A$3:$B$78,2,FALSE)</f>
        <v>#REF!</v>
      </c>
      <c r="U58" s="57" t="str">
        <f>VLOOKUP('北段 (人資版)'!U58,'工作表1'!$A$3:$B$78,2,FALSE)</f>
        <v>#REF!</v>
      </c>
      <c r="V58" s="57" t="str">
        <f>VLOOKUP('北段 (人資版)'!V58,'工作表1'!$A$3:$B$78,2,FALSE)</f>
        <v>#REF!</v>
      </c>
      <c r="W58" s="57" t="str">
        <f>VLOOKUP('北段 (人資版)'!W58,'工作表1'!$A$3:$B$78,2,FALSE)</f>
        <v>#REF!</v>
      </c>
      <c r="X58" s="57" t="str">
        <f>VLOOKUP('北段 (人資版)'!X58,'工作表1'!$A$3:$B$78,2,FALSE)</f>
        <v>#REF!</v>
      </c>
      <c r="Y58" s="57" t="str">
        <f>VLOOKUP('北段 (人資版)'!Y58,'工作表1'!$A$3:$B$78,2,FALSE)</f>
        <v>#REF!</v>
      </c>
      <c r="Z58" s="57" t="str">
        <f>VLOOKUP('北段 (人資版)'!Z58,'工作表1'!$A$3:$B$78,2,FALSE)</f>
        <v>#REF!</v>
      </c>
      <c r="AA58" s="57" t="str">
        <f>VLOOKUP('北段 (人資版)'!AA58,'工作表1'!$A$3:$B$78,2,FALSE)</f>
        <v>#REF!</v>
      </c>
      <c r="AB58" s="57" t="str">
        <f>VLOOKUP('北段 (人資版)'!AB58,'工作表1'!$A$3:$B$78,2,FALSE)</f>
        <v>#REF!</v>
      </c>
      <c r="AC58" s="57" t="str">
        <f>VLOOKUP('北段 (人資版)'!AC58,'工作表1'!$A$3:$B$78,2,FALSE)</f>
        <v>#REF!</v>
      </c>
      <c r="AD58" s="57" t="str">
        <f>VLOOKUP('北段 (人資版)'!AD58,'工作表1'!$A$3:$B$78,2,FALSE)</f>
        <v>#REF!</v>
      </c>
      <c r="AE58" s="57" t="str">
        <f>VLOOKUP('北段 (人資版)'!AE58,'工作表1'!$A$3:$B$78,2,FALSE)</f>
        <v>#REF!</v>
      </c>
      <c r="AF58" s="57" t="str">
        <f>VLOOKUP('北段 (人資版)'!AF58,'工作表1'!$A$3:$B$78,2,FALSE)</f>
        <v>#REF!</v>
      </c>
      <c r="AG58" s="57" t="str">
        <f>VLOOKUP('北段 (人資版)'!AG58,'工作表1'!$A$3:$B$78,2,FALSE)</f>
        <v>#REF!</v>
      </c>
      <c r="AH58" s="57" t="str">
        <f>VLOOKUP('北段 (人資版)'!AH58,'工作表1'!$A$3:$B$78,2,FALSE)</f>
        <v>#ERROR!</v>
      </c>
      <c r="AI58" s="57" t="str">
        <f>VLOOKUP('北段 (人資版)'!AI58,'工作表1'!$A$3:$B$78,2,FALSE)</f>
        <v>#ERROR!</v>
      </c>
      <c r="AJ58" s="57" t="str">
        <f>VLOOKUP('北段 (人資版)'!AJ58,'工作表1'!$A$3:$B$78,2,FALSE)</f>
        <v>#ERROR!</v>
      </c>
      <c r="AK58" s="57" t="str">
        <f>VLOOKUP('北段 (人資版)'!AK58,'工作表1'!$A$3:$B$78,2,FALSE)</f>
        <v>#ERROR!</v>
      </c>
      <c r="AL58" s="57" t="str">
        <f>VLOOKUP('北段 (人資版)'!AL58,'工作表1'!$A$3:$B$78,2,FALSE)</f>
        <v>#ERROR!</v>
      </c>
      <c r="AM58" s="57" t="str">
        <f>VLOOKUP('北段 (人資版)'!AM58,'工作表1'!$A$3:$B$78,2,FALSE)</f>
        <v>#ERROR!</v>
      </c>
      <c r="AN58" s="57" t="str">
        <f>VLOOKUP('北段 (人資版)'!AN58,'工作表1'!$A$3:$B$78,2,FALSE)</f>
        <v>#ERROR!</v>
      </c>
    </row>
    <row r="59" ht="39.75" customHeight="1">
      <c r="A59" s="59"/>
      <c r="B59" s="57" t="str">
        <f t="shared" si="3"/>
        <v>#REF!</v>
      </c>
      <c r="C59" s="57" t="str">
        <f>VLOOKUP(B59,'北段'!B:C,2,FALSE)</f>
        <v>#REF!</v>
      </c>
      <c r="D59" s="57" t="str">
        <f>VLOOKUP('北段 (人資版)'!D59,'工作表1'!$A$3:$B$78,2,FALSE)</f>
        <v>#REF!</v>
      </c>
      <c r="E59" s="57" t="str">
        <f>VLOOKUP('北段 (人資版)'!E59,'工作表1'!$A$3:$B$78,2,FALSE)</f>
        <v>#REF!</v>
      </c>
      <c r="F59" s="57" t="str">
        <f>VLOOKUP('北段 (人資版)'!F59,'工作表1'!$A$3:$B$78,2,FALSE)</f>
        <v>#REF!</v>
      </c>
      <c r="G59" s="57" t="str">
        <f>VLOOKUP('北段 (人資版)'!G59,'工作表1'!$A$3:$B$78,2,FALSE)</f>
        <v>#REF!</v>
      </c>
      <c r="H59" s="57" t="str">
        <f>VLOOKUP('北段 (人資版)'!H59,'工作表1'!$A$3:$B$78,2,FALSE)</f>
        <v>#REF!</v>
      </c>
      <c r="I59" s="57" t="str">
        <f>VLOOKUP('北段 (人資版)'!I59,'工作表1'!$A$3:$B$78,2,FALSE)</f>
        <v>#REF!</v>
      </c>
      <c r="J59" s="57" t="str">
        <f>VLOOKUP('北段 (人資版)'!J59,'工作表1'!$A$3:$B$78,2,FALSE)</f>
        <v>#REF!</v>
      </c>
      <c r="K59" s="57" t="str">
        <f>VLOOKUP('北段 (人資版)'!K59,'工作表1'!$A$3:$B$78,2,FALSE)</f>
        <v>#REF!</v>
      </c>
      <c r="L59" s="57" t="str">
        <f>VLOOKUP('北段 (人資版)'!L59,'工作表1'!$A$3:$B$78,2,FALSE)</f>
        <v>#REF!</v>
      </c>
      <c r="M59" s="57" t="str">
        <f>VLOOKUP('北段 (人資版)'!M59,'工作表1'!$A$3:$B$78,2,FALSE)</f>
        <v>#REF!</v>
      </c>
      <c r="N59" s="57" t="str">
        <f>VLOOKUP('北段 (人資版)'!N59,'工作表1'!$A$3:$B$78,2,FALSE)</f>
        <v>#REF!</v>
      </c>
      <c r="O59" s="57" t="str">
        <f>VLOOKUP('北段 (人資版)'!O59,'工作表1'!$A$3:$B$78,2,FALSE)</f>
        <v>#REF!</v>
      </c>
      <c r="P59" s="57" t="str">
        <f>VLOOKUP('北段 (人資版)'!P59,'工作表1'!$A$3:$B$78,2,FALSE)</f>
        <v>#REF!</v>
      </c>
      <c r="Q59" s="57" t="str">
        <f>VLOOKUP('北段 (人資版)'!Q59,'工作表1'!$A$3:$B$78,2,FALSE)</f>
        <v>#REF!</v>
      </c>
      <c r="R59" s="57" t="str">
        <f>VLOOKUP('北段 (人資版)'!R59,'工作表1'!$A$3:$B$78,2,FALSE)</f>
        <v>#REF!</v>
      </c>
      <c r="S59" s="57" t="str">
        <f>VLOOKUP('北段 (人資版)'!S59,'工作表1'!$A$3:$B$78,2,FALSE)</f>
        <v>#REF!</v>
      </c>
      <c r="T59" s="57" t="str">
        <f>VLOOKUP('北段 (人資版)'!T59,'工作表1'!$A$3:$B$78,2,FALSE)</f>
        <v>#REF!</v>
      </c>
      <c r="U59" s="57" t="str">
        <f>VLOOKUP('北段 (人資版)'!U59,'工作表1'!$A$3:$B$78,2,FALSE)</f>
        <v>#REF!</v>
      </c>
      <c r="V59" s="57" t="str">
        <f>VLOOKUP('北段 (人資版)'!V59,'工作表1'!$A$3:$B$78,2,FALSE)</f>
        <v>#REF!</v>
      </c>
      <c r="W59" s="57" t="str">
        <f>VLOOKUP('北段 (人資版)'!W59,'工作表1'!$A$3:$B$78,2,FALSE)</f>
        <v>#REF!</v>
      </c>
      <c r="X59" s="57" t="str">
        <f>VLOOKUP('北段 (人資版)'!X59,'工作表1'!$A$3:$B$78,2,FALSE)</f>
        <v>#REF!</v>
      </c>
      <c r="Y59" s="57" t="str">
        <f>VLOOKUP('北段 (人資版)'!Y59,'工作表1'!$A$3:$B$78,2,FALSE)</f>
        <v>#REF!</v>
      </c>
      <c r="Z59" s="57" t="str">
        <f>VLOOKUP('北段 (人資版)'!Z59,'工作表1'!$A$3:$B$78,2,FALSE)</f>
        <v>#REF!</v>
      </c>
      <c r="AA59" s="57" t="str">
        <f>VLOOKUP('北段 (人資版)'!AA59,'工作表1'!$A$3:$B$78,2,FALSE)</f>
        <v>#REF!</v>
      </c>
      <c r="AB59" s="57" t="str">
        <f>VLOOKUP('北段 (人資版)'!AB59,'工作表1'!$A$3:$B$78,2,FALSE)</f>
        <v>#REF!</v>
      </c>
      <c r="AC59" s="57" t="str">
        <f>VLOOKUP('北段 (人資版)'!AC59,'工作表1'!$A$3:$B$78,2,FALSE)</f>
        <v>#REF!</v>
      </c>
      <c r="AD59" s="57" t="str">
        <f>VLOOKUP('北段 (人資版)'!AD59,'工作表1'!$A$3:$B$78,2,FALSE)</f>
        <v>#REF!</v>
      </c>
      <c r="AE59" s="57" t="str">
        <f>VLOOKUP('北段 (人資版)'!AE59,'工作表1'!$A$3:$B$78,2,FALSE)</f>
        <v>#REF!</v>
      </c>
      <c r="AF59" s="57" t="str">
        <f>VLOOKUP('北段 (人資版)'!AF59,'工作表1'!$A$3:$B$78,2,FALSE)</f>
        <v>#REF!</v>
      </c>
      <c r="AG59" s="57" t="str">
        <f>VLOOKUP('北段 (人資版)'!AG59,'工作表1'!$A$3:$B$78,2,FALSE)</f>
        <v>#REF!</v>
      </c>
      <c r="AH59" s="57" t="str">
        <f>VLOOKUP('北段 (人資版)'!AH59,'工作表1'!$A$3:$B$78,2,FALSE)</f>
        <v>#ERROR!</v>
      </c>
      <c r="AI59" s="57" t="str">
        <f>VLOOKUP('北段 (人資版)'!AI59,'工作表1'!$A$3:$B$78,2,FALSE)</f>
        <v>#ERROR!</v>
      </c>
      <c r="AJ59" s="57" t="str">
        <f>VLOOKUP('北段 (人資版)'!AJ59,'工作表1'!$A$3:$B$78,2,FALSE)</f>
        <v>#ERROR!</v>
      </c>
      <c r="AK59" s="57" t="str">
        <f>VLOOKUP('北段 (人資版)'!AK59,'工作表1'!$A$3:$B$78,2,FALSE)</f>
        <v>#ERROR!</v>
      </c>
      <c r="AL59" s="57" t="str">
        <f>VLOOKUP('北段 (人資版)'!AL59,'工作表1'!$A$3:$B$78,2,FALSE)</f>
        <v>#ERROR!</v>
      </c>
      <c r="AM59" s="57" t="str">
        <f>VLOOKUP('北段 (人資版)'!AM59,'工作表1'!$A$3:$B$78,2,FALSE)</f>
        <v>#ERROR!</v>
      </c>
      <c r="AN59" s="57" t="str">
        <f>VLOOKUP('北段 (人資版)'!AN59,'工作表1'!$A$3:$B$78,2,FALSE)</f>
        <v>#ERROR!</v>
      </c>
    </row>
    <row r="60" ht="39.0" customHeight="1">
      <c r="A60" s="59"/>
      <c r="B60" s="57" t="str">
        <f t="shared" si="3"/>
        <v>#REF!</v>
      </c>
      <c r="C60" s="57" t="str">
        <f>VLOOKUP(B60,'北段'!B:C,2,FALSE)</f>
        <v>#REF!</v>
      </c>
      <c r="D60" s="57" t="str">
        <f>VLOOKUP('北段 (人資版)'!D60,'工作表1'!$A$3:$B$78,2,FALSE)</f>
        <v>#REF!</v>
      </c>
      <c r="E60" s="57" t="str">
        <f>VLOOKUP('北段 (人資版)'!E60,'工作表1'!$A$3:$B$78,2,FALSE)</f>
        <v>#REF!</v>
      </c>
      <c r="F60" s="57" t="str">
        <f>VLOOKUP('北段 (人資版)'!F60,'工作表1'!$A$3:$B$78,2,FALSE)</f>
        <v>#REF!</v>
      </c>
      <c r="G60" s="57" t="str">
        <f>VLOOKUP('北段 (人資版)'!G60,'工作表1'!$A$3:$B$78,2,FALSE)</f>
        <v>#REF!</v>
      </c>
      <c r="H60" s="57" t="str">
        <f>VLOOKUP('北段 (人資版)'!H60,'工作表1'!$A$3:$B$78,2,FALSE)</f>
        <v>#REF!</v>
      </c>
      <c r="I60" s="57" t="str">
        <f>VLOOKUP('北段 (人資版)'!I60,'工作表1'!$A$3:$B$78,2,FALSE)</f>
        <v>#REF!</v>
      </c>
      <c r="J60" s="57" t="str">
        <f>VLOOKUP('北段 (人資版)'!J60,'工作表1'!$A$3:$B$78,2,FALSE)</f>
        <v>#REF!</v>
      </c>
      <c r="K60" s="57" t="str">
        <f>VLOOKUP('北段 (人資版)'!K60,'工作表1'!$A$3:$B$78,2,FALSE)</f>
        <v>#REF!</v>
      </c>
      <c r="L60" s="57" t="str">
        <f>VLOOKUP('北段 (人資版)'!L60,'工作表1'!$A$3:$B$78,2,FALSE)</f>
        <v>#REF!</v>
      </c>
      <c r="M60" s="57" t="str">
        <f>VLOOKUP('北段 (人資版)'!M60,'工作表1'!$A$3:$B$78,2,FALSE)</f>
        <v>#REF!</v>
      </c>
      <c r="N60" s="57" t="str">
        <f>VLOOKUP('北段 (人資版)'!N60,'工作表1'!$A$3:$B$78,2,FALSE)</f>
        <v>#REF!</v>
      </c>
      <c r="O60" s="57" t="str">
        <f>VLOOKUP('北段 (人資版)'!O60,'工作表1'!$A$3:$B$78,2,FALSE)</f>
        <v>#REF!</v>
      </c>
      <c r="P60" s="57" t="str">
        <f>VLOOKUP('北段 (人資版)'!P60,'工作表1'!$A$3:$B$78,2,FALSE)</f>
        <v>#REF!</v>
      </c>
      <c r="Q60" s="57" t="str">
        <f>VLOOKUP('北段 (人資版)'!Q60,'工作表1'!$A$3:$B$78,2,FALSE)</f>
        <v>#REF!</v>
      </c>
      <c r="R60" s="57" t="str">
        <f>VLOOKUP('北段 (人資版)'!R60,'工作表1'!$A$3:$B$78,2,FALSE)</f>
        <v>#REF!</v>
      </c>
      <c r="S60" s="57" t="str">
        <f>VLOOKUP('北段 (人資版)'!S60,'工作表1'!$A$3:$B$78,2,FALSE)</f>
        <v>#REF!</v>
      </c>
      <c r="T60" s="57" t="str">
        <f>VLOOKUP('北段 (人資版)'!T60,'工作表1'!$A$3:$B$78,2,FALSE)</f>
        <v>#REF!</v>
      </c>
      <c r="U60" s="57" t="str">
        <f>VLOOKUP('北段 (人資版)'!U60,'工作表1'!$A$3:$B$78,2,FALSE)</f>
        <v>#REF!</v>
      </c>
      <c r="V60" s="57" t="str">
        <f>VLOOKUP('北段 (人資版)'!V60,'工作表1'!$A$3:$B$78,2,FALSE)</f>
        <v>#REF!</v>
      </c>
      <c r="W60" s="57" t="str">
        <f>VLOOKUP('北段 (人資版)'!W60,'工作表1'!$A$3:$B$78,2,FALSE)</f>
        <v>#REF!</v>
      </c>
      <c r="X60" s="57" t="str">
        <f>VLOOKUP('北段 (人資版)'!X60,'工作表1'!$A$3:$B$78,2,FALSE)</f>
        <v>#REF!</v>
      </c>
      <c r="Y60" s="57" t="str">
        <f>VLOOKUP('北段 (人資版)'!Y60,'工作表1'!$A$3:$B$78,2,FALSE)</f>
        <v>#REF!</v>
      </c>
      <c r="Z60" s="57" t="str">
        <f>VLOOKUP('北段 (人資版)'!Z60,'工作表1'!$A$3:$B$78,2,FALSE)</f>
        <v>#REF!</v>
      </c>
      <c r="AA60" s="57" t="str">
        <f>VLOOKUP('北段 (人資版)'!AA60,'工作表1'!$A$3:$B$78,2,FALSE)</f>
        <v>#REF!</v>
      </c>
      <c r="AB60" s="57" t="str">
        <f>VLOOKUP('北段 (人資版)'!AB60,'工作表1'!$A$3:$B$78,2,FALSE)</f>
        <v>#REF!</v>
      </c>
      <c r="AC60" s="57" t="str">
        <f>VLOOKUP('北段 (人資版)'!AC60,'工作表1'!$A$3:$B$78,2,FALSE)</f>
        <v>#REF!</v>
      </c>
      <c r="AD60" s="57" t="str">
        <f>VLOOKUP('北段 (人資版)'!AD60,'工作表1'!$A$3:$B$78,2,FALSE)</f>
        <v>#REF!</v>
      </c>
      <c r="AE60" s="57" t="str">
        <f>VLOOKUP('北段 (人資版)'!AE60,'工作表1'!$A$3:$B$78,2,FALSE)</f>
        <v>#REF!</v>
      </c>
      <c r="AF60" s="57" t="str">
        <f>VLOOKUP('北段 (人資版)'!AF60,'工作表1'!$A$3:$B$78,2,FALSE)</f>
        <v>#REF!</v>
      </c>
      <c r="AG60" s="57" t="str">
        <f>VLOOKUP('北段 (人資版)'!AG60,'工作表1'!$A$3:$B$78,2,FALSE)</f>
        <v>#REF!</v>
      </c>
      <c r="AH60" s="57" t="str">
        <f>VLOOKUP('北段 (人資版)'!AH60,'工作表1'!$A$3:$B$78,2,FALSE)</f>
        <v>#ERROR!</v>
      </c>
      <c r="AI60" s="57" t="str">
        <f>VLOOKUP('北段 (人資版)'!AI60,'工作表1'!$A$3:$B$78,2,FALSE)</f>
        <v>#ERROR!</v>
      </c>
      <c r="AJ60" s="57" t="str">
        <f>VLOOKUP('北段 (人資版)'!AJ60,'工作表1'!$A$3:$B$78,2,FALSE)</f>
        <v>#ERROR!</v>
      </c>
      <c r="AK60" s="57" t="str">
        <f>VLOOKUP('北段 (人資版)'!AK60,'工作表1'!$A$3:$B$78,2,FALSE)</f>
        <v>#ERROR!</v>
      </c>
      <c r="AL60" s="57" t="str">
        <f>VLOOKUP('北段 (人資版)'!AL60,'工作表1'!$A$3:$B$78,2,FALSE)</f>
        <v>#ERROR!</v>
      </c>
      <c r="AM60" s="57" t="str">
        <f>VLOOKUP('北段 (人資版)'!AM60,'工作表1'!$A$3:$B$78,2,FALSE)</f>
        <v>#ERROR!</v>
      </c>
      <c r="AN60" s="57" t="str">
        <f>VLOOKUP('北段 (人資版)'!AN60,'工作表1'!$A$3:$B$78,2,FALSE)</f>
        <v>#ERROR!</v>
      </c>
    </row>
    <row r="61" ht="39.0" customHeight="1">
      <c r="A61" s="59"/>
      <c r="B61" s="57" t="str">
        <f t="shared" si="3"/>
        <v>#REF!</v>
      </c>
      <c r="C61" s="57" t="str">
        <f>VLOOKUP(B61,'北段'!B:C,2,FALSE)</f>
        <v>#REF!</v>
      </c>
      <c r="D61" s="57" t="str">
        <f>VLOOKUP('北段 (人資版)'!D61,'工作表1'!$A$3:$B$78,2,FALSE)</f>
        <v>#REF!</v>
      </c>
      <c r="E61" s="57" t="str">
        <f>VLOOKUP('北段 (人資版)'!E61,'工作表1'!$A$3:$B$78,2,FALSE)</f>
        <v>#REF!</v>
      </c>
      <c r="F61" s="57" t="str">
        <f>VLOOKUP('北段 (人資版)'!F61,'工作表1'!$A$3:$B$78,2,FALSE)</f>
        <v>#REF!</v>
      </c>
      <c r="G61" s="57" t="str">
        <f>VLOOKUP('北段 (人資版)'!G61,'工作表1'!$A$3:$B$78,2,FALSE)</f>
        <v>#REF!</v>
      </c>
      <c r="H61" s="57" t="str">
        <f>VLOOKUP('北段 (人資版)'!H61,'工作表1'!$A$3:$B$78,2,FALSE)</f>
        <v>#REF!</v>
      </c>
      <c r="I61" s="57" t="str">
        <f>VLOOKUP('北段 (人資版)'!I61,'工作表1'!$A$3:$B$78,2,FALSE)</f>
        <v>#REF!</v>
      </c>
      <c r="J61" s="57" t="str">
        <f>VLOOKUP('北段 (人資版)'!J61,'工作表1'!$A$3:$B$78,2,FALSE)</f>
        <v>#REF!</v>
      </c>
      <c r="K61" s="57" t="str">
        <f>VLOOKUP('北段 (人資版)'!K61,'工作表1'!$A$3:$B$78,2,FALSE)</f>
        <v>#REF!</v>
      </c>
      <c r="L61" s="57" t="str">
        <f>VLOOKUP('北段 (人資版)'!L61,'工作表1'!$A$3:$B$78,2,FALSE)</f>
        <v>#REF!</v>
      </c>
      <c r="M61" s="57" t="str">
        <f>VLOOKUP('北段 (人資版)'!M61,'工作表1'!$A$3:$B$78,2,FALSE)</f>
        <v>#REF!</v>
      </c>
      <c r="N61" s="57" t="str">
        <f>VLOOKUP('北段 (人資版)'!N61,'工作表1'!$A$3:$B$78,2,FALSE)</f>
        <v>#REF!</v>
      </c>
      <c r="O61" s="57" t="str">
        <f>VLOOKUP('北段 (人資版)'!O61,'工作表1'!$A$3:$B$78,2,FALSE)</f>
        <v>#REF!</v>
      </c>
      <c r="P61" s="57" t="str">
        <f>VLOOKUP('北段 (人資版)'!P61,'工作表1'!$A$3:$B$78,2,FALSE)</f>
        <v>#REF!</v>
      </c>
      <c r="Q61" s="57" t="str">
        <f>VLOOKUP('北段 (人資版)'!Q61,'工作表1'!$A$3:$B$78,2,FALSE)</f>
        <v>#REF!</v>
      </c>
      <c r="R61" s="57" t="str">
        <f>VLOOKUP('北段 (人資版)'!R61,'工作表1'!$A$3:$B$78,2,FALSE)</f>
        <v>#REF!</v>
      </c>
      <c r="S61" s="57" t="str">
        <f>VLOOKUP('北段 (人資版)'!S61,'工作表1'!$A$3:$B$78,2,FALSE)</f>
        <v>#REF!</v>
      </c>
      <c r="T61" s="57" t="str">
        <f>VLOOKUP('北段 (人資版)'!T61,'工作表1'!$A$3:$B$78,2,FALSE)</f>
        <v>#REF!</v>
      </c>
      <c r="U61" s="57" t="str">
        <f>VLOOKUP('北段 (人資版)'!U61,'工作表1'!$A$3:$B$78,2,FALSE)</f>
        <v>#REF!</v>
      </c>
      <c r="V61" s="57" t="str">
        <f>VLOOKUP('北段 (人資版)'!V61,'工作表1'!$A$3:$B$78,2,FALSE)</f>
        <v>#REF!</v>
      </c>
      <c r="W61" s="57" t="str">
        <f>VLOOKUP('北段 (人資版)'!W61,'工作表1'!$A$3:$B$78,2,FALSE)</f>
        <v>#REF!</v>
      </c>
      <c r="X61" s="57" t="str">
        <f>VLOOKUP('北段 (人資版)'!X61,'工作表1'!$A$3:$B$78,2,FALSE)</f>
        <v>#REF!</v>
      </c>
      <c r="Y61" s="57" t="str">
        <f>VLOOKUP('北段 (人資版)'!Y61,'工作表1'!$A$3:$B$78,2,FALSE)</f>
        <v>#REF!</v>
      </c>
      <c r="Z61" s="57" t="str">
        <f>VLOOKUP('北段 (人資版)'!Z61,'工作表1'!$A$3:$B$78,2,FALSE)</f>
        <v>#REF!</v>
      </c>
      <c r="AA61" s="57" t="str">
        <f>VLOOKUP('北段 (人資版)'!AA61,'工作表1'!$A$3:$B$78,2,FALSE)</f>
        <v>#REF!</v>
      </c>
      <c r="AB61" s="57" t="str">
        <f>VLOOKUP('北段 (人資版)'!AB61,'工作表1'!$A$3:$B$78,2,FALSE)</f>
        <v>#REF!</v>
      </c>
      <c r="AC61" s="57" t="str">
        <f>VLOOKUP('北段 (人資版)'!AC61,'工作表1'!$A$3:$B$78,2,FALSE)</f>
        <v>#REF!</v>
      </c>
      <c r="AD61" s="57" t="str">
        <f>VLOOKUP('北段 (人資版)'!AD61,'工作表1'!$A$3:$B$78,2,FALSE)</f>
        <v>#REF!</v>
      </c>
      <c r="AE61" s="57" t="str">
        <f>VLOOKUP('北段 (人資版)'!AE61,'工作表1'!$A$3:$B$78,2,FALSE)</f>
        <v>#REF!</v>
      </c>
      <c r="AF61" s="57" t="str">
        <f>VLOOKUP('北段 (人資版)'!AF61,'工作表1'!$A$3:$B$78,2,FALSE)</f>
        <v>#REF!</v>
      </c>
      <c r="AG61" s="57" t="str">
        <f>VLOOKUP('北段 (人資版)'!AG61,'工作表1'!$A$3:$B$78,2,FALSE)</f>
        <v>#REF!</v>
      </c>
      <c r="AH61" s="57" t="str">
        <f>VLOOKUP('北段 (人資版)'!AH61,'工作表1'!$A$3:$B$78,2,FALSE)</f>
        <v>#ERROR!</v>
      </c>
      <c r="AI61" s="57" t="str">
        <f>VLOOKUP('北段 (人資版)'!AI61,'工作表1'!$A$3:$B$78,2,FALSE)</f>
        <v>#ERROR!</v>
      </c>
      <c r="AJ61" s="57" t="str">
        <f>VLOOKUP('北段 (人資版)'!AJ61,'工作表1'!$A$3:$B$78,2,FALSE)</f>
        <v>#ERROR!</v>
      </c>
      <c r="AK61" s="57" t="str">
        <f>VLOOKUP('北段 (人資版)'!AK61,'工作表1'!$A$3:$B$78,2,FALSE)</f>
        <v>#ERROR!</v>
      </c>
      <c r="AL61" s="57" t="str">
        <f>VLOOKUP('北段 (人資版)'!AL61,'工作表1'!$A$3:$B$78,2,FALSE)</f>
        <v>#ERROR!</v>
      </c>
      <c r="AM61" s="57" t="str">
        <f>VLOOKUP('北段 (人資版)'!AM61,'工作表1'!$A$3:$B$78,2,FALSE)</f>
        <v>#ERROR!</v>
      </c>
      <c r="AN61" s="57" t="str">
        <f>VLOOKUP('北段 (人資版)'!AN61,'工作表1'!$A$3:$B$78,2,FALSE)</f>
        <v>#ERROR!</v>
      </c>
    </row>
    <row r="62" ht="39.0" customHeight="1">
      <c r="A62" s="193"/>
      <c r="B62" s="57" t="str">
        <f t="shared" si="3"/>
        <v>#REF!</v>
      </c>
      <c r="C62" s="57" t="str">
        <f>VLOOKUP(B62,'北段'!B:C,2,FALSE)</f>
        <v>#REF!</v>
      </c>
      <c r="D62" s="57" t="str">
        <f>VLOOKUP('北段 (人資版)'!D62,'工作表1'!$A$3:$B$78,2,FALSE)</f>
        <v>#REF!</v>
      </c>
      <c r="E62" s="57" t="str">
        <f>VLOOKUP('北段 (人資版)'!E62,'工作表1'!$A$3:$B$78,2,FALSE)</f>
        <v>#REF!</v>
      </c>
      <c r="F62" s="57" t="str">
        <f>VLOOKUP('北段 (人資版)'!F62,'工作表1'!$A$3:$B$78,2,FALSE)</f>
        <v>#REF!</v>
      </c>
      <c r="G62" s="57" t="str">
        <f>VLOOKUP('北段 (人資版)'!G62,'工作表1'!$A$3:$B$78,2,FALSE)</f>
        <v>#REF!</v>
      </c>
      <c r="H62" s="57" t="str">
        <f>VLOOKUP('北段 (人資版)'!H62,'工作表1'!$A$3:$B$78,2,FALSE)</f>
        <v>#REF!</v>
      </c>
      <c r="I62" s="57" t="str">
        <f>VLOOKUP('北段 (人資版)'!I62,'工作表1'!$A$3:$B$78,2,FALSE)</f>
        <v>#REF!</v>
      </c>
      <c r="J62" s="57" t="str">
        <f>VLOOKUP('北段 (人資版)'!J62,'工作表1'!$A$3:$B$78,2,FALSE)</f>
        <v>#REF!</v>
      </c>
      <c r="K62" s="57" t="str">
        <f>VLOOKUP('北段 (人資版)'!K62,'工作表1'!$A$3:$B$78,2,FALSE)</f>
        <v>#REF!</v>
      </c>
      <c r="L62" s="57" t="str">
        <f>VLOOKUP('北段 (人資版)'!L62,'工作表1'!$A$3:$B$78,2,FALSE)</f>
        <v>#REF!</v>
      </c>
      <c r="M62" s="57" t="str">
        <f>VLOOKUP('北段 (人資版)'!M62,'工作表1'!$A$3:$B$78,2,FALSE)</f>
        <v>#REF!</v>
      </c>
      <c r="N62" s="57" t="str">
        <f>VLOOKUP('北段 (人資版)'!N62,'工作表1'!$A$3:$B$78,2,FALSE)</f>
        <v>#REF!</v>
      </c>
      <c r="O62" s="57" t="str">
        <f>VLOOKUP('北段 (人資版)'!O62,'工作表1'!$A$3:$B$78,2,FALSE)</f>
        <v>#REF!</v>
      </c>
      <c r="P62" s="57" t="str">
        <f>VLOOKUP('北段 (人資版)'!P62,'工作表1'!$A$3:$B$78,2,FALSE)</f>
        <v>#REF!</v>
      </c>
      <c r="Q62" s="57" t="str">
        <f>VLOOKUP('北段 (人資版)'!Q62,'工作表1'!$A$3:$B$78,2,FALSE)</f>
        <v>#REF!</v>
      </c>
      <c r="R62" s="57" t="str">
        <f>VLOOKUP('北段 (人資版)'!R62,'工作表1'!$A$3:$B$78,2,FALSE)</f>
        <v>#REF!</v>
      </c>
      <c r="S62" s="57" t="str">
        <f>VLOOKUP('北段 (人資版)'!S62,'工作表1'!$A$3:$B$78,2,FALSE)</f>
        <v>#REF!</v>
      </c>
      <c r="T62" s="57" t="str">
        <f>VLOOKUP('北段 (人資版)'!T62,'工作表1'!$A$3:$B$78,2,FALSE)</f>
        <v>#REF!</v>
      </c>
      <c r="U62" s="57" t="str">
        <f>VLOOKUP('北段 (人資版)'!U62,'工作表1'!$A$3:$B$78,2,FALSE)</f>
        <v>#REF!</v>
      </c>
      <c r="V62" s="57" t="str">
        <f>VLOOKUP('北段 (人資版)'!V62,'工作表1'!$A$3:$B$78,2,FALSE)</f>
        <v>#REF!</v>
      </c>
      <c r="W62" s="57" t="str">
        <f>VLOOKUP('北段 (人資版)'!W62,'工作表1'!$A$3:$B$78,2,FALSE)</f>
        <v>#REF!</v>
      </c>
      <c r="X62" s="57" t="str">
        <f>VLOOKUP('北段 (人資版)'!X62,'工作表1'!$A$3:$B$78,2,FALSE)</f>
        <v>#REF!</v>
      </c>
      <c r="Y62" s="57" t="str">
        <f>VLOOKUP('北段 (人資版)'!Y62,'工作表1'!$A$3:$B$78,2,FALSE)</f>
        <v>#REF!</v>
      </c>
      <c r="Z62" s="57" t="str">
        <f>VLOOKUP('北段 (人資版)'!Z62,'工作表1'!$A$3:$B$78,2,FALSE)</f>
        <v>#REF!</v>
      </c>
      <c r="AA62" s="57" t="str">
        <f>VLOOKUP('北段 (人資版)'!AA62,'工作表1'!$A$3:$B$78,2,FALSE)</f>
        <v>#REF!</v>
      </c>
      <c r="AB62" s="57" t="str">
        <f>VLOOKUP('北段 (人資版)'!AB62,'工作表1'!$A$3:$B$78,2,FALSE)</f>
        <v>#REF!</v>
      </c>
      <c r="AC62" s="57" t="str">
        <f>VLOOKUP('北段 (人資版)'!AC62,'工作表1'!$A$3:$B$78,2,FALSE)</f>
        <v>#REF!</v>
      </c>
      <c r="AD62" s="57" t="str">
        <f>VLOOKUP('北段 (人資版)'!AD62,'工作表1'!$A$3:$B$78,2,FALSE)</f>
        <v>#REF!</v>
      </c>
      <c r="AE62" s="57" t="str">
        <f>VLOOKUP('北段 (人資版)'!AE62,'工作表1'!$A$3:$B$78,2,FALSE)</f>
        <v>#REF!</v>
      </c>
      <c r="AF62" s="57" t="str">
        <f>VLOOKUP('北段 (人資版)'!AF62,'工作表1'!$A$3:$B$78,2,FALSE)</f>
        <v>#REF!</v>
      </c>
      <c r="AG62" s="57" t="str">
        <f>VLOOKUP('北段 (人資版)'!AG62,'工作表1'!$A$3:$B$78,2,FALSE)</f>
        <v>#REF!</v>
      </c>
      <c r="AH62" s="57" t="str">
        <f>VLOOKUP('北段 (人資版)'!AH62,'工作表1'!$A$3:$B$78,2,FALSE)</f>
        <v>#ERROR!</v>
      </c>
      <c r="AI62" s="57" t="str">
        <f>VLOOKUP('北段 (人資版)'!AI62,'工作表1'!$A$3:$B$78,2,FALSE)</f>
        <v>#ERROR!</v>
      </c>
      <c r="AJ62" s="57" t="str">
        <f>VLOOKUP('北段 (人資版)'!AJ62,'工作表1'!$A$3:$B$78,2,FALSE)</f>
        <v>#ERROR!</v>
      </c>
      <c r="AK62" s="57" t="str">
        <f>VLOOKUP('北段 (人資版)'!AK62,'工作表1'!$A$3:$B$78,2,FALSE)</f>
        <v>#ERROR!</v>
      </c>
      <c r="AL62" s="57" t="str">
        <f>VLOOKUP('北段 (人資版)'!AL62,'工作表1'!$A$3:$B$78,2,FALSE)</f>
        <v>#ERROR!</v>
      </c>
      <c r="AM62" s="57" t="str">
        <f>VLOOKUP('北段 (人資版)'!AM62,'工作表1'!$A$3:$B$78,2,FALSE)</f>
        <v>#ERROR!</v>
      </c>
      <c r="AN62" s="57" t="str">
        <f>VLOOKUP('北段 (人資版)'!AN62,'工作表1'!$A$3:$B$78,2,FALSE)</f>
        <v>#ERROR!</v>
      </c>
    </row>
    <row r="63" ht="39.0" customHeight="1">
      <c r="A63" s="194"/>
      <c r="B63" s="57" t="str">
        <f t="shared" si="3"/>
        <v>#REF!</v>
      </c>
      <c r="C63" s="57" t="str">
        <f>VLOOKUP(B63,'北段'!B:C,2,FALSE)</f>
        <v>#REF!</v>
      </c>
      <c r="D63" s="57" t="str">
        <f>VLOOKUP('北段 (人資版)'!D63,'工作表1'!$A$3:$B$78,2,FALSE)</f>
        <v>#REF!</v>
      </c>
      <c r="E63" s="57" t="str">
        <f>VLOOKUP('北段 (人資版)'!E63,'工作表1'!$A$3:$B$78,2,FALSE)</f>
        <v>#REF!</v>
      </c>
      <c r="F63" s="57" t="str">
        <f>VLOOKUP('北段 (人資版)'!F63,'工作表1'!$A$3:$B$78,2,FALSE)</f>
        <v>#REF!</v>
      </c>
      <c r="G63" s="57" t="str">
        <f>VLOOKUP('北段 (人資版)'!G63,'工作表1'!$A$3:$B$78,2,FALSE)</f>
        <v>#REF!</v>
      </c>
      <c r="H63" s="57" t="str">
        <f>VLOOKUP('北段 (人資版)'!H63,'工作表1'!$A$3:$B$78,2,FALSE)</f>
        <v>#REF!</v>
      </c>
      <c r="I63" s="57" t="str">
        <f>VLOOKUP('北段 (人資版)'!I63,'工作表1'!$A$3:$B$78,2,FALSE)</f>
        <v>#REF!</v>
      </c>
      <c r="J63" s="57" t="str">
        <f>VLOOKUP('北段 (人資版)'!J63,'工作表1'!$A$3:$B$78,2,FALSE)</f>
        <v>#REF!</v>
      </c>
      <c r="K63" s="57" t="str">
        <f>VLOOKUP('北段 (人資版)'!K63,'工作表1'!$A$3:$B$78,2,FALSE)</f>
        <v>#REF!</v>
      </c>
      <c r="L63" s="57" t="str">
        <f>VLOOKUP('北段 (人資版)'!L63,'工作表1'!$A$3:$B$78,2,FALSE)</f>
        <v>#REF!</v>
      </c>
      <c r="M63" s="57" t="str">
        <f>VLOOKUP('北段 (人資版)'!M63,'工作表1'!$A$3:$B$78,2,FALSE)</f>
        <v>#REF!</v>
      </c>
      <c r="N63" s="57" t="str">
        <f>VLOOKUP('北段 (人資版)'!N63,'工作表1'!$A$3:$B$78,2,FALSE)</f>
        <v>#REF!</v>
      </c>
      <c r="O63" s="57" t="str">
        <f>VLOOKUP('北段 (人資版)'!O63,'工作表1'!$A$3:$B$78,2,FALSE)</f>
        <v>#REF!</v>
      </c>
      <c r="P63" s="57" t="str">
        <f>VLOOKUP('北段 (人資版)'!P63,'工作表1'!$A$3:$B$78,2,FALSE)</f>
        <v>#REF!</v>
      </c>
      <c r="Q63" s="57" t="str">
        <f>VLOOKUP('北段 (人資版)'!Q63,'工作表1'!$A$3:$B$78,2,FALSE)</f>
        <v>#REF!</v>
      </c>
      <c r="R63" s="57" t="str">
        <f>VLOOKUP('北段 (人資版)'!R63,'工作表1'!$A$3:$B$78,2,FALSE)</f>
        <v>#REF!</v>
      </c>
      <c r="S63" s="57" t="str">
        <f>VLOOKUP('北段 (人資版)'!S63,'工作表1'!$A$3:$B$78,2,FALSE)</f>
        <v>#REF!</v>
      </c>
      <c r="T63" s="57" t="str">
        <f>VLOOKUP('北段 (人資版)'!T63,'工作表1'!$A$3:$B$78,2,FALSE)</f>
        <v>#REF!</v>
      </c>
      <c r="U63" s="57" t="str">
        <f>VLOOKUP('北段 (人資版)'!U63,'工作表1'!$A$3:$B$78,2,FALSE)</f>
        <v>#REF!</v>
      </c>
      <c r="V63" s="57" t="str">
        <f>VLOOKUP('北段 (人資版)'!V63,'工作表1'!$A$3:$B$78,2,FALSE)</f>
        <v>#REF!</v>
      </c>
      <c r="W63" s="57" t="str">
        <f>VLOOKUP('北段 (人資版)'!W63,'工作表1'!$A$3:$B$78,2,FALSE)</f>
        <v>#REF!</v>
      </c>
      <c r="X63" s="57" t="str">
        <f>VLOOKUP('北段 (人資版)'!X63,'工作表1'!$A$3:$B$78,2,FALSE)</f>
        <v>#REF!</v>
      </c>
      <c r="Y63" s="57" t="str">
        <f>VLOOKUP('北段 (人資版)'!Y63,'工作表1'!$A$3:$B$78,2,FALSE)</f>
        <v>#REF!</v>
      </c>
      <c r="Z63" s="57" t="str">
        <f>VLOOKUP('北段 (人資版)'!Z63,'工作表1'!$A$3:$B$78,2,FALSE)</f>
        <v>#REF!</v>
      </c>
      <c r="AA63" s="57" t="str">
        <f>VLOOKUP('北段 (人資版)'!AA63,'工作表1'!$A$3:$B$78,2,FALSE)</f>
        <v>#REF!</v>
      </c>
      <c r="AB63" s="57" t="str">
        <f>VLOOKUP('北段 (人資版)'!AB63,'工作表1'!$A$3:$B$78,2,FALSE)</f>
        <v>#REF!</v>
      </c>
      <c r="AC63" s="57" t="str">
        <f>VLOOKUP('北段 (人資版)'!AC63,'工作表1'!$A$3:$B$78,2,FALSE)</f>
        <v>#REF!</v>
      </c>
      <c r="AD63" s="57" t="str">
        <f>VLOOKUP('北段 (人資版)'!AD63,'工作表1'!$A$3:$B$78,2,FALSE)</f>
        <v>#REF!</v>
      </c>
      <c r="AE63" s="57" t="str">
        <f>VLOOKUP('北段 (人資版)'!AE63,'工作表1'!$A$3:$B$78,2,FALSE)</f>
        <v>#REF!</v>
      </c>
      <c r="AF63" s="57" t="str">
        <f>VLOOKUP('北段 (人資版)'!AF63,'工作表1'!$A$3:$B$78,2,FALSE)</f>
        <v>#REF!</v>
      </c>
      <c r="AG63" s="57" t="str">
        <f>VLOOKUP('北段 (人資版)'!AG63,'工作表1'!$A$3:$B$78,2,FALSE)</f>
        <v>#REF!</v>
      </c>
      <c r="AH63" s="57" t="str">
        <f>VLOOKUP('北段 (人資版)'!AH63,'工作表1'!$A$3:$B$78,2,FALSE)</f>
        <v>#ERROR!</v>
      </c>
      <c r="AI63" s="57" t="str">
        <f>VLOOKUP('北段 (人資版)'!AI63,'工作表1'!$A$3:$B$78,2,FALSE)</f>
        <v>#ERROR!</v>
      </c>
      <c r="AJ63" s="57" t="str">
        <f>VLOOKUP('北段 (人資版)'!AJ63,'工作表1'!$A$3:$B$78,2,FALSE)</f>
        <v>#ERROR!</v>
      </c>
      <c r="AK63" s="57" t="str">
        <f>VLOOKUP('北段 (人資版)'!AK63,'工作表1'!$A$3:$B$78,2,FALSE)</f>
        <v>#ERROR!</v>
      </c>
      <c r="AL63" s="57" t="str">
        <f>VLOOKUP('北段 (人資版)'!AL63,'工作表1'!$A$3:$B$78,2,FALSE)</f>
        <v>#ERROR!</v>
      </c>
      <c r="AM63" s="57" t="str">
        <f>VLOOKUP('北段 (人資版)'!AM63,'工作表1'!$A$3:$B$78,2,FALSE)</f>
        <v>#ERROR!</v>
      </c>
      <c r="AN63" s="57" t="str">
        <f>VLOOKUP('北段 (人資版)'!AN63,'工作表1'!$A$3:$B$78,2,FALSE)</f>
        <v>#ERROR!</v>
      </c>
    </row>
    <row r="64" ht="39.0" customHeight="1">
      <c r="A64" s="59"/>
      <c r="B64" s="57" t="str">
        <f t="shared" si="3"/>
        <v>#REF!</v>
      </c>
      <c r="C64" s="57" t="str">
        <f>VLOOKUP(B64,'北段'!B:C,2,FALSE)</f>
        <v>#REF!</v>
      </c>
      <c r="D64" s="57" t="str">
        <f>VLOOKUP('北段 (人資版)'!D64,'工作表1'!$A$3:$B$78,2,FALSE)</f>
        <v>#REF!</v>
      </c>
      <c r="E64" s="57" t="str">
        <f>VLOOKUP('北段 (人資版)'!E64,'工作表1'!$A$3:$B$78,2,FALSE)</f>
        <v>#REF!</v>
      </c>
      <c r="F64" s="57" t="str">
        <f>VLOOKUP('北段 (人資版)'!F64,'工作表1'!$A$3:$B$78,2,FALSE)</f>
        <v>#REF!</v>
      </c>
      <c r="G64" s="57" t="str">
        <f>VLOOKUP('北段 (人資版)'!G64,'工作表1'!$A$3:$B$78,2,FALSE)</f>
        <v>#REF!</v>
      </c>
      <c r="H64" s="57" t="str">
        <f>VLOOKUP('北段 (人資版)'!H64,'工作表1'!$A$3:$B$78,2,FALSE)</f>
        <v>#REF!</v>
      </c>
      <c r="I64" s="57" t="str">
        <f>VLOOKUP('北段 (人資版)'!I64,'工作表1'!$A$3:$B$78,2,FALSE)</f>
        <v>#REF!</v>
      </c>
      <c r="J64" s="57" t="str">
        <f>VLOOKUP('北段 (人資版)'!J64,'工作表1'!$A$3:$B$78,2,FALSE)</f>
        <v>#REF!</v>
      </c>
      <c r="K64" s="57" t="str">
        <f>VLOOKUP('北段 (人資版)'!K64,'工作表1'!$A$3:$B$78,2,FALSE)</f>
        <v>#REF!</v>
      </c>
      <c r="L64" s="57" t="str">
        <f>VLOOKUP('北段 (人資版)'!L64,'工作表1'!$A$3:$B$78,2,FALSE)</f>
        <v>#REF!</v>
      </c>
      <c r="M64" s="57" t="str">
        <f>VLOOKUP('北段 (人資版)'!M64,'工作表1'!$A$3:$B$78,2,FALSE)</f>
        <v>#REF!</v>
      </c>
      <c r="N64" s="57" t="str">
        <f>VLOOKUP('北段 (人資版)'!N64,'工作表1'!$A$3:$B$78,2,FALSE)</f>
        <v>#REF!</v>
      </c>
      <c r="O64" s="57" t="str">
        <f>VLOOKUP('北段 (人資版)'!O64,'工作表1'!$A$3:$B$78,2,FALSE)</f>
        <v>#REF!</v>
      </c>
      <c r="P64" s="57" t="str">
        <f>VLOOKUP('北段 (人資版)'!P64,'工作表1'!$A$3:$B$78,2,FALSE)</f>
        <v>#REF!</v>
      </c>
      <c r="Q64" s="57" t="str">
        <f>VLOOKUP('北段 (人資版)'!Q64,'工作表1'!$A$3:$B$78,2,FALSE)</f>
        <v>#REF!</v>
      </c>
      <c r="R64" s="57" t="str">
        <f>VLOOKUP('北段 (人資版)'!R64,'工作表1'!$A$3:$B$78,2,FALSE)</f>
        <v>#REF!</v>
      </c>
      <c r="S64" s="57" t="str">
        <f>VLOOKUP('北段 (人資版)'!S64,'工作表1'!$A$3:$B$78,2,FALSE)</f>
        <v>#REF!</v>
      </c>
      <c r="T64" s="57" t="str">
        <f>VLOOKUP('北段 (人資版)'!T64,'工作表1'!$A$3:$B$78,2,FALSE)</f>
        <v>#REF!</v>
      </c>
      <c r="U64" s="57" t="str">
        <f>VLOOKUP('北段 (人資版)'!U64,'工作表1'!$A$3:$B$78,2,FALSE)</f>
        <v>#REF!</v>
      </c>
      <c r="V64" s="57" t="str">
        <f>VLOOKUP('北段 (人資版)'!V64,'工作表1'!$A$3:$B$78,2,FALSE)</f>
        <v>#REF!</v>
      </c>
      <c r="W64" s="57" t="str">
        <f>VLOOKUP('北段 (人資版)'!W64,'工作表1'!$A$3:$B$78,2,FALSE)</f>
        <v>#REF!</v>
      </c>
      <c r="X64" s="57" t="str">
        <f>VLOOKUP('北段 (人資版)'!X64,'工作表1'!$A$3:$B$78,2,FALSE)</f>
        <v>#REF!</v>
      </c>
      <c r="Y64" s="57" t="str">
        <f>VLOOKUP('北段 (人資版)'!Y64,'工作表1'!$A$3:$B$78,2,FALSE)</f>
        <v>#REF!</v>
      </c>
      <c r="Z64" s="57" t="str">
        <f>VLOOKUP('北段 (人資版)'!Z64,'工作表1'!$A$3:$B$78,2,FALSE)</f>
        <v>#REF!</v>
      </c>
      <c r="AA64" s="57" t="str">
        <f>VLOOKUP('北段 (人資版)'!AA64,'工作表1'!$A$3:$B$78,2,FALSE)</f>
        <v>#REF!</v>
      </c>
      <c r="AB64" s="57" t="str">
        <f>VLOOKUP('北段 (人資版)'!AB64,'工作表1'!$A$3:$B$78,2,FALSE)</f>
        <v>#REF!</v>
      </c>
      <c r="AC64" s="57" t="str">
        <f>VLOOKUP('北段 (人資版)'!AC64,'工作表1'!$A$3:$B$78,2,FALSE)</f>
        <v>#REF!</v>
      </c>
      <c r="AD64" s="57" t="str">
        <f>VLOOKUP('北段 (人資版)'!AD64,'工作表1'!$A$3:$B$78,2,FALSE)</f>
        <v>#REF!</v>
      </c>
      <c r="AE64" s="57" t="str">
        <f>VLOOKUP('北段 (人資版)'!AE64,'工作表1'!$A$3:$B$78,2,FALSE)</f>
        <v>#REF!</v>
      </c>
      <c r="AF64" s="57" t="str">
        <f>VLOOKUP('北段 (人資版)'!AF64,'工作表1'!$A$3:$B$78,2,FALSE)</f>
        <v>#REF!</v>
      </c>
      <c r="AG64" s="57" t="str">
        <f>VLOOKUP('北段 (人資版)'!AG64,'工作表1'!$A$3:$B$78,2,FALSE)</f>
        <v>#REF!</v>
      </c>
      <c r="AH64" s="57" t="str">
        <f>VLOOKUP('北段 (人資版)'!AH64,'工作表1'!$A$3:$B$78,2,FALSE)</f>
        <v>#ERROR!</v>
      </c>
      <c r="AI64" s="57" t="str">
        <f>VLOOKUP('北段 (人資版)'!AI64,'工作表1'!$A$3:$B$78,2,FALSE)</f>
        <v>#ERROR!</v>
      </c>
      <c r="AJ64" s="57" t="str">
        <f>VLOOKUP('北段 (人資版)'!AJ64,'工作表1'!$A$3:$B$78,2,FALSE)</f>
        <v>#ERROR!</v>
      </c>
      <c r="AK64" s="57" t="str">
        <f>VLOOKUP('北段 (人資版)'!AK64,'工作表1'!$A$3:$B$78,2,FALSE)</f>
        <v>#ERROR!</v>
      </c>
      <c r="AL64" s="57" t="str">
        <f>VLOOKUP('北段 (人資版)'!AL64,'工作表1'!$A$3:$B$78,2,FALSE)</f>
        <v>#ERROR!</v>
      </c>
      <c r="AM64" s="57" t="str">
        <f>VLOOKUP('北段 (人資版)'!AM64,'工作表1'!$A$3:$B$78,2,FALSE)</f>
        <v>#ERROR!</v>
      </c>
      <c r="AN64" s="57" t="str">
        <f>VLOOKUP('北段 (人資版)'!AN64,'工作表1'!$A$3:$B$78,2,FALSE)</f>
        <v>#ERROR!</v>
      </c>
    </row>
    <row r="65" ht="39.0" customHeight="1">
      <c r="A65" s="59"/>
      <c r="B65" s="57" t="str">
        <f t="shared" si="3"/>
        <v>#REF!</v>
      </c>
      <c r="C65" s="57" t="str">
        <f>VLOOKUP(B65,'北段'!B:C,2,FALSE)</f>
        <v>#REF!</v>
      </c>
      <c r="D65" s="57" t="str">
        <f>VLOOKUP('北段 (人資版)'!D65,'工作表1'!$A$3:$B$78,2,FALSE)</f>
        <v>#REF!</v>
      </c>
      <c r="E65" s="57" t="str">
        <f>VLOOKUP('北段 (人資版)'!E65,'工作表1'!$A$3:$B$78,2,FALSE)</f>
        <v>#REF!</v>
      </c>
      <c r="F65" s="57" t="str">
        <f>VLOOKUP('北段 (人資版)'!F65,'工作表1'!$A$3:$B$78,2,FALSE)</f>
        <v>#REF!</v>
      </c>
      <c r="G65" s="57" t="str">
        <f>VLOOKUP('北段 (人資版)'!G65,'工作表1'!$A$3:$B$78,2,FALSE)</f>
        <v>#REF!</v>
      </c>
      <c r="H65" s="57" t="str">
        <f>VLOOKUP('北段 (人資版)'!H65,'工作表1'!$A$3:$B$78,2,FALSE)</f>
        <v>#REF!</v>
      </c>
      <c r="I65" s="57" t="str">
        <f>VLOOKUP('北段 (人資版)'!I65,'工作表1'!$A$3:$B$78,2,FALSE)</f>
        <v>#REF!</v>
      </c>
      <c r="J65" s="57" t="str">
        <f>VLOOKUP('北段 (人資版)'!J65,'工作表1'!$A$3:$B$78,2,FALSE)</f>
        <v>#REF!</v>
      </c>
      <c r="K65" s="57" t="str">
        <f>VLOOKUP('北段 (人資版)'!K65,'工作表1'!$A$3:$B$78,2,FALSE)</f>
        <v>#REF!</v>
      </c>
      <c r="L65" s="57" t="str">
        <f>VLOOKUP('北段 (人資版)'!L65,'工作表1'!$A$3:$B$78,2,FALSE)</f>
        <v>#REF!</v>
      </c>
      <c r="M65" s="57" t="str">
        <f>VLOOKUP('北段 (人資版)'!M65,'工作表1'!$A$3:$B$78,2,FALSE)</f>
        <v>#REF!</v>
      </c>
      <c r="N65" s="57" t="str">
        <f>VLOOKUP('北段 (人資版)'!N65,'工作表1'!$A$3:$B$78,2,FALSE)</f>
        <v>#REF!</v>
      </c>
      <c r="O65" s="57" t="str">
        <f>VLOOKUP('北段 (人資版)'!O65,'工作表1'!$A$3:$B$78,2,FALSE)</f>
        <v>#REF!</v>
      </c>
      <c r="P65" s="57" t="str">
        <f>VLOOKUP('北段 (人資版)'!P65,'工作表1'!$A$3:$B$78,2,FALSE)</f>
        <v>#REF!</v>
      </c>
      <c r="Q65" s="57" t="str">
        <f>VLOOKUP('北段 (人資版)'!Q65,'工作表1'!$A$3:$B$78,2,FALSE)</f>
        <v>#REF!</v>
      </c>
      <c r="R65" s="57" t="str">
        <f>VLOOKUP('北段 (人資版)'!R65,'工作表1'!$A$3:$B$78,2,FALSE)</f>
        <v>#REF!</v>
      </c>
      <c r="S65" s="57" t="str">
        <f>VLOOKUP('北段 (人資版)'!S65,'工作表1'!$A$3:$B$78,2,FALSE)</f>
        <v>#REF!</v>
      </c>
      <c r="T65" s="57" t="str">
        <f>VLOOKUP('北段 (人資版)'!T65,'工作表1'!$A$3:$B$78,2,FALSE)</f>
        <v>#REF!</v>
      </c>
      <c r="U65" s="57" t="str">
        <f>VLOOKUP('北段 (人資版)'!U65,'工作表1'!$A$3:$B$78,2,FALSE)</f>
        <v>#REF!</v>
      </c>
      <c r="V65" s="57" t="str">
        <f>VLOOKUP('北段 (人資版)'!V65,'工作表1'!$A$3:$B$78,2,FALSE)</f>
        <v>#REF!</v>
      </c>
      <c r="W65" s="57" t="str">
        <f>VLOOKUP('北段 (人資版)'!W65,'工作表1'!$A$3:$B$78,2,FALSE)</f>
        <v>#REF!</v>
      </c>
      <c r="X65" s="57" t="str">
        <f>VLOOKUP('北段 (人資版)'!X65,'工作表1'!$A$3:$B$78,2,FALSE)</f>
        <v>#REF!</v>
      </c>
      <c r="Y65" s="57" t="str">
        <f>VLOOKUP('北段 (人資版)'!Y65,'工作表1'!$A$3:$B$78,2,FALSE)</f>
        <v>#REF!</v>
      </c>
      <c r="Z65" s="57" t="str">
        <f>VLOOKUP('北段 (人資版)'!Z65,'工作表1'!$A$3:$B$78,2,FALSE)</f>
        <v>#REF!</v>
      </c>
      <c r="AA65" s="57" t="str">
        <f>VLOOKUP('北段 (人資版)'!AA65,'工作表1'!$A$3:$B$78,2,FALSE)</f>
        <v>#REF!</v>
      </c>
      <c r="AB65" s="57" t="str">
        <f>VLOOKUP('北段 (人資版)'!AB65,'工作表1'!$A$3:$B$78,2,FALSE)</f>
        <v>#REF!</v>
      </c>
      <c r="AC65" s="57" t="str">
        <f>VLOOKUP('北段 (人資版)'!AC65,'工作表1'!$A$3:$B$78,2,FALSE)</f>
        <v>#REF!</v>
      </c>
      <c r="AD65" s="57" t="str">
        <f>VLOOKUP('北段 (人資版)'!AD65,'工作表1'!$A$3:$B$78,2,FALSE)</f>
        <v>#REF!</v>
      </c>
      <c r="AE65" s="57" t="str">
        <f>VLOOKUP('北段 (人資版)'!AE65,'工作表1'!$A$3:$B$78,2,FALSE)</f>
        <v>#REF!</v>
      </c>
      <c r="AF65" s="57" t="str">
        <f>VLOOKUP('北段 (人資版)'!AF65,'工作表1'!$A$3:$B$78,2,FALSE)</f>
        <v>#REF!</v>
      </c>
      <c r="AG65" s="57" t="str">
        <f>VLOOKUP('北段 (人資版)'!AG65,'工作表1'!$A$3:$B$78,2,FALSE)</f>
        <v>#REF!</v>
      </c>
      <c r="AH65" s="57" t="str">
        <f>VLOOKUP('北段 (人資版)'!AH65,'工作表1'!$A$3:$B$78,2,FALSE)</f>
        <v>#ERROR!</v>
      </c>
      <c r="AI65" s="57" t="str">
        <f>VLOOKUP('北段 (人資版)'!AI65,'工作表1'!$A$3:$B$78,2,FALSE)</f>
        <v>#ERROR!</v>
      </c>
      <c r="AJ65" s="57" t="str">
        <f>VLOOKUP('北段 (人資版)'!AJ65,'工作表1'!$A$3:$B$78,2,FALSE)</f>
        <v>#ERROR!</v>
      </c>
      <c r="AK65" s="57" t="str">
        <f>VLOOKUP('北段 (人資版)'!AK65,'工作表1'!$A$3:$B$78,2,FALSE)</f>
        <v>#ERROR!</v>
      </c>
      <c r="AL65" s="57" t="str">
        <f>VLOOKUP('北段 (人資版)'!AL65,'工作表1'!$A$3:$B$78,2,FALSE)</f>
        <v>#ERROR!</v>
      </c>
      <c r="AM65" s="57" t="str">
        <f>VLOOKUP('北段 (人資版)'!AM65,'工作表1'!$A$3:$B$78,2,FALSE)</f>
        <v>#ERROR!</v>
      </c>
      <c r="AN65" s="57" t="str">
        <f>VLOOKUP('北段 (人資版)'!AN65,'工作表1'!$A$3:$B$78,2,FALSE)</f>
        <v>#ERROR!</v>
      </c>
    </row>
    <row r="66" ht="39.0" customHeight="1">
      <c r="A66" s="59"/>
      <c r="B66" s="57" t="str">
        <f t="shared" si="3"/>
        <v>#REF!</v>
      </c>
      <c r="C66" s="57" t="str">
        <f>VLOOKUP(B66,'北段'!B:C,2,FALSE)</f>
        <v>#REF!</v>
      </c>
      <c r="D66" s="57" t="str">
        <f>VLOOKUP('北段 (人資版)'!D66,'工作表1'!$A$3:$B$78,2,FALSE)</f>
        <v>#REF!</v>
      </c>
      <c r="E66" s="57" t="str">
        <f>VLOOKUP('北段 (人資版)'!E66,'工作表1'!$A$3:$B$78,2,FALSE)</f>
        <v>#REF!</v>
      </c>
      <c r="F66" s="57" t="str">
        <f>VLOOKUP('北段 (人資版)'!F66,'工作表1'!$A$3:$B$78,2,FALSE)</f>
        <v>#REF!</v>
      </c>
      <c r="G66" s="57" t="str">
        <f>VLOOKUP('北段 (人資版)'!G66,'工作表1'!$A$3:$B$78,2,FALSE)</f>
        <v>#REF!</v>
      </c>
      <c r="H66" s="57" t="str">
        <f>VLOOKUP('北段 (人資版)'!H66,'工作表1'!$A$3:$B$78,2,FALSE)</f>
        <v>#REF!</v>
      </c>
      <c r="I66" s="57" t="str">
        <f>VLOOKUP('北段 (人資版)'!I66,'工作表1'!$A$3:$B$78,2,FALSE)</f>
        <v>#REF!</v>
      </c>
      <c r="J66" s="57" t="str">
        <f>VLOOKUP('北段 (人資版)'!J66,'工作表1'!$A$3:$B$78,2,FALSE)</f>
        <v>#REF!</v>
      </c>
      <c r="K66" s="57" t="str">
        <f>VLOOKUP('北段 (人資版)'!K66,'工作表1'!$A$3:$B$78,2,FALSE)</f>
        <v>#REF!</v>
      </c>
      <c r="L66" s="57" t="str">
        <f>VLOOKUP('北段 (人資版)'!L66,'工作表1'!$A$3:$B$78,2,FALSE)</f>
        <v>#REF!</v>
      </c>
      <c r="M66" s="57" t="str">
        <f>VLOOKUP('北段 (人資版)'!M66,'工作表1'!$A$3:$B$78,2,FALSE)</f>
        <v>#REF!</v>
      </c>
      <c r="N66" s="57" t="str">
        <f>VLOOKUP('北段 (人資版)'!N66,'工作表1'!$A$3:$B$78,2,FALSE)</f>
        <v>#REF!</v>
      </c>
      <c r="O66" s="57" t="str">
        <f>VLOOKUP('北段 (人資版)'!O66,'工作表1'!$A$3:$B$78,2,FALSE)</f>
        <v>#REF!</v>
      </c>
      <c r="P66" s="57" t="str">
        <f>VLOOKUP('北段 (人資版)'!P66,'工作表1'!$A$3:$B$78,2,FALSE)</f>
        <v>#REF!</v>
      </c>
      <c r="Q66" s="57" t="str">
        <f>VLOOKUP('北段 (人資版)'!Q66,'工作表1'!$A$3:$B$78,2,FALSE)</f>
        <v>#REF!</v>
      </c>
      <c r="R66" s="57" t="str">
        <f>VLOOKUP('北段 (人資版)'!R66,'工作表1'!$A$3:$B$78,2,FALSE)</f>
        <v>#REF!</v>
      </c>
      <c r="S66" s="57" t="str">
        <f>VLOOKUP('北段 (人資版)'!S66,'工作表1'!$A$3:$B$78,2,FALSE)</f>
        <v>#REF!</v>
      </c>
      <c r="T66" s="57" t="str">
        <f>VLOOKUP('北段 (人資版)'!T66,'工作表1'!$A$3:$B$78,2,FALSE)</f>
        <v>#REF!</v>
      </c>
      <c r="U66" s="57" t="str">
        <f>VLOOKUP('北段 (人資版)'!U66,'工作表1'!$A$3:$B$78,2,FALSE)</f>
        <v>#REF!</v>
      </c>
      <c r="V66" s="57" t="str">
        <f>VLOOKUP('北段 (人資版)'!V66,'工作表1'!$A$3:$B$78,2,FALSE)</f>
        <v>#REF!</v>
      </c>
      <c r="W66" s="57" t="str">
        <f>VLOOKUP('北段 (人資版)'!W66,'工作表1'!$A$3:$B$78,2,FALSE)</f>
        <v>#REF!</v>
      </c>
      <c r="X66" s="57" t="str">
        <f>VLOOKUP('北段 (人資版)'!X66,'工作表1'!$A$3:$B$78,2,FALSE)</f>
        <v>#REF!</v>
      </c>
      <c r="Y66" s="57" t="str">
        <f>VLOOKUP('北段 (人資版)'!Y66,'工作表1'!$A$3:$B$78,2,FALSE)</f>
        <v>#REF!</v>
      </c>
      <c r="Z66" s="57" t="str">
        <f>VLOOKUP('北段 (人資版)'!Z66,'工作表1'!$A$3:$B$78,2,FALSE)</f>
        <v>#REF!</v>
      </c>
      <c r="AA66" s="57" t="str">
        <f>VLOOKUP('北段 (人資版)'!AA66,'工作表1'!$A$3:$B$78,2,FALSE)</f>
        <v>#REF!</v>
      </c>
      <c r="AB66" s="57" t="str">
        <f>VLOOKUP('北段 (人資版)'!AB66,'工作表1'!$A$3:$B$78,2,FALSE)</f>
        <v>#REF!</v>
      </c>
      <c r="AC66" s="57" t="str">
        <f>VLOOKUP('北段 (人資版)'!AC66,'工作表1'!$A$3:$B$78,2,FALSE)</f>
        <v>#REF!</v>
      </c>
      <c r="AD66" s="57" t="str">
        <f>VLOOKUP('北段 (人資版)'!AD66,'工作表1'!$A$3:$B$78,2,FALSE)</f>
        <v>#REF!</v>
      </c>
      <c r="AE66" s="57" t="str">
        <f>VLOOKUP('北段 (人資版)'!AE66,'工作表1'!$A$3:$B$78,2,FALSE)</f>
        <v>#REF!</v>
      </c>
      <c r="AF66" s="57" t="str">
        <f>VLOOKUP('北段 (人資版)'!AF66,'工作表1'!$A$3:$B$78,2,FALSE)</f>
        <v>#REF!</v>
      </c>
      <c r="AG66" s="57" t="str">
        <f>VLOOKUP('北段 (人資版)'!AG66,'工作表1'!$A$3:$B$78,2,FALSE)</f>
        <v>#REF!</v>
      </c>
      <c r="AH66" s="57" t="str">
        <f>VLOOKUP('北段 (人資版)'!AH66,'工作表1'!$A$3:$B$78,2,FALSE)</f>
        <v>#ERROR!</v>
      </c>
      <c r="AI66" s="57" t="str">
        <f>VLOOKUP('北段 (人資版)'!AI66,'工作表1'!$A$3:$B$78,2,FALSE)</f>
        <v>#ERROR!</v>
      </c>
      <c r="AJ66" s="57" t="str">
        <f>VLOOKUP('北段 (人資版)'!AJ66,'工作表1'!$A$3:$B$78,2,FALSE)</f>
        <v>#ERROR!</v>
      </c>
      <c r="AK66" s="57" t="str">
        <f>VLOOKUP('北段 (人資版)'!AK66,'工作表1'!$A$3:$B$78,2,FALSE)</f>
        <v>#ERROR!</v>
      </c>
      <c r="AL66" s="57" t="str">
        <f>VLOOKUP('北段 (人資版)'!AL66,'工作表1'!$A$3:$B$78,2,FALSE)</f>
        <v>#ERROR!</v>
      </c>
      <c r="AM66" s="57" t="str">
        <f>VLOOKUP('北段 (人資版)'!AM66,'工作表1'!$A$3:$B$78,2,FALSE)</f>
        <v>#ERROR!</v>
      </c>
      <c r="AN66" s="57" t="str">
        <f>VLOOKUP('北段 (人資版)'!AN66,'工作表1'!$A$3:$B$78,2,FALSE)</f>
        <v>#ERROR!</v>
      </c>
    </row>
    <row r="67" ht="39.0" customHeight="1">
      <c r="A67" s="59"/>
      <c r="B67" s="57" t="str">
        <f t="shared" si="3"/>
        <v>#REF!</v>
      </c>
      <c r="C67" s="57" t="str">
        <f>VLOOKUP(B67,'北段'!B:C,2,FALSE)</f>
        <v>#REF!</v>
      </c>
      <c r="D67" s="57" t="str">
        <f>VLOOKUP('北段 (人資版)'!D67,'工作表1'!$A$3:$B$78,2,FALSE)</f>
        <v>#REF!</v>
      </c>
      <c r="E67" s="57" t="str">
        <f>VLOOKUP('北段 (人資版)'!E67,'工作表1'!$A$3:$B$78,2,FALSE)</f>
        <v>#REF!</v>
      </c>
      <c r="F67" s="57" t="str">
        <f>VLOOKUP('北段 (人資版)'!F67,'工作表1'!$A$3:$B$78,2,FALSE)</f>
        <v>#REF!</v>
      </c>
      <c r="G67" s="57" t="str">
        <f>VLOOKUP('北段 (人資版)'!G67,'工作表1'!$A$3:$B$78,2,FALSE)</f>
        <v>#REF!</v>
      </c>
      <c r="H67" s="57" t="str">
        <f>VLOOKUP('北段 (人資版)'!H67,'工作表1'!$A$3:$B$78,2,FALSE)</f>
        <v>#REF!</v>
      </c>
      <c r="I67" s="57" t="str">
        <f>VLOOKUP('北段 (人資版)'!I67,'工作表1'!$A$3:$B$78,2,FALSE)</f>
        <v>#REF!</v>
      </c>
      <c r="J67" s="57" t="str">
        <f>VLOOKUP('北段 (人資版)'!J67,'工作表1'!$A$3:$B$78,2,FALSE)</f>
        <v>#REF!</v>
      </c>
      <c r="K67" s="57" t="str">
        <f>VLOOKUP('北段 (人資版)'!K67,'工作表1'!$A$3:$B$78,2,FALSE)</f>
        <v>#REF!</v>
      </c>
      <c r="L67" s="57" t="str">
        <f>VLOOKUP('北段 (人資版)'!L67,'工作表1'!$A$3:$B$78,2,FALSE)</f>
        <v>#REF!</v>
      </c>
      <c r="M67" s="57" t="str">
        <f>VLOOKUP('北段 (人資版)'!M67,'工作表1'!$A$3:$B$78,2,FALSE)</f>
        <v>#REF!</v>
      </c>
      <c r="N67" s="57" t="str">
        <f>VLOOKUP('北段 (人資版)'!N67,'工作表1'!$A$3:$B$78,2,FALSE)</f>
        <v>#REF!</v>
      </c>
      <c r="O67" s="57" t="str">
        <f>VLOOKUP('北段 (人資版)'!O67,'工作表1'!$A$3:$B$78,2,FALSE)</f>
        <v>#REF!</v>
      </c>
      <c r="P67" s="57" t="str">
        <f>VLOOKUP('北段 (人資版)'!P67,'工作表1'!$A$3:$B$78,2,FALSE)</f>
        <v>#REF!</v>
      </c>
      <c r="Q67" s="57" t="str">
        <f>VLOOKUP('北段 (人資版)'!Q67,'工作表1'!$A$3:$B$78,2,FALSE)</f>
        <v>#REF!</v>
      </c>
      <c r="R67" s="57" t="str">
        <f>VLOOKUP('北段 (人資版)'!R67,'工作表1'!$A$3:$B$78,2,FALSE)</f>
        <v>#REF!</v>
      </c>
      <c r="S67" s="57" t="str">
        <f>VLOOKUP('北段 (人資版)'!S67,'工作表1'!$A$3:$B$78,2,FALSE)</f>
        <v>#REF!</v>
      </c>
      <c r="T67" s="57" t="str">
        <f>VLOOKUP('北段 (人資版)'!T67,'工作表1'!$A$3:$B$78,2,FALSE)</f>
        <v>#REF!</v>
      </c>
      <c r="U67" s="57" t="str">
        <f>VLOOKUP('北段 (人資版)'!U67,'工作表1'!$A$3:$B$78,2,FALSE)</f>
        <v>#REF!</v>
      </c>
      <c r="V67" s="57" t="str">
        <f>VLOOKUP('北段 (人資版)'!V67,'工作表1'!$A$3:$B$78,2,FALSE)</f>
        <v>#REF!</v>
      </c>
      <c r="W67" s="57" t="str">
        <f>VLOOKUP('北段 (人資版)'!W67,'工作表1'!$A$3:$B$78,2,FALSE)</f>
        <v>#REF!</v>
      </c>
      <c r="X67" s="57" t="str">
        <f>VLOOKUP('北段 (人資版)'!X67,'工作表1'!$A$3:$B$78,2,FALSE)</f>
        <v>#REF!</v>
      </c>
      <c r="Y67" s="57" t="str">
        <f>VLOOKUP('北段 (人資版)'!Y67,'工作表1'!$A$3:$B$78,2,FALSE)</f>
        <v>#REF!</v>
      </c>
      <c r="Z67" s="57" t="str">
        <f>VLOOKUP('北段 (人資版)'!Z67,'工作表1'!$A$3:$B$78,2,FALSE)</f>
        <v>#REF!</v>
      </c>
      <c r="AA67" s="57" t="str">
        <f>VLOOKUP('北段 (人資版)'!AA67,'工作表1'!$A$3:$B$78,2,FALSE)</f>
        <v>#REF!</v>
      </c>
      <c r="AB67" s="57" t="str">
        <f>VLOOKUP('北段 (人資版)'!AB67,'工作表1'!$A$3:$B$78,2,FALSE)</f>
        <v>#REF!</v>
      </c>
      <c r="AC67" s="57" t="str">
        <f>VLOOKUP('北段 (人資版)'!AC67,'工作表1'!$A$3:$B$78,2,FALSE)</f>
        <v>#REF!</v>
      </c>
      <c r="AD67" s="57" t="str">
        <f>VLOOKUP('北段 (人資版)'!AD67,'工作表1'!$A$3:$B$78,2,FALSE)</f>
        <v>#REF!</v>
      </c>
      <c r="AE67" s="57" t="str">
        <f>VLOOKUP('北段 (人資版)'!AE67,'工作表1'!$A$3:$B$78,2,FALSE)</f>
        <v>#REF!</v>
      </c>
      <c r="AF67" s="57" t="str">
        <f>VLOOKUP('北段 (人資版)'!AF67,'工作表1'!$A$3:$B$78,2,FALSE)</f>
        <v>#REF!</v>
      </c>
      <c r="AG67" s="57" t="str">
        <f>VLOOKUP('北段 (人資版)'!AG67,'工作表1'!$A$3:$B$78,2,FALSE)</f>
        <v>#REF!</v>
      </c>
      <c r="AH67" s="57" t="str">
        <f>VLOOKUP('北段 (人資版)'!AH67,'工作表1'!$A$3:$B$78,2,FALSE)</f>
        <v>#ERROR!</v>
      </c>
      <c r="AI67" s="57" t="str">
        <f>VLOOKUP('北段 (人資版)'!AI67,'工作表1'!$A$3:$B$78,2,FALSE)</f>
        <v>#ERROR!</v>
      </c>
      <c r="AJ67" s="57" t="str">
        <f>VLOOKUP('北段 (人資版)'!AJ67,'工作表1'!$A$3:$B$78,2,FALSE)</f>
        <v>#ERROR!</v>
      </c>
      <c r="AK67" s="57" t="str">
        <f>VLOOKUP('北段 (人資版)'!AK67,'工作表1'!$A$3:$B$78,2,FALSE)</f>
        <v>#ERROR!</v>
      </c>
      <c r="AL67" s="57" t="str">
        <f>VLOOKUP('北段 (人資版)'!AL67,'工作表1'!$A$3:$B$78,2,FALSE)</f>
        <v>#ERROR!</v>
      </c>
      <c r="AM67" s="57" t="str">
        <f>VLOOKUP('北段 (人資版)'!AM67,'工作表1'!$A$3:$B$78,2,FALSE)</f>
        <v>#ERROR!</v>
      </c>
      <c r="AN67" s="57" t="str">
        <f>VLOOKUP('北段 (人資版)'!AN67,'工作表1'!$A$3:$B$78,2,FALSE)</f>
        <v>#ERROR!</v>
      </c>
    </row>
    <row r="68" ht="39.0" customHeight="1">
      <c r="A68" s="193"/>
      <c r="B68" s="57" t="str">
        <f t="shared" si="3"/>
        <v>#REF!</v>
      </c>
      <c r="C68" s="57" t="str">
        <f>VLOOKUP(B68,'北段'!B:C,2,FALSE)</f>
        <v>#REF!</v>
      </c>
      <c r="D68" s="57" t="str">
        <f>VLOOKUP('北段 (人資版)'!D68,'工作表1'!$A$3:$B$78,2,FALSE)</f>
        <v>#REF!</v>
      </c>
      <c r="E68" s="57" t="str">
        <f>VLOOKUP('北段 (人資版)'!E68,'工作表1'!$A$3:$B$78,2,FALSE)</f>
        <v>#REF!</v>
      </c>
      <c r="F68" s="57" t="str">
        <f>VLOOKUP('北段 (人資版)'!F68,'工作表1'!$A$3:$B$78,2,FALSE)</f>
        <v>#REF!</v>
      </c>
      <c r="G68" s="57" t="str">
        <f>VLOOKUP('北段 (人資版)'!G68,'工作表1'!$A$3:$B$78,2,FALSE)</f>
        <v>#REF!</v>
      </c>
      <c r="H68" s="57" t="str">
        <f>VLOOKUP('北段 (人資版)'!H68,'工作表1'!$A$3:$B$78,2,FALSE)</f>
        <v>#REF!</v>
      </c>
      <c r="I68" s="57" t="str">
        <f>VLOOKUP('北段 (人資版)'!I68,'工作表1'!$A$3:$B$78,2,FALSE)</f>
        <v>#REF!</v>
      </c>
      <c r="J68" s="57" t="str">
        <f>VLOOKUP('北段 (人資版)'!J68,'工作表1'!$A$3:$B$78,2,FALSE)</f>
        <v>#REF!</v>
      </c>
      <c r="K68" s="57" t="str">
        <f>VLOOKUP('北段 (人資版)'!K68,'工作表1'!$A$3:$B$78,2,FALSE)</f>
        <v>#REF!</v>
      </c>
      <c r="L68" s="57" t="str">
        <f>VLOOKUP('北段 (人資版)'!L68,'工作表1'!$A$3:$B$78,2,FALSE)</f>
        <v>#REF!</v>
      </c>
      <c r="M68" s="57" t="str">
        <f>VLOOKUP('北段 (人資版)'!M68,'工作表1'!$A$3:$B$78,2,FALSE)</f>
        <v>#REF!</v>
      </c>
      <c r="N68" s="57" t="str">
        <f>VLOOKUP('北段 (人資版)'!N68,'工作表1'!$A$3:$B$78,2,FALSE)</f>
        <v>#REF!</v>
      </c>
      <c r="O68" s="57" t="str">
        <f>VLOOKUP('北段 (人資版)'!O68,'工作表1'!$A$3:$B$78,2,FALSE)</f>
        <v>#REF!</v>
      </c>
      <c r="P68" s="57" t="str">
        <f>VLOOKUP('北段 (人資版)'!P68,'工作表1'!$A$3:$B$78,2,FALSE)</f>
        <v>#REF!</v>
      </c>
      <c r="Q68" s="57" t="str">
        <f>VLOOKUP('北段 (人資版)'!Q68,'工作表1'!$A$3:$B$78,2,FALSE)</f>
        <v>#REF!</v>
      </c>
      <c r="R68" s="57" t="str">
        <f>VLOOKUP('北段 (人資版)'!R68,'工作表1'!$A$3:$B$78,2,FALSE)</f>
        <v>#REF!</v>
      </c>
      <c r="S68" s="57" t="str">
        <f>VLOOKUP('北段 (人資版)'!S68,'工作表1'!$A$3:$B$78,2,FALSE)</f>
        <v>#REF!</v>
      </c>
      <c r="T68" s="57" t="str">
        <f>VLOOKUP('北段 (人資版)'!T68,'工作表1'!$A$3:$B$78,2,FALSE)</f>
        <v>#REF!</v>
      </c>
      <c r="U68" s="57" t="str">
        <f>VLOOKUP('北段 (人資版)'!U68,'工作表1'!$A$3:$B$78,2,FALSE)</f>
        <v>#REF!</v>
      </c>
      <c r="V68" s="57" t="str">
        <f>VLOOKUP('北段 (人資版)'!V68,'工作表1'!$A$3:$B$78,2,FALSE)</f>
        <v>#REF!</v>
      </c>
      <c r="W68" s="57" t="str">
        <f>VLOOKUP('北段 (人資版)'!W68,'工作表1'!$A$3:$B$78,2,FALSE)</f>
        <v>#REF!</v>
      </c>
      <c r="X68" s="57" t="str">
        <f>VLOOKUP('北段 (人資版)'!X68,'工作表1'!$A$3:$B$78,2,FALSE)</f>
        <v>#REF!</v>
      </c>
      <c r="Y68" s="57" t="str">
        <f>VLOOKUP('北段 (人資版)'!Y68,'工作表1'!$A$3:$B$78,2,FALSE)</f>
        <v>#REF!</v>
      </c>
      <c r="Z68" s="57" t="str">
        <f>VLOOKUP('北段 (人資版)'!Z68,'工作表1'!$A$3:$B$78,2,FALSE)</f>
        <v>#REF!</v>
      </c>
      <c r="AA68" s="57" t="str">
        <f>VLOOKUP('北段 (人資版)'!AA68,'工作表1'!$A$3:$B$78,2,FALSE)</f>
        <v>#REF!</v>
      </c>
      <c r="AB68" s="57" t="str">
        <f>VLOOKUP('北段 (人資版)'!AB68,'工作表1'!$A$3:$B$78,2,FALSE)</f>
        <v>#REF!</v>
      </c>
      <c r="AC68" s="57" t="str">
        <f>VLOOKUP('北段 (人資版)'!AC68,'工作表1'!$A$3:$B$78,2,FALSE)</f>
        <v>#REF!</v>
      </c>
      <c r="AD68" s="57" t="str">
        <f>VLOOKUP('北段 (人資版)'!AD68,'工作表1'!$A$3:$B$78,2,FALSE)</f>
        <v>#REF!</v>
      </c>
      <c r="AE68" s="57" t="str">
        <f>VLOOKUP('北段 (人資版)'!AE68,'工作表1'!$A$3:$B$78,2,FALSE)</f>
        <v>#REF!</v>
      </c>
      <c r="AF68" s="57" t="str">
        <f>VLOOKUP('北段 (人資版)'!AF68,'工作表1'!$A$3:$B$78,2,FALSE)</f>
        <v>#REF!</v>
      </c>
      <c r="AG68" s="57" t="str">
        <f>VLOOKUP('北段 (人資版)'!AG68,'工作表1'!$A$3:$B$78,2,FALSE)</f>
        <v>#REF!</v>
      </c>
      <c r="AH68" s="57" t="str">
        <f>VLOOKUP('北段 (人資版)'!AH68,'工作表1'!$A$3:$B$78,2,FALSE)</f>
        <v>#ERROR!</v>
      </c>
      <c r="AI68" s="57" t="str">
        <f>VLOOKUP('北段 (人資版)'!AI68,'工作表1'!$A$3:$B$78,2,FALSE)</f>
        <v>#ERROR!</v>
      </c>
      <c r="AJ68" s="57" t="str">
        <f>VLOOKUP('北段 (人資版)'!AJ68,'工作表1'!$A$3:$B$78,2,FALSE)</f>
        <v>#ERROR!</v>
      </c>
      <c r="AK68" s="57" t="str">
        <f>VLOOKUP('北段 (人資版)'!AK68,'工作表1'!$A$3:$B$78,2,FALSE)</f>
        <v>#ERROR!</v>
      </c>
      <c r="AL68" s="57" t="str">
        <f>VLOOKUP('北段 (人資版)'!AL68,'工作表1'!$A$3:$B$78,2,FALSE)</f>
        <v>#ERROR!</v>
      </c>
      <c r="AM68" s="57" t="str">
        <f>VLOOKUP('北段 (人資版)'!AM68,'工作表1'!$A$3:$B$78,2,FALSE)</f>
        <v>#ERROR!</v>
      </c>
      <c r="AN68" s="57" t="str">
        <f>VLOOKUP('北段 (人資版)'!AN68,'工作表1'!$A$3:$B$78,2,FALSE)</f>
        <v>#ERROR!</v>
      </c>
    </row>
    <row r="69" ht="39.0" customHeight="1">
      <c r="A69" s="22"/>
      <c r="B69" s="57" t="str">
        <f t="shared" si="3"/>
        <v>#REF!</v>
      </c>
      <c r="C69" s="57" t="str">
        <f>VLOOKUP(B69,'北段'!B:C,2,FALSE)</f>
        <v>#REF!</v>
      </c>
      <c r="D69" s="57" t="str">
        <f>VLOOKUP('北段 (人資版)'!D69,'工作表1'!$A$3:$B$78,2,FALSE)</f>
        <v>#REF!</v>
      </c>
      <c r="E69" s="57" t="str">
        <f>VLOOKUP('北段 (人資版)'!E69,'工作表1'!$A$3:$B$78,2,FALSE)</f>
        <v>#REF!</v>
      </c>
      <c r="F69" s="57" t="str">
        <f>VLOOKUP('北段 (人資版)'!F69,'工作表1'!$A$3:$B$78,2,FALSE)</f>
        <v>#REF!</v>
      </c>
      <c r="G69" s="57" t="str">
        <f>VLOOKUP('北段 (人資版)'!G69,'工作表1'!$A$3:$B$78,2,FALSE)</f>
        <v>#REF!</v>
      </c>
      <c r="H69" s="57" t="str">
        <f>VLOOKUP('北段 (人資版)'!H69,'工作表1'!$A$3:$B$78,2,FALSE)</f>
        <v>#REF!</v>
      </c>
      <c r="I69" s="57" t="str">
        <f>VLOOKUP('北段 (人資版)'!I69,'工作表1'!$A$3:$B$78,2,FALSE)</f>
        <v>#REF!</v>
      </c>
      <c r="J69" s="57" t="str">
        <f>VLOOKUP('北段 (人資版)'!J69,'工作表1'!$A$3:$B$78,2,FALSE)</f>
        <v>#REF!</v>
      </c>
      <c r="K69" s="57" t="str">
        <f>VLOOKUP('北段 (人資版)'!K69,'工作表1'!$A$3:$B$78,2,FALSE)</f>
        <v>#REF!</v>
      </c>
      <c r="L69" s="57" t="str">
        <f>VLOOKUP('北段 (人資版)'!L69,'工作表1'!$A$3:$B$78,2,FALSE)</f>
        <v>#REF!</v>
      </c>
      <c r="M69" s="57" t="str">
        <f>VLOOKUP('北段 (人資版)'!M69,'工作表1'!$A$3:$B$78,2,FALSE)</f>
        <v>#REF!</v>
      </c>
      <c r="N69" s="57" t="str">
        <f>VLOOKUP('北段 (人資版)'!N69,'工作表1'!$A$3:$B$78,2,FALSE)</f>
        <v>#REF!</v>
      </c>
      <c r="O69" s="57" t="str">
        <f>VLOOKUP('北段 (人資版)'!O69,'工作表1'!$A$3:$B$78,2,FALSE)</f>
        <v>#REF!</v>
      </c>
      <c r="P69" s="57" t="str">
        <f>VLOOKUP('北段 (人資版)'!P69,'工作表1'!$A$3:$B$78,2,FALSE)</f>
        <v>#REF!</v>
      </c>
      <c r="Q69" s="57" t="str">
        <f>VLOOKUP('北段 (人資版)'!Q69,'工作表1'!$A$3:$B$78,2,FALSE)</f>
        <v>#REF!</v>
      </c>
      <c r="R69" s="57" t="str">
        <f>VLOOKUP('北段 (人資版)'!R69,'工作表1'!$A$3:$B$78,2,FALSE)</f>
        <v>#REF!</v>
      </c>
      <c r="S69" s="57" t="str">
        <f>VLOOKUP('北段 (人資版)'!S69,'工作表1'!$A$3:$B$78,2,FALSE)</f>
        <v>#REF!</v>
      </c>
      <c r="T69" s="57" t="str">
        <f>VLOOKUP('北段 (人資版)'!T69,'工作表1'!$A$3:$B$78,2,FALSE)</f>
        <v>#REF!</v>
      </c>
      <c r="U69" s="57" t="str">
        <f>VLOOKUP('北段 (人資版)'!U69,'工作表1'!$A$3:$B$78,2,FALSE)</f>
        <v>#REF!</v>
      </c>
      <c r="V69" s="57" t="str">
        <f>VLOOKUP('北段 (人資版)'!V69,'工作表1'!$A$3:$B$78,2,FALSE)</f>
        <v>#REF!</v>
      </c>
      <c r="W69" s="57" t="str">
        <f>VLOOKUP('北段 (人資版)'!W69,'工作表1'!$A$3:$B$78,2,FALSE)</f>
        <v>#REF!</v>
      </c>
      <c r="X69" s="57" t="str">
        <f>VLOOKUP('北段 (人資版)'!X69,'工作表1'!$A$3:$B$78,2,FALSE)</f>
        <v>#REF!</v>
      </c>
      <c r="Y69" s="57" t="str">
        <f>VLOOKUP('北段 (人資版)'!Y69,'工作表1'!$A$3:$B$78,2,FALSE)</f>
        <v>#REF!</v>
      </c>
      <c r="Z69" s="57" t="str">
        <f>VLOOKUP('北段 (人資版)'!Z69,'工作表1'!$A$3:$B$78,2,FALSE)</f>
        <v>#REF!</v>
      </c>
      <c r="AA69" s="57" t="str">
        <f>VLOOKUP('北段 (人資版)'!AA69,'工作表1'!$A$3:$B$78,2,FALSE)</f>
        <v>#REF!</v>
      </c>
      <c r="AB69" s="57" t="str">
        <f>VLOOKUP('北段 (人資版)'!AB69,'工作表1'!$A$3:$B$78,2,FALSE)</f>
        <v>#REF!</v>
      </c>
      <c r="AC69" s="57" t="str">
        <f>VLOOKUP('北段 (人資版)'!AC69,'工作表1'!$A$3:$B$78,2,FALSE)</f>
        <v>#REF!</v>
      </c>
      <c r="AD69" s="57" t="str">
        <f>VLOOKUP('北段 (人資版)'!AD69,'工作表1'!$A$3:$B$78,2,FALSE)</f>
        <v>#REF!</v>
      </c>
      <c r="AE69" s="57" t="str">
        <f>VLOOKUP('北段 (人資版)'!AE69,'工作表1'!$A$3:$B$78,2,FALSE)</f>
        <v>#REF!</v>
      </c>
      <c r="AF69" s="57" t="str">
        <f>VLOOKUP('北段 (人資版)'!AF69,'工作表1'!$A$3:$B$78,2,FALSE)</f>
        <v>#REF!</v>
      </c>
      <c r="AG69" s="57" t="str">
        <f>VLOOKUP('北段 (人資版)'!AG69,'工作表1'!$A$3:$B$78,2,FALSE)</f>
        <v>#REF!</v>
      </c>
      <c r="AH69" s="57" t="str">
        <f>VLOOKUP('北段 (人資版)'!AH69,'工作表1'!$A$3:$B$78,2,FALSE)</f>
        <v>#ERROR!</v>
      </c>
      <c r="AI69" s="57" t="str">
        <f>VLOOKUP('北段 (人資版)'!AI69,'工作表1'!$A$3:$B$78,2,FALSE)</f>
        <v>#ERROR!</v>
      </c>
      <c r="AJ69" s="57" t="str">
        <f>VLOOKUP('北段 (人資版)'!AJ69,'工作表1'!$A$3:$B$78,2,FALSE)</f>
        <v>#ERROR!</v>
      </c>
      <c r="AK69" s="57" t="str">
        <f>VLOOKUP('北段 (人資版)'!AK69,'工作表1'!$A$3:$B$78,2,FALSE)</f>
        <v>#ERROR!</v>
      </c>
      <c r="AL69" s="57" t="str">
        <f>VLOOKUP('北段 (人資版)'!AL69,'工作表1'!$A$3:$B$78,2,FALSE)</f>
        <v>#ERROR!</v>
      </c>
      <c r="AM69" s="57" t="str">
        <f>VLOOKUP('北段 (人資版)'!AM69,'工作表1'!$A$3:$B$78,2,FALSE)</f>
        <v>#ERROR!</v>
      </c>
      <c r="AN69" s="57" t="str">
        <f>VLOOKUP('北段 (人資版)'!AN69,'工作表1'!$A$3:$B$78,2,FALSE)</f>
        <v>#ERROR!</v>
      </c>
    </row>
    <row r="70" ht="39.0" customHeight="1">
      <c r="A70" s="22"/>
      <c r="B70" s="57" t="str">
        <f>北段!#REF!</f>
        <v>#ERROR!</v>
      </c>
      <c r="C70" s="57" t="str">
        <f>VLOOKUP(B70,'北段'!B:C,2,FALSE)</f>
        <v>#ERROR!</v>
      </c>
      <c r="D70" s="57" t="str">
        <f>VLOOKUP('北段 (人資版)'!D70,'工作表1'!$A$3:$B$78,2,FALSE)</f>
        <v>#ERROR!</v>
      </c>
      <c r="E70" s="57" t="str">
        <f>VLOOKUP('北段 (人資版)'!E70,'工作表1'!$A$3:$B$78,2,FALSE)</f>
        <v>#ERROR!</v>
      </c>
      <c r="F70" s="57" t="str">
        <f>VLOOKUP('北段 (人資版)'!F70,'工作表1'!$A$3:$B$78,2,FALSE)</f>
        <v>#ERROR!</v>
      </c>
      <c r="G70" s="57" t="str">
        <f>VLOOKUP('北段 (人資版)'!G70,'工作表1'!$A$3:$B$78,2,FALSE)</f>
        <v>#ERROR!</v>
      </c>
      <c r="H70" s="57" t="str">
        <f>VLOOKUP('北段 (人資版)'!H70,'工作表1'!$A$3:$B$78,2,FALSE)</f>
        <v>#ERROR!</v>
      </c>
      <c r="I70" s="57" t="str">
        <f>VLOOKUP('北段 (人資版)'!I70,'工作表1'!$A$3:$B$78,2,FALSE)</f>
        <v>#ERROR!</v>
      </c>
      <c r="J70" s="57" t="str">
        <f>VLOOKUP('北段 (人資版)'!J70,'工作表1'!$A$3:$B$78,2,FALSE)</f>
        <v>#ERROR!</v>
      </c>
      <c r="K70" s="57" t="str">
        <f>VLOOKUP('北段 (人資版)'!K70,'工作表1'!$A$3:$B$78,2,FALSE)</f>
        <v>#ERROR!</v>
      </c>
      <c r="L70" s="57" t="str">
        <f>VLOOKUP('北段 (人資版)'!L70,'工作表1'!$A$3:$B$78,2,FALSE)</f>
        <v>#ERROR!</v>
      </c>
      <c r="M70" s="57" t="str">
        <f>VLOOKUP('北段 (人資版)'!M70,'工作表1'!$A$3:$B$78,2,FALSE)</f>
        <v>#ERROR!</v>
      </c>
      <c r="N70" s="57" t="str">
        <f>VLOOKUP('北段 (人資版)'!N70,'工作表1'!$A$3:$B$78,2,FALSE)</f>
        <v>#ERROR!</v>
      </c>
      <c r="O70" s="57" t="str">
        <f>VLOOKUP('北段 (人資版)'!O70,'工作表1'!$A$3:$B$78,2,FALSE)</f>
        <v>#ERROR!</v>
      </c>
      <c r="P70" s="57" t="str">
        <f>VLOOKUP('北段 (人資版)'!P70,'工作表1'!$A$3:$B$78,2,FALSE)</f>
        <v>#ERROR!</v>
      </c>
      <c r="Q70" s="57" t="str">
        <f>VLOOKUP('北段 (人資版)'!Q70,'工作表1'!$A$3:$B$78,2,FALSE)</f>
        <v>#ERROR!</v>
      </c>
      <c r="R70" s="57" t="str">
        <f>VLOOKUP('北段 (人資版)'!R70,'工作表1'!$A$3:$B$78,2,FALSE)</f>
        <v>#ERROR!</v>
      </c>
      <c r="S70" s="57" t="str">
        <f>VLOOKUP('北段 (人資版)'!S70,'工作表1'!$A$3:$B$78,2,FALSE)</f>
        <v>#ERROR!</v>
      </c>
      <c r="T70" s="57" t="str">
        <f>VLOOKUP('北段 (人資版)'!T70,'工作表1'!$A$3:$B$78,2,FALSE)</f>
        <v>#ERROR!</v>
      </c>
      <c r="U70" s="57" t="str">
        <f>VLOOKUP('北段 (人資版)'!U70,'工作表1'!$A$3:$B$78,2,FALSE)</f>
        <v>#ERROR!</v>
      </c>
      <c r="V70" s="57" t="str">
        <f>VLOOKUP('北段 (人資版)'!V70,'工作表1'!$A$3:$B$78,2,FALSE)</f>
        <v>#ERROR!</v>
      </c>
      <c r="W70" s="57" t="str">
        <f>VLOOKUP('北段 (人資版)'!W70,'工作表1'!$A$3:$B$78,2,FALSE)</f>
        <v>#ERROR!</v>
      </c>
      <c r="X70" s="57" t="str">
        <f>VLOOKUP('北段 (人資版)'!X70,'工作表1'!$A$3:$B$78,2,FALSE)</f>
        <v>#ERROR!</v>
      </c>
      <c r="Y70" s="57" t="str">
        <f>VLOOKUP('北段 (人資版)'!Y70,'工作表1'!$A$3:$B$78,2,FALSE)</f>
        <v>#ERROR!</v>
      </c>
      <c r="Z70" s="57" t="str">
        <f>VLOOKUP('北段 (人資版)'!Z70,'工作表1'!$A$3:$B$78,2,FALSE)</f>
        <v>#ERROR!</v>
      </c>
      <c r="AA70" s="57" t="str">
        <f>VLOOKUP('北段 (人資版)'!AA70,'工作表1'!$A$3:$B$78,2,FALSE)</f>
        <v>#ERROR!</v>
      </c>
      <c r="AB70" s="57" t="str">
        <f>VLOOKUP('北段 (人資版)'!AB70,'工作表1'!$A$3:$B$78,2,FALSE)</f>
        <v>#ERROR!</v>
      </c>
      <c r="AC70" s="57" t="str">
        <f>VLOOKUP('北段 (人資版)'!AC70,'工作表1'!$A$3:$B$78,2,FALSE)</f>
        <v>#ERROR!</v>
      </c>
      <c r="AD70" s="57" t="str">
        <f>VLOOKUP('北段 (人資版)'!AD70,'工作表1'!$A$3:$B$78,2,FALSE)</f>
        <v>#ERROR!</v>
      </c>
      <c r="AE70" s="57" t="str">
        <f>VLOOKUP('北段 (人資版)'!AE70,'工作表1'!$A$3:$B$78,2,FALSE)</f>
        <v>#ERROR!</v>
      </c>
      <c r="AF70" s="57" t="str">
        <f>VLOOKUP('北段 (人資版)'!AF70,'工作表1'!$A$3:$B$78,2,FALSE)</f>
        <v>#ERROR!</v>
      </c>
      <c r="AG70" s="57" t="str">
        <f>VLOOKUP('北段 (人資版)'!AG70,'工作表1'!$A$3:$B$78,2,FALSE)</f>
        <v>#ERROR!</v>
      </c>
      <c r="AH70" s="57" t="str">
        <f>VLOOKUP('北段 (人資版)'!AH70,'工作表1'!$A$3:$B$78,2,FALSE)</f>
        <v>#ERROR!</v>
      </c>
      <c r="AI70" s="57" t="str">
        <f>VLOOKUP('北段 (人資版)'!AI70,'工作表1'!$A$3:$B$78,2,FALSE)</f>
        <v>#ERROR!</v>
      </c>
      <c r="AJ70" s="57" t="str">
        <f>VLOOKUP('北段 (人資版)'!AJ70,'工作表1'!$A$3:$B$78,2,FALSE)</f>
        <v>#ERROR!</v>
      </c>
      <c r="AK70" s="57" t="str">
        <f>VLOOKUP('北段 (人資版)'!AK70,'工作表1'!$A$3:$B$78,2,FALSE)</f>
        <v>#ERROR!</v>
      </c>
      <c r="AL70" s="57" t="str">
        <f>VLOOKUP('北段 (人資版)'!AL70,'工作表1'!$A$3:$B$78,2,FALSE)</f>
        <v>#ERROR!</v>
      </c>
      <c r="AM70" s="57" t="str">
        <f>VLOOKUP('北段 (人資版)'!AM70,'工作表1'!$A$3:$B$78,2,FALSE)</f>
        <v>#ERROR!</v>
      </c>
      <c r="AN70" s="57" t="str">
        <f>VLOOKUP('北段 (人資版)'!AN70,'工作表1'!$A$3:$B$78,2,FALSE)</f>
        <v>#ERROR!</v>
      </c>
    </row>
    <row r="71" ht="39.0" customHeight="1">
      <c r="A71" s="22"/>
      <c r="B71" s="57" t="str">
        <f t="shared" ref="B71:B73" si="4">#REF!</f>
        <v>#REF!</v>
      </c>
      <c r="C71" s="57" t="str">
        <f>VLOOKUP(B71,'北段'!B:C,2,FALSE)</f>
        <v>#REF!</v>
      </c>
      <c r="D71" s="57" t="str">
        <f>VLOOKUP('北段 (人資版)'!D71,'工作表1'!$A$3:$B$78,2,FALSE)</f>
        <v>#REF!</v>
      </c>
      <c r="E71" s="57" t="str">
        <f>VLOOKUP('北段 (人資版)'!E71,'工作表1'!$A$3:$B$78,2,FALSE)</f>
        <v>#REF!</v>
      </c>
      <c r="F71" s="57" t="str">
        <f>VLOOKUP('北段 (人資版)'!F71,'工作表1'!$A$3:$B$78,2,FALSE)</f>
        <v>#REF!</v>
      </c>
      <c r="G71" s="57" t="str">
        <f>VLOOKUP('北段 (人資版)'!G71,'工作表1'!$A$3:$B$78,2,FALSE)</f>
        <v>#REF!</v>
      </c>
      <c r="H71" s="57" t="str">
        <f>VLOOKUP('北段 (人資版)'!H71,'工作表1'!$A$3:$B$78,2,FALSE)</f>
        <v>#REF!</v>
      </c>
      <c r="I71" s="57" t="str">
        <f>VLOOKUP('北段 (人資版)'!I71,'工作表1'!$A$3:$B$78,2,FALSE)</f>
        <v>#REF!</v>
      </c>
      <c r="J71" s="57" t="str">
        <f>VLOOKUP('北段 (人資版)'!J71,'工作表1'!$A$3:$B$78,2,FALSE)</f>
        <v>#REF!</v>
      </c>
      <c r="K71" s="57" t="str">
        <f>VLOOKUP('北段 (人資版)'!K71,'工作表1'!$A$3:$B$78,2,FALSE)</f>
        <v>#REF!</v>
      </c>
      <c r="L71" s="57" t="str">
        <f>VLOOKUP('北段 (人資版)'!L71,'工作表1'!$A$3:$B$78,2,FALSE)</f>
        <v>#REF!</v>
      </c>
      <c r="M71" s="57" t="str">
        <f>VLOOKUP('北段 (人資版)'!M71,'工作表1'!$A$3:$B$78,2,FALSE)</f>
        <v>#REF!</v>
      </c>
      <c r="N71" s="57" t="str">
        <f>VLOOKUP('北段 (人資版)'!N71,'工作表1'!$A$3:$B$78,2,FALSE)</f>
        <v>#REF!</v>
      </c>
      <c r="O71" s="57" t="str">
        <f>VLOOKUP('北段 (人資版)'!O71,'工作表1'!$A$3:$B$78,2,FALSE)</f>
        <v>#REF!</v>
      </c>
      <c r="P71" s="57" t="str">
        <f>VLOOKUP('北段 (人資版)'!P71,'工作表1'!$A$3:$B$78,2,FALSE)</f>
        <v>#REF!</v>
      </c>
      <c r="Q71" s="57" t="str">
        <f>VLOOKUP('北段 (人資版)'!Q71,'工作表1'!$A$3:$B$78,2,FALSE)</f>
        <v>#REF!</v>
      </c>
      <c r="R71" s="57" t="str">
        <f>VLOOKUP('北段 (人資版)'!R71,'工作表1'!$A$3:$B$78,2,FALSE)</f>
        <v>#REF!</v>
      </c>
      <c r="S71" s="57" t="str">
        <f>VLOOKUP('北段 (人資版)'!S71,'工作表1'!$A$3:$B$78,2,FALSE)</f>
        <v>#REF!</v>
      </c>
      <c r="T71" s="57" t="str">
        <f>VLOOKUP('北段 (人資版)'!T71,'工作表1'!$A$3:$B$78,2,FALSE)</f>
        <v>#REF!</v>
      </c>
      <c r="U71" s="57" t="str">
        <f>VLOOKUP('北段 (人資版)'!U71,'工作表1'!$A$3:$B$78,2,FALSE)</f>
        <v>#REF!</v>
      </c>
      <c r="V71" s="57" t="str">
        <f>VLOOKUP('北段 (人資版)'!V71,'工作表1'!$A$3:$B$78,2,FALSE)</f>
        <v>#REF!</v>
      </c>
      <c r="W71" s="57" t="str">
        <f>VLOOKUP('北段 (人資版)'!W71,'工作表1'!$A$3:$B$78,2,FALSE)</f>
        <v>#REF!</v>
      </c>
      <c r="X71" s="57" t="str">
        <f>VLOOKUP('北段 (人資版)'!X71,'工作表1'!$A$3:$B$78,2,FALSE)</f>
        <v>#REF!</v>
      </c>
      <c r="Y71" s="57" t="str">
        <f>VLOOKUP('北段 (人資版)'!Y71,'工作表1'!$A$3:$B$78,2,FALSE)</f>
        <v>#REF!</v>
      </c>
      <c r="Z71" s="57" t="str">
        <f>VLOOKUP('北段 (人資版)'!Z71,'工作表1'!$A$3:$B$78,2,FALSE)</f>
        <v>#REF!</v>
      </c>
      <c r="AA71" s="57" t="str">
        <f>VLOOKUP('北段 (人資版)'!AA71,'工作表1'!$A$3:$B$78,2,FALSE)</f>
        <v>#REF!</v>
      </c>
      <c r="AB71" s="57" t="str">
        <f>VLOOKUP('北段 (人資版)'!AB71,'工作表1'!$A$3:$B$78,2,FALSE)</f>
        <v>#REF!</v>
      </c>
      <c r="AC71" s="57" t="str">
        <f>VLOOKUP('北段 (人資版)'!AC71,'工作表1'!$A$3:$B$78,2,FALSE)</f>
        <v>#REF!</v>
      </c>
      <c r="AD71" s="57" t="str">
        <f>VLOOKUP('北段 (人資版)'!AD71,'工作表1'!$A$3:$B$78,2,FALSE)</f>
        <v>#REF!</v>
      </c>
      <c r="AE71" s="57" t="str">
        <f>VLOOKUP('北段 (人資版)'!AE71,'工作表1'!$A$3:$B$78,2,FALSE)</f>
        <v>#REF!</v>
      </c>
      <c r="AF71" s="57" t="str">
        <f>VLOOKUP('北段 (人資版)'!AF71,'工作表1'!$A$3:$B$78,2,FALSE)</f>
        <v>#REF!</v>
      </c>
      <c r="AG71" s="57" t="str">
        <f>VLOOKUP('北段 (人資版)'!AG71,'工作表1'!$A$3:$B$78,2,FALSE)</f>
        <v>#REF!</v>
      </c>
      <c r="AH71" s="57" t="str">
        <f>VLOOKUP('北段 (人資版)'!AH71,'工作表1'!$A$3:$B$78,2,FALSE)</f>
        <v>#ERROR!</v>
      </c>
      <c r="AI71" s="57" t="str">
        <f>VLOOKUP('北段 (人資版)'!AI71,'工作表1'!$A$3:$B$78,2,FALSE)</f>
        <v>#ERROR!</v>
      </c>
      <c r="AJ71" s="57" t="str">
        <f>VLOOKUP('北段 (人資版)'!AJ71,'工作表1'!$A$3:$B$78,2,FALSE)</f>
        <v>#ERROR!</v>
      </c>
      <c r="AK71" s="57" t="str">
        <f>VLOOKUP('北段 (人資版)'!AK71,'工作表1'!$A$3:$B$78,2,FALSE)</f>
        <v>#ERROR!</v>
      </c>
      <c r="AL71" s="57" t="str">
        <f>VLOOKUP('北段 (人資版)'!AL71,'工作表1'!$A$3:$B$78,2,FALSE)</f>
        <v>#ERROR!</v>
      </c>
      <c r="AM71" s="57" t="str">
        <f>VLOOKUP('北段 (人資版)'!AM71,'工作表1'!$A$3:$B$78,2,FALSE)</f>
        <v>#ERROR!</v>
      </c>
      <c r="AN71" s="57" t="str">
        <f>VLOOKUP('北段 (人資版)'!AN71,'工作表1'!$A$3:$B$78,2,FALSE)</f>
        <v>#ERROR!</v>
      </c>
    </row>
    <row r="72" ht="39.0" customHeight="1">
      <c r="A72" s="22"/>
      <c r="B72" s="57" t="str">
        <f t="shared" si="4"/>
        <v>#REF!</v>
      </c>
      <c r="C72" s="57" t="str">
        <f>VLOOKUP(B72,'北段'!B:C,2,FALSE)</f>
        <v>#REF!</v>
      </c>
      <c r="D72" s="57" t="str">
        <f>VLOOKUP('北段 (人資版)'!D72,'工作表1'!$A$3:$B$78,2,FALSE)</f>
        <v>#REF!</v>
      </c>
      <c r="E72" s="57" t="str">
        <f>VLOOKUP('北段 (人資版)'!E72,'工作表1'!$A$3:$B$78,2,FALSE)</f>
        <v>#REF!</v>
      </c>
      <c r="F72" s="57" t="str">
        <f>VLOOKUP('北段 (人資版)'!F72,'工作表1'!$A$3:$B$78,2,FALSE)</f>
        <v>#REF!</v>
      </c>
      <c r="G72" s="57" t="str">
        <f>VLOOKUP('北段 (人資版)'!G72,'工作表1'!$A$3:$B$78,2,FALSE)</f>
        <v>#REF!</v>
      </c>
      <c r="H72" s="57" t="str">
        <f>VLOOKUP('北段 (人資版)'!H72,'工作表1'!$A$3:$B$78,2,FALSE)</f>
        <v>#REF!</v>
      </c>
      <c r="I72" s="57" t="str">
        <f>VLOOKUP('北段 (人資版)'!I72,'工作表1'!$A$3:$B$78,2,FALSE)</f>
        <v>#REF!</v>
      </c>
      <c r="J72" s="57" t="str">
        <f>VLOOKUP('北段 (人資版)'!J72,'工作表1'!$A$3:$B$78,2,FALSE)</f>
        <v>#REF!</v>
      </c>
      <c r="K72" s="57" t="str">
        <f>VLOOKUP('北段 (人資版)'!K72,'工作表1'!$A$3:$B$78,2,FALSE)</f>
        <v>#REF!</v>
      </c>
      <c r="L72" s="57" t="str">
        <f>VLOOKUP('北段 (人資版)'!L72,'工作表1'!$A$3:$B$78,2,FALSE)</f>
        <v>#REF!</v>
      </c>
      <c r="M72" s="57" t="str">
        <f>VLOOKUP('北段 (人資版)'!M72,'工作表1'!$A$3:$B$78,2,FALSE)</f>
        <v>#REF!</v>
      </c>
      <c r="N72" s="57" t="str">
        <f>VLOOKUP('北段 (人資版)'!N72,'工作表1'!$A$3:$B$78,2,FALSE)</f>
        <v>#REF!</v>
      </c>
      <c r="O72" s="57" t="str">
        <f>VLOOKUP('北段 (人資版)'!O72,'工作表1'!$A$3:$B$78,2,FALSE)</f>
        <v>#REF!</v>
      </c>
      <c r="P72" s="57" t="str">
        <f>VLOOKUP('北段 (人資版)'!P72,'工作表1'!$A$3:$B$78,2,FALSE)</f>
        <v>#REF!</v>
      </c>
      <c r="Q72" s="57" t="str">
        <f>VLOOKUP('北段 (人資版)'!Q72,'工作表1'!$A$3:$B$78,2,FALSE)</f>
        <v>#REF!</v>
      </c>
      <c r="R72" s="57" t="str">
        <f>VLOOKUP('北段 (人資版)'!R72,'工作表1'!$A$3:$B$78,2,FALSE)</f>
        <v>#REF!</v>
      </c>
      <c r="S72" s="57" t="str">
        <f>VLOOKUP('北段 (人資版)'!S72,'工作表1'!$A$3:$B$78,2,FALSE)</f>
        <v>#REF!</v>
      </c>
      <c r="T72" s="57" t="str">
        <f>VLOOKUP('北段 (人資版)'!T72,'工作表1'!$A$3:$B$78,2,FALSE)</f>
        <v>#REF!</v>
      </c>
      <c r="U72" s="57" t="str">
        <f>VLOOKUP('北段 (人資版)'!U72,'工作表1'!$A$3:$B$78,2,FALSE)</f>
        <v>#REF!</v>
      </c>
      <c r="V72" s="57" t="str">
        <f>VLOOKUP('北段 (人資版)'!V72,'工作表1'!$A$3:$B$78,2,FALSE)</f>
        <v>#REF!</v>
      </c>
      <c r="W72" s="57" t="str">
        <f>VLOOKUP('北段 (人資版)'!W72,'工作表1'!$A$3:$B$78,2,FALSE)</f>
        <v>#REF!</v>
      </c>
      <c r="X72" s="57" t="str">
        <f>VLOOKUP('北段 (人資版)'!X72,'工作表1'!$A$3:$B$78,2,FALSE)</f>
        <v>#REF!</v>
      </c>
      <c r="Y72" s="57" t="str">
        <f>VLOOKUP('北段 (人資版)'!Y72,'工作表1'!$A$3:$B$78,2,FALSE)</f>
        <v>#REF!</v>
      </c>
      <c r="Z72" s="57" t="str">
        <f>VLOOKUP('北段 (人資版)'!Z72,'工作表1'!$A$3:$B$78,2,FALSE)</f>
        <v>#REF!</v>
      </c>
      <c r="AA72" s="57" t="str">
        <f>VLOOKUP('北段 (人資版)'!AA72,'工作表1'!$A$3:$B$78,2,FALSE)</f>
        <v>#REF!</v>
      </c>
      <c r="AB72" s="57" t="str">
        <f>VLOOKUP('北段 (人資版)'!AB72,'工作表1'!$A$3:$B$78,2,FALSE)</f>
        <v>#REF!</v>
      </c>
      <c r="AC72" s="57" t="str">
        <f>VLOOKUP('北段 (人資版)'!AC72,'工作表1'!$A$3:$B$78,2,FALSE)</f>
        <v>#REF!</v>
      </c>
      <c r="AD72" s="57" t="str">
        <f>VLOOKUP('北段 (人資版)'!AD72,'工作表1'!$A$3:$B$78,2,FALSE)</f>
        <v>#REF!</v>
      </c>
      <c r="AE72" s="57" t="str">
        <f>VLOOKUP('北段 (人資版)'!AE72,'工作表1'!$A$3:$B$78,2,FALSE)</f>
        <v>#REF!</v>
      </c>
      <c r="AF72" s="57" t="str">
        <f>VLOOKUP('北段 (人資版)'!AF72,'工作表1'!$A$3:$B$78,2,FALSE)</f>
        <v>#REF!</v>
      </c>
      <c r="AG72" s="57" t="str">
        <f>VLOOKUP('北段 (人資版)'!AG72,'工作表1'!$A$3:$B$78,2,FALSE)</f>
        <v>#REF!</v>
      </c>
      <c r="AH72" s="57" t="str">
        <f>VLOOKUP('北段 (人資版)'!AH72,'工作表1'!$A$3:$B$78,2,FALSE)</f>
        <v>#ERROR!</v>
      </c>
      <c r="AI72" s="57" t="str">
        <f>VLOOKUP('北段 (人資版)'!AI72,'工作表1'!$A$3:$B$78,2,FALSE)</f>
        <v>#ERROR!</v>
      </c>
      <c r="AJ72" s="57" t="str">
        <f>VLOOKUP('北段 (人資版)'!AJ72,'工作表1'!$A$3:$B$78,2,FALSE)</f>
        <v>#ERROR!</v>
      </c>
      <c r="AK72" s="57" t="str">
        <f>VLOOKUP('北段 (人資版)'!AK72,'工作表1'!$A$3:$B$78,2,FALSE)</f>
        <v>#ERROR!</v>
      </c>
      <c r="AL72" s="57" t="str">
        <f>VLOOKUP('北段 (人資版)'!AL72,'工作表1'!$A$3:$B$78,2,FALSE)</f>
        <v>#ERROR!</v>
      </c>
      <c r="AM72" s="57" t="str">
        <f>VLOOKUP('北段 (人資版)'!AM72,'工作表1'!$A$3:$B$78,2,FALSE)</f>
        <v>#ERROR!</v>
      </c>
      <c r="AN72" s="57" t="str">
        <f>VLOOKUP('北段 (人資版)'!AN72,'工作表1'!$A$3:$B$78,2,FALSE)</f>
        <v>#ERROR!</v>
      </c>
    </row>
    <row r="73" ht="39.0" customHeight="1">
      <c r="A73" s="22"/>
      <c r="B73" s="57" t="str">
        <f t="shared" si="4"/>
        <v>#REF!</v>
      </c>
      <c r="C73" s="57" t="str">
        <f>VLOOKUP(B73,'北段'!B:C,2,FALSE)</f>
        <v>#REF!</v>
      </c>
      <c r="D73" s="57" t="str">
        <f>VLOOKUP('北段 (人資版)'!D73,'工作表1'!$A$3:$B$78,2,FALSE)</f>
        <v>#REF!</v>
      </c>
      <c r="E73" s="57" t="str">
        <f>VLOOKUP('北段 (人資版)'!E73,'工作表1'!$A$3:$B$78,2,FALSE)</f>
        <v>#REF!</v>
      </c>
      <c r="F73" s="57" t="str">
        <f>VLOOKUP('北段 (人資版)'!F73,'工作表1'!$A$3:$B$78,2,FALSE)</f>
        <v>#REF!</v>
      </c>
      <c r="G73" s="57" t="str">
        <f>VLOOKUP('北段 (人資版)'!G73,'工作表1'!$A$3:$B$78,2,FALSE)</f>
        <v>#REF!</v>
      </c>
      <c r="H73" s="57" t="str">
        <f>VLOOKUP('北段 (人資版)'!H73,'工作表1'!$A$3:$B$78,2,FALSE)</f>
        <v>#REF!</v>
      </c>
      <c r="I73" s="57" t="str">
        <f>VLOOKUP('北段 (人資版)'!I73,'工作表1'!$A$3:$B$78,2,FALSE)</f>
        <v>#REF!</v>
      </c>
      <c r="J73" s="57" t="str">
        <f>VLOOKUP('北段 (人資版)'!J73,'工作表1'!$A$3:$B$78,2,FALSE)</f>
        <v>#REF!</v>
      </c>
      <c r="K73" s="57" t="str">
        <f>VLOOKUP('北段 (人資版)'!K73,'工作表1'!$A$3:$B$78,2,FALSE)</f>
        <v>#REF!</v>
      </c>
      <c r="L73" s="57" t="str">
        <f>VLOOKUP('北段 (人資版)'!L73,'工作表1'!$A$3:$B$78,2,FALSE)</f>
        <v>#REF!</v>
      </c>
      <c r="M73" s="57" t="str">
        <f>VLOOKUP('北段 (人資版)'!M73,'工作表1'!$A$3:$B$78,2,FALSE)</f>
        <v>#REF!</v>
      </c>
      <c r="N73" s="57" t="str">
        <f>VLOOKUP('北段 (人資版)'!N73,'工作表1'!$A$3:$B$78,2,FALSE)</f>
        <v>#REF!</v>
      </c>
      <c r="O73" s="57" t="str">
        <f>VLOOKUP('北段 (人資版)'!O73,'工作表1'!$A$3:$B$78,2,FALSE)</f>
        <v>#REF!</v>
      </c>
      <c r="P73" s="57" t="str">
        <f>VLOOKUP('北段 (人資版)'!P73,'工作表1'!$A$3:$B$78,2,FALSE)</f>
        <v>#REF!</v>
      </c>
      <c r="Q73" s="57" t="str">
        <f>VLOOKUP('北段 (人資版)'!Q73,'工作表1'!$A$3:$B$78,2,FALSE)</f>
        <v>#REF!</v>
      </c>
      <c r="R73" s="57" t="str">
        <f>VLOOKUP('北段 (人資版)'!R73,'工作表1'!$A$3:$B$78,2,FALSE)</f>
        <v>#REF!</v>
      </c>
      <c r="S73" s="57" t="str">
        <f>VLOOKUP('北段 (人資版)'!S73,'工作表1'!$A$3:$B$78,2,FALSE)</f>
        <v>#REF!</v>
      </c>
      <c r="T73" s="57" t="str">
        <f>VLOOKUP('北段 (人資版)'!T73,'工作表1'!$A$3:$B$78,2,FALSE)</f>
        <v>#REF!</v>
      </c>
      <c r="U73" s="57" t="str">
        <f>VLOOKUP('北段 (人資版)'!U73,'工作表1'!$A$3:$B$78,2,FALSE)</f>
        <v>#REF!</v>
      </c>
      <c r="V73" s="57" t="str">
        <f>VLOOKUP('北段 (人資版)'!V73,'工作表1'!$A$3:$B$78,2,FALSE)</f>
        <v>#REF!</v>
      </c>
      <c r="W73" s="57" t="str">
        <f>VLOOKUP('北段 (人資版)'!W73,'工作表1'!$A$3:$B$78,2,FALSE)</f>
        <v>#REF!</v>
      </c>
      <c r="X73" s="57" t="str">
        <f>VLOOKUP('北段 (人資版)'!X73,'工作表1'!$A$3:$B$78,2,FALSE)</f>
        <v>#REF!</v>
      </c>
      <c r="Y73" s="57" t="str">
        <f>VLOOKUP('北段 (人資版)'!Y73,'工作表1'!$A$3:$B$78,2,FALSE)</f>
        <v>#REF!</v>
      </c>
      <c r="Z73" s="57" t="str">
        <f>VLOOKUP('北段 (人資版)'!Z73,'工作表1'!$A$3:$B$78,2,FALSE)</f>
        <v>#REF!</v>
      </c>
      <c r="AA73" s="57" t="str">
        <f>VLOOKUP('北段 (人資版)'!AA73,'工作表1'!$A$3:$B$78,2,FALSE)</f>
        <v>#REF!</v>
      </c>
      <c r="AB73" s="57" t="str">
        <f>VLOOKUP('北段 (人資版)'!AB73,'工作表1'!$A$3:$B$78,2,FALSE)</f>
        <v>#REF!</v>
      </c>
      <c r="AC73" s="57" t="str">
        <f>VLOOKUP('北段 (人資版)'!AC73,'工作表1'!$A$3:$B$78,2,FALSE)</f>
        <v>#REF!</v>
      </c>
      <c r="AD73" s="57" t="str">
        <f>VLOOKUP('北段 (人資版)'!AD73,'工作表1'!$A$3:$B$78,2,FALSE)</f>
        <v>#REF!</v>
      </c>
      <c r="AE73" s="57" t="str">
        <f>VLOOKUP('北段 (人資版)'!AE73,'工作表1'!$A$3:$B$78,2,FALSE)</f>
        <v>#REF!</v>
      </c>
      <c r="AF73" s="57" t="str">
        <f>VLOOKUP('北段 (人資版)'!AF73,'工作表1'!$A$3:$B$78,2,FALSE)</f>
        <v>#REF!</v>
      </c>
      <c r="AG73" s="57" t="str">
        <f>VLOOKUP('北段 (人資版)'!AG73,'工作表1'!$A$3:$B$78,2,FALSE)</f>
        <v>#REF!</v>
      </c>
      <c r="AH73" s="57" t="str">
        <f>VLOOKUP('北段 (人資版)'!AH73,'工作表1'!$A$3:$B$78,2,FALSE)</f>
        <v>#ERROR!</v>
      </c>
      <c r="AI73" s="57" t="str">
        <f>VLOOKUP('北段 (人資版)'!AI73,'工作表1'!$A$3:$B$78,2,FALSE)</f>
        <v>#ERROR!</v>
      </c>
      <c r="AJ73" s="57" t="str">
        <f>VLOOKUP('北段 (人資版)'!AJ73,'工作表1'!$A$3:$B$78,2,FALSE)</f>
        <v>#ERROR!</v>
      </c>
      <c r="AK73" s="57" t="str">
        <f>VLOOKUP('北段 (人資版)'!AK73,'工作表1'!$A$3:$B$78,2,FALSE)</f>
        <v>#ERROR!</v>
      </c>
      <c r="AL73" s="57" t="str">
        <f>VLOOKUP('北段 (人資版)'!AL73,'工作表1'!$A$3:$B$78,2,FALSE)</f>
        <v>#ERROR!</v>
      </c>
      <c r="AM73" s="57" t="str">
        <f>VLOOKUP('北段 (人資版)'!AM73,'工作表1'!$A$3:$B$78,2,FALSE)</f>
        <v>#ERROR!</v>
      </c>
      <c r="AN73" s="57" t="str">
        <f>VLOOKUP('北段 (人資版)'!AN73,'工作表1'!$A$3:$B$78,2,FALSE)</f>
        <v>#ERROR!</v>
      </c>
    </row>
    <row r="74" ht="16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</row>
    <row r="75" ht="16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</row>
    <row r="76" ht="16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</row>
    <row r="77" ht="16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</row>
    <row r="78" ht="16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</row>
    <row r="79" ht="16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</row>
    <row r="80" ht="16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</row>
    <row r="81" ht="16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</row>
    <row r="82" ht="16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</row>
    <row r="83" ht="16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</row>
    <row r="84" ht="16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</row>
    <row r="85" ht="16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</row>
    <row r="86" ht="16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</row>
    <row r="87" ht="16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</row>
    <row r="88" ht="16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</row>
    <row r="89" ht="16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</row>
    <row r="90" ht="16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</row>
    <row r="91" ht="16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</row>
    <row r="92" ht="16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</row>
    <row r="93" ht="16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</row>
    <row r="94" ht="16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</row>
    <row r="95" ht="16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</row>
    <row r="96" ht="16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</row>
    <row r="97" ht="16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</row>
    <row r="98" ht="16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</row>
    <row r="99" ht="16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</row>
    <row r="100" ht="16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</row>
    <row r="101" ht="16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</row>
    <row r="102" ht="16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</row>
    <row r="103" ht="16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</row>
    <row r="104" ht="16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</row>
    <row r="105" ht="16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</row>
    <row r="106" ht="16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</row>
    <row r="107" ht="16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</row>
    <row r="108" ht="16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</row>
    <row r="109" ht="16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</row>
    <row r="110" ht="16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</row>
    <row r="111" ht="16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</row>
    <row r="112" ht="16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</row>
    <row r="113" ht="16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</row>
    <row r="114" ht="16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</row>
    <row r="115" ht="16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</row>
    <row r="116" ht="16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</row>
    <row r="117" ht="16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</row>
    <row r="118" ht="16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</row>
    <row r="119" ht="16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</row>
    <row r="120" ht="16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</row>
    <row r="121" ht="16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</row>
    <row r="122" ht="16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</row>
    <row r="123" ht="16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</row>
    <row r="124" ht="16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</row>
    <row r="125" ht="16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</row>
    <row r="126" ht="16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</row>
    <row r="127" ht="16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</row>
    <row r="128" ht="16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</row>
    <row r="129" ht="16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</row>
    <row r="130" ht="16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</row>
    <row r="131" ht="16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</row>
    <row r="132" ht="16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</row>
    <row r="133" ht="16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</row>
    <row r="134" ht="16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</row>
    <row r="135" ht="16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</row>
    <row r="136" ht="16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</row>
    <row r="137" ht="16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</row>
    <row r="138" ht="16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</row>
    <row r="139" ht="16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</row>
    <row r="140" ht="16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</row>
    <row r="141" ht="16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</row>
    <row r="142" ht="16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</row>
    <row r="143" ht="16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</row>
    <row r="144" ht="16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</row>
    <row r="145" ht="16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</row>
    <row r="146" ht="16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</row>
    <row r="147" ht="16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</row>
    <row r="148" ht="16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</row>
    <row r="149" ht="16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</row>
    <row r="150" ht="16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</row>
    <row r="151" ht="16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</row>
    <row r="152" ht="16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</row>
    <row r="153" ht="16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</row>
    <row r="154" ht="16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</row>
    <row r="155" ht="16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</row>
    <row r="156" ht="16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</row>
    <row r="157" ht="16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</row>
    <row r="158" ht="16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</row>
    <row r="159" ht="16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</row>
    <row r="160" ht="16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</row>
    <row r="161" ht="16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</row>
    <row r="162" ht="16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</row>
    <row r="163" ht="16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</row>
    <row r="164" ht="16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</row>
    <row r="165" ht="16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</row>
    <row r="166" ht="16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</row>
    <row r="167" ht="16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</row>
    <row r="168" ht="16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</row>
    <row r="169" ht="16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</row>
    <row r="170" ht="16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</row>
    <row r="171" ht="16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</row>
    <row r="172" ht="16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</row>
    <row r="173" ht="16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</row>
    <row r="174" ht="16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</row>
    <row r="175" ht="16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</row>
    <row r="176" ht="16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</row>
    <row r="177" ht="16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</row>
    <row r="178" ht="16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</row>
    <row r="179" ht="16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</row>
    <row r="180" ht="16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</row>
    <row r="181" ht="16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</row>
    <row r="182" ht="16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</row>
    <row r="183" ht="16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</row>
    <row r="184" ht="16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</row>
    <row r="185" ht="16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</row>
    <row r="186" ht="16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</row>
    <row r="187" ht="16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</row>
    <row r="188" ht="16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</row>
    <row r="189" ht="16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</row>
    <row r="190" ht="16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</row>
    <row r="191" ht="16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</row>
    <row r="192" ht="16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</row>
    <row r="193" ht="16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</row>
    <row r="194" ht="16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</row>
    <row r="195" ht="16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</row>
    <row r="196" ht="16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</row>
    <row r="197" ht="16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</row>
    <row r="198" ht="16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</row>
    <row r="199" ht="16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</row>
    <row r="200" ht="16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</row>
    <row r="201" ht="16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</row>
    <row r="202" ht="16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</row>
    <row r="203" ht="16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</row>
    <row r="204" ht="16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</row>
    <row r="205" ht="16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</row>
    <row r="206" ht="16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</row>
    <row r="207" ht="16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</row>
    <row r="208" ht="16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</row>
    <row r="209" ht="16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</row>
    <row r="210" ht="16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</row>
    <row r="211" ht="16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</row>
    <row r="212" ht="16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</row>
    <row r="213" ht="16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</row>
    <row r="214" ht="16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</row>
    <row r="215" ht="16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</row>
    <row r="216" ht="16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</row>
    <row r="217" ht="16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</row>
    <row r="218" ht="16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</row>
    <row r="219" ht="16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</row>
    <row r="220" ht="16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</row>
    <row r="221" ht="16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</row>
    <row r="222" ht="16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</row>
    <row r="223" ht="16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</row>
    <row r="224" ht="16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</row>
    <row r="225" ht="16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</row>
    <row r="226" ht="16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</row>
    <row r="227" ht="16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</row>
    <row r="228" ht="16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</row>
    <row r="229" ht="16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</row>
    <row r="230" ht="16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</row>
    <row r="231" ht="16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</row>
    <row r="232" ht="16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</row>
    <row r="233" ht="16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</row>
    <row r="234" ht="16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</row>
    <row r="235" ht="16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</row>
    <row r="236" ht="16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</row>
    <row r="237" ht="16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</row>
    <row r="238" ht="16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</row>
    <row r="239" ht="16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</row>
    <row r="240" ht="16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</row>
    <row r="241" ht="16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</row>
    <row r="242" ht="16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</row>
    <row r="243" ht="16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</row>
    <row r="244" ht="16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</row>
    <row r="245" ht="16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</row>
    <row r="246" ht="16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</row>
    <row r="247" ht="16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</row>
    <row r="248" ht="16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</row>
    <row r="249" ht="16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</row>
    <row r="250" ht="16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</row>
    <row r="251" ht="16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</row>
    <row r="252" ht="16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</row>
    <row r="253" ht="16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</row>
    <row r="254" ht="16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</row>
    <row r="255" ht="16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</row>
    <row r="256" ht="16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</row>
    <row r="257" ht="16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</row>
    <row r="258" ht="16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</row>
    <row r="259" ht="16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</row>
    <row r="260" ht="16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</row>
    <row r="261" ht="16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</row>
    <row r="262" ht="16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</row>
    <row r="263" ht="16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</row>
    <row r="264" ht="16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</row>
    <row r="265" ht="16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</row>
    <row r="266" ht="16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</row>
    <row r="267" ht="16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</row>
    <row r="268" ht="16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</row>
    <row r="269" ht="16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</row>
    <row r="270" ht="16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</row>
    <row r="271" ht="16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</row>
    <row r="272" ht="16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</row>
    <row r="273" ht="16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</row>
    <row r="274" ht="16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</row>
    <row r="275" ht="16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</row>
    <row r="276" ht="16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</row>
    <row r="277" ht="16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</row>
    <row r="278" ht="16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</row>
    <row r="279" ht="16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</row>
    <row r="280" ht="16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</row>
    <row r="281" ht="16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</row>
    <row r="282" ht="16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</row>
    <row r="283" ht="16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</row>
    <row r="284" ht="16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</row>
    <row r="285" ht="16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</row>
    <row r="286" ht="16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</row>
    <row r="287" ht="16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</row>
    <row r="288" ht="16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</row>
    <row r="289" ht="16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</row>
    <row r="290" ht="16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</row>
    <row r="291" ht="16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</row>
    <row r="292" ht="16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</row>
    <row r="293" ht="16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</row>
    <row r="294" ht="16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</row>
    <row r="295" ht="16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</row>
    <row r="296" ht="16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</row>
    <row r="297" ht="16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</row>
    <row r="298" ht="16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</row>
    <row r="299" ht="16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</row>
    <row r="300" ht="16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</row>
    <row r="301" ht="16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</row>
    <row r="302" ht="16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</row>
    <row r="303" ht="16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</row>
    <row r="304" ht="16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</row>
    <row r="305" ht="16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</row>
    <row r="306" ht="16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</row>
    <row r="307" ht="16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</row>
    <row r="308" ht="16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</row>
    <row r="309" ht="16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</row>
    <row r="310" ht="16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</row>
    <row r="311" ht="16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</row>
    <row r="312" ht="16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</row>
    <row r="313" ht="16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</row>
    <row r="314" ht="16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</row>
    <row r="315" ht="16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</row>
    <row r="316" ht="16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</row>
    <row r="317" ht="16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</row>
    <row r="318" ht="16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</row>
    <row r="319" ht="16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</row>
    <row r="320" ht="16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</row>
    <row r="321" ht="16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</row>
    <row r="322" ht="16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</row>
    <row r="323" ht="16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</row>
    <row r="324" ht="16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</row>
    <row r="325" ht="16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</row>
    <row r="326" ht="16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</row>
    <row r="327" ht="16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</row>
    <row r="328" ht="16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</row>
    <row r="329" ht="16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</row>
    <row r="330" ht="16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</row>
    <row r="331" ht="16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</row>
    <row r="332" ht="16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</row>
    <row r="333" ht="16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</row>
    <row r="334" ht="16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</row>
    <row r="335" ht="16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</row>
    <row r="336" ht="16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</row>
    <row r="337" ht="16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</row>
    <row r="338" ht="16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</row>
    <row r="339" ht="16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</row>
    <row r="340" ht="16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</row>
    <row r="341" ht="16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</row>
    <row r="342" ht="16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</row>
    <row r="343" ht="16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</row>
    <row r="344" ht="16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</row>
    <row r="345" ht="16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</row>
    <row r="346" ht="16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</row>
    <row r="347" ht="16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</row>
    <row r="348" ht="16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</row>
    <row r="349" ht="16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</row>
    <row r="350" ht="16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</row>
    <row r="351" ht="16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</row>
    <row r="352" ht="16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</row>
    <row r="353" ht="16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</row>
    <row r="354" ht="16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</row>
    <row r="355" ht="16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</row>
    <row r="356" ht="16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</row>
    <row r="357" ht="16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</row>
    <row r="358" ht="16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</row>
    <row r="359" ht="16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</row>
    <row r="360" ht="16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</row>
    <row r="361" ht="16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</row>
    <row r="362" ht="16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</row>
    <row r="363" ht="16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</row>
    <row r="364" ht="16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</row>
    <row r="365" ht="16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</row>
    <row r="366" ht="16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</row>
    <row r="367" ht="16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</row>
    <row r="368" ht="16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</row>
    <row r="369" ht="16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</row>
    <row r="370" ht="16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</row>
    <row r="371" ht="16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</row>
    <row r="372" ht="16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</row>
    <row r="373" ht="16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</row>
    <row r="374" ht="16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</row>
    <row r="375" ht="16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</row>
    <row r="376" ht="16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</row>
    <row r="377" ht="16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</row>
    <row r="378" ht="16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</row>
    <row r="379" ht="16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</row>
    <row r="380" ht="16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</row>
    <row r="381" ht="16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</row>
    <row r="382" ht="16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</row>
    <row r="383" ht="16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</row>
    <row r="384" ht="16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</row>
    <row r="385" ht="16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</row>
    <row r="386" ht="16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</row>
    <row r="387" ht="16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</row>
    <row r="388" ht="16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</row>
    <row r="389" ht="16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</row>
    <row r="390" ht="16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</row>
    <row r="391" ht="16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</row>
    <row r="392" ht="16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</row>
    <row r="393" ht="16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</row>
    <row r="394" ht="16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</row>
    <row r="395" ht="16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</row>
    <row r="396" ht="16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</row>
    <row r="397" ht="16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</row>
    <row r="398" ht="16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</row>
    <row r="399" ht="16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</row>
    <row r="400" ht="16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</row>
    <row r="401" ht="16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</row>
    <row r="402" ht="16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</row>
    <row r="403" ht="16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</row>
    <row r="404" ht="16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</row>
    <row r="405" ht="16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</row>
    <row r="406" ht="16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</row>
    <row r="407" ht="16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</row>
    <row r="408" ht="16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</row>
    <row r="409" ht="16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</row>
    <row r="410" ht="16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</row>
    <row r="411" ht="16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</row>
    <row r="412" ht="16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</row>
    <row r="413" ht="16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</row>
    <row r="414" ht="16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</row>
    <row r="415" ht="16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</row>
    <row r="416" ht="16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</row>
    <row r="417" ht="16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</row>
    <row r="418" ht="16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</row>
    <row r="419" ht="16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</row>
    <row r="420" ht="16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</row>
    <row r="421" ht="16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</row>
    <row r="422" ht="16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</row>
    <row r="423" ht="16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</row>
    <row r="424" ht="16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</row>
    <row r="425" ht="16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</row>
    <row r="426" ht="16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</row>
    <row r="427" ht="16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</row>
    <row r="428" ht="16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</row>
    <row r="429" ht="16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</row>
    <row r="430" ht="16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</row>
    <row r="431" ht="16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</row>
    <row r="432" ht="16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</row>
    <row r="433" ht="16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</row>
    <row r="434" ht="16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</row>
    <row r="435" ht="16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</row>
    <row r="436" ht="16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</row>
    <row r="437" ht="16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</row>
    <row r="438" ht="16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</row>
    <row r="439" ht="16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</row>
    <row r="440" ht="16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</row>
    <row r="441" ht="16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</row>
    <row r="442" ht="16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</row>
    <row r="443" ht="16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</row>
    <row r="444" ht="16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</row>
    <row r="445" ht="16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</row>
    <row r="446" ht="16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</row>
    <row r="447" ht="16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</row>
    <row r="448" ht="16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</row>
    <row r="449" ht="16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</row>
    <row r="450" ht="16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</row>
    <row r="451" ht="16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</row>
    <row r="452" ht="16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</row>
    <row r="453" ht="16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</row>
    <row r="454" ht="16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</row>
    <row r="455" ht="16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</row>
    <row r="456" ht="16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</row>
    <row r="457" ht="16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</row>
    <row r="458" ht="16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</row>
    <row r="459" ht="16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</row>
    <row r="460" ht="16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</row>
    <row r="461" ht="16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</row>
    <row r="462" ht="16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</row>
    <row r="463" ht="16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</row>
    <row r="464" ht="16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</row>
    <row r="465" ht="16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</row>
    <row r="466" ht="16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</row>
    <row r="467" ht="16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</row>
    <row r="468" ht="16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</row>
    <row r="469" ht="16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</row>
    <row r="470" ht="16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</row>
    <row r="471" ht="16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</row>
    <row r="472" ht="16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</row>
    <row r="473" ht="16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</row>
    <row r="474" ht="16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</row>
    <row r="475" ht="16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</row>
    <row r="476" ht="16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</row>
    <row r="477" ht="16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</row>
    <row r="478" ht="16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</row>
    <row r="479" ht="16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</row>
    <row r="480" ht="16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</row>
    <row r="481" ht="16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</row>
    <row r="482" ht="16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</row>
    <row r="483" ht="16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</row>
    <row r="484" ht="16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</row>
    <row r="485" ht="16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</row>
    <row r="486" ht="16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</row>
    <row r="487" ht="16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</row>
    <row r="488" ht="16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</row>
    <row r="489" ht="16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</row>
    <row r="490" ht="16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</row>
    <row r="491" ht="16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</row>
    <row r="492" ht="16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</row>
    <row r="493" ht="16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</row>
    <row r="494" ht="16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</row>
    <row r="495" ht="16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</row>
    <row r="496" ht="16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</row>
    <row r="497" ht="16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</row>
    <row r="498" ht="16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</row>
    <row r="499" ht="16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</row>
    <row r="500" ht="16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</row>
    <row r="501" ht="16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</row>
    <row r="502" ht="16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</row>
    <row r="503" ht="16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</row>
    <row r="504" ht="16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</row>
    <row r="505" ht="16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</row>
    <row r="506" ht="16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</row>
    <row r="507" ht="16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</row>
    <row r="508" ht="16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</row>
    <row r="509" ht="16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</row>
    <row r="510" ht="16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</row>
    <row r="511" ht="16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</row>
    <row r="512" ht="16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</row>
    <row r="513" ht="16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</row>
    <row r="514" ht="16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</row>
    <row r="515" ht="16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</row>
    <row r="516" ht="16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</row>
    <row r="517" ht="16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</row>
    <row r="518" ht="16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</row>
    <row r="519" ht="16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</row>
    <row r="520" ht="16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</row>
    <row r="521" ht="16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</row>
    <row r="522" ht="16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</row>
    <row r="523" ht="16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</row>
    <row r="524" ht="16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</row>
    <row r="525" ht="16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</row>
    <row r="526" ht="16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</row>
    <row r="527" ht="16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</row>
    <row r="528" ht="16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</row>
    <row r="529" ht="16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</row>
    <row r="530" ht="16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</row>
    <row r="531" ht="16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</row>
    <row r="532" ht="16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</row>
    <row r="533" ht="16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</row>
    <row r="534" ht="16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</row>
    <row r="535" ht="16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</row>
    <row r="536" ht="16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</row>
    <row r="537" ht="16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</row>
    <row r="538" ht="16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</row>
    <row r="539" ht="16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</row>
    <row r="540" ht="16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</row>
    <row r="541" ht="16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</row>
    <row r="542" ht="16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</row>
    <row r="543" ht="16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</row>
    <row r="544" ht="16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</row>
    <row r="545" ht="16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</row>
    <row r="546" ht="16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</row>
    <row r="547" ht="16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</row>
    <row r="548" ht="16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</row>
    <row r="549" ht="16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</row>
    <row r="550" ht="16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</row>
    <row r="551" ht="16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</row>
    <row r="552" ht="16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</row>
    <row r="553" ht="16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</row>
    <row r="554" ht="16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</row>
    <row r="555" ht="16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</row>
    <row r="556" ht="16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</row>
    <row r="557" ht="16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</row>
    <row r="558" ht="16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</row>
    <row r="559" ht="16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</row>
    <row r="560" ht="16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</row>
    <row r="561" ht="16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</row>
    <row r="562" ht="16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</row>
    <row r="563" ht="16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</row>
    <row r="564" ht="16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</row>
    <row r="565" ht="16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</row>
    <row r="566" ht="16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</row>
    <row r="567" ht="16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</row>
    <row r="568" ht="16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</row>
    <row r="569" ht="16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</row>
    <row r="570" ht="16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</row>
    <row r="571" ht="16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</row>
    <row r="572" ht="16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</row>
    <row r="573" ht="16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</row>
    <row r="574" ht="16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</row>
    <row r="575" ht="16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</row>
    <row r="576" ht="16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</row>
    <row r="577" ht="16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</row>
    <row r="578" ht="16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</row>
    <row r="579" ht="16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</row>
    <row r="580" ht="16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</row>
    <row r="581" ht="16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</row>
    <row r="582" ht="16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</row>
    <row r="583" ht="16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</row>
    <row r="584" ht="16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</row>
    <row r="585" ht="16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</row>
    <row r="586" ht="16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</row>
    <row r="587" ht="16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</row>
    <row r="588" ht="16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</row>
    <row r="589" ht="16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</row>
    <row r="590" ht="16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</row>
    <row r="591" ht="16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</row>
    <row r="592" ht="16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</row>
    <row r="593" ht="16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</row>
    <row r="594" ht="16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</row>
    <row r="595" ht="16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</row>
    <row r="596" ht="16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</row>
    <row r="597" ht="16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</row>
    <row r="598" ht="16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</row>
    <row r="599" ht="16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</row>
    <row r="600" ht="16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</row>
    <row r="601" ht="16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</row>
    <row r="602" ht="16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</row>
    <row r="603" ht="16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</row>
    <row r="604" ht="16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</row>
    <row r="605" ht="16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</row>
    <row r="606" ht="16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</row>
    <row r="607" ht="16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</row>
    <row r="608" ht="16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</row>
    <row r="609" ht="16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</row>
    <row r="610" ht="16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</row>
    <row r="611" ht="16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</row>
    <row r="612" ht="16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</row>
    <row r="613" ht="16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</row>
    <row r="614" ht="16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</row>
    <row r="615" ht="16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</row>
    <row r="616" ht="16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</row>
    <row r="617" ht="16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</row>
    <row r="618" ht="16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</row>
    <row r="619" ht="16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</row>
    <row r="620" ht="16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</row>
    <row r="621" ht="16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</row>
    <row r="622" ht="16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</row>
    <row r="623" ht="16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</row>
    <row r="624" ht="16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</row>
    <row r="625" ht="16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</row>
    <row r="626" ht="16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</row>
    <row r="627" ht="16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</row>
    <row r="628" ht="16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</row>
    <row r="629" ht="16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</row>
    <row r="630" ht="16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</row>
    <row r="631" ht="16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</row>
    <row r="632" ht="16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</row>
    <row r="633" ht="16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</row>
    <row r="634" ht="16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</row>
    <row r="635" ht="16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</row>
    <row r="636" ht="16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</row>
    <row r="637" ht="16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</row>
    <row r="638" ht="16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</row>
    <row r="639" ht="16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</row>
    <row r="640" ht="16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</row>
    <row r="641" ht="16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</row>
    <row r="642" ht="16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</row>
    <row r="643" ht="16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</row>
    <row r="644" ht="16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</row>
    <row r="645" ht="16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</row>
    <row r="646" ht="16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</row>
    <row r="647" ht="16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</row>
    <row r="648" ht="16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</row>
    <row r="649" ht="16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</row>
    <row r="650" ht="16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</row>
    <row r="651" ht="16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</row>
    <row r="652" ht="16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</row>
    <row r="653" ht="16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</row>
    <row r="654" ht="16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</row>
    <row r="655" ht="16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</row>
    <row r="656" ht="16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</row>
    <row r="657" ht="16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</row>
    <row r="658" ht="16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</row>
    <row r="659" ht="16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</row>
    <row r="660" ht="16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</row>
    <row r="661" ht="16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</row>
    <row r="662" ht="16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</row>
    <row r="663" ht="16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</row>
    <row r="664" ht="16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</row>
    <row r="665" ht="16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</row>
    <row r="666" ht="16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</row>
    <row r="667" ht="16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</row>
    <row r="668" ht="16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</row>
    <row r="669" ht="16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</row>
    <row r="670" ht="16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</row>
    <row r="671" ht="16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</row>
    <row r="672" ht="16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</row>
    <row r="673" ht="16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</row>
    <row r="674" ht="16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</row>
    <row r="675" ht="16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</row>
    <row r="676" ht="16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</row>
    <row r="677" ht="16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</row>
    <row r="678" ht="16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</row>
    <row r="679" ht="16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</row>
    <row r="680" ht="16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</row>
    <row r="681" ht="16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</row>
    <row r="682" ht="16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</row>
    <row r="683" ht="16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</row>
    <row r="684" ht="16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</row>
    <row r="685" ht="16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</row>
    <row r="686" ht="16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</row>
    <row r="687" ht="16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</row>
    <row r="688" ht="16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</row>
    <row r="689" ht="16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</row>
    <row r="690" ht="16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</row>
    <row r="691" ht="16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</row>
    <row r="692" ht="16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</row>
    <row r="693" ht="16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</row>
    <row r="694" ht="16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</row>
    <row r="695" ht="16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</row>
    <row r="696" ht="16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</row>
    <row r="697" ht="16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</row>
    <row r="698" ht="16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</row>
    <row r="699" ht="16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</row>
    <row r="700" ht="16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</row>
    <row r="701" ht="16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</row>
    <row r="702" ht="16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</row>
    <row r="703" ht="16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</row>
    <row r="704" ht="16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</row>
    <row r="705" ht="16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</row>
    <row r="706" ht="16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</row>
    <row r="707" ht="16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</row>
    <row r="708" ht="16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</row>
    <row r="709" ht="16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</row>
    <row r="710" ht="16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</row>
    <row r="711" ht="16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</row>
    <row r="712" ht="16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</row>
    <row r="713" ht="16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</row>
    <row r="714" ht="16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</row>
    <row r="715" ht="16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</row>
    <row r="716" ht="16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</row>
    <row r="717" ht="16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</row>
    <row r="718" ht="16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</row>
    <row r="719" ht="16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</row>
    <row r="720" ht="16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</row>
    <row r="721" ht="16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</row>
    <row r="722" ht="16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</row>
    <row r="723" ht="16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</row>
    <row r="724" ht="16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</row>
    <row r="725" ht="16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</row>
    <row r="726" ht="16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</row>
    <row r="727" ht="16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</row>
    <row r="728" ht="16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</row>
    <row r="729" ht="16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</row>
    <row r="730" ht="16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</row>
    <row r="731" ht="16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</row>
    <row r="732" ht="16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</row>
    <row r="733" ht="16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</row>
    <row r="734" ht="16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</row>
    <row r="735" ht="16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</row>
    <row r="736" ht="16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</row>
    <row r="737" ht="16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</row>
    <row r="738" ht="16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</row>
    <row r="739" ht="16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</row>
    <row r="740" ht="16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</row>
    <row r="741" ht="16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</row>
    <row r="742" ht="16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</row>
    <row r="743" ht="16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</row>
    <row r="744" ht="16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</row>
    <row r="745" ht="16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</row>
    <row r="746" ht="16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</row>
    <row r="747" ht="16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</row>
    <row r="748" ht="16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</row>
    <row r="749" ht="16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</row>
    <row r="750" ht="16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</row>
    <row r="751" ht="16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</row>
    <row r="752" ht="16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</row>
    <row r="753" ht="16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</row>
    <row r="754" ht="16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</row>
    <row r="755" ht="16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</row>
    <row r="756" ht="16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</row>
    <row r="757" ht="16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</row>
    <row r="758" ht="16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</row>
    <row r="759" ht="16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</row>
    <row r="760" ht="16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</row>
    <row r="761" ht="16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</row>
    <row r="762" ht="16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</row>
    <row r="763" ht="16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</row>
    <row r="764" ht="16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</row>
    <row r="765" ht="16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</row>
    <row r="766" ht="16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</row>
    <row r="767" ht="16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</row>
    <row r="768" ht="16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</row>
    <row r="769" ht="16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</row>
    <row r="770" ht="16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</row>
    <row r="771" ht="16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</row>
    <row r="772" ht="16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</row>
    <row r="773" ht="16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</row>
    <row r="774" ht="16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</row>
    <row r="775" ht="16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</row>
    <row r="776" ht="16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</row>
    <row r="777" ht="16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</row>
    <row r="778" ht="16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</row>
    <row r="779" ht="16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</row>
    <row r="780" ht="16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</row>
    <row r="781" ht="16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</row>
    <row r="782" ht="16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</row>
    <row r="783" ht="16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</row>
    <row r="784" ht="16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</row>
    <row r="785" ht="16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</row>
    <row r="786" ht="16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</row>
    <row r="787" ht="16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</row>
    <row r="788" ht="16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</row>
    <row r="789" ht="16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</row>
    <row r="790" ht="16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</row>
    <row r="791" ht="16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</row>
    <row r="792" ht="16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</row>
    <row r="793" ht="16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</row>
    <row r="794" ht="16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</row>
    <row r="795" ht="16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</row>
    <row r="796" ht="16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</row>
    <row r="797" ht="16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</row>
    <row r="798" ht="16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</row>
    <row r="799" ht="16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</row>
    <row r="800" ht="16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</row>
    <row r="801" ht="16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</row>
    <row r="802" ht="16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</row>
    <row r="803" ht="16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</row>
    <row r="804" ht="16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</row>
    <row r="805" ht="16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</row>
    <row r="806" ht="16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</row>
    <row r="807" ht="16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</row>
    <row r="808" ht="16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</row>
    <row r="809" ht="16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</row>
    <row r="810" ht="16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</row>
    <row r="811" ht="16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</row>
    <row r="812" ht="16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</row>
    <row r="813" ht="16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</row>
    <row r="814" ht="16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</row>
    <row r="815" ht="16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</row>
    <row r="816" ht="16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</row>
    <row r="817" ht="16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</row>
    <row r="818" ht="16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</row>
    <row r="819" ht="16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</row>
    <row r="820" ht="16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</row>
    <row r="821" ht="16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</row>
    <row r="822" ht="16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</row>
    <row r="823" ht="16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</row>
    <row r="824" ht="16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</row>
    <row r="825" ht="16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</row>
    <row r="826" ht="16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</row>
    <row r="827" ht="16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</row>
    <row r="828" ht="16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</row>
    <row r="829" ht="16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</row>
    <row r="830" ht="16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</row>
    <row r="831" ht="16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</row>
    <row r="832" ht="16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</row>
    <row r="833" ht="16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</row>
    <row r="834" ht="16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</row>
    <row r="835" ht="16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</row>
    <row r="836" ht="16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</row>
    <row r="837" ht="16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</row>
    <row r="838" ht="16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</row>
    <row r="839" ht="16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</row>
    <row r="840" ht="16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</row>
    <row r="841" ht="16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</row>
    <row r="842" ht="16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</row>
    <row r="843" ht="16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</row>
    <row r="844" ht="16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</row>
    <row r="845" ht="16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</row>
    <row r="846" ht="16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</row>
    <row r="847" ht="16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</row>
    <row r="848" ht="16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</row>
    <row r="849" ht="16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</row>
    <row r="850" ht="16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</row>
    <row r="851" ht="16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</row>
    <row r="852" ht="16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</row>
    <row r="853" ht="16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</row>
    <row r="854" ht="16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</row>
    <row r="855" ht="16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</row>
    <row r="856" ht="16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</row>
    <row r="857" ht="16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</row>
    <row r="858" ht="16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</row>
    <row r="859" ht="16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</row>
    <row r="860" ht="16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</row>
    <row r="861" ht="16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</row>
    <row r="862" ht="16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</row>
    <row r="863" ht="16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</row>
    <row r="864" ht="16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</row>
    <row r="865" ht="16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</row>
    <row r="866" ht="16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</row>
    <row r="867" ht="16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</row>
    <row r="868" ht="16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</row>
    <row r="869" ht="16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</row>
    <row r="870" ht="16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</row>
    <row r="871" ht="16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</row>
    <row r="872" ht="16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</row>
    <row r="873" ht="16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</row>
    <row r="874" ht="16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</row>
    <row r="875" ht="16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</row>
    <row r="876" ht="16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</row>
    <row r="877" ht="16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</row>
    <row r="878" ht="16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</row>
    <row r="879" ht="16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</row>
    <row r="880" ht="16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</row>
    <row r="881" ht="16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</row>
    <row r="882" ht="16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</row>
    <row r="883" ht="16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</row>
    <row r="884" ht="16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</row>
    <row r="885" ht="16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</row>
    <row r="886" ht="16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</row>
    <row r="887" ht="16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</row>
    <row r="888" ht="16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</row>
    <row r="889" ht="16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</row>
    <row r="890" ht="16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</row>
    <row r="891" ht="16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</row>
    <row r="892" ht="16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</row>
    <row r="893" ht="16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</row>
    <row r="894" ht="16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</row>
    <row r="895" ht="16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</row>
    <row r="896" ht="16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</row>
    <row r="897" ht="16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</row>
    <row r="898" ht="16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</row>
    <row r="899" ht="16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</row>
    <row r="900" ht="16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</row>
    <row r="901" ht="16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</row>
    <row r="902" ht="16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</row>
    <row r="903" ht="16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</row>
    <row r="904" ht="16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</row>
    <row r="905" ht="16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</row>
    <row r="906" ht="16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</row>
    <row r="907" ht="16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</row>
    <row r="908" ht="16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</row>
    <row r="909" ht="16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</row>
    <row r="910" ht="16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</row>
    <row r="911" ht="16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</row>
    <row r="912" ht="16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</row>
    <row r="913" ht="16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</row>
    <row r="914" ht="16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</row>
    <row r="915" ht="16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</row>
    <row r="916" ht="16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</row>
    <row r="917" ht="16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</row>
    <row r="918" ht="16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</row>
    <row r="919" ht="16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</row>
    <row r="920" ht="16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</row>
    <row r="921" ht="16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</row>
    <row r="922" ht="16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</row>
    <row r="923" ht="16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</row>
    <row r="924" ht="16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</row>
    <row r="925" ht="16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</row>
    <row r="926" ht="16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</row>
    <row r="927" ht="16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</row>
    <row r="928" ht="16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</row>
    <row r="929" ht="16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</row>
    <row r="930" ht="16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</row>
    <row r="931" ht="16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</row>
    <row r="932" ht="16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</row>
    <row r="933" ht="16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</row>
    <row r="934" ht="16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</row>
    <row r="935" ht="16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</row>
    <row r="936" ht="16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</row>
    <row r="937" ht="16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</row>
    <row r="938" ht="16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</row>
    <row r="939" ht="16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</row>
    <row r="940" ht="16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</row>
    <row r="941" ht="16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</row>
    <row r="942" ht="16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</row>
    <row r="943" ht="16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</row>
    <row r="944" ht="16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</row>
    <row r="945" ht="16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</row>
    <row r="946" ht="16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</row>
    <row r="947" ht="16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</row>
    <row r="948" ht="16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</row>
    <row r="949" ht="16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</row>
    <row r="950" ht="16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</row>
    <row r="951" ht="16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</row>
    <row r="952" ht="16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</row>
    <row r="953" ht="16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</row>
    <row r="954" ht="16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</row>
    <row r="955" ht="16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</row>
    <row r="956" ht="16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</row>
    <row r="957" ht="16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</row>
    <row r="958" ht="16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</row>
    <row r="959" ht="16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</row>
    <row r="960" ht="16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</row>
    <row r="961" ht="16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</row>
    <row r="962" ht="16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</row>
    <row r="963" ht="16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</row>
    <row r="964" ht="16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</row>
    <row r="965" ht="16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</row>
    <row r="966" ht="16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</row>
    <row r="967" ht="16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</row>
    <row r="968" ht="16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</row>
    <row r="969" ht="16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</row>
    <row r="970" ht="16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</row>
    <row r="971" ht="16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</row>
    <row r="972" ht="16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</row>
    <row r="973" ht="16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</row>
    <row r="974" ht="16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</row>
    <row r="975" ht="16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</row>
    <row r="976" ht="16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</row>
    <row r="977" ht="16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</row>
    <row r="978" ht="16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</row>
    <row r="979" ht="16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</row>
    <row r="980" ht="16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</row>
    <row r="981" ht="16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</row>
    <row r="982" ht="16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</row>
    <row r="983" ht="16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</row>
    <row r="984" ht="16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</row>
    <row r="985" ht="16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</row>
    <row r="986" ht="16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</row>
    <row r="987" ht="16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</row>
    <row r="988" ht="16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</row>
    <row r="989" ht="16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</row>
    <row r="990" ht="16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</row>
    <row r="991" ht="16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</row>
    <row r="992" ht="16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</row>
    <row r="993" ht="16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</row>
    <row r="994" ht="16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</row>
    <row r="995" ht="16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</row>
    <row r="996" ht="16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</row>
    <row r="997" ht="16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</row>
    <row r="998" ht="16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</row>
    <row r="999" ht="16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</row>
    <row r="1000" ht="16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</row>
  </sheetData>
  <autoFilter ref="$A$2:$AJ$73"/>
  <mergeCells count="1">
    <mergeCell ref="A3:A12"/>
  </mergeCells>
  <conditionalFormatting sqref="D3:AN73">
    <cfRule type="expression" dxfId="9" priority="1">
      <formula>ISERROR(D3)</formula>
    </cfRule>
  </conditionalFormatting>
  <printOptions/>
  <pageMargins bottom="0.7480314960629921" footer="0.0" header="0.0" left="0.7086614173228347" right="0.7086614173228347" top="0.7480314960629921"/>
  <pageSetup paperSize="8" orientation="landscape"/>
  <headerFooter>
    <oddHeader>&amp;C桃園捷運公司 運務處站務中心 110年6月員工輪值表(北段)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8.33"/>
    <col customWidth="1" min="3" max="5" width="6.89"/>
    <col customWidth="1" min="6" max="6" width="7.33"/>
    <col customWidth="1" min="7" max="26" width="6.89"/>
  </cols>
  <sheetData>
    <row r="1" ht="16.5" customHeight="1">
      <c r="A1" s="22"/>
      <c r="B1" s="195" t="s">
        <v>143</v>
      </c>
      <c r="C1" s="142">
        <v>2026.0</v>
      </c>
      <c r="D1" s="22"/>
      <c r="E1" s="196" t="s">
        <v>144</v>
      </c>
      <c r="F1" s="197"/>
      <c r="G1" s="198"/>
      <c r="H1" s="142">
        <v>4.0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6.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6.5" customHeight="1">
      <c r="A3" s="22" t="s">
        <v>145</v>
      </c>
      <c r="B3" s="22" t="s">
        <v>146</v>
      </c>
      <c r="C3" s="22"/>
      <c r="D3" s="22"/>
      <c r="E3" s="22"/>
      <c r="F3" s="199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6.5" customHeight="1">
      <c r="A4" s="22" t="s">
        <v>147</v>
      </c>
      <c r="B4" s="22" t="s">
        <v>146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6.5" customHeight="1">
      <c r="A5" s="22" t="s">
        <v>148</v>
      </c>
      <c r="B5" s="22" t="s">
        <v>146</v>
      </c>
      <c r="C5" s="22"/>
      <c r="D5" s="22"/>
      <c r="E5" s="22"/>
      <c r="F5" s="199">
        <v>46075.0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6.5" customHeight="1">
      <c r="A6" s="22" t="s">
        <v>149</v>
      </c>
      <c r="B6" s="200" t="s">
        <v>150</v>
      </c>
      <c r="C6" s="22"/>
      <c r="D6" s="22"/>
      <c r="E6" s="22"/>
      <c r="F6" s="199">
        <v>46081.0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6.5" customHeight="1">
      <c r="A7" s="22" t="s">
        <v>151</v>
      </c>
      <c r="B7" s="200" t="s">
        <v>146</v>
      </c>
      <c r="C7" s="22"/>
      <c r="D7" s="22"/>
      <c r="E7" s="22"/>
      <c r="F7" s="199">
        <v>46082.0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6.5" customHeight="1">
      <c r="A8" s="22" t="s">
        <v>152</v>
      </c>
      <c r="B8" s="200" t="s">
        <v>146</v>
      </c>
      <c r="C8" s="22"/>
      <c r="D8" s="22"/>
      <c r="E8" s="22"/>
      <c r="F8" s="199">
        <v>46088.0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6.5" customHeight="1">
      <c r="A9" s="22" t="s">
        <v>153</v>
      </c>
      <c r="B9" s="200" t="s">
        <v>146</v>
      </c>
      <c r="C9" s="22"/>
      <c r="D9" s="22"/>
      <c r="E9" s="22"/>
      <c r="F9" s="199">
        <v>46089.0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6.5" customHeight="1">
      <c r="A10" s="22" t="s">
        <v>154</v>
      </c>
      <c r="B10" s="200" t="s">
        <v>146</v>
      </c>
      <c r="C10" s="22"/>
      <c r="D10" s="22"/>
      <c r="E10" s="22"/>
      <c r="F10" s="199">
        <v>46095.0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6.5" customHeight="1">
      <c r="A11" s="22" t="s">
        <v>27</v>
      </c>
      <c r="B11" s="200" t="s">
        <v>146</v>
      </c>
      <c r="C11" s="22"/>
      <c r="D11" s="22"/>
      <c r="E11" s="22"/>
      <c r="F11" s="199">
        <v>46096.0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6.5" customHeight="1">
      <c r="A12" s="22" t="s">
        <v>28</v>
      </c>
      <c r="B12" s="200" t="s">
        <v>146</v>
      </c>
      <c r="C12" s="22"/>
      <c r="D12" s="22"/>
      <c r="E12" s="22"/>
      <c r="F12" s="199">
        <v>46102.0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6.5" customHeight="1">
      <c r="A13" s="22" t="s">
        <v>45</v>
      </c>
      <c r="B13" s="22" t="s">
        <v>155</v>
      </c>
      <c r="C13" s="22"/>
      <c r="D13" s="22"/>
      <c r="E13" s="22"/>
      <c r="F13" s="199">
        <v>46103.0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6.5" customHeight="1">
      <c r="A14" s="22" t="s">
        <v>156</v>
      </c>
      <c r="B14" s="22" t="s">
        <v>155</v>
      </c>
      <c r="C14" s="22"/>
      <c r="D14" s="22"/>
      <c r="E14" s="22"/>
      <c r="F14" s="199">
        <v>46109.0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6.5" customHeight="1">
      <c r="A15" s="22" t="s">
        <v>157</v>
      </c>
      <c r="B15" s="22" t="s">
        <v>155</v>
      </c>
      <c r="C15" s="22"/>
      <c r="D15" s="22"/>
      <c r="E15" s="22"/>
      <c r="F15" s="199">
        <v>46110.0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6.5" customHeight="1">
      <c r="A16" s="22" t="s">
        <v>158</v>
      </c>
      <c r="B16" s="22" t="s">
        <v>155</v>
      </c>
      <c r="C16" s="22"/>
      <c r="D16" s="22"/>
      <c r="E16" s="22"/>
      <c r="F16" s="199">
        <v>46116.0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6.5" customHeight="1">
      <c r="A17" s="22" t="s">
        <v>159</v>
      </c>
      <c r="B17" s="22" t="s">
        <v>155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6.5" customHeight="1">
      <c r="A18" s="22" t="s">
        <v>160</v>
      </c>
      <c r="B18" s="22" t="s">
        <v>155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6.5" customHeight="1">
      <c r="A19" s="22" t="s">
        <v>161</v>
      </c>
      <c r="B19" s="22" t="s">
        <v>155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6.5" customHeight="1">
      <c r="A20" s="22" t="s">
        <v>162</v>
      </c>
      <c r="B20" s="22">
        <v>43.0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6.5" customHeight="1">
      <c r="A21" s="22" t="s">
        <v>163</v>
      </c>
      <c r="B21" s="22">
        <v>31.0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6.5" customHeight="1">
      <c r="A22" s="22" t="s">
        <v>164</v>
      </c>
      <c r="B22" s="22">
        <v>11.0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6.5" customHeight="1">
      <c r="A23" s="22" t="s">
        <v>165</v>
      </c>
      <c r="B23" s="22">
        <v>38.0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6.5" customHeight="1">
      <c r="A24" s="22" t="s">
        <v>166</v>
      </c>
      <c r="B24" s="22">
        <v>38.0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6.5" customHeight="1">
      <c r="A25" s="22" t="s">
        <v>167</v>
      </c>
      <c r="B25" s="22">
        <v>38.0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6.5" customHeight="1">
      <c r="A26" s="22" t="s">
        <v>168</v>
      </c>
      <c r="B26" s="22">
        <v>38.0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6.5" customHeight="1">
      <c r="A27" s="22" t="s">
        <v>169</v>
      </c>
      <c r="B27" s="22">
        <v>38.0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6.5" customHeight="1">
      <c r="A28" s="22" t="s">
        <v>170</v>
      </c>
      <c r="B28" s="22">
        <v>38.0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6.5" customHeight="1">
      <c r="A29" s="22" t="s">
        <v>171</v>
      </c>
      <c r="B29" s="22">
        <v>38.0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6.5" customHeight="1">
      <c r="A30" s="22" t="s">
        <v>172</v>
      </c>
      <c r="B30" s="22">
        <v>38.0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8.75" customHeight="1">
      <c r="A31" s="22" t="s">
        <v>109</v>
      </c>
      <c r="B31" s="22">
        <v>38.0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8.75" customHeight="1">
      <c r="A32" s="22" t="s">
        <v>173</v>
      </c>
      <c r="B32" s="22">
        <v>43.0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8.75" customHeight="1">
      <c r="A33" s="22" t="s">
        <v>174</v>
      </c>
      <c r="B33" s="22">
        <v>43.0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6.5" customHeight="1">
      <c r="A34" s="22" t="s">
        <v>175</v>
      </c>
      <c r="B34" s="22">
        <v>66.0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6.5" customHeight="1">
      <c r="A35" s="22" t="s">
        <v>176</v>
      </c>
      <c r="B35" s="22">
        <v>66.0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6.5" customHeight="1">
      <c r="A36" s="22" t="s">
        <v>177</v>
      </c>
      <c r="B36" s="22">
        <v>66.0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6.5" customHeight="1">
      <c r="A37" s="22" t="s">
        <v>178</v>
      </c>
      <c r="B37" s="22">
        <v>66.0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0" customHeight="1">
      <c r="A38" s="22" t="s">
        <v>179</v>
      </c>
      <c r="B38" s="22">
        <v>66.0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22" t="s">
        <v>180</v>
      </c>
      <c r="B39" s="22">
        <v>66.0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6.5" customHeight="1">
      <c r="A40" s="200" t="s">
        <v>181</v>
      </c>
      <c r="B40" s="22">
        <v>22.0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6.5" customHeight="1">
      <c r="A41" s="200" t="s">
        <v>182</v>
      </c>
      <c r="B41" s="22">
        <v>22.0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6.5" customHeight="1">
      <c r="A42" s="200" t="s">
        <v>183</v>
      </c>
      <c r="B42" s="22">
        <v>22.0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6.5" customHeight="1">
      <c r="A43" s="22" t="s">
        <v>184</v>
      </c>
      <c r="B43" s="22">
        <v>22.0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6.5" customHeight="1">
      <c r="A44" s="22" t="s">
        <v>185</v>
      </c>
      <c r="B44" s="22">
        <v>66.0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6.5" customHeight="1">
      <c r="A45" s="22" t="s">
        <v>110</v>
      </c>
      <c r="B45" s="22">
        <v>66.0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6.5" customHeight="1">
      <c r="A46" s="22" t="s">
        <v>186</v>
      </c>
      <c r="B46" s="22">
        <v>70.0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6.5" customHeight="1">
      <c r="A47" s="22" t="s">
        <v>187</v>
      </c>
      <c r="B47" s="22">
        <v>70.0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6.5" customHeight="1">
      <c r="A48" s="22" t="s">
        <v>188</v>
      </c>
      <c r="B48" s="22">
        <v>70.0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6.5" customHeight="1">
      <c r="A49" s="22" t="s">
        <v>189</v>
      </c>
      <c r="B49" s="22">
        <v>70.0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6.5" customHeight="1">
      <c r="A50" s="22" t="s">
        <v>190</v>
      </c>
      <c r="B50" s="22">
        <v>70.0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6.5" customHeight="1">
      <c r="A51" s="22" t="s">
        <v>191</v>
      </c>
      <c r="B51" s="22">
        <v>70.0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6.5" customHeight="1">
      <c r="A52" s="22" t="s">
        <v>111</v>
      </c>
      <c r="B52" s="22">
        <v>70.0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6.5" customHeight="1">
      <c r="A53" s="22" t="s">
        <v>192</v>
      </c>
      <c r="B53" s="22">
        <v>67.0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 t="s">
        <v>193</v>
      </c>
      <c r="B54" s="22" t="s">
        <v>194</v>
      </c>
      <c r="C54" s="22"/>
      <c r="D54" s="22"/>
      <c r="E54" s="22"/>
      <c r="F54" s="22"/>
      <c r="G54" s="22"/>
      <c r="H54" s="22"/>
      <c r="I54" s="22"/>
      <c r="J54" s="201"/>
      <c r="K54" s="201"/>
      <c r="L54" s="201"/>
      <c r="M54" s="201"/>
      <c r="N54" s="201"/>
      <c r="O54" s="201"/>
      <c r="P54" s="201"/>
      <c r="Q54" s="201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 t="s">
        <v>195</v>
      </c>
      <c r="B55" s="22" t="s">
        <v>196</v>
      </c>
      <c r="C55" s="22"/>
      <c r="D55" s="22"/>
      <c r="E55" s="22"/>
      <c r="F55" s="22"/>
      <c r="G55" s="22"/>
      <c r="H55" s="22"/>
      <c r="I55" s="22"/>
      <c r="J55" s="201"/>
      <c r="K55" s="201"/>
      <c r="L55" s="201"/>
      <c r="M55" s="201"/>
      <c r="N55" s="201"/>
      <c r="O55" s="201"/>
      <c r="P55" s="201"/>
      <c r="Q55" s="201"/>
      <c r="R55" s="22"/>
      <c r="S55" s="22"/>
      <c r="T55" s="22"/>
      <c r="U55" s="22"/>
      <c r="V55" s="22"/>
      <c r="W55" s="22"/>
      <c r="X55" s="22"/>
      <c r="Y55" s="22"/>
      <c r="Z55" s="22"/>
    </row>
    <row r="56" ht="16.5" customHeight="1">
      <c r="A56" s="22" t="s">
        <v>29</v>
      </c>
      <c r="B56" s="22" t="s">
        <v>155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6.5" customHeight="1">
      <c r="A57" s="22" t="s">
        <v>30</v>
      </c>
      <c r="B57" s="22">
        <v>90.0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 t="s">
        <v>20</v>
      </c>
      <c r="B58" s="22">
        <v>91.0</v>
      </c>
      <c r="C58" s="22"/>
      <c r="D58" s="22"/>
      <c r="E58" s="22"/>
      <c r="F58" s="22"/>
      <c r="G58" s="22"/>
      <c r="H58" s="22"/>
      <c r="I58" s="22"/>
      <c r="J58" s="201"/>
      <c r="K58" s="201"/>
      <c r="L58" s="201"/>
      <c r="M58" s="201"/>
      <c r="N58" s="201"/>
      <c r="O58" s="201"/>
      <c r="P58" s="201"/>
      <c r="Q58" s="201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 t="s">
        <v>39</v>
      </c>
      <c r="B59" s="22">
        <v>92.0</v>
      </c>
      <c r="C59" s="22"/>
      <c r="D59" s="22"/>
      <c r="E59" s="22"/>
      <c r="F59" s="22"/>
      <c r="G59" s="22"/>
      <c r="H59" s="22"/>
      <c r="I59" s="22"/>
      <c r="J59" s="201"/>
      <c r="K59" s="201"/>
      <c r="L59" s="201"/>
      <c r="M59" s="201"/>
      <c r="N59" s="201"/>
      <c r="O59" s="201"/>
      <c r="P59" s="201"/>
      <c r="Q59" s="201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 t="s">
        <v>197</v>
      </c>
      <c r="B60" s="22">
        <v>92.0</v>
      </c>
      <c r="C60" s="22"/>
      <c r="D60" s="22"/>
      <c r="E60" s="22"/>
      <c r="F60" s="22"/>
      <c r="G60" s="22"/>
      <c r="H60" s="22"/>
      <c r="I60" s="22"/>
      <c r="J60" s="201"/>
      <c r="K60" s="201"/>
      <c r="L60" s="201"/>
      <c r="M60" s="201"/>
      <c r="N60" s="201"/>
      <c r="O60" s="201"/>
      <c r="P60" s="201"/>
      <c r="Q60" s="201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 t="s">
        <v>198</v>
      </c>
      <c r="B61" s="22">
        <v>92.0</v>
      </c>
      <c r="C61" s="22"/>
      <c r="D61" s="22"/>
      <c r="E61" s="22"/>
      <c r="F61" s="22"/>
      <c r="G61" s="22"/>
      <c r="H61" s="22"/>
      <c r="I61" s="22"/>
      <c r="J61" s="201"/>
      <c r="K61" s="201"/>
      <c r="L61" s="201"/>
      <c r="M61" s="201"/>
      <c r="N61" s="201"/>
      <c r="O61" s="201"/>
      <c r="P61" s="201"/>
      <c r="Q61" s="201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 t="s">
        <v>199</v>
      </c>
      <c r="B62" s="22">
        <v>92.0</v>
      </c>
      <c r="C62" s="22"/>
      <c r="D62" s="22"/>
      <c r="E62" s="22"/>
      <c r="F62" s="22"/>
      <c r="G62" s="22"/>
      <c r="H62" s="22"/>
      <c r="I62" s="22"/>
      <c r="J62" s="201"/>
      <c r="K62" s="201"/>
      <c r="L62" s="201"/>
      <c r="M62" s="201"/>
      <c r="N62" s="201"/>
      <c r="O62" s="201"/>
      <c r="P62" s="201"/>
      <c r="Q62" s="201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 t="s">
        <v>200</v>
      </c>
      <c r="B63" s="22">
        <v>92.0</v>
      </c>
      <c r="C63" s="22"/>
      <c r="D63" s="22"/>
      <c r="E63" s="22"/>
      <c r="F63" s="22"/>
      <c r="G63" s="22"/>
      <c r="H63" s="22"/>
      <c r="I63" s="22"/>
      <c r="J63" s="201"/>
      <c r="K63" s="201"/>
      <c r="L63" s="201"/>
      <c r="M63" s="201"/>
      <c r="N63" s="201"/>
      <c r="O63" s="201"/>
      <c r="P63" s="201"/>
      <c r="Q63" s="201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 t="s">
        <v>201</v>
      </c>
      <c r="B64" s="22">
        <v>92.0</v>
      </c>
      <c r="C64" s="22"/>
      <c r="D64" s="22"/>
      <c r="E64" s="22"/>
      <c r="F64" s="22"/>
      <c r="G64" s="22"/>
      <c r="H64" s="22"/>
      <c r="I64" s="22"/>
      <c r="J64" s="201"/>
      <c r="K64" s="201"/>
      <c r="L64" s="201"/>
      <c r="M64" s="201"/>
      <c r="N64" s="201"/>
      <c r="O64" s="201"/>
      <c r="P64" s="201"/>
      <c r="Q64" s="201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 t="s">
        <v>202</v>
      </c>
      <c r="B65" s="22">
        <v>92.0</v>
      </c>
      <c r="C65" s="22"/>
      <c r="D65" s="22"/>
      <c r="E65" s="22"/>
      <c r="F65" s="22"/>
      <c r="G65" s="22"/>
      <c r="H65" s="22"/>
      <c r="I65" s="22"/>
      <c r="J65" s="201"/>
      <c r="K65" s="201"/>
      <c r="L65" s="201"/>
      <c r="M65" s="201"/>
      <c r="N65" s="201"/>
      <c r="O65" s="201"/>
      <c r="P65" s="201"/>
      <c r="Q65" s="201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 t="s">
        <v>203</v>
      </c>
      <c r="B66" s="22">
        <v>92.0</v>
      </c>
      <c r="C66" s="22"/>
      <c r="D66" s="22"/>
      <c r="E66" s="22"/>
      <c r="F66" s="22"/>
      <c r="G66" s="22"/>
      <c r="H66" s="22"/>
      <c r="I66" s="22"/>
      <c r="J66" s="201"/>
      <c r="K66" s="201"/>
      <c r="L66" s="201"/>
      <c r="M66" s="201"/>
      <c r="N66" s="201"/>
      <c r="O66" s="201"/>
      <c r="P66" s="201"/>
      <c r="Q66" s="201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00" t="s">
        <v>204</v>
      </c>
      <c r="B67" s="22">
        <v>90.0</v>
      </c>
      <c r="C67" s="22"/>
      <c r="D67" s="22"/>
      <c r="E67" s="22"/>
      <c r="F67" s="22"/>
      <c r="G67" s="22"/>
      <c r="H67" s="22"/>
      <c r="I67" s="22"/>
      <c r="J67" s="201"/>
      <c r="K67" s="201"/>
      <c r="L67" s="201"/>
      <c r="M67" s="201"/>
      <c r="N67" s="201"/>
      <c r="O67" s="201"/>
      <c r="P67" s="201"/>
      <c r="Q67" s="201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 t="s">
        <v>205</v>
      </c>
      <c r="B68" s="22" t="s">
        <v>206</v>
      </c>
      <c r="C68" s="22"/>
      <c r="D68" s="22"/>
      <c r="E68" s="22"/>
      <c r="F68" s="22"/>
      <c r="G68" s="22"/>
      <c r="H68" s="22"/>
      <c r="I68" s="22"/>
      <c r="J68" s="201"/>
      <c r="K68" s="201"/>
      <c r="L68" s="201"/>
      <c r="M68" s="201"/>
      <c r="N68" s="201"/>
      <c r="O68" s="201"/>
      <c r="P68" s="201"/>
      <c r="Q68" s="201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 t="s">
        <v>207</v>
      </c>
      <c r="B69" s="22" t="s">
        <v>208</v>
      </c>
      <c r="C69" s="22"/>
      <c r="D69" s="22"/>
      <c r="E69" s="22"/>
      <c r="F69" s="22"/>
      <c r="G69" s="22"/>
      <c r="H69" s="22"/>
      <c r="I69" s="22"/>
      <c r="J69" s="201"/>
      <c r="K69" s="201"/>
      <c r="L69" s="201"/>
      <c r="M69" s="201"/>
      <c r="N69" s="201"/>
      <c r="O69" s="201"/>
      <c r="P69" s="201"/>
      <c r="Q69" s="201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 t="s">
        <v>209</v>
      </c>
      <c r="B70" s="22" t="s">
        <v>208</v>
      </c>
      <c r="C70" s="22"/>
      <c r="D70" s="22"/>
      <c r="E70" s="22"/>
      <c r="F70" s="22"/>
      <c r="G70" s="22"/>
      <c r="H70" s="22"/>
      <c r="I70" s="22"/>
      <c r="J70" s="201"/>
      <c r="K70" s="201"/>
      <c r="L70" s="201"/>
      <c r="M70" s="201"/>
      <c r="N70" s="201"/>
      <c r="O70" s="201"/>
      <c r="P70" s="201"/>
      <c r="Q70" s="201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 t="s">
        <v>210</v>
      </c>
      <c r="B71" s="22" t="s">
        <v>208</v>
      </c>
      <c r="C71" s="22"/>
      <c r="D71" s="22"/>
      <c r="E71" s="22"/>
      <c r="F71" s="22"/>
      <c r="G71" s="22"/>
      <c r="H71" s="22"/>
      <c r="I71" s="22"/>
      <c r="J71" s="201"/>
      <c r="K71" s="201"/>
      <c r="L71" s="201"/>
      <c r="M71" s="201"/>
      <c r="N71" s="201"/>
      <c r="O71" s="201"/>
      <c r="P71" s="201"/>
      <c r="Q71" s="201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 t="s">
        <v>211</v>
      </c>
      <c r="B72" s="22" t="s">
        <v>208</v>
      </c>
      <c r="C72" s="22"/>
      <c r="D72" s="22"/>
      <c r="E72" s="22"/>
      <c r="F72" s="22"/>
      <c r="G72" s="22"/>
      <c r="H72" s="22"/>
      <c r="I72" s="22"/>
      <c r="J72" s="201"/>
      <c r="K72" s="201"/>
      <c r="L72" s="201"/>
      <c r="M72" s="201"/>
      <c r="N72" s="201"/>
      <c r="O72" s="201"/>
      <c r="P72" s="201"/>
      <c r="Q72" s="201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 t="s">
        <v>212</v>
      </c>
      <c r="B73" s="22" t="s">
        <v>213</v>
      </c>
      <c r="C73" s="22"/>
      <c r="D73" s="22"/>
      <c r="E73" s="22"/>
      <c r="F73" s="22"/>
      <c r="G73" s="22"/>
      <c r="H73" s="22"/>
      <c r="I73" s="22"/>
      <c r="J73" s="201"/>
      <c r="K73" s="201"/>
      <c r="L73" s="201"/>
      <c r="M73" s="201"/>
      <c r="N73" s="201"/>
      <c r="O73" s="201"/>
      <c r="P73" s="201"/>
      <c r="Q73" s="201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 t="s">
        <v>214</v>
      </c>
      <c r="B74" s="22" t="s">
        <v>206</v>
      </c>
      <c r="C74" s="22"/>
      <c r="D74" s="22"/>
      <c r="E74" s="22"/>
      <c r="F74" s="22"/>
      <c r="G74" s="22"/>
      <c r="H74" s="22"/>
      <c r="I74" s="22"/>
      <c r="J74" s="201"/>
      <c r="K74" s="201"/>
      <c r="L74" s="201"/>
      <c r="M74" s="201"/>
      <c r="N74" s="201"/>
      <c r="O74" s="201"/>
      <c r="P74" s="201"/>
      <c r="Q74" s="201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01"/>
      <c r="K75" s="201"/>
      <c r="L75" s="201"/>
      <c r="M75" s="201"/>
      <c r="N75" s="201"/>
      <c r="O75" s="201"/>
      <c r="P75" s="201"/>
      <c r="Q75" s="201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01"/>
      <c r="K76" s="201"/>
      <c r="L76" s="201"/>
      <c r="M76" s="201"/>
      <c r="N76" s="201"/>
      <c r="O76" s="201"/>
      <c r="P76" s="201"/>
      <c r="Q76" s="201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01"/>
      <c r="F77" s="201"/>
      <c r="G77" s="201"/>
      <c r="H77" s="201"/>
      <c r="I77" s="201"/>
      <c r="J77" s="201"/>
      <c r="K77" s="201"/>
      <c r="L77" s="201"/>
      <c r="M77" s="201"/>
      <c r="N77" s="201"/>
      <c r="O77" s="201"/>
      <c r="P77" s="201"/>
      <c r="Q77" s="201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01"/>
      <c r="F78" s="201"/>
      <c r="G78" s="201"/>
      <c r="H78" s="201"/>
      <c r="I78" s="201"/>
      <c r="J78" s="201"/>
      <c r="K78" s="201"/>
      <c r="L78" s="201"/>
      <c r="M78" s="201"/>
      <c r="N78" s="201"/>
      <c r="O78" s="201"/>
      <c r="P78" s="201"/>
      <c r="Q78" s="201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01"/>
      <c r="F79" s="201"/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1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01"/>
      <c r="F84" s="201"/>
      <c r="G84" s="201"/>
      <c r="H84" s="201"/>
      <c r="I84" s="201"/>
      <c r="J84" s="201"/>
      <c r="K84" s="201"/>
      <c r="L84" s="201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01"/>
      <c r="F85" s="201"/>
      <c r="G85" s="201"/>
      <c r="H85" s="201"/>
      <c r="I85" s="201"/>
      <c r="J85" s="201"/>
      <c r="K85" s="201"/>
      <c r="L85" s="201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01"/>
      <c r="F86" s="201"/>
      <c r="G86" s="201"/>
      <c r="H86" s="201"/>
      <c r="I86" s="201"/>
      <c r="J86" s="201"/>
      <c r="K86" s="201"/>
      <c r="L86" s="201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01"/>
      <c r="F87" s="201"/>
      <c r="G87" s="201"/>
      <c r="H87" s="201"/>
      <c r="I87" s="201"/>
      <c r="J87" s="201"/>
      <c r="K87" s="201"/>
      <c r="L87" s="201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01"/>
      <c r="F88" s="201"/>
      <c r="G88" s="201"/>
      <c r="H88" s="201"/>
      <c r="I88" s="201"/>
      <c r="J88" s="201"/>
      <c r="K88" s="201"/>
      <c r="L88" s="201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01"/>
      <c r="F89" s="201"/>
      <c r="G89" s="201"/>
      <c r="H89" s="201"/>
      <c r="I89" s="201"/>
      <c r="J89" s="201"/>
      <c r="K89" s="201"/>
      <c r="L89" s="201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01"/>
      <c r="F90" s="201"/>
      <c r="G90" s="201"/>
      <c r="H90" s="201"/>
      <c r="I90" s="201"/>
      <c r="J90" s="201"/>
      <c r="K90" s="201"/>
      <c r="L90" s="201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01"/>
      <c r="F91" s="201"/>
      <c r="G91" s="201"/>
      <c r="H91" s="201"/>
      <c r="I91" s="201"/>
      <c r="J91" s="201"/>
      <c r="K91" s="201"/>
      <c r="L91" s="201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01"/>
      <c r="F92" s="201"/>
      <c r="G92" s="201"/>
      <c r="H92" s="201"/>
      <c r="I92" s="201"/>
      <c r="J92" s="201"/>
      <c r="K92" s="201"/>
      <c r="L92" s="201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01"/>
      <c r="F93" s="201"/>
      <c r="G93" s="201"/>
      <c r="H93" s="201"/>
      <c r="I93" s="201"/>
      <c r="J93" s="201"/>
      <c r="K93" s="201"/>
      <c r="L93" s="201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6.5" customHeight="1">
      <c r="A94" s="22"/>
      <c r="B94" s="22"/>
      <c r="C94" s="22"/>
      <c r="D94" s="22"/>
      <c r="E94" s="201"/>
      <c r="F94" s="201"/>
      <c r="G94" s="201"/>
      <c r="H94" s="201"/>
      <c r="I94" s="201"/>
      <c r="J94" s="201"/>
      <c r="K94" s="201"/>
      <c r="L94" s="201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6.5" customHeight="1">
      <c r="A95" s="22"/>
      <c r="B95" s="22"/>
      <c r="C95" s="22"/>
      <c r="D95" s="22"/>
      <c r="E95" s="201"/>
      <c r="F95" s="201"/>
      <c r="G95" s="201"/>
      <c r="H95" s="201"/>
      <c r="I95" s="201"/>
      <c r="J95" s="201"/>
      <c r="K95" s="201"/>
      <c r="L95" s="201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6.5" customHeight="1">
      <c r="A96" s="22"/>
      <c r="B96" s="22"/>
      <c r="C96" s="22"/>
      <c r="D96" s="22"/>
      <c r="E96" s="201"/>
      <c r="F96" s="201"/>
      <c r="G96" s="201"/>
      <c r="H96" s="201"/>
      <c r="I96" s="201"/>
      <c r="J96" s="201"/>
      <c r="K96" s="201"/>
      <c r="L96" s="201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6.5" customHeight="1">
      <c r="A97" s="22"/>
      <c r="B97" s="22"/>
      <c r="C97" s="22"/>
      <c r="D97" s="22"/>
      <c r="E97" s="201"/>
      <c r="F97" s="201"/>
      <c r="G97" s="201"/>
      <c r="H97" s="201"/>
      <c r="I97" s="201"/>
      <c r="J97" s="201"/>
      <c r="K97" s="201"/>
      <c r="L97" s="201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6.5" customHeight="1">
      <c r="A98" s="22"/>
      <c r="B98" s="22"/>
      <c r="C98" s="22"/>
      <c r="D98" s="22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2"/>
      <c r="S98" s="22"/>
      <c r="T98" s="22"/>
      <c r="U98" s="22"/>
      <c r="V98" s="22"/>
      <c r="W98" s="22"/>
      <c r="X98" s="22"/>
      <c r="Y98" s="22"/>
      <c r="Z98" s="22"/>
    </row>
    <row r="99" ht="16.5" customHeight="1">
      <c r="A99" s="22"/>
      <c r="B99" s="22"/>
      <c r="C99" s="22"/>
      <c r="D99" s="22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2"/>
      <c r="S99" s="22"/>
      <c r="T99" s="22"/>
      <c r="U99" s="22"/>
      <c r="V99" s="22"/>
      <c r="W99" s="22"/>
      <c r="X99" s="22"/>
      <c r="Y99" s="22"/>
      <c r="Z99" s="22"/>
    </row>
    <row r="100" ht="16.5" customHeight="1">
      <c r="A100" s="22"/>
      <c r="B100" s="22"/>
      <c r="C100" s="22"/>
      <c r="D100" s="22"/>
      <c r="E100" s="201"/>
      <c r="F100" s="201"/>
      <c r="G100" s="201"/>
      <c r="H100" s="201"/>
      <c r="I100" s="201"/>
      <c r="J100" s="201"/>
      <c r="K100" s="201"/>
      <c r="L100" s="201"/>
      <c r="M100" s="201"/>
      <c r="N100" s="201"/>
      <c r="O100" s="201"/>
      <c r="P100" s="201"/>
      <c r="Q100" s="201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6.5" customHeight="1">
      <c r="A101" s="22"/>
      <c r="B101" s="22"/>
      <c r="C101" s="22"/>
      <c r="D101" s="22"/>
      <c r="E101" s="201"/>
      <c r="F101" s="201"/>
      <c r="G101" s="201"/>
      <c r="H101" s="201"/>
      <c r="I101" s="201"/>
      <c r="J101" s="201"/>
      <c r="K101" s="201"/>
      <c r="L101" s="201"/>
      <c r="M101" s="201"/>
      <c r="N101" s="201"/>
      <c r="O101" s="201"/>
      <c r="P101" s="201"/>
      <c r="Q101" s="201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6.5" customHeight="1">
      <c r="A102" s="22"/>
      <c r="B102" s="22"/>
      <c r="C102" s="22"/>
      <c r="D102" s="22"/>
      <c r="E102" s="201"/>
      <c r="F102" s="201"/>
      <c r="G102" s="201"/>
      <c r="H102" s="201"/>
      <c r="I102" s="201"/>
      <c r="J102" s="201"/>
      <c r="K102" s="201"/>
      <c r="L102" s="201"/>
      <c r="M102" s="201"/>
      <c r="N102" s="201"/>
      <c r="O102" s="201"/>
      <c r="P102" s="201"/>
      <c r="Q102" s="201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6.5" customHeight="1">
      <c r="A103" s="22"/>
      <c r="B103" s="22"/>
      <c r="C103" s="22"/>
      <c r="D103" s="22"/>
      <c r="E103" s="201"/>
      <c r="F103" s="201"/>
      <c r="G103" s="201"/>
      <c r="H103" s="201"/>
      <c r="I103" s="201"/>
      <c r="J103" s="201"/>
      <c r="K103" s="201"/>
      <c r="L103" s="201"/>
      <c r="M103" s="201"/>
      <c r="N103" s="201"/>
      <c r="O103" s="201"/>
      <c r="P103" s="201"/>
      <c r="Q103" s="201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6.5" customHeight="1">
      <c r="A104" s="22"/>
      <c r="B104" s="22"/>
      <c r="C104" s="22"/>
      <c r="D104" s="22"/>
      <c r="E104" s="201"/>
      <c r="F104" s="201"/>
      <c r="G104" s="201"/>
      <c r="H104" s="201"/>
      <c r="I104" s="201"/>
      <c r="J104" s="201"/>
      <c r="K104" s="201"/>
      <c r="L104" s="201"/>
      <c r="M104" s="201"/>
      <c r="N104" s="201"/>
      <c r="O104" s="201"/>
      <c r="P104" s="201"/>
      <c r="Q104" s="201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6.5" customHeight="1">
      <c r="A105" s="22"/>
      <c r="B105" s="22"/>
      <c r="C105" s="22"/>
      <c r="D105" s="22"/>
      <c r="E105" s="201"/>
      <c r="F105" s="201"/>
      <c r="G105" s="201"/>
      <c r="H105" s="201"/>
      <c r="I105" s="201"/>
      <c r="J105" s="201"/>
      <c r="K105" s="201"/>
      <c r="L105" s="201"/>
      <c r="M105" s="201"/>
      <c r="N105" s="201"/>
      <c r="O105" s="201"/>
      <c r="P105" s="201"/>
      <c r="Q105" s="201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6.5" customHeight="1">
      <c r="A106" s="22"/>
      <c r="B106" s="22"/>
      <c r="C106" s="22"/>
      <c r="D106" s="22"/>
      <c r="E106" s="201"/>
      <c r="F106" s="201"/>
      <c r="G106" s="201"/>
      <c r="H106" s="201"/>
      <c r="I106" s="201"/>
      <c r="J106" s="201"/>
      <c r="K106" s="201"/>
      <c r="L106" s="201"/>
      <c r="M106" s="201"/>
      <c r="N106" s="201"/>
      <c r="O106" s="201"/>
      <c r="P106" s="201"/>
      <c r="Q106" s="201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6.5" customHeight="1">
      <c r="A107" s="22"/>
      <c r="B107" s="22"/>
      <c r="C107" s="22"/>
      <c r="D107" s="22"/>
      <c r="E107" s="201"/>
      <c r="F107" s="201"/>
      <c r="G107" s="201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6.5" customHeight="1">
      <c r="A108" s="22"/>
      <c r="B108" s="22"/>
      <c r="C108" s="22"/>
      <c r="D108" s="22"/>
      <c r="E108" s="201"/>
      <c r="F108" s="201"/>
      <c r="G108" s="201"/>
      <c r="H108" s="201"/>
      <c r="I108" s="201"/>
      <c r="J108" s="201"/>
      <c r="K108" s="201"/>
      <c r="L108" s="201"/>
      <c r="M108" s="201"/>
      <c r="N108" s="201"/>
      <c r="O108" s="201"/>
      <c r="P108" s="201"/>
      <c r="Q108" s="201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6.5" customHeight="1">
      <c r="A109" s="22"/>
      <c r="B109" s="22"/>
      <c r="C109" s="22"/>
      <c r="D109" s="22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6.5" customHeight="1">
      <c r="A110" s="22"/>
      <c r="B110" s="22"/>
      <c r="C110" s="22"/>
      <c r="D110" s="22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6.5" customHeight="1">
      <c r="A111" s="22"/>
      <c r="B111" s="22"/>
      <c r="C111" s="22"/>
      <c r="D111" s="22"/>
      <c r="E111" s="201"/>
      <c r="F111" s="201"/>
      <c r="G111" s="201"/>
      <c r="H111" s="201"/>
      <c r="I111" s="201"/>
      <c r="J111" s="201"/>
      <c r="K111" s="201"/>
      <c r="L111" s="201"/>
      <c r="M111" s="201"/>
      <c r="N111" s="201"/>
      <c r="O111" s="201"/>
      <c r="P111" s="201"/>
      <c r="Q111" s="201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6.5" customHeight="1">
      <c r="A112" s="22"/>
      <c r="B112" s="22"/>
      <c r="C112" s="22"/>
      <c r="D112" s="22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6.5" customHeight="1">
      <c r="A113" s="22"/>
      <c r="B113" s="22"/>
      <c r="C113" s="22"/>
      <c r="D113" s="22"/>
      <c r="E113" s="201"/>
      <c r="F113" s="201"/>
      <c r="G113" s="201"/>
      <c r="H113" s="201"/>
      <c r="I113" s="201"/>
      <c r="J113" s="201"/>
      <c r="K113" s="201"/>
      <c r="L113" s="201"/>
      <c r="M113" s="201"/>
      <c r="N113" s="201"/>
      <c r="O113" s="201"/>
      <c r="P113" s="201"/>
      <c r="Q113" s="201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6.5" customHeight="1">
      <c r="A114" s="22"/>
      <c r="B114" s="22"/>
      <c r="C114" s="22"/>
      <c r="D114" s="22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6.5" customHeight="1">
      <c r="A115" s="22"/>
      <c r="B115" s="22"/>
      <c r="C115" s="22"/>
      <c r="D115" s="22"/>
      <c r="E115" s="201"/>
      <c r="F115" s="201"/>
      <c r="G115" s="201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6.5" customHeight="1">
      <c r="A116" s="22"/>
      <c r="B116" s="22"/>
      <c r="C116" s="22"/>
      <c r="D116" s="22"/>
      <c r="E116" s="201"/>
      <c r="F116" s="201"/>
      <c r="G116" s="201"/>
      <c r="H116" s="201"/>
      <c r="I116" s="201"/>
      <c r="J116" s="201"/>
      <c r="K116" s="201"/>
      <c r="L116" s="201"/>
      <c r="M116" s="201"/>
      <c r="N116" s="201"/>
      <c r="O116" s="201"/>
      <c r="P116" s="201"/>
      <c r="Q116" s="201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6.5" customHeight="1">
      <c r="A117" s="22"/>
      <c r="B117" s="22"/>
      <c r="C117" s="22"/>
      <c r="D117" s="22"/>
      <c r="E117" s="201"/>
      <c r="F117" s="201"/>
      <c r="G117" s="201"/>
      <c r="H117" s="201"/>
      <c r="I117" s="201"/>
      <c r="J117" s="201"/>
      <c r="K117" s="201"/>
      <c r="L117" s="201"/>
      <c r="M117" s="201"/>
      <c r="N117" s="201"/>
      <c r="O117" s="201"/>
      <c r="P117" s="201"/>
      <c r="Q117" s="201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6.5" customHeight="1">
      <c r="A118" s="22"/>
      <c r="B118" s="22"/>
      <c r="C118" s="22"/>
      <c r="D118" s="22"/>
      <c r="E118" s="201"/>
      <c r="F118" s="201"/>
      <c r="G118" s="201"/>
      <c r="H118" s="201"/>
      <c r="I118" s="201"/>
      <c r="J118" s="201"/>
      <c r="K118" s="201"/>
      <c r="L118" s="201"/>
      <c r="M118" s="201"/>
      <c r="N118" s="201"/>
      <c r="O118" s="201"/>
      <c r="P118" s="201"/>
      <c r="Q118" s="201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6.5" customHeight="1">
      <c r="A119" s="22"/>
      <c r="B119" s="22"/>
      <c r="C119" s="22"/>
      <c r="D119" s="22"/>
      <c r="E119" s="201"/>
      <c r="F119" s="201"/>
      <c r="G119" s="201"/>
      <c r="H119" s="201"/>
      <c r="I119" s="201"/>
      <c r="J119" s="201"/>
      <c r="K119" s="201"/>
      <c r="L119" s="201"/>
      <c r="M119" s="201"/>
      <c r="N119" s="201"/>
      <c r="O119" s="201"/>
      <c r="P119" s="201"/>
      <c r="Q119" s="201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6.5" customHeight="1">
      <c r="A120" s="22"/>
      <c r="B120" s="22"/>
      <c r="C120" s="22"/>
      <c r="D120" s="22"/>
      <c r="E120" s="201"/>
      <c r="F120" s="201"/>
      <c r="G120" s="201"/>
      <c r="H120" s="201"/>
      <c r="I120" s="201"/>
      <c r="J120" s="201"/>
      <c r="K120" s="201"/>
      <c r="L120" s="201"/>
      <c r="M120" s="201"/>
      <c r="N120" s="201"/>
      <c r="O120" s="201"/>
      <c r="P120" s="201"/>
      <c r="Q120" s="201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6.5" customHeight="1">
      <c r="A121" s="22"/>
      <c r="B121" s="22"/>
      <c r="C121" s="22"/>
      <c r="D121" s="22"/>
      <c r="E121" s="201"/>
      <c r="F121" s="201"/>
      <c r="G121" s="201"/>
      <c r="H121" s="201"/>
      <c r="I121" s="201"/>
      <c r="J121" s="201"/>
      <c r="K121" s="201"/>
      <c r="L121" s="201"/>
      <c r="M121" s="201"/>
      <c r="N121" s="201"/>
      <c r="O121" s="201"/>
      <c r="P121" s="201"/>
      <c r="Q121" s="201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6.5" customHeight="1">
      <c r="A122" s="22"/>
      <c r="B122" s="22"/>
      <c r="C122" s="22"/>
      <c r="D122" s="22"/>
      <c r="E122" s="201"/>
      <c r="F122" s="201"/>
      <c r="G122" s="201"/>
      <c r="H122" s="201"/>
      <c r="I122" s="201"/>
      <c r="J122" s="201"/>
      <c r="K122" s="201"/>
      <c r="L122" s="201"/>
      <c r="M122" s="201"/>
      <c r="N122" s="201"/>
      <c r="O122" s="201"/>
      <c r="P122" s="201"/>
      <c r="Q122" s="201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6.5" customHeight="1">
      <c r="A123" s="22"/>
      <c r="B123" s="22"/>
      <c r="C123" s="22"/>
      <c r="D123" s="22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1"/>
      <c r="P123" s="201"/>
      <c r="Q123" s="201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6.5" customHeight="1">
      <c r="A124" s="22"/>
      <c r="B124" s="22"/>
      <c r="C124" s="22"/>
      <c r="D124" s="22"/>
      <c r="E124" s="201"/>
      <c r="F124" s="201"/>
      <c r="G124" s="201"/>
      <c r="H124" s="201"/>
      <c r="I124" s="201"/>
      <c r="J124" s="201"/>
      <c r="K124" s="201"/>
      <c r="L124" s="201"/>
      <c r="M124" s="201"/>
      <c r="N124" s="201"/>
      <c r="O124" s="201"/>
      <c r="P124" s="201"/>
      <c r="Q124" s="201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6.5" customHeight="1">
      <c r="A125" s="22"/>
      <c r="B125" s="22"/>
      <c r="C125" s="22"/>
      <c r="D125" s="22"/>
      <c r="E125" s="201"/>
      <c r="F125" s="201"/>
      <c r="G125" s="201"/>
      <c r="H125" s="201"/>
      <c r="I125" s="201"/>
      <c r="J125" s="201"/>
      <c r="K125" s="201"/>
      <c r="L125" s="201"/>
      <c r="M125" s="201"/>
      <c r="N125" s="201"/>
      <c r="O125" s="201"/>
      <c r="P125" s="201"/>
      <c r="Q125" s="201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6.5" customHeight="1">
      <c r="A126" s="22"/>
      <c r="B126" s="22"/>
      <c r="C126" s="22"/>
      <c r="D126" s="22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6.5" customHeight="1">
      <c r="A127" s="22"/>
      <c r="B127" s="22"/>
      <c r="C127" s="22"/>
      <c r="D127" s="22"/>
      <c r="E127" s="201"/>
      <c r="F127" s="201"/>
      <c r="G127" s="201"/>
      <c r="H127" s="201"/>
      <c r="I127" s="201"/>
      <c r="J127" s="201"/>
      <c r="K127" s="201"/>
      <c r="L127" s="201"/>
      <c r="M127" s="201"/>
      <c r="N127" s="201"/>
      <c r="O127" s="201"/>
      <c r="P127" s="201"/>
      <c r="Q127" s="201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6.5" customHeight="1">
      <c r="A128" s="22"/>
      <c r="B128" s="22"/>
      <c r="C128" s="22"/>
      <c r="D128" s="22"/>
      <c r="E128" s="201"/>
      <c r="F128" s="201"/>
      <c r="G128" s="201"/>
      <c r="H128" s="201"/>
      <c r="I128" s="201"/>
      <c r="J128" s="201"/>
      <c r="K128" s="201"/>
      <c r="L128" s="201"/>
      <c r="M128" s="201"/>
      <c r="N128" s="201"/>
      <c r="O128" s="201"/>
      <c r="P128" s="201"/>
      <c r="Q128" s="201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6.5" customHeight="1">
      <c r="A129" s="22"/>
      <c r="B129" s="22"/>
      <c r="C129" s="22"/>
      <c r="D129" s="22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6.5" customHeight="1">
      <c r="A130" s="22"/>
      <c r="B130" s="22"/>
      <c r="C130" s="22"/>
      <c r="D130" s="22"/>
      <c r="E130" s="201"/>
      <c r="F130" s="201"/>
      <c r="G130" s="201"/>
      <c r="H130" s="201"/>
      <c r="I130" s="201"/>
      <c r="J130" s="201"/>
      <c r="K130" s="201"/>
      <c r="L130" s="201"/>
      <c r="M130" s="201"/>
      <c r="N130" s="201"/>
      <c r="O130" s="201"/>
      <c r="P130" s="201"/>
      <c r="Q130" s="201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6.5" customHeight="1">
      <c r="A131" s="22"/>
      <c r="B131" s="22"/>
      <c r="C131" s="22"/>
      <c r="D131" s="22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6.5" customHeight="1">
      <c r="A132" s="22"/>
      <c r="B132" s="22"/>
      <c r="C132" s="22"/>
      <c r="D132" s="22"/>
      <c r="E132" s="201"/>
      <c r="F132" s="201"/>
      <c r="G132" s="201"/>
      <c r="H132" s="201"/>
      <c r="I132" s="201"/>
      <c r="J132" s="201"/>
      <c r="K132" s="201"/>
      <c r="L132" s="201"/>
      <c r="M132" s="201"/>
      <c r="N132" s="201"/>
      <c r="O132" s="201"/>
      <c r="P132" s="201"/>
      <c r="Q132" s="201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6.5" customHeight="1">
      <c r="A133" s="22"/>
      <c r="B133" s="22"/>
      <c r="C133" s="22"/>
      <c r="D133" s="22"/>
      <c r="E133" s="201"/>
      <c r="F133" s="201"/>
      <c r="G133" s="201"/>
      <c r="H133" s="201"/>
      <c r="I133" s="201"/>
      <c r="J133" s="201"/>
      <c r="K133" s="201"/>
      <c r="L133" s="201"/>
      <c r="M133" s="201"/>
      <c r="N133" s="201"/>
      <c r="O133" s="201"/>
      <c r="P133" s="201"/>
      <c r="Q133" s="201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6.5" customHeight="1">
      <c r="A134" s="22"/>
      <c r="B134" s="22"/>
      <c r="C134" s="22"/>
      <c r="D134" s="22"/>
      <c r="E134" s="201"/>
      <c r="F134" s="201"/>
      <c r="G134" s="201"/>
      <c r="H134" s="201"/>
      <c r="I134" s="201"/>
      <c r="J134" s="201"/>
      <c r="K134" s="201"/>
      <c r="L134" s="201"/>
      <c r="M134" s="201"/>
      <c r="N134" s="201"/>
      <c r="O134" s="201"/>
      <c r="P134" s="201"/>
      <c r="Q134" s="201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6.5" customHeight="1">
      <c r="A135" s="22"/>
      <c r="B135" s="22"/>
      <c r="C135" s="22"/>
      <c r="D135" s="22"/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6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6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6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6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6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6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6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6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6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6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6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6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6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6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6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6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6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6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6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6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6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6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6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6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6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6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6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6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6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6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6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6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6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6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6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6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6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6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6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6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6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6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6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6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6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6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6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6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6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6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6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6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6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6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6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6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6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6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6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6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6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6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6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6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6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6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6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6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6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6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6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6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6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6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6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6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6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6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6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6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6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6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6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6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6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6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6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6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6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6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6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6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6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6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6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6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6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6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6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6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6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6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6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6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6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6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6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6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6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6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6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6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6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6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6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6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6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6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6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6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6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6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6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6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6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6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6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6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6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6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6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6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6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6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6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6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6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6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6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6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6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6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6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6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6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6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6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6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6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6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6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6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6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6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6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6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6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6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6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6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6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6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6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6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6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6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6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6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6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6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6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6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6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6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6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6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6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6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6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6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6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6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6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6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6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6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6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6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6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6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6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6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6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6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6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6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6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6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6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6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6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6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6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6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6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6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6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6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6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6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6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6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6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6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6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6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6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6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6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6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6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6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6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6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6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6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6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6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6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6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6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6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6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6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6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6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6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6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6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6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6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6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6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6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6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6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6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6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6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6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6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6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6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6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6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6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6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6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6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6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6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6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6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6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6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6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6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6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6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6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6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6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6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6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6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6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6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6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6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6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6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6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6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6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6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6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6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6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6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6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6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6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6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6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6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6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6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6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6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6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6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6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6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6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6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6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6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6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6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6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6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6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6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6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6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6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6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6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6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6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6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6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6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6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6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6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6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6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6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6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6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6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6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6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6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6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6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6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6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6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6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6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6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6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6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6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6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6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6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6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6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6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6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6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6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6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6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6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6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6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6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6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6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6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6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6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6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6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6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6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6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6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6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6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6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6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6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6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6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6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6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6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6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6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6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6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6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6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6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6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6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6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6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6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6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6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6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6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6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6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6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6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6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6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6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6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6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6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6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6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6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6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6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6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6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6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6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6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6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6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6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6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6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6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6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6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6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6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6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6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6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6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6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6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6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6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6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6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6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6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6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6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6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6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6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6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6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6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6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6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6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6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6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6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6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6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6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6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6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6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6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6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6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6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6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6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6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6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6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6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6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6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6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6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6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6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6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6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6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6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6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6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6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6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6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6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6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6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6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6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6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6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6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6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6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6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6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6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6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6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6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6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6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6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6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6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6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6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6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6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6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6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6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6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6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6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6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6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6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6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6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6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6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6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6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6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6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6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6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6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6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6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6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6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6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6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6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6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6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6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6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6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6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6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6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6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6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6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6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6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6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6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6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6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6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6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6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6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6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6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6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6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6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6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6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6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6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6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6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6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6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6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6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6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6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6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6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6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6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6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6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6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6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6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6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6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6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6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6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6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6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6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6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6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6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6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6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6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6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6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6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6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6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6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6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6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6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6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6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6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6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6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6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6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6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6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6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6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6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6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6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6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6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6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6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6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6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6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6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6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6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6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6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6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6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6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6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6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6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6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6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6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6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6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6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6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6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6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6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6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6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6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6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6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6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6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6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6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6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6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6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6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6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6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6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6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6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6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6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6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6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6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6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6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6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6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6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6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6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6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6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6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6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6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6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6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6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6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6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6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6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6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6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6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6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6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6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6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6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6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6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6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6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6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6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6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6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6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6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6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6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6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6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6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6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6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6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6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6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6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6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6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6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6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6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6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6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6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6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6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6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6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6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6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6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6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6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6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6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6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6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6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6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6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6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6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6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6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6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6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6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6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6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6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6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6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6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6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6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6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6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6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6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6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6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6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6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6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6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6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6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6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6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6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6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6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6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6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6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6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6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6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6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6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6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6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6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6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6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6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6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6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6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6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6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6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6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6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6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6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6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6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6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6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6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6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6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6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6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6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6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6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6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6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6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6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6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6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6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6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6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6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6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6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6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6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6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6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6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6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6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6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6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6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6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6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6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6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6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6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6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6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6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6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6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6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6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6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6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6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6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6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6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6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6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6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6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6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6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6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6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6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6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6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6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1">
    <mergeCell ref="E1:G1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