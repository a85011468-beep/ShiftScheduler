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北段" sheetId="1" r:id="rId5"/>
    <sheet state="visible" name="北段 (人資版)" sheetId="2" r:id="rId6"/>
    <sheet state="visible" name="北段(八周檢核代碼" sheetId="3" r:id="rId7"/>
    <sheet state="visible" name="工作表1" sheetId="4" r:id="rId8"/>
  </sheets>
  <definedNames>
    <definedName localSheetId="1" name="Z_BD804FFF_0FA6_4DDB_B9D5_07B1854E6033_.wvu.PrintArea">'北段 (人資版)'!$A$1:$AL$72</definedName>
    <definedName localSheetId="2" name="Z_BD804FFF_0FA6_4DDB_B9D5_07B1854E6033_.wvu.PrintArea">'北段(八周檢核代碼'!$A$1:$AL$71</definedName>
    <definedName localSheetId="0" name="Z_BD804FFF_0FA6_4DDB_B9D5_07B1854E6033_.wvu.PrintArea">'北段'!$A$1:$AO$21</definedName>
    <definedName hidden="1" localSheetId="1" name="_xlnm._FilterDatabase">'北段 (人資版)'!$A$2:$AL$72</definedName>
    <definedName hidden="1" localSheetId="2" name="_xlnm._FilterDatabase">'北段(八周檢核代碼'!$A$2:$AL$71</definedName>
  </definedNames>
  <calcPr/>
</workbook>
</file>

<file path=xl/sharedStrings.xml><?xml version="1.0" encoding="utf-8"?>
<sst xmlns="http://schemas.openxmlformats.org/spreadsheetml/2006/main" count="903" uniqueCount="163">
  <si>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</si>
  <si>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</si>
  <si>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</si>
  <si>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</si>
  <si>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</si>
  <si>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</si>
  <si>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P</t>
  </si>
  <si>
    <t>01早M</t>
  </si>
  <si>
    <t>01早m</t>
  </si>
  <si>
    <t>01中A</t>
  </si>
  <si>
    <t>R</t>
  </si>
  <si>
    <t>01夜B2</t>
  </si>
  <si>
    <t>01夜B1</t>
  </si>
  <si>
    <t>r'</t>
  </si>
  <si>
    <t>01午M</t>
  </si>
  <si>
    <t>01夜</t>
  </si>
  <si>
    <t>01早</t>
  </si>
  <si>
    <t>01午</t>
  </si>
  <si>
    <t>L</t>
  </si>
  <si>
    <t>T01028</t>
  </si>
  <si>
    <t>林金緗</t>
  </si>
  <si>
    <t>01午m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</si>
  <si>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</si>
  <si>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</si>
  <si>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</si>
  <si>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</si>
  <si>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</si>
  <si>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</si>
  <si>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</si>
  <si>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</si>
  <si>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01早B1</t>
  </si>
  <si>
    <t>T02363</t>
  </si>
  <si>
    <t>林孟錡</t>
  </si>
  <si>
    <t>T02504</t>
  </si>
  <si>
    <t>潘元浩</t>
  </si>
  <si>
    <t>T02505</t>
  </si>
  <si>
    <t>李慧盺</t>
  </si>
  <si>
    <t>01午B1</t>
  </si>
  <si>
    <t>T00557</t>
  </si>
  <si>
    <t>陳志明</t>
  </si>
  <si>
    <t>01早B2</t>
  </si>
  <si>
    <t>01午B2</t>
  </si>
  <si>
    <t>T00929</t>
  </si>
  <si>
    <t>簡婉蓁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</si>
  <si>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</si>
  <si>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</si>
  <si>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</si>
  <si>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</si>
  <si>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</si>
  <si>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</si>
  <si>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</si>
  <si>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</si>
  <si>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T02233</t>
  </si>
  <si>
    <t>簡悅如</t>
  </si>
  <si>
    <t>日(防災士訓)</t>
  </si>
  <si>
    <t>T02498</t>
  </si>
  <si>
    <t>張芯瑜</t>
  </si>
  <si>
    <t>T02612</t>
  </si>
  <si>
    <t>蕭曉琦</t>
  </si>
  <si>
    <t>T02613</t>
  </si>
  <si>
    <t>張雅荃</t>
  </si>
  <si>
    <t xml:space="preserve">          日期
          星期                   
姓名</t>
  </si>
  <si>
    <t>北
段
辦</t>
  </si>
  <si>
    <t>A2</t>
  </si>
  <si>
    <t>A3</t>
  </si>
  <si>
    <t>A4</t>
  </si>
  <si>
    <t>A5</t>
  </si>
  <si>
    <t>A6</t>
  </si>
  <si>
    <t>41早</t>
  </si>
  <si>
    <t>41午</t>
  </si>
  <si>
    <t>41夜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</si>
  <si>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</si>
  <si>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</si>
  <si>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</si>
  <si>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</si>
  <si>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</si>
  <si>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</si>
  <si>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</si>
  <si>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</si>
  <si>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</si>
  <si>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A3早A</t>
  </si>
  <si>
    <t>A3中A</t>
  </si>
  <si>
    <t>A3午</t>
  </si>
  <si>
    <t>A3午F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</si>
  <si>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</si>
  <si>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</si>
  <si>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</si>
  <si>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</si>
  <si>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</si>
  <si>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</si>
  <si>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</si>
  <si>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</si>
  <si>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</si>
  <si>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</si>
  <si>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</si>
  <si>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</si>
  <si>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</si>
  <si>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>請輸入年度</t>
  </si>
  <si>
    <t>請輸入月份</t>
  </si>
  <si>
    <t>41日</t>
  </si>
  <si>
    <t>05</t>
  </si>
  <si>
    <t>01日</t>
  </si>
  <si>
    <t>06日</t>
  </si>
  <si>
    <t>01日.</t>
  </si>
  <si>
    <t>03</t>
  </si>
  <si>
    <t>T</t>
  </si>
  <si>
    <t>07</t>
  </si>
  <si>
    <t>02中A</t>
  </si>
  <si>
    <t>03中A</t>
  </si>
  <si>
    <t>04中A</t>
  </si>
  <si>
    <t>05中A</t>
  </si>
  <si>
    <t>06中A</t>
  </si>
  <si>
    <t>41中A</t>
  </si>
  <si>
    <t>早Q</t>
  </si>
  <si>
    <t>41早K</t>
  </si>
  <si>
    <t>41早G</t>
  </si>
  <si>
    <t>02早</t>
  </si>
  <si>
    <t>03早</t>
  </si>
  <si>
    <t>04早</t>
  </si>
  <si>
    <t>05早</t>
  </si>
  <si>
    <t>06早</t>
  </si>
  <si>
    <t>07早</t>
  </si>
  <si>
    <t>21早</t>
  </si>
  <si>
    <t>41早Q</t>
  </si>
  <si>
    <t>04早Q</t>
  </si>
  <si>
    <t>02午</t>
  </si>
  <si>
    <t>03午</t>
  </si>
  <si>
    <t>04午</t>
  </si>
  <si>
    <t>05午</t>
  </si>
  <si>
    <t>06午</t>
  </si>
  <si>
    <t>02午P</t>
  </si>
  <si>
    <t>03午P</t>
  </si>
  <si>
    <t>05午P</t>
  </si>
  <si>
    <t>06午P</t>
  </si>
  <si>
    <t>07午</t>
  </si>
  <si>
    <t>02夜</t>
  </si>
  <si>
    <t>03夜</t>
  </si>
  <si>
    <t>04夜</t>
  </si>
  <si>
    <t>05夜</t>
  </si>
  <si>
    <t>06夜</t>
  </si>
  <si>
    <t>41夜.</t>
  </si>
  <si>
    <t>03早A</t>
  </si>
  <si>
    <t>23d</t>
  </si>
  <si>
    <t>03午F</t>
  </si>
  <si>
    <t>34d</t>
  </si>
  <si>
    <t>r'(04早)</t>
  </si>
  <si>
    <t>r'(01早)</t>
  </si>
  <si>
    <t>r'(02早)</t>
  </si>
  <si>
    <t>r'(06早)</t>
  </si>
  <si>
    <t>r'(03早A)</t>
  </si>
  <si>
    <t>r'(01中A)</t>
  </si>
  <si>
    <t>r'(04中A)</t>
  </si>
  <si>
    <t>r'(05中A)</t>
  </si>
  <si>
    <t>r'(06中A)</t>
  </si>
  <si>
    <t>r'(01午)</t>
  </si>
  <si>
    <t>92B</t>
  </si>
  <si>
    <t>r'(04午)</t>
  </si>
  <si>
    <t>r'(02午)</t>
  </si>
  <si>
    <t>r'(03午)</t>
  </si>
  <si>
    <t>r'(06午)</t>
  </si>
  <si>
    <t>r'(06夜)</t>
  </si>
  <si>
    <t>r'(03午F)</t>
  </si>
  <si>
    <t>92C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</si>
</sst>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[DBNum1][$-404]General"/>
  </numFmts>
  <fonts count="12">
    <font>
      <sz val="12.0"/>
      <color theme="1"/>
      <name val="Calibri"/>
      <scheme val="minor"/>
    </font>
    <font>
      <sz val="24.0"/>
      <color rgb="FFFF0000"/>
      <name val="Microsoft JhengHei"/>
    </font>
    <font>
      <sz val="24.0"/>
      <color theme="1"/>
      <name val="Microsoft JhengHei"/>
    </font>
    <font>
      <sz val="18.0"/>
      <color theme="1"/>
      <name val="Microsoft JhengHei"/>
    </font>
    <font/>
    <font>
      <sz val="24.0"/>
      <color rgb="FF00B0F0"/>
      <name val="Microsoft JhengHei"/>
    </font>
    <font>
      <sz val="24.0"/>
      <color rgb="FF00B050"/>
      <name val="Microsoft JhengHei"/>
    </font>
    <font>
      <sz val="12.0"/>
      <color theme="1"/>
      <name val="PMingLiu"/>
    </font>
    <font>
      <sz val="28.0"/>
      <color theme="1"/>
      <name val="Microsoft JhengHei"/>
    </font>
    <font>
      <b/>
      <sz val="12.0"/>
      <color theme="0"/>
      <name val="Microsoft JhengHei"/>
    </font>
    <font>
      <sz val="12.0"/>
      <color theme="1"/>
      <name val="Microsoft JhengHe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</fills>
  <borders count="5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3" fontId="2" numFmtId="165" xfId="0" applyAlignment="1" applyBorder="1" applyFill="1" applyFont="1" applyNumberFormat="1">
      <alignment horizontal="center" vertical="center"/>
    </xf>
    <xf borderId="9" fillId="2" fontId="2" numFmtId="165" xfId="0" applyAlignment="1" applyBorder="1" applyFont="1" applyNumberFormat="1">
      <alignment horizontal="center" vertical="center"/>
    </xf>
    <xf borderId="10" fillId="2" fontId="2" numFmtId="165" xfId="0" applyAlignment="1" applyBorder="1" applyFont="1" applyNumberFormat="1">
      <alignment horizontal="center" vertical="center"/>
    </xf>
    <xf borderId="11" fillId="2" fontId="2" numFmtId="165" xfId="0" applyAlignment="1" applyBorder="1" applyFont="1" applyNumberFormat="1">
      <alignment horizontal="center" vertical="center"/>
    </xf>
    <xf borderId="12" fillId="2" fontId="2" numFmtId="165" xfId="0" applyAlignment="1" applyBorder="1" applyFont="1" applyNumberFormat="1">
      <alignment horizontal="center" vertical="center"/>
    </xf>
    <xf borderId="11" fillId="4" fontId="2" numFmtId="165" xfId="0" applyAlignment="1" applyBorder="1" applyFill="1" applyFont="1" applyNumberFormat="1">
      <alignment horizontal="center" vertical="center"/>
    </xf>
    <xf borderId="12" fillId="4" fontId="2" numFmtId="165" xfId="0" applyAlignment="1" applyBorder="1" applyFont="1" applyNumberFormat="1">
      <alignment horizontal="center" vertical="center"/>
    </xf>
    <xf borderId="8" fillId="4" fontId="2" numFmtId="165" xfId="0" applyAlignment="1" applyBorder="1" applyFont="1" applyNumberFormat="1">
      <alignment horizontal="center" vertical="center"/>
    </xf>
    <xf borderId="13" fillId="0" fontId="2" numFmtId="165" xfId="0" applyAlignment="1" applyBorder="1" applyFont="1" applyNumberFormat="1">
      <alignment horizontal="center" vertical="center"/>
    </xf>
    <xf borderId="11" fillId="3" fontId="2" numFmtId="165" xfId="0" applyAlignment="1" applyBorder="1" applyFont="1" applyNumberFormat="1">
      <alignment horizontal="center" vertical="center"/>
    </xf>
    <xf borderId="12" fillId="3" fontId="2" numFmtId="165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vertical="center"/>
    </xf>
    <xf borderId="15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6" fillId="3" fontId="6" numFmtId="0" xfId="0" applyAlignment="1" applyBorder="1" applyFont="1">
      <alignment horizontal="center" vertical="center"/>
    </xf>
    <xf borderId="15" fillId="3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9" fillId="0" fontId="4" numFmtId="0" xfId="0" applyAlignment="1" applyBorder="1" applyFont="1">
      <alignment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center" vertical="center"/>
    </xf>
    <xf borderId="21" fillId="2" fontId="2" numFmtId="0" xfId="0" applyAlignment="1" applyBorder="1" applyFont="1">
      <alignment horizontal="center" vertical="center"/>
    </xf>
    <xf borderId="20" fillId="3" fontId="2" numFmtId="0" xfId="0" applyAlignment="1" applyBorder="1" applyFont="1">
      <alignment horizontal="center" vertical="center"/>
    </xf>
    <xf borderId="21" fillId="3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21" fillId="3" fontId="2" numFmtId="0" xfId="0" applyAlignment="1" applyBorder="1" applyFont="1">
      <alignment horizontal="center" vertical="center"/>
    </xf>
    <xf borderId="20" fillId="3" fontId="5" numFmtId="0" xfId="0" applyAlignment="1" applyBorder="1" applyFont="1">
      <alignment horizontal="center" vertical="center"/>
    </xf>
    <xf borderId="21" fillId="3" fontId="5" numFmtId="0" xfId="0" applyAlignment="1" applyBorder="1" applyFont="1">
      <alignment horizontal="center" vertical="center"/>
    </xf>
    <xf borderId="20" fillId="3" fontId="6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17" fillId="3" fontId="5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3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5" fillId="2" fontId="2" numFmtId="0" xfId="0" applyAlignment="1" applyBorder="1" applyFont="1">
      <alignment horizontal="center" vertical="center"/>
    </xf>
    <xf borderId="26" fillId="2" fontId="2" numFmtId="0" xfId="0" applyAlignment="1" applyBorder="1" applyFont="1">
      <alignment horizontal="center" vertical="center"/>
    </xf>
    <xf borderId="27" fillId="3" fontId="2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3" fontId="6" numFmtId="0" xfId="0" applyAlignment="1" applyBorder="1" applyFont="1">
      <alignment horizontal="center" vertical="center"/>
    </xf>
    <xf borderId="27" fillId="3" fontId="6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6" fillId="3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17" fillId="5" fontId="2" numFmtId="0" xfId="0" applyAlignment="1" applyBorder="1" applyFill="1" applyFont="1">
      <alignment horizontal="center" vertical="center"/>
    </xf>
    <xf borderId="30" fillId="5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30" fillId="3" fontId="2" numFmtId="0" xfId="0" applyAlignment="1" applyBorder="1" applyFont="1">
      <alignment horizontal="center" vertical="center"/>
    </xf>
    <xf borderId="30" fillId="2" fontId="2" numFmtId="0" xfId="0" applyAlignment="1" applyBorder="1" applyFont="1">
      <alignment horizontal="center" vertical="center"/>
    </xf>
    <xf borderId="29" fillId="2" fontId="2" numFmtId="0" xfId="0" applyAlignment="1" applyBorder="1" applyFont="1">
      <alignment horizontal="center" vertical="center"/>
    </xf>
    <xf borderId="28" fillId="3" fontId="2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29" fillId="3" fontId="2" numFmtId="0" xfId="0" applyAlignment="1" applyBorder="1" applyFont="1">
      <alignment horizontal="center" vertical="center"/>
    </xf>
    <xf borderId="29" fillId="3" fontId="6" numFmtId="0" xfId="0" applyAlignment="1" applyBorder="1" applyFont="1">
      <alignment horizontal="center" vertical="center"/>
    </xf>
    <xf borderId="28" fillId="3" fontId="6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vertical="center"/>
    </xf>
    <xf quotePrefix="1" borderId="17" fillId="0" fontId="2" numFmtId="0" xfId="0" applyAlignment="1" applyBorder="1" applyFont="1">
      <alignment horizontal="center" vertical="center"/>
    </xf>
    <xf quotePrefix="1" borderId="21" fillId="3" fontId="2" numFmtId="0" xfId="0" applyAlignment="1" applyBorder="1" applyFont="1">
      <alignment horizontal="center" vertical="center"/>
    </xf>
    <xf quotePrefix="1" borderId="20" fillId="3" fontId="2" numFmtId="0" xfId="0" applyAlignment="1" applyBorder="1" applyFont="1">
      <alignment horizontal="center" vertical="center"/>
    </xf>
    <xf quotePrefix="1" borderId="17" fillId="0" fontId="5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31" fillId="3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31" fillId="5" fontId="2" numFmtId="0" xfId="0" applyAlignment="1" applyBorder="1" applyFont="1">
      <alignment horizontal="center" vertical="center"/>
    </xf>
    <xf borderId="31" fillId="3" fontId="6" numFmtId="0" xfId="0" applyAlignment="1" applyBorder="1" applyFont="1">
      <alignment horizontal="center" vertical="center"/>
    </xf>
    <xf borderId="31" fillId="2" fontId="2" numFmtId="0" xfId="0" applyAlignment="1" applyBorder="1" applyFont="1">
      <alignment horizontal="center" vertical="center"/>
    </xf>
    <xf borderId="33" fillId="2" fontId="2" numFmtId="0" xfId="0" applyAlignment="1" applyBorder="1" applyFont="1">
      <alignment horizontal="center" vertical="center"/>
    </xf>
    <xf borderId="34" fillId="3" fontId="5" numFmtId="0" xfId="0" applyAlignment="1" applyBorder="1" applyFont="1">
      <alignment horizontal="center" vertical="center"/>
    </xf>
    <xf borderId="33" fillId="3" fontId="2" numFmtId="0" xfId="0" applyAlignment="1" applyBorder="1" applyFont="1">
      <alignment horizontal="center" vertical="center"/>
    </xf>
    <xf borderId="34" fillId="3" fontId="6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10" fillId="5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vertical="center"/>
    </xf>
    <xf borderId="36" fillId="2" fontId="2" numFmtId="0" xfId="0" applyAlignment="1" applyBorder="1" applyFont="1">
      <alignment horizontal="center" vertical="center"/>
    </xf>
    <xf borderId="35" fillId="3" fontId="2" numFmtId="0" xfId="0" applyAlignment="1" applyBorder="1" applyFont="1">
      <alignment horizontal="center" vertical="center"/>
    </xf>
    <xf borderId="36" fillId="3" fontId="6" numFmtId="0" xfId="0" applyAlignment="1" applyBorder="1" applyFont="1">
      <alignment horizontal="center" vertical="center"/>
    </xf>
    <xf borderId="35" fillId="3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36" fillId="3" fontId="2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37" fillId="6" fontId="7" numFmtId="0" xfId="0" applyAlignment="1" applyBorder="1" applyFill="1" applyFont="1">
      <alignment vertical="center"/>
    </xf>
    <xf borderId="2" fillId="0" fontId="2" numFmtId="0" xfId="0" applyAlignment="1" applyBorder="1" applyFont="1">
      <alignment vertical="center"/>
    </xf>
    <xf borderId="18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15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32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2" numFmtId="165" xfId="0" applyAlignment="1" applyBorder="1" applyFont="1" applyNumberFormat="1">
      <alignment horizontal="center" vertical="center"/>
    </xf>
    <xf borderId="24" fillId="0" fontId="2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41" fillId="0" fontId="2" numFmtId="0" xfId="0" applyAlignment="1" applyBorder="1" applyFont="1">
      <alignment horizontal="center" vertical="center"/>
    </xf>
    <xf borderId="42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42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4" fillId="0" fontId="2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45" fillId="0" fontId="8" numFmtId="0" xfId="0" applyAlignment="1" applyBorder="1" applyFont="1">
      <alignment horizontal="center" vertical="center"/>
    </xf>
    <xf borderId="46" fillId="0" fontId="8" numFmtId="0" xfId="0" applyAlignment="1" applyBorder="1" applyFont="1">
      <alignment horizontal="center" vertical="center"/>
    </xf>
    <xf borderId="47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48" fillId="0" fontId="2" numFmtId="0" xfId="0" applyAlignment="1" applyBorder="1" applyFont="1">
      <alignment horizontal="center" vertical="center"/>
    </xf>
    <xf borderId="48" fillId="0" fontId="4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49" fillId="0" fontId="2" numFmtId="0" xfId="0" applyAlignment="1" applyBorder="1" applyFont="1">
      <alignment vertical="center"/>
    </xf>
    <xf borderId="19" fillId="0" fontId="2" numFmtId="0" xfId="0" applyAlignment="1" applyBorder="1" applyFont="1">
      <alignment horizontal="center" vertical="center"/>
    </xf>
    <xf borderId="49" fillId="0" fontId="2" numFmtId="0" xfId="0" applyAlignment="1" applyBorder="1" applyFont="1">
      <alignment horizontal="center" vertical="center"/>
    </xf>
    <xf borderId="37" fillId="7" fontId="9" numFmtId="0" xfId="0" applyAlignment="1" applyBorder="1" applyFill="1" applyFont="1">
      <alignment vertical="center"/>
    </xf>
    <xf borderId="0" fillId="0" fontId="10" numFmtId="0" xfId="0" applyAlignment="1" applyFont="1">
      <alignment horizontal="center" vertical="center"/>
    </xf>
    <xf borderId="50" fillId="7" fontId="9" numFmtId="0" xfId="0" applyAlignment="1" applyBorder="1" applyFont="1">
      <alignment horizontal="center" vertical="center"/>
    </xf>
    <xf borderId="51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0" fillId="0" fontId="11" numFmtId="0" xfId="0" applyAlignment="1" applyFont="1">
      <alignment vertical="center"/>
    </xf>
    <xf quotePrefix="1" borderId="0" fillId="0" fontId="7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92CDDC"/>
          <bgColor rgb="FF92CDDC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6.89"/>
    <col customWidth="1" min="2" max="2" width="15.67"/>
    <col customWidth="1" min="3" max="11" width="21.44"/>
    <col customWidth="1" min="12" max="15" width="14.67"/>
    <col customWidth="1" min="16" max="16" width="16.33"/>
    <col customWidth="1" min="17" max="41" width="14.44"/>
    <col customWidth="1" min="42" max="42" width="21.22"/>
  </cols>
  <sheetData>
    <row r="1" ht="120.0" customHeight="1">
      <c r="A1" s="1"/>
      <c r="B1" s="2" t="s">
        <v>0</v>
      </c>
      <c r="C1" s="3" t="s">
        <v>1</v>
      </c>
      <c r="D1" s="4">
        <v>46166.0</v>
      </c>
      <c r="E1" s="4">
        <v>46167.0</v>
      </c>
      <c r="F1" s="4">
        <v>46168.0</v>
      </c>
      <c r="G1" s="4">
        <v>46169.0</v>
      </c>
      <c r="H1" s="4">
        <v>46170.0</v>
      </c>
      <c r="I1" s="4">
        <v>46171.0</v>
      </c>
      <c r="J1" s="4">
        <v>46172.0</v>
      </c>
      <c r="K1" s="4">
        <v>46173.0</v>
      </c>
      <c r="L1" s="4">
        <v>46174.0</v>
      </c>
      <c r="M1" s="4">
        <v>46175.0</v>
      </c>
      <c r="N1" s="4">
        <v>46176.0</v>
      </c>
      <c r="O1" s="4">
        <v>46177.0</v>
      </c>
      <c r="P1" s="4">
        <v>46178.0</v>
      </c>
      <c r="Q1" s="4">
        <v>46179.0</v>
      </c>
      <c r="R1" s="4">
        <v>46180.0</v>
      </c>
      <c r="S1" s="4">
        <v>46181.0</v>
      </c>
      <c r="T1" s="4">
        <v>46182.0</v>
      </c>
      <c r="U1" s="4">
        <v>46183.0</v>
      </c>
      <c r="V1" s="4">
        <v>46184.0</v>
      </c>
      <c r="W1" s="4">
        <v>46185.0</v>
      </c>
      <c r="X1" s="4">
        <v>46186.0</v>
      </c>
      <c r="Y1" s="4">
        <v>46187.0</v>
      </c>
      <c r="Z1" s="4">
        <v>46188.0</v>
      </c>
      <c r="AA1" s="4">
        <v>46189.0</v>
      </c>
      <c r="AB1" s="4">
        <v>46190.0</v>
      </c>
      <c r="AC1" s="4">
        <v>46191.0</v>
      </c>
      <c r="AD1" s="4">
        <v>46192.0</v>
      </c>
      <c r="AE1" s="4">
        <v>46193.0</v>
      </c>
      <c r="AF1" s="4">
        <v>46194.0</v>
      </c>
      <c r="AG1" s="4">
        <v>46195.0</v>
      </c>
      <c r="AH1" s="4">
        <v>46196.0</v>
      </c>
      <c r="AI1" s="4">
        <v>46197.0</v>
      </c>
      <c r="AJ1" s="4">
        <v>46198.0</v>
      </c>
      <c r="AK1" s="4">
        <v>46199.0</v>
      </c>
      <c r="AL1" s="4">
        <v>46200.0</v>
      </c>
      <c r="AM1" s="4">
        <v>46201.0</v>
      </c>
      <c r="AN1" s="4">
        <v>46202.0</v>
      </c>
      <c r="AO1" s="4">
        <v>46203.0</v>
      </c>
      <c r="AP1" s="5"/>
    </row>
    <row r="2" ht="43.5" customHeight="1">
      <c r="A2" s="6"/>
      <c r="B2" s="7"/>
      <c r="C2" s="8" t="s">
        <v>2</v>
      </c>
      <c r="D2" s="9" t="str">
        <f t="shared" ref="D2:AO2" si="1">RIGHT(TEXT(D1,"[$-404]aaaa;@"),1)</f>
        <v>a</v>
      </c>
      <c r="E2" s="10" t="str">
        <f t="shared" si="1"/>
        <v>a</v>
      </c>
      <c r="F2" s="11" t="str">
        <f t="shared" si="1"/>
        <v>a</v>
      </c>
      <c r="G2" s="11" t="str">
        <f t="shared" si="1"/>
        <v>a</v>
      </c>
      <c r="H2" s="12" t="str">
        <f t="shared" si="1"/>
        <v>a</v>
      </c>
      <c r="I2" s="12" t="str">
        <f t="shared" si="1"/>
        <v>a</v>
      </c>
      <c r="J2" s="13" t="str">
        <f t="shared" si="1"/>
        <v>a</v>
      </c>
      <c r="K2" s="9" t="str">
        <f t="shared" si="1"/>
        <v>a</v>
      </c>
      <c r="L2" s="10" t="str">
        <f t="shared" si="1"/>
        <v>a</v>
      </c>
      <c r="M2" s="11" t="str">
        <f t="shared" si="1"/>
        <v>a</v>
      </c>
      <c r="N2" s="11" t="str">
        <f t="shared" si="1"/>
        <v>a</v>
      </c>
      <c r="O2" s="12" t="str">
        <f t="shared" si="1"/>
        <v>a</v>
      </c>
      <c r="P2" s="12" t="str">
        <f t="shared" si="1"/>
        <v>a</v>
      </c>
      <c r="Q2" s="13" t="str">
        <f t="shared" si="1"/>
        <v>a</v>
      </c>
      <c r="R2" s="9" t="str">
        <f t="shared" si="1"/>
        <v>a</v>
      </c>
      <c r="S2" s="14" t="str">
        <f t="shared" si="1"/>
        <v>a</v>
      </c>
      <c r="T2" s="14" t="str">
        <f t="shared" si="1"/>
        <v>a</v>
      </c>
      <c r="U2" s="14" t="str">
        <f t="shared" si="1"/>
        <v>a</v>
      </c>
      <c r="V2" s="14" t="str">
        <f t="shared" si="1"/>
        <v>a</v>
      </c>
      <c r="W2" s="14" t="str">
        <f t="shared" si="1"/>
        <v>a</v>
      </c>
      <c r="X2" s="15" t="str">
        <f t="shared" si="1"/>
        <v>a</v>
      </c>
      <c r="Y2" s="16" t="str">
        <f t="shared" si="1"/>
        <v>a</v>
      </c>
      <c r="Z2" s="17" t="str">
        <f t="shared" si="1"/>
        <v>a</v>
      </c>
      <c r="AA2" s="17" t="str">
        <f t="shared" si="1"/>
        <v>a</v>
      </c>
      <c r="AB2" s="17" t="str">
        <f t="shared" si="1"/>
        <v>a</v>
      </c>
      <c r="AC2" s="17" t="str">
        <f t="shared" si="1"/>
        <v>a</v>
      </c>
      <c r="AD2" s="18" t="str">
        <f t="shared" si="1"/>
        <v>a</v>
      </c>
      <c r="AE2" s="19" t="str">
        <f t="shared" si="1"/>
        <v>a</v>
      </c>
      <c r="AF2" s="9" t="str">
        <f t="shared" si="1"/>
        <v>a</v>
      </c>
      <c r="AG2" s="17" t="str">
        <f t="shared" si="1"/>
        <v>a</v>
      </c>
      <c r="AH2" s="17" t="str">
        <f t="shared" si="1"/>
        <v>a</v>
      </c>
      <c r="AI2" s="17" t="str">
        <f t="shared" si="1"/>
        <v>a</v>
      </c>
      <c r="AJ2" s="17" t="str">
        <f t="shared" si="1"/>
        <v>a</v>
      </c>
      <c r="AK2" s="17" t="str">
        <f t="shared" si="1"/>
        <v>a</v>
      </c>
      <c r="AL2" s="19" t="str">
        <f t="shared" si="1"/>
        <v>a</v>
      </c>
      <c r="AM2" s="9" t="str">
        <f t="shared" si="1"/>
        <v>a</v>
      </c>
      <c r="AN2" s="17" t="str">
        <f t="shared" si="1"/>
        <v>a</v>
      </c>
      <c r="AO2" s="17" t="str">
        <f t="shared" si="1"/>
        <v>a</v>
      </c>
      <c r="AP2" s="5"/>
    </row>
    <row r="3" ht="39.75" customHeight="1">
      <c r="A3" s="20" t="s">
        <v>3</v>
      </c>
      <c r="B3" s="21" t="s">
        <v>4</v>
      </c>
      <c r="C3" s="22" t="s">
        <v>5</v>
      </c>
      <c r="D3" s="23" t="s">
        <v>6</v>
      </c>
      <c r="E3" s="24" t="s">
        <v>7</v>
      </c>
      <c r="F3" s="24" t="s">
        <v>7</v>
      </c>
      <c r="G3" s="24" t="s">
        <v>8</v>
      </c>
      <c r="H3" s="24" t="s">
        <v>9</v>
      </c>
      <c r="I3" s="24" t="s">
        <v>10</v>
      </c>
      <c r="J3" s="23" t="s">
        <v>11</v>
      </c>
      <c r="K3" s="23" t="s">
        <v>12</v>
      </c>
      <c r="L3" s="25" t="s">
        <v>13</v>
      </c>
      <c r="M3" s="25" t="s">
        <v>10</v>
      </c>
      <c r="N3" s="25" t="s">
        <v>7</v>
      </c>
      <c r="O3" s="25" t="s">
        <v>8</v>
      </c>
      <c r="P3" s="25" t="s">
        <v>14</v>
      </c>
      <c r="Q3" s="26" t="s">
        <v>13</v>
      </c>
      <c r="R3" s="27" t="s">
        <v>15</v>
      </c>
      <c r="S3" s="28" t="s">
        <v>15</v>
      </c>
      <c r="T3" s="28" t="s">
        <v>15</v>
      </c>
      <c r="U3" s="28" t="s">
        <v>13</v>
      </c>
      <c r="V3" s="28" t="s">
        <v>10</v>
      </c>
      <c r="W3" s="28" t="s">
        <v>16</v>
      </c>
      <c r="X3" s="29" t="s">
        <v>16</v>
      </c>
      <c r="Y3" s="30" t="s">
        <v>15</v>
      </c>
      <c r="Z3" s="28" t="s">
        <v>15</v>
      </c>
      <c r="AA3" s="28" t="s">
        <v>10</v>
      </c>
      <c r="AB3" s="28" t="s">
        <v>6</v>
      </c>
      <c r="AC3" s="31" t="s">
        <v>13</v>
      </c>
      <c r="AD3" s="32" t="s">
        <v>13</v>
      </c>
      <c r="AE3" s="33" t="s">
        <v>16</v>
      </c>
      <c r="AF3" s="27" t="s">
        <v>16</v>
      </c>
      <c r="AG3" s="28" t="s">
        <v>16</v>
      </c>
      <c r="AH3" s="28" t="s">
        <v>17</v>
      </c>
      <c r="AI3" s="34" t="s">
        <v>13</v>
      </c>
      <c r="AJ3" s="35" t="s">
        <v>10</v>
      </c>
      <c r="AK3" s="35" t="s">
        <v>18</v>
      </c>
      <c r="AL3" s="36" t="s">
        <v>18</v>
      </c>
      <c r="AM3" s="37" t="s">
        <v>17</v>
      </c>
      <c r="AN3" s="28" t="s">
        <v>17</v>
      </c>
      <c r="AO3" s="28" t="s">
        <v>10</v>
      </c>
      <c r="AP3" s="38"/>
    </row>
    <row r="4" ht="39.75" customHeight="1">
      <c r="A4" s="39"/>
      <c r="B4" s="40" t="s">
        <v>19</v>
      </c>
      <c r="C4" s="41" t="s">
        <v>20</v>
      </c>
      <c r="D4" s="23" t="s">
        <v>10</v>
      </c>
      <c r="E4" s="24" t="s">
        <v>13</v>
      </c>
      <c r="F4" s="24" t="s">
        <v>21</v>
      </c>
      <c r="G4" s="24" t="s">
        <v>14</v>
      </c>
      <c r="H4" s="24" t="s">
        <v>21</v>
      </c>
      <c r="I4" s="24" t="s">
        <v>14</v>
      </c>
      <c r="J4" s="42" t="s">
        <v>13</v>
      </c>
      <c r="K4" s="23" t="s">
        <v>14</v>
      </c>
      <c r="L4" s="43" t="s">
        <v>21</v>
      </c>
      <c r="M4" s="43" t="s">
        <v>6</v>
      </c>
      <c r="N4" s="43" t="s">
        <v>10</v>
      </c>
      <c r="O4" s="43" t="s">
        <v>12</v>
      </c>
      <c r="P4" s="43" t="s">
        <v>11</v>
      </c>
      <c r="Q4" s="44" t="s">
        <v>12</v>
      </c>
      <c r="R4" s="45" t="s">
        <v>10</v>
      </c>
      <c r="S4" s="24" t="s">
        <v>13</v>
      </c>
      <c r="T4" s="24" t="s">
        <v>18</v>
      </c>
      <c r="U4" s="24" t="s">
        <v>17</v>
      </c>
      <c r="V4" s="24" t="s">
        <v>17</v>
      </c>
      <c r="W4" s="24" t="s">
        <v>15</v>
      </c>
      <c r="X4" s="46" t="s">
        <v>15</v>
      </c>
      <c r="Y4" s="45" t="s">
        <v>15</v>
      </c>
      <c r="Z4" s="24" t="s">
        <v>13</v>
      </c>
      <c r="AA4" s="24" t="s">
        <v>10</v>
      </c>
      <c r="AB4" s="47" t="s">
        <v>17</v>
      </c>
      <c r="AC4" s="48" t="s">
        <v>17</v>
      </c>
      <c r="AD4" s="23" t="s">
        <v>17</v>
      </c>
      <c r="AE4" s="49" t="s">
        <v>17</v>
      </c>
      <c r="AF4" s="50" t="s">
        <v>10</v>
      </c>
      <c r="AG4" s="24" t="s">
        <v>17</v>
      </c>
      <c r="AH4" s="24" t="s">
        <v>17</v>
      </c>
      <c r="AI4" s="48" t="s">
        <v>13</v>
      </c>
      <c r="AJ4" s="24" t="s">
        <v>17</v>
      </c>
      <c r="AK4" s="24" t="s">
        <v>17</v>
      </c>
      <c r="AL4" s="46" t="s">
        <v>13</v>
      </c>
      <c r="AM4" s="45" t="s">
        <v>16</v>
      </c>
      <c r="AN4" s="24" t="s">
        <v>16</v>
      </c>
      <c r="AO4" s="24" t="s">
        <v>17</v>
      </c>
      <c r="AP4" s="38"/>
    </row>
    <row r="5" ht="39.75" customHeight="1">
      <c r="A5" s="39"/>
      <c r="B5" s="40" t="s">
        <v>22</v>
      </c>
      <c r="C5" s="41" t="s">
        <v>23</v>
      </c>
      <c r="D5" s="23" t="s">
        <v>10</v>
      </c>
      <c r="E5" s="24" t="s">
        <v>6</v>
      </c>
      <c r="F5" s="24" t="s">
        <v>6</v>
      </c>
      <c r="G5" s="24" t="s">
        <v>21</v>
      </c>
      <c r="H5" s="24" t="s">
        <v>14</v>
      </c>
      <c r="I5" s="24" t="s">
        <v>21</v>
      </c>
      <c r="J5" s="23" t="s">
        <v>21</v>
      </c>
      <c r="K5" s="23" t="s">
        <v>13</v>
      </c>
      <c r="L5" s="43" t="s">
        <v>12</v>
      </c>
      <c r="M5" s="43" t="s">
        <v>11</v>
      </c>
      <c r="N5" s="43" t="s">
        <v>10</v>
      </c>
      <c r="O5" s="43" t="s">
        <v>6</v>
      </c>
      <c r="P5" s="43" t="s">
        <v>13</v>
      </c>
      <c r="Q5" s="44" t="s">
        <v>21</v>
      </c>
      <c r="R5" s="45" t="s">
        <v>17</v>
      </c>
      <c r="S5" s="24" t="s">
        <v>10</v>
      </c>
      <c r="T5" s="24" t="s">
        <v>13</v>
      </c>
      <c r="U5" s="24" t="s">
        <v>17</v>
      </c>
      <c r="V5" s="24" t="s">
        <v>17</v>
      </c>
      <c r="W5" s="24" t="s">
        <v>13</v>
      </c>
      <c r="X5" s="51" t="s">
        <v>16</v>
      </c>
      <c r="Y5" s="52" t="s">
        <v>17</v>
      </c>
      <c r="Z5" s="24" t="s">
        <v>15</v>
      </c>
      <c r="AA5" s="24" t="s">
        <v>15</v>
      </c>
      <c r="AB5" s="24" t="s">
        <v>15</v>
      </c>
      <c r="AC5" s="24" t="s">
        <v>10</v>
      </c>
      <c r="AD5" s="23" t="s">
        <v>18</v>
      </c>
      <c r="AE5" s="49" t="s">
        <v>17</v>
      </c>
      <c r="AF5" s="45" t="s">
        <v>17</v>
      </c>
      <c r="AG5" s="24" t="s">
        <v>17</v>
      </c>
      <c r="AH5" s="24" t="s">
        <v>13</v>
      </c>
      <c r="AI5" s="48" t="s">
        <v>13</v>
      </c>
      <c r="AJ5" s="47" t="s">
        <v>10</v>
      </c>
      <c r="AK5" s="47" t="s">
        <v>18</v>
      </c>
      <c r="AL5" s="46" t="s">
        <v>18</v>
      </c>
      <c r="AM5" s="50" t="s">
        <v>17</v>
      </c>
      <c r="AN5" s="24" t="s">
        <v>17</v>
      </c>
      <c r="AO5" s="24" t="s">
        <v>10</v>
      </c>
      <c r="AP5" s="38"/>
    </row>
    <row r="6" ht="39.75" customHeight="1">
      <c r="A6" s="39"/>
      <c r="B6" s="40" t="s">
        <v>24</v>
      </c>
      <c r="C6" s="41" t="s">
        <v>25</v>
      </c>
      <c r="D6" s="23" t="s">
        <v>8</v>
      </c>
      <c r="E6" s="47" t="s">
        <v>10</v>
      </c>
      <c r="F6" s="47" t="s">
        <v>13</v>
      </c>
      <c r="G6" s="24" t="s">
        <v>7</v>
      </c>
      <c r="H6" s="24" t="s">
        <v>8</v>
      </c>
      <c r="I6" s="24" t="s">
        <v>7</v>
      </c>
      <c r="J6" s="23" t="s">
        <v>13</v>
      </c>
      <c r="K6" s="23" t="s">
        <v>8</v>
      </c>
      <c r="L6" s="43" t="s">
        <v>7</v>
      </c>
      <c r="M6" s="43" t="s">
        <v>8</v>
      </c>
      <c r="N6" s="43" t="s">
        <v>6</v>
      </c>
      <c r="O6" s="43" t="s">
        <v>10</v>
      </c>
      <c r="P6" s="43" t="s">
        <v>7</v>
      </c>
      <c r="Q6" s="44" t="s">
        <v>8</v>
      </c>
      <c r="R6" s="45" t="s">
        <v>10</v>
      </c>
      <c r="S6" s="24" t="s">
        <v>15</v>
      </c>
      <c r="T6" s="24" t="s">
        <v>15</v>
      </c>
      <c r="U6" s="24" t="s">
        <v>15</v>
      </c>
      <c r="V6" s="24" t="s">
        <v>15</v>
      </c>
      <c r="W6" s="24" t="s">
        <v>13</v>
      </c>
      <c r="X6" s="46" t="s">
        <v>13</v>
      </c>
      <c r="Y6" s="52" t="s">
        <v>10</v>
      </c>
      <c r="Z6" s="24" t="s">
        <v>17</v>
      </c>
      <c r="AA6" s="24" t="s">
        <v>17</v>
      </c>
      <c r="AB6" s="24" t="s">
        <v>13</v>
      </c>
      <c r="AC6" s="24" t="s">
        <v>16</v>
      </c>
      <c r="AD6" s="23" t="s">
        <v>16</v>
      </c>
      <c r="AE6" s="49" t="s">
        <v>16</v>
      </c>
      <c r="AF6" s="45" t="s">
        <v>16</v>
      </c>
      <c r="AG6" s="24" t="s">
        <v>16</v>
      </c>
      <c r="AH6" s="47" t="s">
        <v>10</v>
      </c>
      <c r="AI6" s="47" t="s">
        <v>13</v>
      </c>
      <c r="AJ6" s="24" t="s">
        <v>16</v>
      </c>
      <c r="AK6" s="24" t="s">
        <v>16</v>
      </c>
      <c r="AL6" s="49" t="s">
        <v>16</v>
      </c>
      <c r="AM6" s="45" t="s">
        <v>16</v>
      </c>
      <c r="AN6" s="24" t="s">
        <v>10</v>
      </c>
      <c r="AO6" s="24" t="s">
        <v>16</v>
      </c>
      <c r="AP6" s="38"/>
    </row>
    <row r="7" ht="39.75" customHeight="1">
      <c r="A7" s="39"/>
      <c r="B7" s="53" t="s">
        <v>26</v>
      </c>
      <c r="C7" s="54" t="s">
        <v>27</v>
      </c>
      <c r="D7" s="23" t="s">
        <v>11</v>
      </c>
      <c r="E7" s="24" t="s">
        <v>12</v>
      </c>
      <c r="F7" s="24" t="s">
        <v>11</v>
      </c>
      <c r="G7" s="24" t="s">
        <v>10</v>
      </c>
      <c r="H7" s="24" t="s">
        <v>13</v>
      </c>
      <c r="I7" s="24" t="s">
        <v>13</v>
      </c>
      <c r="J7" s="23" t="s">
        <v>8</v>
      </c>
      <c r="K7" s="23" t="s">
        <v>7</v>
      </c>
      <c r="L7" s="43" t="s">
        <v>8</v>
      </c>
      <c r="M7" s="43" t="s">
        <v>7</v>
      </c>
      <c r="N7" s="43" t="s">
        <v>10</v>
      </c>
      <c r="O7" s="43" t="s">
        <v>7</v>
      </c>
      <c r="P7" s="43" t="s">
        <v>8</v>
      </c>
      <c r="Q7" s="44" t="s">
        <v>7</v>
      </c>
      <c r="R7" s="45" t="s">
        <v>10</v>
      </c>
      <c r="S7" s="24" t="s">
        <v>16</v>
      </c>
      <c r="T7" s="24" t="s">
        <v>16</v>
      </c>
      <c r="U7" s="24" t="s">
        <v>16</v>
      </c>
      <c r="V7" s="24" t="s">
        <v>16</v>
      </c>
      <c r="W7" s="47" t="s">
        <v>13</v>
      </c>
      <c r="X7" s="46" t="s">
        <v>13</v>
      </c>
      <c r="Y7" s="45" t="s">
        <v>16</v>
      </c>
      <c r="Z7" s="24" t="s">
        <v>16</v>
      </c>
      <c r="AA7" s="24" t="s">
        <v>16</v>
      </c>
      <c r="AB7" s="24" t="s">
        <v>16</v>
      </c>
      <c r="AC7" s="24" t="s">
        <v>16</v>
      </c>
      <c r="AD7" s="55" t="s">
        <v>10</v>
      </c>
      <c r="AE7" s="46" t="s">
        <v>18</v>
      </c>
      <c r="AF7" s="50" t="s">
        <v>10</v>
      </c>
      <c r="AG7" s="47" t="s">
        <v>13</v>
      </c>
      <c r="AH7" s="24" t="s">
        <v>15</v>
      </c>
      <c r="AI7" s="24" t="s">
        <v>15</v>
      </c>
      <c r="AJ7" s="24" t="s">
        <v>15</v>
      </c>
      <c r="AK7" s="24" t="s">
        <v>15</v>
      </c>
      <c r="AL7" s="49" t="s">
        <v>15</v>
      </c>
      <c r="AM7" s="45" t="s">
        <v>10</v>
      </c>
      <c r="AN7" s="24" t="s">
        <v>6</v>
      </c>
      <c r="AO7" s="24" t="s">
        <v>9</v>
      </c>
      <c r="AP7" s="38"/>
    </row>
    <row r="8" ht="39.75" customHeight="1">
      <c r="A8" s="39"/>
      <c r="B8" s="53" t="s">
        <v>28</v>
      </c>
      <c r="C8" s="54" t="s">
        <v>29</v>
      </c>
      <c r="D8" s="23" t="s">
        <v>30</v>
      </c>
      <c r="E8" s="24" t="s">
        <v>8</v>
      </c>
      <c r="F8" s="47" t="s">
        <v>10</v>
      </c>
      <c r="G8" s="24" t="s">
        <v>9</v>
      </c>
      <c r="H8" s="24" t="s">
        <v>7</v>
      </c>
      <c r="I8" s="24" t="s">
        <v>8</v>
      </c>
      <c r="J8" s="23" t="s">
        <v>7</v>
      </c>
      <c r="K8" s="23" t="s">
        <v>10</v>
      </c>
      <c r="L8" s="43" t="s">
        <v>11</v>
      </c>
      <c r="M8" s="43" t="s">
        <v>12</v>
      </c>
      <c r="N8" s="43" t="s">
        <v>11</v>
      </c>
      <c r="O8" s="43" t="s">
        <v>13</v>
      </c>
      <c r="P8" s="43" t="s">
        <v>6</v>
      </c>
      <c r="Q8" s="44" t="s">
        <v>13</v>
      </c>
      <c r="R8" s="45" t="s">
        <v>16</v>
      </c>
      <c r="S8" s="24" t="s">
        <v>16</v>
      </c>
      <c r="T8" s="24" t="s">
        <v>17</v>
      </c>
      <c r="U8" s="24" t="s">
        <v>10</v>
      </c>
      <c r="V8" s="24" t="s">
        <v>13</v>
      </c>
      <c r="W8" s="24" t="s">
        <v>17</v>
      </c>
      <c r="X8" s="49" t="s">
        <v>17</v>
      </c>
      <c r="Y8" s="52" t="s">
        <v>18</v>
      </c>
      <c r="Z8" s="47" t="s">
        <v>18</v>
      </c>
      <c r="AA8" s="47" t="s">
        <v>10</v>
      </c>
      <c r="AB8" s="24" t="s">
        <v>16</v>
      </c>
      <c r="AC8" s="24" t="s">
        <v>16</v>
      </c>
      <c r="AD8" s="23" t="s">
        <v>16</v>
      </c>
      <c r="AE8" s="49" t="s">
        <v>16</v>
      </c>
      <c r="AF8" s="45" t="s">
        <v>16</v>
      </c>
      <c r="AG8" s="24" t="s">
        <v>13</v>
      </c>
      <c r="AH8" s="24" t="s">
        <v>16</v>
      </c>
      <c r="AI8" s="24" t="s">
        <v>16</v>
      </c>
      <c r="AJ8" s="56" t="s">
        <v>15</v>
      </c>
      <c r="AK8" s="24" t="s">
        <v>15</v>
      </c>
      <c r="AL8" s="49" t="s">
        <v>10</v>
      </c>
      <c r="AM8" s="52" t="s">
        <v>10</v>
      </c>
      <c r="AN8" s="24" t="s">
        <v>13</v>
      </c>
      <c r="AO8" s="24" t="s">
        <v>16</v>
      </c>
      <c r="AP8" s="38"/>
    </row>
    <row r="9" ht="39.75" customHeight="1">
      <c r="A9" s="39"/>
      <c r="B9" s="53" t="s">
        <v>31</v>
      </c>
      <c r="C9" s="54" t="s">
        <v>32</v>
      </c>
      <c r="D9" s="23" t="s">
        <v>12</v>
      </c>
      <c r="E9" s="24" t="s">
        <v>11</v>
      </c>
      <c r="F9" s="24" t="s">
        <v>13</v>
      </c>
      <c r="G9" s="24" t="s">
        <v>10</v>
      </c>
      <c r="H9" s="24" t="s">
        <v>12</v>
      </c>
      <c r="I9" s="24" t="s">
        <v>11</v>
      </c>
      <c r="J9" s="23" t="s">
        <v>12</v>
      </c>
      <c r="K9" s="23" t="s">
        <v>11</v>
      </c>
      <c r="L9" s="43" t="s">
        <v>13</v>
      </c>
      <c r="M9" s="43" t="s">
        <v>10</v>
      </c>
      <c r="N9" s="43" t="s">
        <v>12</v>
      </c>
      <c r="O9" s="43" t="s">
        <v>11</v>
      </c>
      <c r="P9" s="43" t="s">
        <v>12</v>
      </c>
      <c r="Q9" s="44" t="s">
        <v>11</v>
      </c>
      <c r="R9" s="45" t="s">
        <v>15</v>
      </c>
      <c r="S9" s="24" t="s">
        <v>13</v>
      </c>
      <c r="T9" s="24" t="s">
        <v>10</v>
      </c>
      <c r="U9" s="24" t="s">
        <v>15</v>
      </c>
      <c r="V9" s="24" t="s">
        <v>15</v>
      </c>
      <c r="W9" s="24" t="s">
        <v>15</v>
      </c>
      <c r="X9" s="49" t="s">
        <v>15</v>
      </c>
      <c r="Y9" s="45" t="s">
        <v>13</v>
      </c>
      <c r="Z9" s="24" t="s">
        <v>13</v>
      </c>
      <c r="AA9" s="24" t="s">
        <v>15</v>
      </c>
      <c r="AB9" s="24" t="s">
        <v>15</v>
      </c>
      <c r="AC9" s="24" t="s">
        <v>15</v>
      </c>
      <c r="AD9" s="23" t="s">
        <v>10</v>
      </c>
      <c r="AE9" s="49" t="s">
        <v>13</v>
      </c>
      <c r="AF9" s="45" t="s">
        <v>15</v>
      </c>
      <c r="AG9" s="24" t="s">
        <v>15</v>
      </c>
      <c r="AH9" s="24" t="s">
        <v>15</v>
      </c>
      <c r="AI9" s="24" t="s">
        <v>15</v>
      </c>
      <c r="AJ9" s="24" t="s">
        <v>10</v>
      </c>
      <c r="AK9" s="24" t="s">
        <v>6</v>
      </c>
      <c r="AL9" s="49" t="s">
        <v>15</v>
      </c>
      <c r="AM9" s="45" t="s">
        <v>15</v>
      </c>
      <c r="AN9" s="24" t="s">
        <v>15</v>
      </c>
      <c r="AO9" s="24" t="s">
        <v>15</v>
      </c>
      <c r="AP9" s="38"/>
    </row>
    <row r="10" ht="39.75" customHeight="1">
      <c r="A10" s="39"/>
      <c r="B10" s="53" t="s">
        <v>33</v>
      </c>
      <c r="C10" s="54" t="s">
        <v>34</v>
      </c>
      <c r="D10" s="23" t="s">
        <v>21</v>
      </c>
      <c r="E10" s="24" t="s">
        <v>14</v>
      </c>
      <c r="F10" s="24" t="s">
        <v>12</v>
      </c>
      <c r="G10" s="24" t="s">
        <v>11</v>
      </c>
      <c r="H10" s="24" t="s">
        <v>10</v>
      </c>
      <c r="I10" s="24" t="s">
        <v>13</v>
      </c>
      <c r="J10" s="23" t="s">
        <v>13</v>
      </c>
      <c r="K10" s="23" t="s">
        <v>9</v>
      </c>
      <c r="L10" s="43" t="s">
        <v>14</v>
      </c>
      <c r="M10" s="43" t="s">
        <v>21</v>
      </c>
      <c r="N10" s="43" t="s">
        <v>14</v>
      </c>
      <c r="O10" s="43" t="s">
        <v>10</v>
      </c>
      <c r="P10" s="43" t="s">
        <v>21</v>
      </c>
      <c r="Q10" s="44" t="s">
        <v>14</v>
      </c>
      <c r="R10" s="45" t="s">
        <v>17</v>
      </c>
      <c r="S10" s="24" t="s">
        <v>17</v>
      </c>
      <c r="T10" s="47" t="s">
        <v>10</v>
      </c>
      <c r="U10" s="47" t="s">
        <v>13</v>
      </c>
      <c r="V10" s="47" t="s">
        <v>18</v>
      </c>
      <c r="W10" s="47" t="s">
        <v>18</v>
      </c>
      <c r="X10" s="46" t="s">
        <v>18</v>
      </c>
      <c r="Y10" s="52" t="s">
        <v>18</v>
      </c>
      <c r="Z10" s="47" t="s">
        <v>6</v>
      </c>
      <c r="AA10" s="47" t="s">
        <v>10</v>
      </c>
      <c r="AB10" s="48" t="s">
        <v>17</v>
      </c>
      <c r="AC10" s="24" t="s">
        <v>15</v>
      </c>
      <c r="AD10" s="23" t="s">
        <v>15</v>
      </c>
      <c r="AE10" s="49" t="s">
        <v>15</v>
      </c>
      <c r="AF10" s="45" t="s">
        <v>15</v>
      </c>
      <c r="AG10" s="24" t="s">
        <v>15</v>
      </c>
      <c r="AH10" s="24" t="s">
        <v>10</v>
      </c>
      <c r="AI10" s="24" t="s">
        <v>13</v>
      </c>
      <c r="AJ10" s="24" t="s">
        <v>13</v>
      </c>
      <c r="AK10" s="24" t="s">
        <v>17</v>
      </c>
      <c r="AL10" s="49" t="s">
        <v>17</v>
      </c>
      <c r="AM10" s="45" t="s">
        <v>17</v>
      </c>
      <c r="AN10" s="24" t="s">
        <v>17</v>
      </c>
      <c r="AO10" s="24" t="s">
        <v>17</v>
      </c>
      <c r="AP10" s="38"/>
    </row>
    <row r="11" ht="39.75" customHeight="1">
      <c r="A11" s="39"/>
      <c r="B11" s="53" t="s">
        <v>35</v>
      </c>
      <c r="C11" s="54" t="s">
        <v>36</v>
      </c>
      <c r="D11" s="57" t="s">
        <v>14</v>
      </c>
      <c r="E11" s="58" t="s">
        <v>21</v>
      </c>
      <c r="F11" s="58" t="s">
        <v>14</v>
      </c>
      <c r="G11" s="58" t="s">
        <v>13</v>
      </c>
      <c r="H11" s="58" t="s">
        <v>10</v>
      </c>
      <c r="I11" s="58" t="s">
        <v>9</v>
      </c>
      <c r="J11" s="57" t="s">
        <v>14</v>
      </c>
      <c r="K11" s="57" t="s">
        <v>21</v>
      </c>
      <c r="L11" s="59" t="s">
        <v>13</v>
      </c>
      <c r="M11" s="59" t="s">
        <v>14</v>
      </c>
      <c r="N11" s="59" t="s">
        <v>21</v>
      </c>
      <c r="O11" s="59" t="s">
        <v>14</v>
      </c>
      <c r="P11" s="59" t="s">
        <v>37</v>
      </c>
      <c r="Q11" s="60" t="s">
        <v>10</v>
      </c>
      <c r="R11" s="61" t="s">
        <v>16</v>
      </c>
      <c r="S11" s="58" t="s">
        <v>17</v>
      </c>
      <c r="T11" s="47" t="s">
        <v>10</v>
      </c>
      <c r="U11" s="62" t="s">
        <v>13</v>
      </c>
      <c r="V11" s="62" t="s">
        <v>18</v>
      </c>
      <c r="W11" s="62" t="s">
        <v>18</v>
      </c>
      <c r="X11" s="63" t="s">
        <v>18</v>
      </c>
      <c r="Y11" s="64" t="s">
        <v>18</v>
      </c>
      <c r="Z11" s="62" t="s">
        <v>6</v>
      </c>
      <c r="AA11" s="62" t="s">
        <v>10</v>
      </c>
      <c r="AB11" s="65" t="s">
        <v>17</v>
      </c>
      <c r="AC11" s="58" t="s">
        <v>17</v>
      </c>
      <c r="AD11" s="23" t="s">
        <v>15</v>
      </c>
      <c r="AE11" s="66" t="s">
        <v>15</v>
      </c>
      <c r="AF11" s="61" t="s">
        <v>10</v>
      </c>
      <c r="AG11" s="58" t="s">
        <v>13</v>
      </c>
      <c r="AH11" s="58" t="s">
        <v>17</v>
      </c>
      <c r="AI11" s="58" t="s">
        <v>17</v>
      </c>
      <c r="AJ11" s="58" t="s">
        <v>17</v>
      </c>
      <c r="AK11" s="58" t="s">
        <v>13</v>
      </c>
      <c r="AL11" s="66" t="s">
        <v>17</v>
      </c>
      <c r="AM11" s="61" t="s">
        <v>15</v>
      </c>
      <c r="AN11" s="58" t="s">
        <v>15</v>
      </c>
      <c r="AO11" s="58" t="s">
        <v>15</v>
      </c>
      <c r="AP11" s="38"/>
    </row>
    <row r="12" ht="39.75" customHeight="1">
      <c r="A12" s="39"/>
      <c r="B12" s="67" t="s">
        <v>38</v>
      </c>
      <c r="C12" s="68" t="s">
        <v>39</v>
      </c>
      <c r="D12" s="69" t="s">
        <v>30</v>
      </c>
      <c r="E12" s="70" t="s">
        <v>40</v>
      </c>
      <c r="F12" s="71" t="s">
        <v>30</v>
      </c>
      <c r="G12" s="71" t="s">
        <v>10</v>
      </c>
      <c r="H12" s="71" t="s">
        <v>13</v>
      </c>
      <c r="I12" s="71" t="s">
        <v>13</v>
      </c>
      <c r="J12" s="72" t="s">
        <v>9</v>
      </c>
      <c r="K12" s="70" t="s">
        <v>41</v>
      </c>
      <c r="L12" s="73" t="s">
        <v>37</v>
      </c>
      <c r="M12" s="73" t="s">
        <v>6</v>
      </c>
      <c r="N12" s="73" t="s">
        <v>10</v>
      </c>
      <c r="O12" s="73" t="s">
        <v>40</v>
      </c>
      <c r="P12" s="73" t="s">
        <v>30</v>
      </c>
      <c r="Q12" s="74" t="s">
        <v>40</v>
      </c>
      <c r="R12" s="75" t="s">
        <v>16</v>
      </c>
      <c r="S12" s="24" t="s">
        <v>10</v>
      </c>
      <c r="T12" s="71" t="s">
        <v>16</v>
      </c>
      <c r="U12" s="71" t="s">
        <v>16</v>
      </c>
      <c r="V12" s="71" t="s">
        <v>16</v>
      </c>
      <c r="W12" s="76" t="s">
        <v>18</v>
      </c>
      <c r="X12" s="77" t="s">
        <v>17</v>
      </c>
      <c r="Y12" s="75" t="s">
        <v>17</v>
      </c>
      <c r="Z12" s="76" t="s">
        <v>13</v>
      </c>
      <c r="AA12" s="71" t="s">
        <v>17</v>
      </c>
      <c r="AB12" s="71" t="s">
        <v>17</v>
      </c>
      <c r="AC12" s="71" t="s">
        <v>17</v>
      </c>
      <c r="AD12" s="72" t="s">
        <v>17</v>
      </c>
      <c r="AE12" s="78" t="s">
        <v>10</v>
      </c>
      <c r="AF12" s="79" t="s">
        <v>10</v>
      </c>
      <c r="AG12" s="71" t="s">
        <v>17</v>
      </c>
      <c r="AH12" s="71" t="s">
        <v>17</v>
      </c>
      <c r="AI12" s="71" t="s">
        <v>13</v>
      </c>
      <c r="AJ12" s="71" t="s">
        <v>16</v>
      </c>
      <c r="AK12" s="71" t="s">
        <v>16</v>
      </c>
      <c r="AL12" s="77" t="s">
        <v>16</v>
      </c>
      <c r="AM12" s="45" t="s">
        <v>16</v>
      </c>
      <c r="AN12" s="71" t="s">
        <v>13</v>
      </c>
      <c r="AO12" s="71" t="s">
        <v>18</v>
      </c>
      <c r="AP12" s="38"/>
    </row>
    <row r="13" ht="39.75" customHeight="1">
      <c r="A13" s="39"/>
      <c r="B13" s="40" t="s">
        <v>42</v>
      </c>
      <c r="C13" s="41" t="s">
        <v>43</v>
      </c>
      <c r="D13" s="23" t="s">
        <v>6</v>
      </c>
      <c r="E13" s="24" t="s">
        <v>10</v>
      </c>
      <c r="F13" s="24" t="s">
        <v>13</v>
      </c>
      <c r="G13" s="69" t="s">
        <v>30</v>
      </c>
      <c r="H13" s="69" t="s">
        <v>40</v>
      </c>
      <c r="I13" s="24" t="s">
        <v>30</v>
      </c>
      <c r="J13" s="69" t="s">
        <v>40</v>
      </c>
      <c r="K13" s="23" t="s">
        <v>10</v>
      </c>
      <c r="L13" s="43" t="s">
        <v>30</v>
      </c>
      <c r="M13" s="43" t="s">
        <v>40</v>
      </c>
      <c r="N13" s="43" t="s">
        <v>30</v>
      </c>
      <c r="O13" s="43" t="s">
        <v>41</v>
      </c>
      <c r="P13" s="43" t="s">
        <v>13</v>
      </c>
      <c r="Q13" s="44" t="s">
        <v>30</v>
      </c>
      <c r="R13" s="45" t="s">
        <v>16</v>
      </c>
      <c r="S13" s="24" t="s">
        <v>16</v>
      </c>
      <c r="T13" s="24" t="s">
        <v>13</v>
      </c>
      <c r="U13" s="48" t="s">
        <v>16</v>
      </c>
      <c r="V13" s="48" t="s">
        <v>16</v>
      </c>
      <c r="W13" s="24" t="s">
        <v>16</v>
      </c>
      <c r="X13" s="46" t="s">
        <v>10</v>
      </c>
      <c r="Y13" s="50" t="s">
        <v>16</v>
      </c>
      <c r="Z13" s="24" t="s">
        <v>16</v>
      </c>
      <c r="AA13" s="24" t="s">
        <v>16</v>
      </c>
      <c r="AB13" s="48" t="s">
        <v>10</v>
      </c>
      <c r="AC13" s="24" t="s">
        <v>16</v>
      </c>
      <c r="AD13" s="23" t="s">
        <v>16</v>
      </c>
      <c r="AE13" s="51" t="s">
        <v>13</v>
      </c>
      <c r="AF13" s="50" t="s">
        <v>10</v>
      </c>
      <c r="AG13" s="24" t="s">
        <v>16</v>
      </c>
      <c r="AH13" s="24" t="s">
        <v>16</v>
      </c>
      <c r="AI13" s="48" t="s">
        <v>16</v>
      </c>
      <c r="AJ13" s="24" t="s">
        <v>13</v>
      </c>
      <c r="AK13" s="24" t="s">
        <v>17</v>
      </c>
      <c r="AL13" s="49" t="s">
        <v>17</v>
      </c>
      <c r="AM13" s="45" t="s">
        <v>17</v>
      </c>
      <c r="AN13" s="24" t="s">
        <v>17</v>
      </c>
      <c r="AO13" s="47" t="s">
        <v>10</v>
      </c>
      <c r="AP13" s="38"/>
    </row>
    <row r="14" ht="39.75" customHeight="1">
      <c r="A14" s="39"/>
      <c r="B14" s="40" t="s">
        <v>44</v>
      </c>
      <c r="C14" s="41" t="s">
        <v>45</v>
      </c>
      <c r="D14" s="23" t="s">
        <v>10</v>
      </c>
      <c r="E14" s="47" t="s">
        <v>18</v>
      </c>
      <c r="F14" s="69" t="s">
        <v>37</v>
      </c>
      <c r="G14" s="24" t="s">
        <v>37</v>
      </c>
      <c r="H14" s="69" t="s">
        <v>41</v>
      </c>
      <c r="I14" s="69" t="s">
        <v>37</v>
      </c>
      <c r="J14" s="23" t="s">
        <v>13</v>
      </c>
      <c r="K14" s="23" t="s">
        <v>10</v>
      </c>
      <c r="L14" s="43" t="s">
        <v>6</v>
      </c>
      <c r="M14" s="43" t="s">
        <v>9</v>
      </c>
      <c r="N14" s="43" t="s">
        <v>40</v>
      </c>
      <c r="O14" s="43" t="s">
        <v>30</v>
      </c>
      <c r="P14" s="43" t="s">
        <v>30</v>
      </c>
      <c r="Q14" s="44" t="s">
        <v>13</v>
      </c>
      <c r="R14" s="50" t="s">
        <v>13</v>
      </c>
      <c r="S14" s="48" t="s">
        <v>10</v>
      </c>
      <c r="T14" s="24" t="s">
        <v>16</v>
      </c>
      <c r="U14" s="24" t="s">
        <v>16</v>
      </c>
      <c r="V14" s="24" t="s">
        <v>17</v>
      </c>
      <c r="W14" s="24" t="s">
        <v>17</v>
      </c>
      <c r="X14" s="49" t="s">
        <v>17</v>
      </c>
      <c r="Y14" s="52" t="s">
        <v>10</v>
      </c>
      <c r="Z14" s="47" t="s">
        <v>18</v>
      </c>
      <c r="AA14" s="24" t="s">
        <v>16</v>
      </c>
      <c r="AB14" s="24" t="s">
        <v>16</v>
      </c>
      <c r="AC14" s="24" t="s">
        <v>13</v>
      </c>
      <c r="AD14" s="23" t="s">
        <v>16</v>
      </c>
      <c r="AE14" s="49" t="s">
        <v>16</v>
      </c>
      <c r="AF14" s="52" t="s">
        <v>10</v>
      </c>
      <c r="AG14" s="47" t="s">
        <v>13</v>
      </c>
      <c r="AH14" s="24" t="s">
        <v>16</v>
      </c>
      <c r="AI14" s="24" t="s">
        <v>17</v>
      </c>
      <c r="AJ14" s="24" t="s">
        <v>17</v>
      </c>
      <c r="AK14" s="24" t="s">
        <v>17</v>
      </c>
      <c r="AL14" s="49" t="s">
        <v>9</v>
      </c>
      <c r="AM14" s="50" t="s">
        <v>10</v>
      </c>
      <c r="AN14" s="48" t="s">
        <v>13</v>
      </c>
      <c r="AO14" s="24" t="s">
        <v>17</v>
      </c>
      <c r="AP14" s="38"/>
    </row>
    <row r="15" ht="39.75" customHeight="1">
      <c r="A15" s="39"/>
      <c r="B15" s="53" t="s">
        <v>46</v>
      </c>
      <c r="C15" s="54" t="s">
        <v>47</v>
      </c>
      <c r="D15" s="69" t="s">
        <v>40</v>
      </c>
      <c r="E15" s="24" t="s">
        <v>30</v>
      </c>
      <c r="F15" s="69" t="s">
        <v>40</v>
      </c>
      <c r="G15" s="24" t="s">
        <v>10</v>
      </c>
      <c r="H15" s="24" t="s">
        <v>13</v>
      </c>
      <c r="I15" s="69" t="s">
        <v>40</v>
      </c>
      <c r="J15" s="23" t="s">
        <v>30</v>
      </c>
      <c r="K15" s="69" t="s">
        <v>40</v>
      </c>
      <c r="L15" s="43" t="s">
        <v>30</v>
      </c>
      <c r="M15" s="43" t="s">
        <v>10</v>
      </c>
      <c r="N15" s="43" t="s">
        <v>13</v>
      </c>
      <c r="O15" s="43" t="s">
        <v>30</v>
      </c>
      <c r="P15" s="43" t="s">
        <v>40</v>
      </c>
      <c r="Q15" s="44" t="s">
        <v>30</v>
      </c>
      <c r="R15" s="45" t="s">
        <v>16</v>
      </c>
      <c r="S15" s="24" t="s">
        <v>10</v>
      </c>
      <c r="T15" s="24" t="s">
        <v>16</v>
      </c>
      <c r="U15" s="24" t="s">
        <v>16</v>
      </c>
      <c r="V15" s="24" t="s">
        <v>16</v>
      </c>
      <c r="W15" s="24" t="s">
        <v>13</v>
      </c>
      <c r="X15" s="49" t="s">
        <v>17</v>
      </c>
      <c r="Y15" s="45" t="s">
        <v>17</v>
      </c>
      <c r="Z15" s="24" t="s">
        <v>17</v>
      </c>
      <c r="AA15" s="24" t="s">
        <v>17</v>
      </c>
      <c r="AB15" s="24" t="s">
        <v>17</v>
      </c>
      <c r="AC15" s="24" t="s">
        <v>13</v>
      </c>
      <c r="AD15" s="55" t="s">
        <v>10</v>
      </c>
      <c r="AE15" s="46" t="s">
        <v>18</v>
      </c>
      <c r="AF15" s="45" t="s">
        <v>16</v>
      </c>
      <c r="AG15" s="24" t="s">
        <v>16</v>
      </c>
      <c r="AH15" s="24" t="s">
        <v>16</v>
      </c>
      <c r="AI15" s="24" t="s">
        <v>16</v>
      </c>
      <c r="AJ15" s="24" t="s">
        <v>10</v>
      </c>
      <c r="AK15" s="24" t="s">
        <v>16</v>
      </c>
      <c r="AL15" s="49" t="s">
        <v>16</v>
      </c>
      <c r="AM15" s="52" t="s">
        <v>10</v>
      </c>
      <c r="AN15" s="47" t="s">
        <v>6</v>
      </c>
      <c r="AO15" s="47" t="s">
        <v>13</v>
      </c>
      <c r="AP15" s="38"/>
    </row>
    <row r="16" ht="39.75" customHeight="1">
      <c r="A16" s="39"/>
      <c r="B16" s="40" t="s">
        <v>48</v>
      </c>
      <c r="C16" s="41" t="s">
        <v>49</v>
      </c>
      <c r="D16" s="23" t="s">
        <v>37</v>
      </c>
      <c r="E16" s="69" t="s">
        <v>41</v>
      </c>
      <c r="F16" s="24" t="s">
        <v>9</v>
      </c>
      <c r="G16" s="24" t="s">
        <v>10</v>
      </c>
      <c r="H16" s="24" t="s">
        <v>6</v>
      </c>
      <c r="I16" s="69" t="s">
        <v>30</v>
      </c>
      <c r="J16" s="23" t="s">
        <v>37</v>
      </c>
      <c r="K16" s="80" t="s">
        <v>37</v>
      </c>
      <c r="L16" s="43" t="s">
        <v>41</v>
      </c>
      <c r="M16" s="43" t="s">
        <v>37</v>
      </c>
      <c r="N16" s="43" t="s">
        <v>37</v>
      </c>
      <c r="O16" s="44" t="s">
        <v>13</v>
      </c>
      <c r="P16" s="43" t="s">
        <v>10</v>
      </c>
      <c r="Q16" s="44" t="s">
        <v>13</v>
      </c>
      <c r="R16" s="52" t="s">
        <v>10</v>
      </c>
      <c r="S16" s="47" t="s">
        <v>13</v>
      </c>
      <c r="T16" s="24" t="s">
        <v>17</v>
      </c>
      <c r="U16" s="24" t="s">
        <v>17</v>
      </c>
      <c r="V16" s="24" t="s">
        <v>13</v>
      </c>
      <c r="W16" s="24" t="s">
        <v>17</v>
      </c>
      <c r="X16" s="49" t="s">
        <v>17</v>
      </c>
      <c r="Y16" s="45" t="s">
        <v>17</v>
      </c>
      <c r="Z16" s="24" t="s">
        <v>17</v>
      </c>
      <c r="AA16" s="24" t="s">
        <v>10</v>
      </c>
      <c r="AB16" s="81" t="s">
        <v>16</v>
      </c>
      <c r="AC16" s="81" t="s">
        <v>17</v>
      </c>
      <c r="AD16" s="23" t="s">
        <v>17</v>
      </c>
      <c r="AE16" s="82" t="s">
        <v>17</v>
      </c>
      <c r="AF16" s="83" t="s">
        <v>17</v>
      </c>
      <c r="AG16" s="84" t="s">
        <v>10</v>
      </c>
      <c r="AH16" s="24" t="s">
        <v>9</v>
      </c>
      <c r="AI16" s="24" t="s">
        <v>17</v>
      </c>
      <c r="AJ16" s="24" t="s">
        <v>17</v>
      </c>
      <c r="AK16" s="24" t="s">
        <v>17</v>
      </c>
      <c r="AL16" s="49" t="s">
        <v>13</v>
      </c>
      <c r="AM16" s="45" t="s">
        <v>16</v>
      </c>
      <c r="AN16" s="24" t="s">
        <v>16</v>
      </c>
      <c r="AO16" s="24" t="s">
        <v>17</v>
      </c>
      <c r="AP16" s="38"/>
    </row>
    <row r="17" ht="39.75" customHeight="1">
      <c r="A17" s="39"/>
      <c r="B17" s="40" t="s">
        <v>50</v>
      </c>
      <c r="C17" s="41" t="s">
        <v>51</v>
      </c>
      <c r="D17" s="42" t="s">
        <v>6</v>
      </c>
      <c r="E17" s="47" t="s">
        <v>10</v>
      </c>
      <c r="F17" s="69" t="s">
        <v>30</v>
      </c>
      <c r="G17" s="24" t="s">
        <v>30</v>
      </c>
      <c r="H17" s="69" t="s">
        <v>30</v>
      </c>
      <c r="I17" s="24" t="s">
        <v>6</v>
      </c>
      <c r="J17" s="23" t="s">
        <v>13</v>
      </c>
      <c r="K17" s="69" t="s">
        <v>30</v>
      </c>
      <c r="L17" s="43" t="s">
        <v>40</v>
      </c>
      <c r="M17" s="43" t="s">
        <v>30</v>
      </c>
      <c r="N17" s="43" t="s">
        <v>30</v>
      </c>
      <c r="O17" s="43" t="s">
        <v>41</v>
      </c>
      <c r="P17" s="43" t="s">
        <v>13</v>
      </c>
      <c r="Q17" s="44" t="s">
        <v>10</v>
      </c>
      <c r="R17" s="45" t="s">
        <v>17</v>
      </c>
      <c r="S17" s="24" t="s">
        <v>17</v>
      </c>
      <c r="T17" s="24" t="s">
        <v>17</v>
      </c>
      <c r="U17" s="24" t="s">
        <v>17</v>
      </c>
      <c r="V17" s="24" t="s">
        <v>10</v>
      </c>
      <c r="W17" s="24" t="s">
        <v>16</v>
      </c>
      <c r="X17" s="49" t="s">
        <v>16</v>
      </c>
      <c r="Y17" s="45" t="s">
        <v>16</v>
      </c>
      <c r="Z17" s="24" t="s">
        <v>16</v>
      </c>
      <c r="AA17" s="47" t="s">
        <v>10</v>
      </c>
      <c r="AB17" s="47" t="s">
        <v>13</v>
      </c>
      <c r="AC17" s="47" t="s">
        <v>18</v>
      </c>
      <c r="AD17" s="42" t="s">
        <v>18</v>
      </c>
      <c r="AE17" s="46" t="s">
        <v>18</v>
      </c>
      <c r="AF17" s="52" t="s">
        <v>10</v>
      </c>
      <c r="AG17" s="24" t="s">
        <v>16</v>
      </c>
      <c r="AH17" s="24" t="s">
        <v>16</v>
      </c>
      <c r="AI17" s="24" t="s">
        <v>16</v>
      </c>
      <c r="AJ17" s="24" t="s">
        <v>16</v>
      </c>
      <c r="AK17" s="48" t="s">
        <v>13</v>
      </c>
      <c r="AL17" s="51" t="s">
        <v>13</v>
      </c>
      <c r="AM17" s="45" t="s">
        <v>16</v>
      </c>
      <c r="AN17" s="24" t="s">
        <v>16</v>
      </c>
      <c r="AO17" s="24" t="s">
        <v>16</v>
      </c>
      <c r="AP17" s="38"/>
    </row>
    <row r="18" ht="39.75" customHeight="1">
      <c r="A18" s="39"/>
      <c r="B18" s="40" t="s">
        <v>52</v>
      </c>
      <c r="C18" s="41" t="s">
        <v>53</v>
      </c>
      <c r="D18" s="69" t="s">
        <v>41</v>
      </c>
      <c r="E18" s="69" t="s">
        <v>37</v>
      </c>
      <c r="F18" s="24" t="s">
        <v>10</v>
      </c>
      <c r="G18" s="69" t="s">
        <v>40</v>
      </c>
      <c r="H18" s="24" t="s">
        <v>30</v>
      </c>
      <c r="I18" s="24" t="s">
        <v>54</v>
      </c>
      <c r="J18" s="69" t="s">
        <v>30</v>
      </c>
      <c r="K18" s="23" t="s">
        <v>30</v>
      </c>
      <c r="L18" s="43" t="s">
        <v>13</v>
      </c>
      <c r="M18" s="43" t="s">
        <v>30</v>
      </c>
      <c r="N18" s="43" t="s">
        <v>40</v>
      </c>
      <c r="O18" s="43" t="s">
        <v>9</v>
      </c>
      <c r="P18" s="43" t="s">
        <v>54</v>
      </c>
      <c r="Q18" s="44" t="s">
        <v>10</v>
      </c>
      <c r="R18" s="45" t="s">
        <v>10</v>
      </c>
      <c r="S18" s="24" t="s">
        <v>16</v>
      </c>
      <c r="T18" s="24" t="s">
        <v>17</v>
      </c>
      <c r="U18" s="24" t="s">
        <v>17</v>
      </c>
      <c r="V18" s="24" t="s">
        <v>13</v>
      </c>
      <c r="W18" s="24" t="s">
        <v>16</v>
      </c>
      <c r="X18" s="49" t="s">
        <v>16</v>
      </c>
      <c r="Y18" s="52" t="s">
        <v>18</v>
      </c>
      <c r="Z18" s="24" t="s">
        <v>17</v>
      </c>
      <c r="AA18" s="24" t="s">
        <v>17</v>
      </c>
      <c r="AB18" s="24" t="s">
        <v>10</v>
      </c>
      <c r="AC18" s="24" t="s">
        <v>13</v>
      </c>
      <c r="AD18" s="23" t="s">
        <v>16</v>
      </c>
      <c r="AE18" s="49" t="s">
        <v>16</v>
      </c>
      <c r="AF18" s="45" t="s">
        <v>16</v>
      </c>
      <c r="AG18" s="47" t="s">
        <v>10</v>
      </c>
      <c r="AH18" s="47" t="s">
        <v>18</v>
      </c>
      <c r="AI18" s="24" t="s">
        <v>13</v>
      </c>
      <c r="AJ18" s="24" t="s">
        <v>16</v>
      </c>
      <c r="AK18" s="24" t="s">
        <v>16</v>
      </c>
      <c r="AL18" s="49" t="s">
        <v>16</v>
      </c>
      <c r="AM18" s="52" t="s">
        <v>6</v>
      </c>
      <c r="AN18" s="24" t="s">
        <v>16</v>
      </c>
      <c r="AO18" s="24" t="s">
        <v>16</v>
      </c>
      <c r="AP18" s="38"/>
    </row>
    <row r="19" ht="39.75" customHeight="1">
      <c r="A19" s="39"/>
      <c r="B19" s="40" t="s">
        <v>55</v>
      </c>
      <c r="C19" s="41" t="s">
        <v>56</v>
      </c>
      <c r="D19" s="69" t="s">
        <v>37</v>
      </c>
      <c r="E19" s="24" t="s">
        <v>37</v>
      </c>
      <c r="F19" s="69" t="s">
        <v>41</v>
      </c>
      <c r="G19" s="24" t="s">
        <v>10</v>
      </c>
      <c r="H19" s="24" t="s">
        <v>13</v>
      </c>
      <c r="I19" s="24" t="s">
        <v>37</v>
      </c>
      <c r="J19" s="69" t="s">
        <v>41</v>
      </c>
      <c r="K19" s="23" t="s">
        <v>37</v>
      </c>
      <c r="L19" s="43" t="s">
        <v>37</v>
      </c>
      <c r="M19" s="43" t="s">
        <v>10</v>
      </c>
      <c r="N19" s="43" t="s">
        <v>13</v>
      </c>
      <c r="O19" s="43" t="s">
        <v>37</v>
      </c>
      <c r="P19" s="43" t="s">
        <v>41</v>
      </c>
      <c r="Q19" s="44" t="s">
        <v>37</v>
      </c>
      <c r="R19" s="45" t="s">
        <v>17</v>
      </c>
      <c r="S19" s="24" t="s">
        <v>17</v>
      </c>
      <c r="T19" s="47" t="s">
        <v>13</v>
      </c>
      <c r="U19" s="47" t="s">
        <v>6</v>
      </c>
      <c r="V19" s="24" t="s">
        <v>17</v>
      </c>
      <c r="W19" s="24" t="s">
        <v>17</v>
      </c>
      <c r="X19" s="51" t="s">
        <v>10</v>
      </c>
      <c r="Y19" s="45" t="s">
        <v>16</v>
      </c>
      <c r="Z19" s="24" t="s">
        <v>16</v>
      </c>
      <c r="AA19" s="24" t="s">
        <v>16</v>
      </c>
      <c r="AB19" s="24" t="s">
        <v>16</v>
      </c>
      <c r="AC19" s="24" t="s">
        <v>13</v>
      </c>
      <c r="AD19" s="42" t="s">
        <v>10</v>
      </c>
      <c r="AE19" s="46" t="s">
        <v>17</v>
      </c>
      <c r="AF19" s="45" t="s">
        <v>17</v>
      </c>
      <c r="AG19" s="24" t="s">
        <v>17</v>
      </c>
      <c r="AH19" s="24" t="s">
        <v>17</v>
      </c>
      <c r="AI19" s="24" t="s">
        <v>17</v>
      </c>
      <c r="AJ19" s="24" t="s">
        <v>13</v>
      </c>
      <c r="AK19" s="24" t="s">
        <v>10</v>
      </c>
      <c r="AL19" s="49" t="s">
        <v>17</v>
      </c>
      <c r="AM19" s="45" t="s">
        <v>9</v>
      </c>
      <c r="AN19" s="24" t="s">
        <v>17</v>
      </c>
      <c r="AO19" s="24" t="s">
        <v>17</v>
      </c>
      <c r="AP19" s="38"/>
    </row>
    <row r="20" ht="39.75" customHeight="1">
      <c r="A20" s="39"/>
      <c r="B20" s="85" t="s">
        <v>57</v>
      </c>
      <c r="C20" s="86" t="s">
        <v>58</v>
      </c>
      <c r="D20" s="87" t="s">
        <v>9</v>
      </c>
      <c r="E20" s="88" t="s">
        <v>10</v>
      </c>
      <c r="F20" s="88" t="s">
        <v>40</v>
      </c>
      <c r="G20" s="89" t="s">
        <v>37</v>
      </c>
      <c r="H20" s="88" t="s">
        <v>37</v>
      </c>
      <c r="I20" s="89" t="s">
        <v>41</v>
      </c>
      <c r="J20" s="87" t="s">
        <v>13</v>
      </c>
      <c r="K20" s="90" t="s">
        <v>10</v>
      </c>
      <c r="L20" s="91" t="s">
        <v>9</v>
      </c>
      <c r="M20" s="91" t="s">
        <v>37</v>
      </c>
      <c r="N20" s="91" t="s">
        <v>41</v>
      </c>
      <c r="O20" s="91" t="s">
        <v>13</v>
      </c>
      <c r="P20" s="91" t="s">
        <v>37</v>
      </c>
      <c r="Q20" s="92" t="s">
        <v>41</v>
      </c>
      <c r="R20" s="93" t="s">
        <v>10</v>
      </c>
      <c r="S20" s="88" t="s">
        <v>16</v>
      </c>
      <c r="T20" s="88" t="s">
        <v>16</v>
      </c>
      <c r="U20" s="88" t="s">
        <v>6</v>
      </c>
      <c r="V20" s="88" t="s">
        <v>16</v>
      </c>
      <c r="W20" s="88" t="s">
        <v>16</v>
      </c>
      <c r="X20" s="94" t="s">
        <v>16</v>
      </c>
      <c r="Y20" s="95" t="s">
        <v>10</v>
      </c>
      <c r="Z20" s="88" t="s">
        <v>16</v>
      </c>
      <c r="AA20" s="88" t="s">
        <v>16</v>
      </c>
      <c r="AB20" s="88" t="s">
        <v>13</v>
      </c>
      <c r="AC20" s="24" t="s">
        <v>16</v>
      </c>
      <c r="AD20" s="23" t="s">
        <v>17</v>
      </c>
      <c r="AE20" s="94" t="s">
        <v>13</v>
      </c>
      <c r="AF20" s="93" t="s">
        <v>17</v>
      </c>
      <c r="AG20" s="88" t="s">
        <v>17</v>
      </c>
      <c r="AH20" s="88" t="s">
        <v>10</v>
      </c>
      <c r="AI20" s="88" t="s">
        <v>16</v>
      </c>
      <c r="AJ20" s="88" t="s">
        <v>16</v>
      </c>
      <c r="AK20" s="88" t="s">
        <v>16</v>
      </c>
      <c r="AL20" s="94" t="s">
        <v>16</v>
      </c>
      <c r="AM20" s="95" t="s">
        <v>10</v>
      </c>
      <c r="AN20" s="88" t="s">
        <v>16</v>
      </c>
      <c r="AO20" s="88" t="s">
        <v>16</v>
      </c>
      <c r="AP20" s="38"/>
    </row>
    <row r="21" ht="39.75" customHeight="1">
      <c r="A21" s="39"/>
      <c r="B21" s="96" t="s">
        <v>59</v>
      </c>
      <c r="C21" s="97" t="s">
        <v>60</v>
      </c>
      <c r="D21" s="98" t="s">
        <v>6</v>
      </c>
      <c r="E21" s="99" t="s">
        <v>30</v>
      </c>
      <c r="F21" s="100" t="s">
        <v>37</v>
      </c>
      <c r="G21" s="99" t="s">
        <v>41</v>
      </c>
      <c r="H21" s="99" t="s">
        <v>37</v>
      </c>
      <c r="I21" s="100" t="s">
        <v>10</v>
      </c>
      <c r="J21" s="99" t="s">
        <v>37</v>
      </c>
      <c r="K21" s="101" t="s">
        <v>13</v>
      </c>
      <c r="L21" s="102" t="s">
        <v>13</v>
      </c>
      <c r="M21" s="102" t="s">
        <v>41</v>
      </c>
      <c r="N21" s="102" t="s">
        <v>37</v>
      </c>
      <c r="O21" s="102" t="s">
        <v>13</v>
      </c>
      <c r="P21" s="102" t="s">
        <v>10</v>
      </c>
      <c r="Q21" s="103" t="s">
        <v>37</v>
      </c>
      <c r="R21" s="104" t="s">
        <v>17</v>
      </c>
      <c r="S21" s="100" t="s">
        <v>17</v>
      </c>
      <c r="T21" s="100" t="s">
        <v>17</v>
      </c>
      <c r="U21" s="100" t="s">
        <v>13</v>
      </c>
      <c r="V21" s="100" t="s">
        <v>17</v>
      </c>
      <c r="W21" s="100" t="s">
        <v>17</v>
      </c>
      <c r="X21" s="105" t="s">
        <v>10</v>
      </c>
      <c r="Y21" s="106" t="s">
        <v>6</v>
      </c>
      <c r="Z21" s="100" t="s">
        <v>17</v>
      </c>
      <c r="AA21" s="100" t="s">
        <v>17</v>
      </c>
      <c r="AB21" s="107" t="s">
        <v>10</v>
      </c>
      <c r="AC21" s="100" t="s">
        <v>17</v>
      </c>
      <c r="AD21" s="108" t="s">
        <v>17</v>
      </c>
      <c r="AE21" s="109" t="s">
        <v>17</v>
      </c>
      <c r="AF21" s="104" t="s">
        <v>17</v>
      </c>
      <c r="AG21" s="107" t="s">
        <v>10</v>
      </c>
      <c r="AH21" s="100" t="s">
        <v>13</v>
      </c>
      <c r="AI21" s="100" t="s">
        <v>17</v>
      </c>
      <c r="AJ21" s="100" t="s">
        <v>17</v>
      </c>
      <c r="AK21" s="100" t="s">
        <v>13</v>
      </c>
      <c r="AL21" s="109" t="s">
        <v>17</v>
      </c>
      <c r="AM21" s="104" t="s">
        <v>17</v>
      </c>
      <c r="AN21" s="100" t="s">
        <v>9</v>
      </c>
      <c r="AO21" s="100" t="s">
        <v>10</v>
      </c>
      <c r="AP21" s="38"/>
    </row>
    <row r="22" ht="16.5" customHeight="1">
      <c r="AB22" s="110"/>
      <c r="AJ22" s="111"/>
      <c r="AK22" s="111"/>
      <c r="AL22" s="111"/>
    </row>
    <row r="23" ht="16.5" customHeight="1">
      <c r="AB23" s="110"/>
      <c r="AJ23" s="111"/>
      <c r="AK23" s="111"/>
      <c r="AL23" s="111"/>
    </row>
    <row r="24" ht="16.5" customHeight="1">
      <c r="AB24" s="110"/>
      <c r="AJ24" s="111"/>
      <c r="AK24" s="111"/>
      <c r="AL24" s="111"/>
    </row>
    <row r="25" ht="16.5" customHeight="1">
      <c r="AB25" s="110"/>
      <c r="AJ25" s="111"/>
      <c r="AK25" s="111"/>
      <c r="AL25" s="111"/>
    </row>
    <row r="26" ht="16.5" customHeight="1">
      <c r="AB26" s="110"/>
      <c r="AJ26" s="111"/>
      <c r="AK26" s="111"/>
      <c r="AL26" s="111"/>
    </row>
    <row r="27" ht="16.5" customHeight="1">
      <c r="AB27" s="110"/>
      <c r="AJ27" s="111"/>
      <c r="AK27" s="111"/>
      <c r="AL27" s="111"/>
    </row>
    <row r="28" ht="16.5" customHeight="1">
      <c r="AB28" s="110"/>
      <c r="AJ28" s="111"/>
      <c r="AK28" s="111"/>
      <c r="AL28" s="111"/>
    </row>
    <row r="29" ht="16.5" customHeight="1">
      <c r="AB29" s="110"/>
      <c r="AJ29" s="111"/>
      <c r="AK29" s="111"/>
      <c r="AL29" s="111"/>
    </row>
    <row r="30" ht="16.5" customHeight="1">
      <c r="AB30" s="110"/>
      <c r="AJ30" s="111"/>
      <c r="AK30" s="111"/>
      <c r="AL30" s="111"/>
    </row>
    <row r="31" ht="16.5" customHeight="1">
      <c r="AB31" s="110"/>
      <c r="AJ31" s="111"/>
      <c r="AK31" s="111"/>
      <c r="AL31" s="111"/>
    </row>
    <row r="32" ht="16.5" customHeight="1">
      <c r="AB32" s="110"/>
      <c r="AJ32" s="111"/>
      <c r="AK32" s="111"/>
      <c r="AL32" s="111"/>
    </row>
    <row r="33" ht="16.5" customHeight="1">
      <c r="AB33" s="110"/>
      <c r="AJ33" s="111"/>
      <c r="AK33" s="111"/>
      <c r="AL33" s="111"/>
    </row>
    <row r="34" ht="16.5" customHeight="1">
      <c r="AB34" s="110"/>
      <c r="AJ34" s="111"/>
      <c r="AK34" s="111"/>
      <c r="AL34" s="111"/>
    </row>
    <row r="35" ht="16.5" customHeight="1">
      <c r="AB35" s="110"/>
      <c r="AJ35" s="111"/>
      <c r="AK35" s="111"/>
      <c r="AL35" s="111"/>
    </row>
    <row r="36" ht="16.5" customHeight="1">
      <c r="AB36" s="110"/>
      <c r="AJ36" s="111"/>
      <c r="AK36" s="111"/>
      <c r="AL36" s="111"/>
    </row>
    <row r="37" ht="16.5" customHeight="1">
      <c r="AB37" s="110"/>
      <c r="AJ37" s="111"/>
      <c r="AK37" s="111"/>
      <c r="AL37" s="111"/>
    </row>
    <row r="38" ht="16.5" customHeight="1">
      <c r="AB38" s="110"/>
      <c r="AJ38" s="111"/>
      <c r="AK38" s="111"/>
      <c r="AL38" s="111"/>
    </row>
    <row r="39" ht="16.5" customHeight="1">
      <c r="AB39" s="110"/>
      <c r="AJ39" s="111"/>
      <c r="AK39" s="111"/>
      <c r="AL39" s="111"/>
    </row>
    <row r="40" ht="16.5" customHeight="1">
      <c r="AB40" s="110"/>
      <c r="AJ40" s="111"/>
      <c r="AK40" s="111"/>
      <c r="AL40" s="111"/>
    </row>
    <row r="41" ht="16.5" customHeight="1">
      <c r="AB41" s="110"/>
      <c r="AJ41" s="111"/>
      <c r="AK41" s="111"/>
      <c r="AL41" s="111"/>
    </row>
    <row r="42" ht="16.5" customHeight="1">
      <c r="AB42" s="110"/>
      <c r="AJ42" s="111"/>
      <c r="AK42" s="111"/>
      <c r="AL42" s="111"/>
    </row>
    <row r="43" ht="16.5" customHeight="1">
      <c r="AB43" s="110"/>
      <c r="AJ43" s="111"/>
      <c r="AK43" s="111"/>
      <c r="AL43" s="111"/>
    </row>
    <row r="44" ht="16.5" customHeight="1">
      <c r="AB44" s="110"/>
      <c r="AJ44" s="111"/>
      <c r="AK44" s="111"/>
      <c r="AL44" s="111"/>
    </row>
    <row r="45" ht="16.5" customHeight="1">
      <c r="AB45" s="110"/>
      <c r="AJ45" s="111"/>
      <c r="AK45" s="111"/>
      <c r="AL45" s="111"/>
    </row>
    <row r="46" ht="16.5" customHeight="1">
      <c r="AB46" s="110"/>
      <c r="AJ46" s="111"/>
      <c r="AK46" s="111"/>
      <c r="AL46" s="111"/>
    </row>
    <row r="47" ht="16.5" customHeight="1">
      <c r="AB47" s="110"/>
      <c r="AJ47" s="111"/>
      <c r="AK47" s="111"/>
      <c r="AL47" s="111"/>
    </row>
    <row r="48" ht="16.5" customHeight="1">
      <c r="AB48" s="110"/>
      <c r="AJ48" s="111"/>
      <c r="AK48" s="111"/>
      <c r="AL48" s="111"/>
    </row>
    <row r="49" ht="16.5" customHeight="1">
      <c r="AB49" s="110"/>
      <c r="AJ49" s="111"/>
      <c r="AK49" s="111"/>
      <c r="AL49" s="111"/>
    </row>
    <row r="50" ht="16.5" customHeight="1">
      <c r="AB50" s="110"/>
      <c r="AJ50" s="111"/>
      <c r="AK50" s="111"/>
      <c r="AL50" s="111"/>
    </row>
    <row r="51" ht="16.5" customHeight="1">
      <c r="AB51" s="110"/>
      <c r="AJ51" s="111"/>
      <c r="AK51" s="111"/>
      <c r="AL51" s="111"/>
    </row>
    <row r="52" ht="16.5" customHeight="1">
      <c r="AB52" s="110"/>
      <c r="AJ52" s="111"/>
      <c r="AK52" s="111"/>
      <c r="AL52" s="111"/>
    </row>
    <row r="53" ht="16.5" customHeight="1">
      <c r="AB53" s="110"/>
      <c r="AJ53" s="111"/>
      <c r="AK53" s="111"/>
      <c r="AL53" s="111"/>
    </row>
    <row r="54" ht="16.5" customHeight="1">
      <c r="AB54" s="110"/>
      <c r="AJ54" s="111"/>
      <c r="AK54" s="111"/>
      <c r="AL54" s="111"/>
    </row>
    <row r="55" ht="16.5" customHeight="1">
      <c r="AB55" s="110"/>
      <c r="AJ55" s="111"/>
      <c r="AK55" s="111"/>
      <c r="AL55" s="111"/>
    </row>
    <row r="56" ht="16.5" customHeight="1">
      <c r="AB56" s="110"/>
      <c r="AJ56" s="111"/>
      <c r="AK56" s="111"/>
      <c r="AL56" s="111"/>
    </row>
    <row r="57" ht="16.5" customHeight="1">
      <c r="AB57" s="110"/>
      <c r="AJ57" s="111"/>
      <c r="AK57" s="111"/>
      <c r="AL57" s="111"/>
    </row>
    <row r="58" ht="16.5" customHeight="1">
      <c r="AB58" s="110"/>
      <c r="AJ58" s="111"/>
      <c r="AK58" s="111"/>
      <c r="AL58" s="111"/>
    </row>
    <row r="59" ht="16.5" customHeight="1">
      <c r="AB59" s="110"/>
      <c r="AJ59" s="111"/>
      <c r="AK59" s="111"/>
      <c r="AL59" s="111"/>
    </row>
    <row r="60" ht="16.5" customHeight="1">
      <c r="AB60" s="110"/>
      <c r="AJ60" s="111"/>
      <c r="AK60" s="111"/>
      <c r="AL60" s="111"/>
    </row>
    <row r="61" ht="16.5" customHeight="1">
      <c r="AB61" s="110"/>
      <c r="AJ61" s="111"/>
      <c r="AK61" s="111"/>
      <c r="AL61" s="111"/>
    </row>
    <row r="62" ht="16.5" customHeight="1">
      <c r="AB62" s="110"/>
      <c r="AJ62" s="111"/>
      <c r="AK62" s="111"/>
      <c r="AL62" s="111"/>
    </row>
    <row r="63" ht="16.5" customHeight="1">
      <c r="AB63" s="110"/>
      <c r="AJ63" s="111"/>
      <c r="AK63" s="111"/>
      <c r="AL63" s="111"/>
    </row>
    <row r="64" ht="16.5" customHeight="1">
      <c r="AB64" s="110"/>
      <c r="AJ64" s="111"/>
      <c r="AK64" s="111"/>
      <c r="AL64" s="111"/>
    </row>
    <row r="65" ht="16.5" customHeight="1">
      <c r="AB65" s="110"/>
      <c r="AJ65" s="111"/>
      <c r="AK65" s="111"/>
      <c r="AL65" s="111"/>
    </row>
    <row r="66" ht="16.5" customHeight="1">
      <c r="AB66" s="110"/>
      <c r="AJ66" s="111"/>
      <c r="AK66" s="111"/>
      <c r="AL66" s="111"/>
    </row>
    <row r="67" ht="16.5" customHeight="1">
      <c r="AB67" s="110"/>
      <c r="AJ67" s="111"/>
      <c r="AK67" s="111"/>
      <c r="AL67" s="111"/>
    </row>
    <row r="68" ht="16.5" customHeight="1">
      <c r="AB68" s="110"/>
      <c r="AJ68" s="111"/>
      <c r="AK68" s="111"/>
      <c r="AL68" s="111"/>
    </row>
    <row r="69" ht="16.5" customHeight="1">
      <c r="AB69" s="110"/>
      <c r="AJ69" s="111"/>
      <c r="AK69" s="111"/>
      <c r="AL69" s="111"/>
    </row>
    <row r="70" ht="16.5" customHeight="1">
      <c r="AB70" s="110"/>
      <c r="AJ70" s="111"/>
      <c r="AK70" s="111"/>
      <c r="AL70" s="111"/>
    </row>
    <row r="71" ht="16.5" customHeight="1">
      <c r="AB71" s="110"/>
      <c r="AJ71" s="111"/>
      <c r="AK71" s="111"/>
      <c r="AL71" s="111"/>
    </row>
    <row r="72" ht="16.5" customHeight="1">
      <c r="AB72" s="110"/>
      <c r="AJ72" s="111"/>
      <c r="AK72" s="111"/>
      <c r="AL72" s="111"/>
    </row>
    <row r="73" ht="16.5" customHeight="1">
      <c r="AB73" s="110"/>
      <c r="AJ73" s="111"/>
      <c r="AK73" s="111"/>
      <c r="AL73" s="111"/>
    </row>
    <row r="74" ht="16.5" customHeight="1">
      <c r="AB74" s="110"/>
      <c r="AJ74" s="111"/>
      <c r="AK74" s="111"/>
      <c r="AL74" s="111"/>
    </row>
    <row r="75" ht="16.5" customHeight="1">
      <c r="AB75" s="110"/>
      <c r="AJ75" s="111"/>
      <c r="AK75" s="111"/>
      <c r="AL75" s="111"/>
    </row>
    <row r="76" ht="16.5" customHeight="1">
      <c r="AB76" s="110"/>
      <c r="AJ76" s="111"/>
      <c r="AK76" s="111"/>
      <c r="AL76" s="111"/>
    </row>
    <row r="77" ht="16.5" customHeight="1">
      <c r="AB77" s="110"/>
      <c r="AJ77" s="111"/>
      <c r="AK77" s="111"/>
      <c r="AL77" s="111"/>
    </row>
    <row r="78" ht="16.5" customHeight="1">
      <c r="AB78" s="110"/>
      <c r="AJ78" s="111"/>
      <c r="AK78" s="111"/>
      <c r="AL78" s="111"/>
    </row>
    <row r="79" ht="16.5" customHeight="1">
      <c r="AB79" s="110"/>
      <c r="AJ79" s="111"/>
      <c r="AK79" s="111"/>
      <c r="AL79" s="111"/>
    </row>
    <row r="80" ht="16.5" customHeight="1">
      <c r="AB80" s="110"/>
      <c r="AJ80" s="111"/>
      <c r="AK80" s="111"/>
      <c r="AL80" s="111"/>
    </row>
    <row r="81" ht="16.5" customHeight="1">
      <c r="AB81" s="110"/>
      <c r="AJ81" s="111"/>
      <c r="AK81" s="111"/>
      <c r="AL81" s="111"/>
    </row>
    <row r="82" ht="16.5" customHeight="1">
      <c r="AB82" s="110"/>
      <c r="AJ82" s="111"/>
      <c r="AK82" s="111"/>
      <c r="AL82" s="111"/>
    </row>
    <row r="83" ht="16.5" customHeight="1">
      <c r="AB83" s="110"/>
      <c r="AJ83" s="111"/>
      <c r="AK83" s="111"/>
      <c r="AL83" s="111"/>
    </row>
    <row r="84" ht="16.5" customHeight="1">
      <c r="AB84" s="110"/>
      <c r="AJ84" s="111"/>
      <c r="AK84" s="111"/>
      <c r="AL84" s="111"/>
    </row>
    <row r="85" ht="16.5" customHeight="1">
      <c r="AB85" s="110"/>
      <c r="AJ85" s="111"/>
      <c r="AK85" s="111"/>
      <c r="AL85" s="111"/>
    </row>
    <row r="86" ht="16.5" customHeight="1">
      <c r="AB86" s="110"/>
      <c r="AJ86" s="111"/>
      <c r="AK86" s="111"/>
      <c r="AL86" s="111"/>
    </row>
    <row r="87" ht="16.5" customHeight="1">
      <c r="AB87" s="110"/>
      <c r="AJ87" s="111"/>
      <c r="AK87" s="111"/>
      <c r="AL87" s="111"/>
    </row>
    <row r="88" ht="16.5" customHeight="1">
      <c r="AB88" s="110"/>
      <c r="AJ88" s="111"/>
      <c r="AK88" s="111"/>
      <c r="AL88" s="111"/>
    </row>
    <row r="89" ht="16.5" customHeight="1">
      <c r="AB89" s="110"/>
      <c r="AJ89" s="111"/>
      <c r="AK89" s="111"/>
      <c r="AL89" s="111"/>
    </row>
    <row r="90" ht="16.5" customHeight="1">
      <c r="AB90" s="110"/>
      <c r="AJ90" s="111"/>
      <c r="AK90" s="111"/>
      <c r="AL90" s="111"/>
    </row>
    <row r="91" ht="16.5" customHeight="1">
      <c r="AB91" s="110"/>
      <c r="AJ91" s="111"/>
      <c r="AK91" s="111"/>
      <c r="AL91" s="111"/>
    </row>
    <row r="92" ht="16.5" customHeight="1">
      <c r="AB92" s="110"/>
      <c r="AJ92" s="111"/>
      <c r="AK92" s="111"/>
      <c r="AL92" s="111"/>
    </row>
    <row r="93" ht="16.5" customHeight="1">
      <c r="AB93" s="110"/>
      <c r="AJ93" s="111"/>
      <c r="AK93" s="111"/>
      <c r="AL93" s="111"/>
    </row>
    <row r="94" ht="16.5" customHeight="1">
      <c r="AB94" s="110"/>
      <c r="AJ94" s="111"/>
      <c r="AK94" s="111"/>
      <c r="AL94" s="111"/>
    </row>
    <row r="95" ht="16.5" customHeight="1">
      <c r="AB95" s="110"/>
      <c r="AJ95" s="111"/>
      <c r="AK95" s="111"/>
      <c r="AL95" s="111"/>
    </row>
    <row r="96" ht="16.5" customHeight="1">
      <c r="AB96" s="110"/>
      <c r="AJ96" s="111"/>
      <c r="AK96" s="111"/>
      <c r="AL96" s="111"/>
    </row>
    <row r="97" ht="16.5" customHeight="1">
      <c r="AB97" s="110"/>
      <c r="AJ97" s="111"/>
      <c r="AK97" s="111"/>
      <c r="AL97" s="111"/>
    </row>
    <row r="98" ht="16.5" customHeight="1">
      <c r="AB98" s="110"/>
      <c r="AJ98" s="111"/>
      <c r="AK98" s="111"/>
      <c r="AL98" s="111"/>
    </row>
    <row r="99" ht="16.5" customHeight="1">
      <c r="AB99" s="110"/>
      <c r="AJ99" s="111"/>
      <c r="AK99" s="111"/>
      <c r="AL99" s="111"/>
    </row>
    <row r="100" ht="16.5" customHeight="1">
      <c r="AB100" s="110"/>
      <c r="AJ100" s="111"/>
      <c r="AK100" s="111"/>
      <c r="AL100" s="111"/>
    </row>
    <row r="101" ht="16.5" customHeight="1">
      <c r="AB101" s="110"/>
      <c r="AJ101" s="111"/>
      <c r="AK101" s="111"/>
      <c r="AL101" s="111"/>
    </row>
    <row r="102" ht="16.5" customHeight="1">
      <c r="AB102" s="110"/>
      <c r="AJ102" s="111"/>
      <c r="AK102" s="111"/>
      <c r="AL102" s="111"/>
    </row>
    <row r="103" ht="16.5" customHeight="1">
      <c r="AB103" s="110"/>
      <c r="AJ103" s="111"/>
      <c r="AK103" s="111"/>
      <c r="AL103" s="111"/>
    </row>
    <row r="104" ht="16.5" customHeight="1">
      <c r="AB104" s="110"/>
      <c r="AJ104" s="111"/>
      <c r="AK104" s="111"/>
      <c r="AL104" s="111"/>
    </row>
    <row r="105" ht="16.5" customHeight="1">
      <c r="AB105" s="110"/>
      <c r="AJ105" s="111"/>
      <c r="AK105" s="111"/>
      <c r="AL105" s="111"/>
    </row>
    <row r="106" ht="16.5" customHeight="1">
      <c r="AB106" s="110"/>
      <c r="AJ106" s="111"/>
      <c r="AK106" s="111"/>
      <c r="AL106" s="111"/>
    </row>
    <row r="107" ht="16.5" customHeight="1">
      <c r="AB107" s="110"/>
      <c r="AJ107" s="111"/>
      <c r="AK107" s="111"/>
      <c r="AL107" s="111"/>
    </row>
    <row r="108" ht="16.5" customHeight="1">
      <c r="AB108" s="110"/>
      <c r="AJ108" s="111"/>
      <c r="AK108" s="111"/>
      <c r="AL108" s="111"/>
    </row>
    <row r="109" ht="16.5" customHeight="1">
      <c r="AB109" s="110"/>
      <c r="AJ109" s="111"/>
      <c r="AK109" s="111"/>
      <c r="AL109" s="111"/>
    </row>
    <row r="110" ht="16.5" customHeight="1">
      <c r="AB110" s="110"/>
      <c r="AJ110" s="111"/>
      <c r="AK110" s="111"/>
      <c r="AL110" s="111"/>
    </row>
    <row r="111" ht="16.5" customHeight="1">
      <c r="AB111" s="110"/>
      <c r="AJ111" s="111"/>
      <c r="AK111" s="111"/>
      <c r="AL111" s="111"/>
    </row>
    <row r="112" ht="16.5" customHeight="1">
      <c r="AB112" s="110"/>
      <c r="AJ112" s="111"/>
      <c r="AK112" s="111"/>
      <c r="AL112" s="111"/>
    </row>
    <row r="113" ht="16.5" customHeight="1">
      <c r="AB113" s="110"/>
      <c r="AJ113" s="111"/>
      <c r="AK113" s="111"/>
      <c r="AL113" s="111"/>
    </row>
    <row r="114" ht="16.5" customHeight="1">
      <c r="AB114" s="110"/>
      <c r="AJ114" s="111"/>
      <c r="AK114" s="111"/>
      <c r="AL114" s="111"/>
    </row>
    <row r="115" ht="16.5" customHeight="1">
      <c r="AB115" s="110"/>
      <c r="AJ115" s="111"/>
      <c r="AK115" s="111"/>
      <c r="AL115" s="111"/>
    </row>
    <row r="116" ht="16.5" customHeight="1">
      <c r="AB116" s="110"/>
      <c r="AJ116" s="111"/>
      <c r="AK116" s="111"/>
      <c r="AL116" s="111"/>
    </row>
    <row r="117" ht="16.5" customHeight="1">
      <c r="AB117" s="110"/>
      <c r="AJ117" s="111"/>
      <c r="AK117" s="111"/>
      <c r="AL117" s="111"/>
    </row>
    <row r="118" ht="16.5" customHeight="1">
      <c r="AB118" s="110"/>
      <c r="AJ118" s="111"/>
      <c r="AK118" s="111"/>
      <c r="AL118" s="111"/>
    </row>
    <row r="119" ht="16.5" customHeight="1">
      <c r="AB119" s="110"/>
      <c r="AJ119" s="111"/>
      <c r="AK119" s="111"/>
      <c r="AL119" s="111"/>
    </row>
    <row r="120" ht="16.5" customHeight="1">
      <c r="AB120" s="110"/>
      <c r="AJ120" s="111"/>
      <c r="AK120" s="111"/>
      <c r="AL120" s="111"/>
    </row>
    <row r="121" ht="16.5" customHeight="1">
      <c r="AB121" s="110"/>
      <c r="AJ121" s="111"/>
      <c r="AK121" s="111"/>
      <c r="AL121" s="111"/>
    </row>
    <row r="122" ht="16.5" customHeight="1">
      <c r="AB122" s="110"/>
      <c r="AJ122" s="111"/>
      <c r="AK122" s="111"/>
      <c r="AL122" s="111"/>
    </row>
    <row r="123" ht="16.5" customHeight="1">
      <c r="AB123" s="110"/>
      <c r="AJ123" s="111"/>
      <c r="AK123" s="111"/>
      <c r="AL123" s="111"/>
    </row>
    <row r="124" ht="16.5" customHeight="1">
      <c r="AB124" s="110"/>
      <c r="AJ124" s="111"/>
      <c r="AK124" s="111"/>
      <c r="AL124" s="111"/>
    </row>
    <row r="125" ht="16.5" customHeight="1">
      <c r="AB125" s="110"/>
      <c r="AJ125" s="111"/>
      <c r="AK125" s="111"/>
      <c r="AL125" s="111"/>
    </row>
    <row r="126" ht="16.5" customHeight="1">
      <c r="AB126" s="110"/>
      <c r="AJ126" s="111"/>
      <c r="AK126" s="111"/>
      <c r="AL126" s="111"/>
    </row>
    <row r="127" ht="16.5" customHeight="1">
      <c r="AB127" s="110"/>
      <c r="AJ127" s="111"/>
      <c r="AK127" s="111"/>
      <c r="AL127" s="111"/>
    </row>
    <row r="128" ht="16.5" customHeight="1">
      <c r="AB128" s="110"/>
      <c r="AJ128" s="111"/>
      <c r="AK128" s="111"/>
      <c r="AL128" s="111"/>
    </row>
    <row r="129" ht="16.5" customHeight="1">
      <c r="AB129" s="110"/>
      <c r="AJ129" s="111"/>
      <c r="AK129" s="111"/>
      <c r="AL129" s="111"/>
    </row>
    <row r="130" ht="16.5" customHeight="1">
      <c r="AB130" s="110"/>
      <c r="AJ130" s="111"/>
      <c r="AK130" s="111"/>
      <c r="AL130" s="111"/>
    </row>
    <row r="131" ht="16.5" customHeight="1">
      <c r="AB131" s="110"/>
      <c r="AJ131" s="111"/>
      <c r="AK131" s="111"/>
      <c r="AL131" s="111"/>
    </row>
    <row r="132" ht="16.5" customHeight="1">
      <c r="AB132" s="110"/>
      <c r="AJ132" s="111"/>
      <c r="AK132" s="111"/>
      <c r="AL132" s="111"/>
    </row>
    <row r="133" ht="16.5" customHeight="1">
      <c r="AB133" s="110"/>
      <c r="AJ133" s="111"/>
      <c r="AK133" s="111"/>
      <c r="AL133" s="111"/>
    </row>
    <row r="134" ht="16.5" customHeight="1">
      <c r="AB134" s="110"/>
      <c r="AJ134" s="111"/>
      <c r="AK134" s="111"/>
      <c r="AL134" s="111"/>
    </row>
    <row r="135" ht="16.5" customHeight="1">
      <c r="AB135" s="110"/>
      <c r="AJ135" s="111"/>
      <c r="AK135" s="111"/>
      <c r="AL135" s="111"/>
    </row>
    <row r="136" ht="16.5" customHeight="1">
      <c r="AB136" s="110"/>
      <c r="AJ136" s="111"/>
      <c r="AK136" s="111"/>
      <c r="AL136" s="111"/>
    </row>
    <row r="137" ht="16.5" customHeight="1">
      <c r="AB137" s="110"/>
      <c r="AJ137" s="111"/>
      <c r="AK137" s="111"/>
      <c r="AL137" s="111"/>
    </row>
    <row r="138" ht="16.5" customHeight="1">
      <c r="AB138" s="110"/>
      <c r="AJ138" s="111"/>
      <c r="AK138" s="111"/>
      <c r="AL138" s="111"/>
    </row>
    <row r="139" ht="16.5" customHeight="1">
      <c r="AB139" s="110"/>
      <c r="AJ139" s="111"/>
      <c r="AK139" s="111"/>
      <c r="AL139" s="111"/>
    </row>
    <row r="140" ht="16.5" customHeight="1">
      <c r="AB140" s="110"/>
      <c r="AJ140" s="111"/>
      <c r="AK140" s="111"/>
      <c r="AL140" s="111"/>
    </row>
    <row r="141" ht="16.5" customHeight="1">
      <c r="AB141" s="110"/>
      <c r="AJ141" s="111"/>
      <c r="AK141" s="111"/>
      <c r="AL141" s="111"/>
    </row>
    <row r="142" ht="16.5" customHeight="1">
      <c r="AB142" s="110"/>
      <c r="AJ142" s="111"/>
      <c r="AK142" s="111"/>
      <c r="AL142" s="111"/>
    </row>
    <row r="143" ht="16.5" customHeight="1">
      <c r="AB143" s="110"/>
      <c r="AJ143" s="111"/>
      <c r="AK143" s="111"/>
      <c r="AL143" s="111"/>
    </row>
    <row r="144" ht="16.5" customHeight="1">
      <c r="AB144" s="110"/>
      <c r="AJ144" s="111"/>
      <c r="AK144" s="111"/>
      <c r="AL144" s="111"/>
    </row>
    <row r="145" ht="16.5" customHeight="1">
      <c r="AB145" s="110"/>
      <c r="AJ145" s="111"/>
      <c r="AK145" s="111"/>
      <c r="AL145" s="111"/>
    </row>
    <row r="146" ht="16.5" customHeight="1">
      <c r="AB146" s="110"/>
      <c r="AJ146" s="111"/>
      <c r="AK146" s="111"/>
      <c r="AL146" s="111"/>
    </row>
    <row r="147" ht="16.5" customHeight="1">
      <c r="AB147" s="110"/>
      <c r="AJ147" s="111"/>
      <c r="AK147" s="111"/>
      <c r="AL147" s="111"/>
    </row>
    <row r="148" ht="16.5" customHeight="1">
      <c r="AB148" s="110"/>
      <c r="AJ148" s="111"/>
      <c r="AK148" s="111"/>
      <c r="AL148" s="111"/>
    </row>
    <row r="149" ht="16.5" customHeight="1">
      <c r="AB149" s="110"/>
      <c r="AJ149" s="111"/>
      <c r="AK149" s="111"/>
      <c r="AL149" s="111"/>
    </row>
    <row r="150" ht="16.5" customHeight="1">
      <c r="AB150" s="110"/>
      <c r="AJ150" s="111"/>
      <c r="AK150" s="111"/>
      <c r="AL150" s="111"/>
    </row>
    <row r="151" ht="16.5" customHeight="1">
      <c r="AB151" s="110"/>
      <c r="AJ151" s="111"/>
      <c r="AK151" s="111"/>
      <c r="AL151" s="111"/>
    </row>
    <row r="152" ht="16.5" customHeight="1">
      <c r="AB152" s="110"/>
      <c r="AJ152" s="111"/>
      <c r="AK152" s="111"/>
      <c r="AL152" s="111"/>
    </row>
    <row r="153" ht="16.5" customHeight="1">
      <c r="AB153" s="110"/>
      <c r="AJ153" s="111"/>
      <c r="AK153" s="111"/>
      <c r="AL153" s="111"/>
    </row>
    <row r="154" ht="16.5" customHeight="1">
      <c r="AB154" s="110"/>
      <c r="AJ154" s="111"/>
      <c r="AK154" s="111"/>
      <c r="AL154" s="111"/>
    </row>
    <row r="155" ht="16.5" customHeight="1">
      <c r="AB155" s="110"/>
      <c r="AJ155" s="111"/>
      <c r="AK155" s="111"/>
      <c r="AL155" s="111"/>
    </row>
    <row r="156" ht="16.5" customHeight="1">
      <c r="AB156" s="110"/>
      <c r="AJ156" s="111"/>
      <c r="AK156" s="111"/>
      <c r="AL156" s="111"/>
    </row>
    <row r="157" ht="16.5" customHeight="1">
      <c r="AB157" s="110"/>
      <c r="AJ157" s="111"/>
      <c r="AK157" s="111"/>
      <c r="AL157" s="111"/>
    </row>
    <row r="158" ht="16.5" customHeight="1">
      <c r="AB158" s="110"/>
      <c r="AJ158" s="111"/>
      <c r="AK158" s="111"/>
      <c r="AL158" s="111"/>
    </row>
    <row r="159" ht="16.5" customHeight="1">
      <c r="AB159" s="110"/>
      <c r="AJ159" s="111"/>
      <c r="AK159" s="111"/>
      <c r="AL159" s="111"/>
    </row>
    <row r="160" ht="16.5" customHeight="1">
      <c r="AB160" s="110"/>
      <c r="AJ160" s="111"/>
      <c r="AK160" s="111"/>
      <c r="AL160" s="111"/>
    </row>
    <row r="161" ht="16.5" customHeight="1">
      <c r="AB161" s="110"/>
      <c r="AJ161" s="111"/>
      <c r="AK161" s="111"/>
      <c r="AL161" s="111"/>
    </row>
    <row r="162" ht="16.5" customHeight="1">
      <c r="AB162" s="110"/>
      <c r="AJ162" s="111"/>
      <c r="AK162" s="111"/>
      <c r="AL162" s="111"/>
    </row>
    <row r="163" ht="16.5" customHeight="1">
      <c r="AB163" s="110"/>
      <c r="AJ163" s="111"/>
      <c r="AK163" s="111"/>
      <c r="AL163" s="111"/>
    </row>
    <row r="164" ht="16.5" customHeight="1">
      <c r="AB164" s="110"/>
      <c r="AJ164" s="111"/>
      <c r="AK164" s="111"/>
      <c r="AL164" s="111"/>
    </row>
    <row r="165" ht="16.5" customHeight="1">
      <c r="AB165" s="110"/>
      <c r="AJ165" s="111"/>
      <c r="AK165" s="111"/>
      <c r="AL165" s="111"/>
    </row>
    <row r="166" ht="16.5" customHeight="1">
      <c r="AB166" s="110"/>
      <c r="AJ166" s="111"/>
      <c r="AK166" s="111"/>
      <c r="AL166" s="111"/>
    </row>
    <row r="167" ht="16.5" customHeight="1">
      <c r="AB167" s="110"/>
      <c r="AJ167" s="111"/>
      <c r="AK167" s="111"/>
      <c r="AL167" s="111"/>
    </row>
    <row r="168" ht="16.5" customHeight="1">
      <c r="AB168" s="110"/>
      <c r="AJ168" s="111"/>
      <c r="AK168" s="111"/>
      <c r="AL168" s="111"/>
    </row>
    <row r="169" ht="16.5" customHeight="1">
      <c r="AB169" s="110"/>
      <c r="AJ169" s="111"/>
      <c r="AK169" s="111"/>
      <c r="AL169" s="111"/>
    </row>
    <row r="170" ht="16.5" customHeight="1">
      <c r="AB170" s="110"/>
      <c r="AJ170" s="111"/>
      <c r="AK170" s="111"/>
      <c r="AL170" s="111"/>
    </row>
    <row r="171" ht="16.5" customHeight="1">
      <c r="AB171" s="110"/>
      <c r="AJ171" s="111"/>
      <c r="AK171" s="111"/>
      <c r="AL171" s="111"/>
    </row>
    <row r="172" ht="16.5" customHeight="1">
      <c r="AB172" s="110"/>
      <c r="AJ172" s="111"/>
      <c r="AK172" s="111"/>
      <c r="AL172" s="111"/>
    </row>
    <row r="173" ht="16.5" customHeight="1">
      <c r="AB173" s="110"/>
      <c r="AJ173" s="111"/>
      <c r="AK173" s="111"/>
      <c r="AL173" s="111"/>
    </row>
    <row r="174" ht="16.5" customHeight="1">
      <c r="AB174" s="110"/>
      <c r="AJ174" s="111"/>
      <c r="AK174" s="111"/>
      <c r="AL174" s="111"/>
    </row>
    <row r="175" ht="16.5" customHeight="1">
      <c r="AB175" s="110"/>
      <c r="AJ175" s="111"/>
      <c r="AK175" s="111"/>
      <c r="AL175" s="111"/>
    </row>
    <row r="176" ht="16.5" customHeight="1">
      <c r="AB176" s="110"/>
      <c r="AJ176" s="111"/>
      <c r="AK176" s="111"/>
      <c r="AL176" s="111"/>
    </row>
    <row r="177" ht="16.5" customHeight="1">
      <c r="AB177" s="110"/>
      <c r="AJ177" s="111"/>
      <c r="AK177" s="111"/>
      <c r="AL177" s="111"/>
    </row>
    <row r="178" ht="16.5" customHeight="1">
      <c r="AB178" s="110"/>
      <c r="AJ178" s="111"/>
      <c r="AK178" s="111"/>
      <c r="AL178" s="111"/>
    </row>
    <row r="179" ht="16.5" customHeight="1">
      <c r="AB179" s="110"/>
      <c r="AJ179" s="111"/>
      <c r="AK179" s="111"/>
      <c r="AL179" s="111"/>
    </row>
    <row r="180" ht="16.5" customHeight="1">
      <c r="AB180" s="110"/>
      <c r="AJ180" s="111"/>
      <c r="AK180" s="111"/>
      <c r="AL180" s="111"/>
    </row>
    <row r="181" ht="16.5" customHeight="1">
      <c r="AB181" s="110"/>
      <c r="AJ181" s="111"/>
      <c r="AK181" s="111"/>
      <c r="AL181" s="111"/>
    </row>
    <row r="182" ht="16.5" customHeight="1">
      <c r="AB182" s="110"/>
      <c r="AJ182" s="111"/>
      <c r="AK182" s="111"/>
      <c r="AL182" s="111"/>
    </row>
    <row r="183" ht="16.5" customHeight="1">
      <c r="AB183" s="110"/>
      <c r="AJ183" s="111"/>
      <c r="AK183" s="111"/>
      <c r="AL183" s="111"/>
    </row>
    <row r="184" ht="16.5" customHeight="1">
      <c r="AB184" s="110"/>
      <c r="AJ184" s="111"/>
      <c r="AK184" s="111"/>
      <c r="AL184" s="111"/>
    </row>
    <row r="185" ht="16.5" customHeight="1">
      <c r="AB185" s="110"/>
      <c r="AJ185" s="111"/>
      <c r="AK185" s="111"/>
      <c r="AL185" s="111"/>
    </row>
    <row r="186" ht="16.5" customHeight="1">
      <c r="AB186" s="110"/>
      <c r="AJ186" s="111"/>
      <c r="AK186" s="111"/>
      <c r="AL186" s="111"/>
    </row>
    <row r="187" ht="16.5" customHeight="1">
      <c r="AB187" s="110"/>
      <c r="AJ187" s="111"/>
      <c r="AK187" s="111"/>
      <c r="AL187" s="111"/>
    </row>
    <row r="188" ht="16.5" customHeight="1">
      <c r="AB188" s="110"/>
      <c r="AJ188" s="111"/>
      <c r="AK188" s="111"/>
      <c r="AL188" s="111"/>
    </row>
    <row r="189" ht="16.5" customHeight="1">
      <c r="AB189" s="110"/>
      <c r="AJ189" s="111"/>
      <c r="AK189" s="111"/>
      <c r="AL189" s="111"/>
    </row>
    <row r="190" ht="16.5" customHeight="1">
      <c r="AB190" s="110"/>
      <c r="AJ190" s="111"/>
      <c r="AK190" s="111"/>
      <c r="AL190" s="111"/>
    </row>
    <row r="191" ht="16.5" customHeight="1">
      <c r="AB191" s="110"/>
      <c r="AJ191" s="111"/>
      <c r="AK191" s="111"/>
      <c r="AL191" s="111"/>
    </row>
    <row r="192" ht="16.5" customHeight="1">
      <c r="AB192" s="110"/>
      <c r="AJ192" s="111"/>
      <c r="AK192" s="111"/>
      <c r="AL192" s="111"/>
    </row>
    <row r="193" ht="16.5" customHeight="1">
      <c r="AB193" s="110"/>
      <c r="AJ193" s="111"/>
      <c r="AK193" s="111"/>
      <c r="AL193" s="111"/>
    </row>
    <row r="194" ht="16.5" customHeight="1">
      <c r="AB194" s="110"/>
      <c r="AJ194" s="111"/>
      <c r="AK194" s="111"/>
      <c r="AL194" s="111"/>
    </row>
    <row r="195" ht="16.5" customHeight="1">
      <c r="AB195" s="110"/>
      <c r="AJ195" s="111"/>
      <c r="AK195" s="111"/>
      <c r="AL195" s="111"/>
    </row>
    <row r="196" ht="16.5" customHeight="1">
      <c r="AB196" s="110"/>
      <c r="AJ196" s="111"/>
      <c r="AK196" s="111"/>
      <c r="AL196" s="111"/>
    </row>
    <row r="197" ht="16.5" customHeight="1">
      <c r="AB197" s="110"/>
      <c r="AJ197" s="111"/>
      <c r="AK197" s="111"/>
      <c r="AL197" s="111"/>
    </row>
    <row r="198" ht="16.5" customHeight="1">
      <c r="AB198" s="110"/>
      <c r="AJ198" s="111"/>
      <c r="AK198" s="111"/>
      <c r="AL198" s="111"/>
    </row>
    <row r="199" ht="16.5" customHeight="1">
      <c r="AB199" s="110"/>
      <c r="AJ199" s="111"/>
      <c r="AK199" s="111"/>
      <c r="AL199" s="111"/>
    </row>
    <row r="200" ht="16.5" customHeight="1">
      <c r="AB200" s="110"/>
      <c r="AJ200" s="111"/>
      <c r="AK200" s="111"/>
      <c r="AL200" s="111"/>
    </row>
    <row r="201" ht="16.5" customHeight="1">
      <c r="AB201" s="110"/>
      <c r="AJ201" s="111"/>
      <c r="AK201" s="111"/>
      <c r="AL201" s="111"/>
    </row>
    <row r="202" ht="16.5" customHeight="1">
      <c r="AB202" s="110"/>
      <c r="AJ202" s="111"/>
      <c r="AK202" s="111"/>
      <c r="AL202" s="111"/>
    </row>
    <row r="203" ht="16.5" customHeight="1">
      <c r="AB203" s="110"/>
      <c r="AJ203" s="111"/>
      <c r="AK203" s="111"/>
      <c r="AL203" s="111"/>
    </row>
    <row r="204" ht="16.5" customHeight="1">
      <c r="AB204" s="110"/>
      <c r="AJ204" s="111"/>
      <c r="AK204" s="111"/>
      <c r="AL204" s="111"/>
    </row>
    <row r="205" ht="16.5" customHeight="1">
      <c r="AB205" s="110"/>
      <c r="AJ205" s="111"/>
      <c r="AK205" s="111"/>
      <c r="AL205" s="111"/>
    </row>
    <row r="206" ht="16.5" customHeight="1">
      <c r="AB206" s="110"/>
      <c r="AJ206" s="111"/>
      <c r="AK206" s="111"/>
      <c r="AL206" s="111"/>
    </row>
    <row r="207" ht="16.5" customHeight="1">
      <c r="AB207" s="110"/>
      <c r="AJ207" s="111"/>
      <c r="AK207" s="111"/>
      <c r="AL207" s="111"/>
    </row>
    <row r="208" ht="16.5" customHeight="1">
      <c r="AB208" s="110"/>
      <c r="AJ208" s="111"/>
      <c r="AK208" s="111"/>
      <c r="AL208" s="111"/>
    </row>
    <row r="209" ht="16.5" customHeight="1">
      <c r="AB209" s="110"/>
      <c r="AJ209" s="111"/>
      <c r="AK209" s="111"/>
      <c r="AL209" s="111"/>
    </row>
    <row r="210" ht="16.5" customHeight="1">
      <c r="AB210" s="110"/>
      <c r="AJ210" s="111"/>
      <c r="AK210" s="111"/>
      <c r="AL210" s="111"/>
    </row>
    <row r="211" ht="16.5" customHeight="1">
      <c r="AB211" s="110"/>
      <c r="AJ211" s="111"/>
      <c r="AK211" s="111"/>
      <c r="AL211" s="111"/>
    </row>
    <row r="212" ht="16.5" customHeight="1">
      <c r="AB212" s="110"/>
      <c r="AJ212" s="111"/>
      <c r="AK212" s="111"/>
      <c r="AL212" s="111"/>
    </row>
    <row r="213" ht="16.5" customHeight="1">
      <c r="AB213" s="110"/>
      <c r="AJ213" s="111"/>
      <c r="AK213" s="111"/>
      <c r="AL213" s="111"/>
    </row>
    <row r="214" ht="16.5" customHeight="1">
      <c r="AB214" s="110"/>
      <c r="AJ214" s="111"/>
      <c r="AK214" s="111"/>
      <c r="AL214" s="111"/>
    </row>
    <row r="215" ht="16.5" customHeight="1">
      <c r="AB215" s="110"/>
      <c r="AJ215" s="111"/>
      <c r="AK215" s="111"/>
      <c r="AL215" s="111"/>
    </row>
    <row r="216" ht="16.5" customHeight="1">
      <c r="AB216" s="110"/>
      <c r="AJ216" s="111"/>
      <c r="AK216" s="111"/>
      <c r="AL216" s="111"/>
    </row>
    <row r="217" ht="16.5" customHeight="1">
      <c r="AB217" s="110"/>
      <c r="AJ217" s="111"/>
      <c r="AK217" s="111"/>
      <c r="AL217" s="111"/>
    </row>
    <row r="218" ht="16.5" customHeight="1">
      <c r="AB218" s="110"/>
      <c r="AJ218" s="111"/>
      <c r="AK218" s="111"/>
      <c r="AL218" s="111"/>
    </row>
    <row r="219" ht="16.5" customHeight="1">
      <c r="AB219" s="110"/>
      <c r="AJ219" s="111"/>
      <c r="AK219" s="111"/>
      <c r="AL219" s="111"/>
    </row>
    <row r="220" ht="16.5" customHeight="1">
      <c r="AB220" s="110"/>
      <c r="AJ220" s="111"/>
      <c r="AK220" s="111"/>
      <c r="AL220" s="111"/>
    </row>
    <row r="221" ht="16.5" customHeight="1">
      <c r="AB221" s="110"/>
      <c r="AJ221" s="111"/>
      <c r="AK221" s="111"/>
      <c r="AL221" s="111"/>
    </row>
    <row r="222" ht="16.5" customHeight="1">
      <c r="AB222" s="110"/>
      <c r="AJ222" s="111"/>
      <c r="AK222" s="111"/>
      <c r="AL222" s="111"/>
    </row>
    <row r="223" ht="16.5" customHeight="1">
      <c r="AB223" s="110"/>
      <c r="AJ223" s="111"/>
      <c r="AK223" s="111"/>
      <c r="AL223" s="111"/>
    </row>
    <row r="224" ht="16.5" customHeight="1">
      <c r="AB224" s="110"/>
      <c r="AJ224" s="111"/>
      <c r="AK224" s="111"/>
      <c r="AL224" s="111"/>
    </row>
    <row r="225" ht="16.5" customHeight="1">
      <c r="AB225" s="110"/>
      <c r="AJ225" s="111"/>
      <c r="AK225" s="111"/>
      <c r="AL225" s="111"/>
    </row>
    <row r="226" ht="16.5" customHeight="1">
      <c r="AB226" s="110"/>
      <c r="AJ226" s="111"/>
      <c r="AK226" s="111"/>
      <c r="AL226" s="111"/>
    </row>
    <row r="227" ht="16.5" customHeight="1">
      <c r="AB227" s="110"/>
      <c r="AJ227" s="111"/>
      <c r="AK227" s="111"/>
      <c r="AL227" s="111"/>
    </row>
    <row r="228" ht="16.5" customHeight="1">
      <c r="AB228" s="110"/>
      <c r="AJ228" s="111"/>
      <c r="AK228" s="111"/>
      <c r="AL228" s="111"/>
    </row>
    <row r="229" ht="16.5" customHeight="1">
      <c r="AB229" s="110"/>
      <c r="AJ229" s="111"/>
      <c r="AK229" s="111"/>
      <c r="AL229" s="111"/>
    </row>
    <row r="230" ht="16.5" customHeight="1">
      <c r="AB230" s="110"/>
      <c r="AJ230" s="111"/>
      <c r="AK230" s="111"/>
      <c r="AL230" s="111"/>
    </row>
    <row r="231" ht="16.5" customHeight="1">
      <c r="AB231" s="110"/>
      <c r="AJ231" s="111"/>
      <c r="AK231" s="111"/>
      <c r="AL231" s="111"/>
    </row>
    <row r="232" ht="16.5" customHeight="1">
      <c r="AB232" s="110"/>
      <c r="AJ232" s="111"/>
      <c r="AK232" s="111"/>
      <c r="AL232" s="111"/>
    </row>
    <row r="233" ht="16.5" customHeight="1">
      <c r="AB233" s="110"/>
      <c r="AJ233" s="111"/>
      <c r="AK233" s="111"/>
      <c r="AL233" s="111"/>
    </row>
    <row r="234" ht="16.5" customHeight="1">
      <c r="AB234" s="110"/>
      <c r="AJ234" s="111"/>
      <c r="AK234" s="111"/>
      <c r="AL234" s="111"/>
    </row>
    <row r="235" ht="16.5" customHeight="1">
      <c r="AB235" s="110"/>
      <c r="AJ235" s="111"/>
      <c r="AK235" s="111"/>
      <c r="AL235" s="111"/>
    </row>
    <row r="236" ht="16.5" customHeight="1">
      <c r="AB236" s="110"/>
      <c r="AJ236" s="111"/>
      <c r="AK236" s="111"/>
      <c r="AL236" s="111"/>
    </row>
    <row r="237" ht="16.5" customHeight="1">
      <c r="AB237" s="110"/>
      <c r="AJ237" s="111"/>
      <c r="AK237" s="111"/>
      <c r="AL237" s="111"/>
    </row>
    <row r="238" ht="16.5" customHeight="1">
      <c r="AB238" s="110"/>
      <c r="AJ238" s="111"/>
      <c r="AK238" s="111"/>
      <c r="AL238" s="111"/>
    </row>
    <row r="239" ht="16.5" customHeight="1">
      <c r="AB239" s="110"/>
      <c r="AJ239" s="111"/>
      <c r="AK239" s="111"/>
      <c r="AL239" s="111"/>
    </row>
    <row r="240" ht="16.5" customHeight="1">
      <c r="AB240" s="110"/>
      <c r="AJ240" s="111"/>
      <c r="AK240" s="111"/>
      <c r="AL240" s="111"/>
    </row>
    <row r="241" ht="16.5" customHeight="1">
      <c r="AB241" s="110"/>
      <c r="AJ241" s="111"/>
      <c r="AK241" s="111"/>
      <c r="AL241" s="111"/>
    </row>
    <row r="242" ht="16.5" customHeight="1">
      <c r="AB242" s="110"/>
      <c r="AJ242" s="111"/>
      <c r="AK242" s="111"/>
      <c r="AL242" s="111"/>
    </row>
    <row r="243" ht="16.5" customHeight="1">
      <c r="AB243" s="110"/>
      <c r="AJ243" s="111"/>
      <c r="AK243" s="111"/>
      <c r="AL243" s="111"/>
    </row>
    <row r="244" ht="16.5" customHeight="1">
      <c r="AB244" s="110"/>
      <c r="AJ244" s="111"/>
      <c r="AK244" s="111"/>
      <c r="AL244" s="111"/>
    </row>
    <row r="245" ht="16.5" customHeight="1">
      <c r="AB245" s="110"/>
      <c r="AJ245" s="111"/>
      <c r="AK245" s="111"/>
      <c r="AL245" s="111"/>
    </row>
    <row r="246" ht="16.5" customHeight="1">
      <c r="AB246" s="110"/>
      <c r="AJ246" s="111"/>
      <c r="AK246" s="111"/>
      <c r="AL246" s="111"/>
    </row>
    <row r="247" ht="16.5" customHeight="1">
      <c r="AB247" s="110"/>
      <c r="AJ247" s="111"/>
      <c r="AK247" s="111"/>
      <c r="AL247" s="111"/>
    </row>
    <row r="248" ht="16.5" customHeight="1">
      <c r="AB248" s="110"/>
      <c r="AJ248" s="111"/>
      <c r="AK248" s="111"/>
      <c r="AL248" s="111"/>
    </row>
    <row r="249" ht="16.5" customHeight="1">
      <c r="AB249" s="110"/>
      <c r="AJ249" s="111"/>
      <c r="AK249" s="111"/>
      <c r="AL249" s="111"/>
    </row>
    <row r="250" ht="16.5" customHeight="1">
      <c r="AB250" s="110"/>
      <c r="AJ250" s="111"/>
      <c r="AK250" s="111"/>
      <c r="AL250" s="111"/>
    </row>
    <row r="251" ht="16.5" customHeight="1">
      <c r="AB251" s="110"/>
      <c r="AJ251" s="111"/>
      <c r="AK251" s="111"/>
      <c r="AL251" s="111"/>
    </row>
    <row r="252" ht="16.5" customHeight="1">
      <c r="AB252" s="110"/>
      <c r="AJ252" s="111"/>
      <c r="AK252" s="111"/>
      <c r="AL252" s="111"/>
    </row>
    <row r="253" ht="16.5" customHeight="1">
      <c r="AB253" s="110"/>
      <c r="AJ253" s="111"/>
      <c r="AK253" s="111"/>
      <c r="AL253" s="111"/>
    </row>
    <row r="254" ht="16.5" customHeight="1">
      <c r="AB254" s="110"/>
      <c r="AJ254" s="111"/>
      <c r="AK254" s="111"/>
      <c r="AL254" s="111"/>
    </row>
    <row r="255" ht="16.5" customHeight="1">
      <c r="AB255" s="110"/>
      <c r="AJ255" s="111"/>
      <c r="AK255" s="111"/>
      <c r="AL255" s="111"/>
    </row>
    <row r="256" ht="16.5" customHeight="1">
      <c r="AB256" s="110"/>
      <c r="AJ256" s="111"/>
      <c r="AK256" s="111"/>
      <c r="AL256" s="111"/>
    </row>
    <row r="257" ht="16.5" customHeight="1">
      <c r="AB257" s="110"/>
      <c r="AJ257" s="111"/>
      <c r="AK257" s="111"/>
      <c r="AL257" s="111"/>
    </row>
    <row r="258" ht="16.5" customHeight="1">
      <c r="AB258" s="110"/>
      <c r="AJ258" s="111"/>
      <c r="AK258" s="111"/>
      <c r="AL258" s="111"/>
    </row>
    <row r="259" ht="16.5" customHeight="1">
      <c r="AB259" s="110"/>
      <c r="AJ259" s="111"/>
      <c r="AK259" s="111"/>
      <c r="AL259" s="111"/>
    </row>
    <row r="260" ht="16.5" customHeight="1">
      <c r="AB260" s="110"/>
      <c r="AJ260" s="111"/>
      <c r="AK260" s="111"/>
      <c r="AL260" s="111"/>
    </row>
    <row r="261" ht="16.5" customHeight="1">
      <c r="AB261" s="110"/>
      <c r="AJ261" s="111"/>
      <c r="AK261" s="111"/>
      <c r="AL261" s="111"/>
    </row>
    <row r="262" ht="16.5" customHeight="1">
      <c r="AB262" s="110"/>
      <c r="AJ262" s="111"/>
      <c r="AK262" s="111"/>
      <c r="AL262" s="111"/>
    </row>
    <row r="263" ht="16.5" customHeight="1">
      <c r="AB263" s="110"/>
      <c r="AJ263" s="111"/>
      <c r="AK263" s="111"/>
      <c r="AL263" s="111"/>
    </row>
    <row r="264" ht="16.5" customHeight="1">
      <c r="AB264" s="110"/>
      <c r="AJ264" s="111"/>
      <c r="AK264" s="111"/>
      <c r="AL264" s="111"/>
    </row>
    <row r="265" ht="16.5" customHeight="1">
      <c r="AB265" s="110"/>
      <c r="AJ265" s="111"/>
      <c r="AK265" s="111"/>
      <c r="AL265" s="111"/>
    </row>
    <row r="266" ht="16.5" customHeight="1">
      <c r="AB266" s="110"/>
      <c r="AJ266" s="111"/>
      <c r="AK266" s="111"/>
      <c r="AL266" s="111"/>
    </row>
    <row r="267" ht="16.5" customHeight="1">
      <c r="AB267" s="110"/>
      <c r="AJ267" s="111"/>
      <c r="AK267" s="111"/>
      <c r="AL267" s="111"/>
    </row>
    <row r="268" ht="16.5" customHeight="1">
      <c r="AB268" s="110"/>
      <c r="AJ268" s="111"/>
      <c r="AK268" s="111"/>
      <c r="AL268" s="111"/>
    </row>
    <row r="269" ht="16.5" customHeight="1">
      <c r="AB269" s="110"/>
      <c r="AJ269" s="111"/>
      <c r="AK269" s="111"/>
      <c r="AL269" s="111"/>
    </row>
    <row r="270" ht="16.5" customHeight="1">
      <c r="AB270" s="110"/>
      <c r="AJ270" s="111"/>
      <c r="AK270" s="111"/>
      <c r="AL270" s="111"/>
    </row>
    <row r="271" ht="16.5" customHeight="1">
      <c r="AB271" s="110"/>
      <c r="AJ271" s="111"/>
      <c r="AK271" s="111"/>
      <c r="AL271" s="111"/>
    </row>
    <row r="272" ht="16.5" customHeight="1">
      <c r="AB272" s="110"/>
      <c r="AJ272" s="111"/>
      <c r="AK272" s="111"/>
      <c r="AL272" s="111"/>
    </row>
    <row r="273" ht="16.5" customHeight="1">
      <c r="AB273" s="110"/>
      <c r="AJ273" s="111"/>
      <c r="AK273" s="111"/>
      <c r="AL273" s="111"/>
    </row>
    <row r="274" ht="16.5" customHeight="1">
      <c r="AB274" s="110"/>
      <c r="AJ274" s="111"/>
      <c r="AK274" s="111"/>
      <c r="AL274" s="111"/>
    </row>
    <row r="275" ht="16.5" customHeight="1">
      <c r="AB275" s="110"/>
      <c r="AJ275" s="111"/>
      <c r="AK275" s="111"/>
      <c r="AL275" s="111"/>
    </row>
    <row r="276" ht="16.5" customHeight="1">
      <c r="AB276" s="110"/>
      <c r="AJ276" s="111"/>
      <c r="AK276" s="111"/>
      <c r="AL276" s="111"/>
    </row>
    <row r="277" ht="16.5" customHeight="1">
      <c r="AB277" s="110"/>
      <c r="AJ277" s="111"/>
      <c r="AK277" s="111"/>
      <c r="AL277" s="111"/>
    </row>
    <row r="278" ht="16.5" customHeight="1">
      <c r="AB278" s="110"/>
      <c r="AJ278" s="111"/>
      <c r="AK278" s="111"/>
      <c r="AL278" s="111"/>
    </row>
    <row r="279" ht="16.5" customHeight="1">
      <c r="AB279" s="110"/>
      <c r="AJ279" s="111"/>
      <c r="AK279" s="111"/>
      <c r="AL279" s="111"/>
    </row>
    <row r="280" ht="16.5" customHeight="1">
      <c r="AB280" s="110"/>
      <c r="AJ280" s="111"/>
      <c r="AK280" s="111"/>
      <c r="AL280" s="111"/>
    </row>
    <row r="281" ht="16.5" customHeight="1">
      <c r="AB281" s="110"/>
      <c r="AJ281" s="111"/>
      <c r="AK281" s="111"/>
      <c r="AL281" s="111"/>
    </row>
    <row r="282" ht="16.5" customHeight="1">
      <c r="AB282" s="110"/>
      <c r="AJ282" s="111"/>
      <c r="AK282" s="111"/>
      <c r="AL282" s="111"/>
    </row>
    <row r="283" ht="16.5" customHeight="1">
      <c r="AB283" s="110"/>
      <c r="AJ283" s="111"/>
      <c r="AK283" s="111"/>
      <c r="AL283" s="111"/>
    </row>
    <row r="284" ht="16.5" customHeight="1">
      <c r="AB284" s="110"/>
      <c r="AJ284" s="111"/>
      <c r="AK284" s="111"/>
      <c r="AL284" s="111"/>
    </row>
    <row r="285" ht="16.5" customHeight="1">
      <c r="AB285" s="110"/>
      <c r="AJ285" s="111"/>
      <c r="AK285" s="111"/>
      <c r="AL285" s="111"/>
    </row>
    <row r="286" ht="16.5" customHeight="1">
      <c r="AB286" s="110"/>
      <c r="AJ286" s="111"/>
      <c r="AK286" s="111"/>
      <c r="AL286" s="111"/>
    </row>
    <row r="287" ht="16.5" customHeight="1">
      <c r="AB287" s="110"/>
      <c r="AJ287" s="111"/>
      <c r="AK287" s="111"/>
      <c r="AL287" s="111"/>
    </row>
    <row r="288" ht="16.5" customHeight="1">
      <c r="AB288" s="110"/>
      <c r="AJ288" s="111"/>
      <c r="AK288" s="111"/>
      <c r="AL288" s="111"/>
    </row>
    <row r="289" ht="16.5" customHeight="1">
      <c r="AB289" s="110"/>
      <c r="AJ289" s="111"/>
      <c r="AK289" s="111"/>
      <c r="AL289" s="111"/>
    </row>
    <row r="290" ht="16.5" customHeight="1">
      <c r="AB290" s="110"/>
      <c r="AJ290" s="111"/>
      <c r="AK290" s="111"/>
      <c r="AL290" s="111"/>
    </row>
    <row r="291" ht="16.5" customHeight="1">
      <c r="AB291" s="110"/>
      <c r="AJ291" s="111"/>
      <c r="AK291" s="111"/>
      <c r="AL291" s="111"/>
    </row>
    <row r="292" ht="16.5" customHeight="1">
      <c r="AB292" s="110"/>
      <c r="AJ292" s="111"/>
      <c r="AK292" s="111"/>
      <c r="AL292" s="111"/>
    </row>
    <row r="293" ht="16.5" customHeight="1">
      <c r="AB293" s="110"/>
      <c r="AJ293" s="111"/>
      <c r="AK293" s="111"/>
      <c r="AL293" s="111"/>
    </row>
    <row r="294" ht="16.5" customHeight="1">
      <c r="AB294" s="110"/>
      <c r="AJ294" s="111"/>
      <c r="AK294" s="111"/>
      <c r="AL294" s="111"/>
    </row>
    <row r="295" ht="16.5" customHeight="1">
      <c r="AB295" s="110"/>
      <c r="AJ295" s="111"/>
      <c r="AK295" s="111"/>
      <c r="AL295" s="111"/>
    </row>
    <row r="296" ht="16.5" customHeight="1">
      <c r="AB296" s="110"/>
      <c r="AJ296" s="111"/>
      <c r="AK296" s="111"/>
      <c r="AL296" s="111"/>
    </row>
    <row r="297" ht="16.5" customHeight="1">
      <c r="AB297" s="110"/>
      <c r="AJ297" s="111"/>
      <c r="AK297" s="111"/>
      <c r="AL297" s="111"/>
    </row>
    <row r="298" ht="16.5" customHeight="1">
      <c r="AB298" s="110"/>
      <c r="AJ298" s="111"/>
      <c r="AK298" s="111"/>
      <c r="AL298" s="111"/>
    </row>
    <row r="299" ht="16.5" customHeight="1">
      <c r="AB299" s="110"/>
      <c r="AJ299" s="111"/>
      <c r="AK299" s="111"/>
      <c r="AL299" s="111"/>
    </row>
    <row r="300" ht="16.5" customHeight="1">
      <c r="AB300" s="110"/>
      <c r="AJ300" s="111"/>
      <c r="AK300" s="111"/>
      <c r="AL300" s="111"/>
    </row>
    <row r="301" ht="16.5" customHeight="1">
      <c r="AB301" s="110"/>
      <c r="AJ301" s="111"/>
      <c r="AK301" s="111"/>
      <c r="AL301" s="111"/>
    </row>
    <row r="302" ht="16.5" customHeight="1">
      <c r="AB302" s="110"/>
      <c r="AJ302" s="111"/>
      <c r="AK302" s="111"/>
      <c r="AL302" s="111"/>
    </row>
    <row r="303" ht="16.5" customHeight="1">
      <c r="AB303" s="110"/>
      <c r="AJ303" s="111"/>
      <c r="AK303" s="111"/>
      <c r="AL303" s="111"/>
    </row>
    <row r="304" ht="16.5" customHeight="1">
      <c r="AB304" s="110"/>
      <c r="AJ304" s="111"/>
      <c r="AK304" s="111"/>
      <c r="AL304" s="111"/>
    </row>
    <row r="305" ht="16.5" customHeight="1">
      <c r="AB305" s="110"/>
      <c r="AJ305" s="111"/>
      <c r="AK305" s="111"/>
      <c r="AL305" s="111"/>
    </row>
    <row r="306" ht="16.5" customHeight="1">
      <c r="AB306" s="110"/>
      <c r="AJ306" s="111"/>
      <c r="AK306" s="111"/>
      <c r="AL306" s="111"/>
    </row>
    <row r="307" ht="16.5" customHeight="1">
      <c r="AB307" s="110"/>
      <c r="AJ307" s="111"/>
      <c r="AK307" s="111"/>
      <c r="AL307" s="111"/>
    </row>
    <row r="308" ht="16.5" customHeight="1">
      <c r="AB308" s="110"/>
      <c r="AJ308" s="111"/>
      <c r="AK308" s="111"/>
      <c r="AL308" s="111"/>
    </row>
    <row r="309" ht="16.5" customHeight="1">
      <c r="AB309" s="110"/>
      <c r="AJ309" s="111"/>
      <c r="AK309" s="111"/>
      <c r="AL309" s="111"/>
    </row>
    <row r="310" ht="16.5" customHeight="1">
      <c r="AB310" s="110"/>
      <c r="AJ310" s="111"/>
      <c r="AK310" s="111"/>
      <c r="AL310" s="111"/>
    </row>
    <row r="311" ht="16.5" customHeight="1">
      <c r="AB311" s="110"/>
      <c r="AJ311" s="111"/>
      <c r="AK311" s="111"/>
      <c r="AL311" s="111"/>
    </row>
    <row r="312" ht="16.5" customHeight="1">
      <c r="AB312" s="110"/>
      <c r="AJ312" s="111"/>
      <c r="AK312" s="111"/>
      <c r="AL312" s="111"/>
    </row>
    <row r="313" ht="16.5" customHeight="1">
      <c r="AB313" s="110"/>
      <c r="AJ313" s="111"/>
      <c r="AK313" s="111"/>
      <c r="AL313" s="111"/>
    </row>
    <row r="314" ht="16.5" customHeight="1">
      <c r="AB314" s="110"/>
      <c r="AJ314" s="111"/>
      <c r="AK314" s="111"/>
      <c r="AL314" s="111"/>
    </row>
    <row r="315" ht="16.5" customHeight="1">
      <c r="AB315" s="110"/>
      <c r="AJ315" s="111"/>
      <c r="AK315" s="111"/>
      <c r="AL315" s="111"/>
    </row>
    <row r="316" ht="16.5" customHeight="1">
      <c r="AB316" s="110"/>
      <c r="AJ316" s="111"/>
      <c r="AK316" s="111"/>
      <c r="AL316" s="111"/>
    </row>
    <row r="317" ht="16.5" customHeight="1">
      <c r="AB317" s="110"/>
      <c r="AJ317" s="111"/>
      <c r="AK317" s="111"/>
      <c r="AL317" s="111"/>
    </row>
    <row r="318" ht="16.5" customHeight="1">
      <c r="AB318" s="110"/>
      <c r="AJ318" s="111"/>
      <c r="AK318" s="111"/>
      <c r="AL318" s="111"/>
    </row>
    <row r="319" ht="16.5" customHeight="1">
      <c r="AB319" s="110"/>
      <c r="AJ319" s="111"/>
      <c r="AK319" s="111"/>
      <c r="AL319" s="111"/>
    </row>
    <row r="320" ht="16.5" customHeight="1">
      <c r="AB320" s="110"/>
      <c r="AJ320" s="111"/>
      <c r="AK320" s="111"/>
      <c r="AL320" s="111"/>
    </row>
    <row r="321" ht="16.5" customHeight="1">
      <c r="AB321" s="110"/>
      <c r="AJ321" s="111"/>
      <c r="AK321" s="111"/>
      <c r="AL321" s="111"/>
    </row>
    <row r="322" ht="16.5" customHeight="1">
      <c r="AB322" s="110"/>
      <c r="AJ322" s="111"/>
      <c r="AK322" s="111"/>
      <c r="AL322" s="111"/>
    </row>
    <row r="323" ht="16.5" customHeight="1">
      <c r="AB323" s="110"/>
      <c r="AJ323" s="111"/>
      <c r="AK323" s="111"/>
      <c r="AL323" s="111"/>
    </row>
    <row r="324" ht="16.5" customHeight="1">
      <c r="AB324" s="110"/>
      <c r="AJ324" s="111"/>
      <c r="AK324" s="111"/>
      <c r="AL324" s="111"/>
    </row>
    <row r="325" ht="16.5" customHeight="1">
      <c r="AB325" s="110"/>
      <c r="AJ325" s="111"/>
      <c r="AK325" s="111"/>
      <c r="AL325" s="111"/>
    </row>
    <row r="326" ht="16.5" customHeight="1">
      <c r="AB326" s="110"/>
      <c r="AJ326" s="111"/>
      <c r="AK326" s="111"/>
      <c r="AL326" s="111"/>
    </row>
    <row r="327" ht="16.5" customHeight="1">
      <c r="AB327" s="110"/>
      <c r="AJ327" s="111"/>
      <c r="AK327" s="111"/>
      <c r="AL327" s="111"/>
    </row>
    <row r="328" ht="16.5" customHeight="1">
      <c r="AB328" s="110"/>
      <c r="AJ328" s="111"/>
      <c r="AK328" s="111"/>
      <c r="AL328" s="111"/>
    </row>
    <row r="329" ht="16.5" customHeight="1">
      <c r="AB329" s="110"/>
      <c r="AJ329" s="111"/>
      <c r="AK329" s="111"/>
      <c r="AL329" s="111"/>
    </row>
    <row r="330" ht="16.5" customHeight="1">
      <c r="AB330" s="110"/>
      <c r="AJ330" s="111"/>
      <c r="AK330" s="111"/>
      <c r="AL330" s="111"/>
    </row>
    <row r="331" ht="16.5" customHeight="1">
      <c r="AB331" s="110"/>
      <c r="AJ331" s="111"/>
      <c r="AK331" s="111"/>
      <c r="AL331" s="111"/>
    </row>
    <row r="332" ht="16.5" customHeight="1">
      <c r="AB332" s="110"/>
      <c r="AJ332" s="111"/>
      <c r="AK332" s="111"/>
      <c r="AL332" s="111"/>
    </row>
    <row r="333" ht="16.5" customHeight="1">
      <c r="AB333" s="110"/>
      <c r="AJ333" s="111"/>
      <c r="AK333" s="111"/>
      <c r="AL333" s="111"/>
    </row>
    <row r="334" ht="16.5" customHeight="1">
      <c r="AB334" s="110"/>
      <c r="AJ334" s="111"/>
      <c r="AK334" s="111"/>
      <c r="AL334" s="111"/>
    </row>
    <row r="335" ht="16.5" customHeight="1">
      <c r="AB335" s="110"/>
      <c r="AJ335" s="111"/>
      <c r="AK335" s="111"/>
      <c r="AL335" s="111"/>
    </row>
    <row r="336" ht="16.5" customHeight="1">
      <c r="AB336" s="110"/>
      <c r="AJ336" s="111"/>
      <c r="AK336" s="111"/>
      <c r="AL336" s="111"/>
    </row>
    <row r="337" ht="16.5" customHeight="1">
      <c r="AB337" s="110"/>
      <c r="AJ337" s="111"/>
      <c r="AK337" s="111"/>
      <c r="AL337" s="111"/>
    </row>
    <row r="338" ht="16.5" customHeight="1">
      <c r="AB338" s="110"/>
      <c r="AJ338" s="111"/>
      <c r="AK338" s="111"/>
      <c r="AL338" s="111"/>
    </row>
    <row r="339" ht="16.5" customHeight="1">
      <c r="AB339" s="110"/>
      <c r="AJ339" s="111"/>
      <c r="AK339" s="111"/>
      <c r="AL339" s="111"/>
    </row>
    <row r="340" ht="16.5" customHeight="1">
      <c r="AB340" s="110"/>
      <c r="AJ340" s="111"/>
      <c r="AK340" s="111"/>
      <c r="AL340" s="111"/>
    </row>
    <row r="341" ht="16.5" customHeight="1">
      <c r="AB341" s="110"/>
      <c r="AJ341" s="111"/>
      <c r="AK341" s="111"/>
      <c r="AL341" s="111"/>
    </row>
    <row r="342" ht="16.5" customHeight="1">
      <c r="AB342" s="110"/>
      <c r="AJ342" s="111"/>
      <c r="AK342" s="111"/>
      <c r="AL342" s="111"/>
    </row>
    <row r="343" ht="16.5" customHeight="1">
      <c r="AB343" s="110"/>
      <c r="AJ343" s="111"/>
      <c r="AK343" s="111"/>
      <c r="AL343" s="111"/>
    </row>
    <row r="344" ht="16.5" customHeight="1">
      <c r="AB344" s="110"/>
      <c r="AJ344" s="111"/>
      <c r="AK344" s="111"/>
      <c r="AL344" s="111"/>
    </row>
    <row r="345" ht="16.5" customHeight="1">
      <c r="AB345" s="110"/>
      <c r="AJ345" s="111"/>
      <c r="AK345" s="111"/>
      <c r="AL345" s="111"/>
    </row>
    <row r="346" ht="16.5" customHeight="1">
      <c r="AB346" s="110"/>
      <c r="AJ346" s="111"/>
      <c r="AK346" s="111"/>
      <c r="AL346" s="111"/>
    </row>
    <row r="347" ht="16.5" customHeight="1">
      <c r="AB347" s="110"/>
      <c r="AJ347" s="111"/>
      <c r="AK347" s="111"/>
      <c r="AL347" s="111"/>
    </row>
    <row r="348" ht="16.5" customHeight="1">
      <c r="AB348" s="110"/>
      <c r="AJ348" s="111"/>
      <c r="AK348" s="111"/>
      <c r="AL348" s="111"/>
    </row>
    <row r="349" ht="16.5" customHeight="1">
      <c r="AB349" s="110"/>
      <c r="AJ349" s="111"/>
      <c r="AK349" s="111"/>
      <c r="AL349" s="111"/>
    </row>
    <row r="350" ht="16.5" customHeight="1">
      <c r="AB350" s="110"/>
      <c r="AJ350" s="111"/>
      <c r="AK350" s="111"/>
      <c r="AL350" s="111"/>
    </row>
    <row r="351" ht="16.5" customHeight="1">
      <c r="AB351" s="110"/>
      <c r="AJ351" s="111"/>
      <c r="AK351" s="111"/>
      <c r="AL351" s="111"/>
    </row>
    <row r="352" ht="16.5" customHeight="1">
      <c r="AB352" s="110"/>
      <c r="AJ352" s="111"/>
      <c r="AK352" s="111"/>
      <c r="AL352" s="111"/>
    </row>
    <row r="353" ht="16.5" customHeight="1">
      <c r="AB353" s="110"/>
      <c r="AJ353" s="111"/>
      <c r="AK353" s="111"/>
      <c r="AL353" s="111"/>
    </row>
    <row r="354" ht="16.5" customHeight="1">
      <c r="AB354" s="110"/>
      <c r="AJ354" s="111"/>
      <c r="AK354" s="111"/>
      <c r="AL354" s="111"/>
    </row>
    <row r="355" ht="16.5" customHeight="1">
      <c r="AB355" s="110"/>
      <c r="AJ355" s="111"/>
      <c r="AK355" s="111"/>
      <c r="AL355" s="111"/>
    </row>
    <row r="356" ht="16.5" customHeight="1">
      <c r="AB356" s="110"/>
      <c r="AJ356" s="111"/>
      <c r="AK356" s="111"/>
      <c r="AL356" s="111"/>
    </row>
    <row r="357" ht="16.5" customHeight="1">
      <c r="AB357" s="110"/>
      <c r="AJ357" s="111"/>
      <c r="AK357" s="111"/>
      <c r="AL357" s="111"/>
    </row>
    <row r="358" ht="16.5" customHeight="1">
      <c r="AB358" s="110"/>
      <c r="AJ358" s="111"/>
      <c r="AK358" s="111"/>
      <c r="AL358" s="111"/>
    </row>
    <row r="359" ht="16.5" customHeight="1">
      <c r="AB359" s="110"/>
      <c r="AJ359" s="111"/>
      <c r="AK359" s="111"/>
      <c r="AL359" s="111"/>
    </row>
    <row r="360" ht="16.5" customHeight="1">
      <c r="AB360" s="110"/>
      <c r="AJ360" s="111"/>
      <c r="AK360" s="111"/>
      <c r="AL360" s="111"/>
    </row>
    <row r="361" ht="16.5" customHeight="1">
      <c r="AB361" s="110"/>
      <c r="AJ361" s="111"/>
      <c r="AK361" s="111"/>
      <c r="AL361" s="111"/>
    </row>
    <row r="362" ht="16.5" customHeight="1">
      <c r="AB362" s="110"/>
      <c r="AJ362" s="111"/>
      <c r="AK362" s="111"/>
      <c r="AL362" s="111"/>
    </row>
    <row r="363" ht="16.5" customHeight="1">
      <c r="AB363" s="110"/>
      <c r="AJ363" s="111"/>
      <c r="AK363" s="111"/>
      <c r="AL363" s="111"/>
    </row>
    <row r="364" ht="16.5" customHeight="1">
      <c r="AB364" s="110"/>
      <c r="AJ364" s="111"/>
      <c r="AK364" s="111"/>
      <c r="AL364" s="111"/>
    </row>
    <row r="365" ht="16.5" customHeight="1">
      <c r="AB365" s="110"/>
      <c r="AJ365" s="111"/>
      <c r="AK365" s="111"/>
      <c r="AL365" s="111"/>
    </row>
    <row r="366" ht="16.5" customHeight="1">
      <c r="AB366" s="110"/>
      <c r="AJ366" s="111"/>
      <c r="AK366" s="111"/>
      <c r="AL366" s="111"/>
    </row>
    <row r="367" ht="16.5" customHeight="1">
      <c r="AB367" s="110"/>
      <c r="AJ367" s="111"/>
      <c r="AK367" s="111"/>
      <c r="AL367" s="111"/>
    </row>
    <row r="368" ht="16.5" customHeight="1">
      <c r="AB368" s="110"/>
      <c r="AJ368" s="111"/>
      <c r="AK368" s="111"/>
      <c r="AL368" s="111"/>
    </row>
    <row r="369" ht="16.5" customHeight="1">
      <c r="AB369" s="110"/>
      <c r="AJ369" s="111"/>
      <c r="AK369" s="111"/>
      <c r="AL369" s="111"/>
    </row>
    <row r="370" ht="16.5" customHeight="1">
      <c r="AB370" s="110"/>
      <c r="AJ370" s="111"/>
      <c r="AK370" s="111"/>
      <c r="AL370" s="111"/>
    </row>
    <row r="371" ht="16.5" customHeight="1">
      <c r="AB371" s="110"/>
      <c r="AJ371" s="111"/>
      <c r="AK371" s="111"/>
      <c r="AL371" s="111"/>
    </row>
    <row r="372" ht="16.5" customHeight="1">
      <c r="AB372" s="110"/>
      <c r="AJ372" s="111"/>
      <c r="AK372" s="111"/>
      <c r="AL372" s="111"/>
    </row>
    <row r="373" ht="16.5" customHeight="1">
      <c r="AB373" s="110"/>
      <c r="AJ373" s="111"/>
      <c r="AK373" s="111"/>
      <c r="AL373" s="111"/>
    </row>
    <row r="374" ht="16.5" customHeight="1">
      <c r="AB374" s="110"/>
      <c r="AJ374" s="111"/>
      <c r="AK374" s="111"/>
      <c r="AL374" s="111"/>
    </row>
    <row r="375" ht="16.5" customHeight="1">
      <c r="AB375" s="110"/>
      <c r="AJ375" s="111"/>
      <c r="AK375" s="111"/>
      <c r="AL375" s="111"/>
    </row>
    <row r="376" ht="16.5" customHeight="1">
      <c r="AB376" s="110"/>
      <c r="AJ376" s="111"/>
      <c r="AK376" s="111"/>
      <c r="AL376" s="111"/>
    </row>
    <row r="377" ht="16.5" customHeight="1">
      <c r="AB377" s="110"/>
      <c r="AJ377" s="111"/>
      <c r="AK377" s="111"/>
      <c r="AL377" s="111"/>
    </row>
    <row r="378" ht="16.5" customHeight="1">
      <c r="AB378" s="110"/>
      <c r="AJ378" s="111"/>
      <c r="AK378" s="111"/>
      <c r="AL378" s="111"/>
    </row>
    <row r="379" ht="16.5" customHeight="1">
      <c r="AB379" s="110"/>
      <c r="AJ379" s="111"/>
      <c r="AK379" s="111"/>
      <c r="AL379" s="111"/>
    </row>
    <row r="380" ht="16.5" customHeight="1">
      <c r="AB380" s="110"/>
      <c r="AJ380" s="111"/>
      <c r="AK380" s="111"/>
      <c r="AL380" s="111"/>
    </row>
    <row r="381" ht="16.5" customHeight="1">
      <c r="AB381" s="110"/>
      <c r="AJ381" s="111"/>
      <c r="AK381" s="111"/>
      <c r="AL381" s="111"/>
    </row>
    <row r="382" ht="16.5" customHeight="1">
      <c r="AB382" s="110"/>
      <c r="AJ382" s="111"/>
      <c r="AK382" s="111"/>
      <c r="AL382" s="111"/>
    </row>
    <row r="383" ht="16.5" customHeight="1">
      <c r="AB383" s="110"/>
      <c r="AJ383" s="111"/>
      <c r="AK383" s="111"/>
      <c r="AL383" s="111"/>
    </row>
    <row r="384" ht="16.5" customHeight="1">
      <c r="AB384" s="110"/>
      <c r="AJ384" s="111"/>
      <c r="AK384" s="111"/>
      <c r="AL384" s="111"/>
    </row>
    <row r="385" ht="16.5" customHeight="1">
      <c r="AB385" s="110"/>
      <c r="AJ385" s="111"/>
      <c r="AK385" s="111"/>
      <c r="AL385" s="111"/>
    </row>
    <row r="386" ht="16.5" customHeight="1">
      <c r="AB386" s="110"/>
      <c r="AJ386" s="111"/>
      <c r="AK386" s="111"/>
      <c r="AL386" s="111"/>
    </row>
    <row r="387" ht="16.5" customHeight="1">
      <c r="AB387" s="110"/>
      <c r="AJ387" s="111"/>
      <c r="AK387" s="111"/>
      <c r="AL387" s="111"/>
    </row>
    <row r="388" ht="16.5" customHeight="1">
      <c r="AB388" s="110"/>
      <c r="AJ388" s="111"/>
      <c r="AK388" s="111"/>
      <c r="AL388" s="111"/>
    </row>
    <row r="389" ht="16.5" customHeight="1">
      <c r="AB389" s="110"/>
      <c r="AJ389" s="111"/>
      <c r="AK389" s="111"/>
      <c r="AL389" s="111"/>
    </row>
    <row r="390" ht="16.5" customHeight="1">
      <c r="AB390" s="110"/>
      <c r="AJ390" s="111"/>
      <c r="AK390" s="111"/>
      <c r="AL390" s="111"/>
    </row>
    <row r="391" ht="16.5" customHeight="1">
      <c r="AB391" s="110"/>
      <c r="AJ391" s="111"/>
      <c r="AK391" s="111"/>
      <c r="AL391" s="111"/>
    </row>
    <row r="392" ht="16.5" customHeight="1">
      <c r="AB392" s="110"/>
      <c r="AJ392" s="111"/>
      <c r="AK392" s="111"/>
      <c r="AL392" s="111"/>
    </row>
    <row r="393" ht="16.5" customHeight="1">
      <c r="AB393" s="110"/>
      <c r="AJ393" s="111"/>
      <c r="AK393" s="111"/>
      <c r="AL393" s="111"/>
    </row>
    <row r="394" ht="16.5" customHeight="1">
      <c r="AB394" s="110"/>
      <c r="AJ394" s="111"/>
      <c r="AK394" s="111"/>
      <c r="AL394" s="111"/>
    </row>
    <row r="395" ht="16.5" customHeight="1">
      <c r="AB395" s="110"/>
      <c r="AJ395" s="111"/>
      <c r="AK395" s="111"/>
      <c r="AL395" s="111"/>
    </row>
    <row r="396" ht="16.5" customHeight="1">
      <c r="AB396" s="110"/>
      <c r="AJ396" s="111"/>
      <c r="AK396" s="111"/>
      <c r="AL396" s="111"/>
    </row>
    <row r="397" ht="16.5" customHeight="1">
      <c r="AB397" s="110"/>
      <c r="AJ397" s="111"/>
      <c r="AK397" s="111"/>
      <c r="AL397" s="111"/>
    </row>
    <row r="398" ht="16.5" customHeight="1">
      <c r="AB398" s="110"/>
      <c r="AJ398" s="111"/>
      <c r="AK398" s="111"/>
      <c r="AL398" s="111"/>
    </row>
    <row r="399" ht="16.5" customHeight="1">
      <c r="AB399" s="110"/>
      <c r="AJ399" s="111"/>
      <c r="AK399" s="111"/>
      <c r="AL399" s="111"/>
    </row>
    <row r="400" ht="16.5" customHeight="1">
      <c r="AB400" s="110"/>
      <c r="AJ400" s="111"/>
      <c r="AK400" s="111"/>
      <c r="AL400" s="111"/>
    </row>
    <row r="401" ht="16.5" customHeight="1">
      <c r="AB401" s="110"/>
      <c r="AJ401" s="111"/>
      <c r="AK401" s="111"/>
      <c r="AL401" s="111"/>
    </row>
    <row r="402" ht="16.5" customHeight="1">
      <c r="AB402" s="110"/>
      <c r="AJ402" s="111"/>
      <c r="AK402" s="111"/>
      <c r="AL402" s="111"/>
    </row>
    <row r="403" ht="16.5" customHeight="1">
      <c r="AB403" s="110"/>
      <c r="AJ403" s="111"/>
      <c r="AK403" s="111"/>
      <c r="AL403" s="111"/>
    </row>
    <row r="404" ht="16.5" customHeight="1">
      <c r="AB404" s="110"/>
      <c r="AJ404" s="111"/>
      <c r="AK404" s="111"/>
      <c r="AL404" s="111"/>
    </row>
    <row r="405" ht="16.5" customHeight="1">
      <c r="AB405" s="110"/>
      <c r="AJ405" s="111"/>
      <c r="AK405" s="111"/>
      <c r="AL405" s="111"/>
    </row>
    <row r="406" ht="16.5" customHeight="1">
      <c r="AB406" s="110"/>
      <c r="AJ406" s="111"/>
      <c r="AK406" s="111"/>
      <c r="AL406" s="111"/>
    </row>
    <row r="407" ht="16.5" customHeight="1">
      <c r="AB407" s="110"/>
      <c r="AJ407" s="111"/>
      <c r="AK407" s="111"/>
      <c r="AL407" s="111"/>
    </row>
    <row r="408" ht="16.5" customHeight="1">
      <c r="AB408" s="110"/>
      <c r="AJ408" s="111"/>
      <c r="AK408" s="111"/>
      <c r="AL408" s="111"/>
    </row>
    <row r="409" ht="16.5" customHeight="1">
      <c r="AB409" s="110"/>
      <c r="AJ409" s="111"/>
      <c r="AK409" s="111"/>
      <c r="AL409" s="111"/>
    </row>
    <row r="410" ht="16.5" customHeight="1">
      <c r="AB410" s="110"/>
      <c r="AJ410" s="111"/>
      <c r="AK410" s="111"/>
      <c r="AL410" s="111"/>
    </row>
    <row r="411" ht="16.5" customHeight="1">
      <c r="AB411" s="110"/>
      <c r="AJ411" s="111"/>
      <c r="AK411" s="111"/>
      <c r="AL411" s="111"/>
    </row>
    <row r="412" ht="16.5" customHeight="1">
      <c r="AB412" s="110"/>
      <c r="AJ412" s="111"/>
      <c r="AK412" s="111"/>
      <c r="AL412" s="111"/>
    </row>
    <row r="413" ht="16.5" customHeight="1">
      <c r="AB413" s="110"/>
      <c r="AJ413" s="111"/>
      <c r="AK413" s="111"/>
      <c r="AL413" s="111"/>
    </row>
    <row r="414" ht="16.5" customHeight="1">
      <c r="AB414" s="110"/>
      <c r="AJ414" s="111"/>
      <c r="AK414" s="111"/>
      <c r="AL414" s="111"/>
    </row>
    <row r="415" ht="16.5" customHeight="1">
      <c r="AB415" s="110"/>
      <c r="AJ415" s="111"/>
      <c r="AK415" s="111"/>
      <c r="AL415" s="111"/>
    </row>
    <row r="416" ht="16.5" customHeight="1">
      <c r="AB416" s="110"/>
      <c r="AJ416" s="111"/>
      <c r="AK416" s="111"/>
      <c r="AL416" s="111"/>
    </row>
    <row r="417" ht="16.5" customHeight="1">
      <c r="AB417" s="110"/>
      <c r="AJ417" s="111"/>
      <c r="AK417" s="111"/>
      <c r="AL417" s="111"/>
    </row>
    <row r="418" ht="16.5" customHeight="1">
      <c r="AB418" s="110"/>
      <c r="AJ418" s="111"/>
      <c r="AK418" s="111"/>
      <c r="AL418" s="111"/>
    </row>
    <row r="419" ht="16.5" customHeight="1">
      <c r="AB419" s="110"/>
      <c r="AJ419" s="111"/>
      <c r="AK419" s="111"/>
      <c r="AL419" s="111"/>
    </row>
    <row r="420" ht="16.5" customHeight="1">
      <c r="AB420" s="110"/>
      <c r="AJ420" s="111"/>
      <c r="AK420" s="111"/>
      <c r="AL420" s="111"/>
    </row>
    <row r="421" ht="16.5" customHeight="1">
      <c r="AB421" s="110"/>
      <c r="AJ421" s="111"/>
      <c r="AK421" s="111"/>
      <c r="AL421" s="111"/>
    </row>
    <row r="422" ht="16.5" customHeight="1">
      <c r="AB422" s="110"/>
      <c r="AJ422" s="111"/>
      <c r="AK422" s="111"/>
      <c r="AL422" s="111"/>
    </row>
    <row r="423" ht="16.5" customHeight="1">
      <c r="AB423" s="110"/>
      <c r="AJ423" s="111"/>
      <c r="AK423" s="111"/>
      <c r="AL423" s="111"/>
    </row>
    <row r="424" ht="16.5" customHeight="1">
      <c r="AB424" s="110"/>
      <c r="AJ424" s="111"/>
      <c r="AK424" s="111"/>
      <c r="AL424" s="111"/>
    </row>
    <row r="425" ht="16.5" customHeight="1">
      <c r="AB425" s="110"/>
      <c r="AJ425" s="111"/>
      <c r="AK425" s="111"/>
      <c r="AL425" s="111"/>
    </row>
    <row r="426" ht="16.5" customHeight="1">
      <c r="AB426" s="110"/>
      <c r="AJ426" s="111"/>
      <c r="AK426" s="111"/>
      <c r="AL426" s="111"/>
    </row>
    <row r="427" ht="16.5" customHeight="1">
      <c r="AB427" s="110"/>
      <c r="AJ427" s="111"/>
      <c r="AK427" s="111"/>
      <c r="AL427" s="111"/>
    </row>
    <row r="428" ht="16.5" customHeight="1">
      <c r="AB428" s="110"/>
      <c r="AJ428" s="111"/>
      <c r="AK428" s="111"/>
      <c r="AL428" s="111"/>
    </row>
    <row r="429" ht="16.5" customHeight="1">
      <c r="AB429" s="110"/>
      <c r="AJ429" s="111"/>
      <c r="AK429" s="111"/>
      <c r="AL429" s="111"/>
    </row>
    <row r="430" ht="16.5" customHeight="1">
      <c r="AB430" s="110"/>
      <c r="AJ430" s="111"/>
      <c r="AK430" s="111"/>
      <c r="AL430" s="111"/>
    </row>
    <row r="431" ht="16.5" customHeight="1">
      <c r="AB431" s="110"/>
      <c r="AJ431" s="111"/>
      <c r="AK431" s="111"/>
      <c r="AL431" s="111"/>
    </row>
    <row r="432" ht="16.5" customHeight="1">
      <c r="AB432" s="110"/>
      <c r="AJ432" s="111"/>
      <c r="AK432" s="111"/>
      <c r="AL432" s="111"/>
    </row>
    <row r="433" ht="16.5" customHeight="1">
      <c r="AB433" s="110"/>
      <c r="AJ433" s="111"/>
      <c r="AK433" s="111"/>
      <c r="AL433" s="111"/>
    </row>
    <row r="434" ht="16.5" customHeight="1">
      <c r="AB434" s="110"/>
      <c r="AJ434" s="111"/>
      <c r="AK434" s="111"/>
      <c r="AL434" s="111"/>
    </row>
    <row r="435" ht="16.5" customHeight="1">
      <c r="AB435" s="110"/>
      <c r="AJ435" s="111"/>
      <c r="AK435" s="111"/>
      <c r="AL435" s="111"/>
    </row>
    <row r="436" ht="16.5" customHeight="1">
      <c r="AB436" s="110"/>
      <c r="AJ436" s="111"/>
      <c r="AK436" s="111"/>
      <c r="AL436" s="111"/>
    </row>
    <row r="437" ht="16.5" customHeight="1">
      <c r="AB437" s="110"/>
      <c r="AJ437" s="111"/>
      <c r="AK437" s="111"/>
      <c r="AL437" s="111"/>
    </row>
    <row r="438" ht="16.5" customHeight="1">
      <c r="AB438" s="110"/>
      <c r="AJ438" s="111"/>
      <c r="AK438" s="111"/>
      <c r="AL438" s="111"/>
    </row>
    <row r="439" ht="16.5" customHeight="1">
      <c r="AB439" s="110"/>
      <c r="AJ439" s="111"/>
      <c r="AK439" s="111"/>
      <c r="AL439" s="111"/>
    </row>
    <row r="440" ht="16.5" customHeight="1">
      <c r="AB440" s="110"/>
      <c r="AJ440" s="111"/>
      <c r="AK440" s="111"/>
      <c r="AL440" s="111"/>
    </row>
    <row r="441" ht="16.5" customHeight="1">
      <c r="AB441" s="110"/>
      <c r="AJ441" s="111"/>
      <c r="AK441" s="111"/>
      <c r="AL441" s="111"/>
    </row>
    <row r="442" ht="16.5" customHeight="1">
      <c r="AB442" s="110"/>
      <c r="AJ442" s="111"/>
      <c r="AK442" s="111"/>
      <c r="AL442" s="111"/>
    </row>
    <row r="443" ht="16.5" customHeight="1">
      <c r="AB443" s="110"/>
      <c r="AJ443" s="111"/>
      <c r="AK443" s="111"/>
      <c r="AL443" s="111"/>
    </row>
    <row r="444" ht="16.5" customHeight="1">
      <c r="AB444" s="110"/>
      <c r="AJ444" s="111"/>
      <c r="AK444" s="111"/>
      <c r="AL444" s="111"/>
    </row>
    <row r="445" ht="16.5" customHeight="1">
      <c r="AB445" s="110"/>
      <c r="AJ445" s="111"/>
      <c r="AK445" s="111"/>
      <c r="AL445" s="111"/>
    </row>
    <row r="446" ht="16.5" customHeight="1">
      <c r="AB446" s="110"/>
      <c r="AJ446" s="111"/>
      <c r="AK446" s="111"/>
      <c r="AL446" s="111"/>
    </row>
    <row r="447" ht="16.5" customHeight="1">
      <c r="AB447" s="110"/>
      <c r="AJ447" s="111"/>
      <c r="AK447" s="111"/>
      <c r="AL447" s="111"/>
    </row>
    <row r="448" ht="16.5" customHeight="1">
      <c r="AB448" s="110"/>
      <c r="AJ448" s="111"/>
      <c r="AK448" s="111"/>
      <c r="AL448" s="111"/>
    </row>
    <row r="449" ht="16.5" customHeight="1">
      <c r="AB449" s="110"/>
      <c r="AJ449" s="111"/>
      <c r="AK449" s="111"/>
      <c r="AL449" s="111"/>
    </row>
    <row r="450" ht="16.5" customHeight="1">
      <c r="AB450" s="110"/>
      <c r="AJ450" s="111"/>
      <c r="AK450" s="111"/>
      <c r="AL450" s="111"/>
    </row>
    <row r="451" ht="16.5" customHeight="1">
      <c r="AB451" s="110"/>
      <c r="AJ451" s="111"/>
      <c r="AK451" s="111"/>
      <c r="AL451" s="111"/>
    </row>
    <row r="452" ht="16.5" customHeight="1">
      <c r="AB452" s="110"/>
      <c r="AJ452" s="111"/>
      <c r="AK452" s="111"/>
      <c r="AL452" s="111"/>
    </row>
    <row r="453" ht="16.5" customHeight="1">
      <c r="AB453" s="110"/>
      <c r="AJ453" s="111"/>
      <c r="AK453" s="111"/>
      <c r="AL453" s="111"/>
    </row>
    <row r="454" ht="16.5" customHeight="1">
      <c r="AB454" s="110"/>
      <c r="AJ454" s="111"/>
      <c r="AK454" s="111"/>
      <c r="AL454" s="111"/>
    </row>
    <row r="455" ht="16.5" customHeight="1">
      <c r="AB455" s="110"/>
      <c r="AJ455" s="111"/>
      <c r="AK455" s="111"/>
      <c r="AL455" s="111"/>
    </row>
    <row r="456" ht="16.5" customHeight="1">
      <c r="AB456" s="110"/>
      <c r="AJ456" s="111"/>
      <c r="AK456" s="111"/>
      <c r="AL456" s="111"/>
    </row>
    <row r="457" ht="16.5" customHeight="1">
      <c r="AB457" s="110"/>
      <c r="AJ457" s="111"/>
      <c r="AK457" s="111"/>
      <c r="AL457" s="111"/>
    </row>
    <row r="458" ht="16.5" customHeight="1">
      <c r="AB458" s="110"/>
      <c r="AJ458" s="111"/>
      <c r="AK458" s="111"/>
      <c r="AL458" s="111"/>
    </row>
    <row r="459" ht="16.5" customHeight="1">
      <c r="AB459" s="110"/>
      <c r="AJ459" s="111"/>
      <c r="AK459" s="111"/>
      <c r="AL459" s="111"/>
    </row>
    <row r="460" ht="16.5" customHeight="1">
      <c r="AB460" s="110"/>
      <c r="AJ460" s="111"/>
      <c r="AK460" s="111"/>
      <c r="AL460" s="111"/>
    </row>
    <row r="461" ht="16.5" customHeight="1">
      <c r="AB461" s="110"/>
      <c r="AJ461" s="111"/>
      <c r="AK461" s="111"/>
      <c r="AL461" s="111"/>
    </row>
    <row r="462" ht="16.5" customHeight="1">
      <c r="AB462" s="110"/>
      <c r="AJ462" s="111"/>
      <c r="AK462" s="111"/>
      <c r="AL462" s="111"/>
    </row>
    <row r="463" ht="16.5" customHeight="1">
      <c r="AB463" s="110"/>
      <c r="AJ463" s="111"/>
      <c r="AK463" s="111"/>
      <c r="AL463" s="111"/>
    </row>
    <row r="464" ht="16.5" customHeight="1">
      <c r="AB464" s="110"/>
      <c r="AJ464" s="111"/>
      <c r="AK464" s="111"/>
      <c r="AL464" s="111"/>
    </row>
    <row r="465" ht="16.5" customHeight="1">
      <c r="AB465" s="110"/>
      <c r="AJ465" s="111"/>
      <c r="AK465" s="111"/>
      <c r="AL465" s="111"/>
    </row>
    <row r="466" ht="16.5" customHeight="1">
      <c r="AB466" s="110"/>
      <c r="AJ466" s="111"/>
      <c r="AK466" s="111"/>
      <c r="AL466" s="111"/>
    </row>
    <row r="467" ht="16.5" customHeight="1">
      <c r="AB467" s="110"/>
      <c r="AJ467" s="111"/>
      <c r="AK467" s="111"/>
      <c r="AL467" s="111"/>
    </row>
    <row r="468" ht="16.5" customHeight="1">
      <c r="AB468" s="110"/>
      <c r="AJ468" s="111"/>
      <c r="AK468" s="111"/>
      <c r="AL468" s="111"/>
    </row>
    <row r="469" ht="16.5" customHeight="1">
      <c r="AB469" s="110"/>
      <c r="AJ469" s="111"/>
      <c r="AK469" s="111"/>
      <c r="AL469" s="111"/>
    </row>
    <row r="470" ht="16.5" customHeight="1">
      <c r="AB470" s="110"/>
      <c r="AJ470" s="111"/>
      <c r="AK470" s="111"/>
      <c r="AL470" s="111"/>
    </row>
    <row r="471" ht="16.5" customHeight="1">
      <c r="AB471" s="110"/>
      <c r="AJ471" s="111"/>
      <c r="AK471" s="111"/>
      <c r="AL471" s="111"/>
    </row>
    <row r="472" ht="16.5" customHeight="1">
      <c r="AB472" s="110"/>
      <c r="AJ472" s="111"/>
      <c r="AK472" s="111"/>
      <c r="AL472" s="111"/>
    </row>
    <row r="473" ht="16.5" customHeight="1">
      <c r="AB473" s="110"/>
      <c r="AJ473" s="111"/>
      <c r="AK473" s="111"/>
      <c r="AL473" s="111"/>
    </row>
    <row r="474" ht="16.5" customHeight="1">
      <c r="AB474" s="110"/>
      <c r="AJ474" s="111"/>
      <c r="AK474" s="111"/>
      <c r="AL474" s="111"/>
    </row>
    <row r="475" ht="16.5" customHeight="1">
      <c r="AB475" s="110"/>
      <c r="AJ475" s="111"/>
      <c r="AK475" s="111"/>
      <c r="AL475" s="111"/>
    </row>
    <row r="476" ht="16.5" customHeight="1">
      <c r="AB476" s="110"/>
      <c r="AJ476" s="111"/>
      <c r="AK476" s="111"/>
      <c r="AL476" s="111"/>
    </row>
    <row r="477" ht="16.5" customHeight="1">
      <c r="AB477" s="110"/>
      <c r="AJ477" s="111"/>
      <c r="AK477" s="111"/>
      <c r="AL477" s="111"/>
    </row>
    <row r="478" ht="16.5" customHeight="1">
      <c r="AB478" s="110"/>
      <c r="AJ478" s="111"/>
      <c r="AK478" s="111"/>
      <c r="AL478" s="111"/>
    </row>
    <row r="479" ht="16.5" customHeight="1">
      <c r="AB479" s="110"/>
      <c r="AJ479" s="111"/>
      <c r="AK479" s="111"/>
      <c r="AL479" s="111"/>
    </row>
    <row r="480" ht="16.5" customHeight="1">
      <c r="AB480" s="110"/>
      <c r="AJ480" s="111"/>
      <c r="AK480" s="111"/>
      <c r="AL480" s="111"/>
    </row>
    <row r="481" ht="16.5" customHeight="1">
      <c r="AB481" s="110"/>
      <c r="AJ481" s="111"/>
      <c r="AK481" s="111"/>
      <c r="AL481" s="111"/>
    </row>
    <row r="482" ht="16.5" customHeight="1">
      <c r="AB482" s="110"/>
      <c r="AJ482" s="111"/>
      <c r="AK482" s="111"/>
      <c r="AL482" s="111"/>
    </row>
    <row r="483" ht="16.5" customHeight="1">
      <c r="AB483" s="110"/>
      <c r="AJ483" s="111"/>
      <c r="AK483" s="111"/>
      <c r="AL483" s="111"/>
    </row>
    <row r="484" ht="16.5" customHeight="1">
      <c r="AB484" s="110"/>
      <c r="AJ484" s="111"/>
      <c r="AK484" s="111"/>
      <c r="AL484" s="111"/>
    </row>
    <row r="485" ht="16.5" customHeight="1">
      <c r="AB485" s="110"/>
      <c r="AJ485" s="111"/>
      <c r="AK485" s="111"/>
      <c r="AL485" s="111"/>
    </row>
    <row r="486" ht="16.5" customHeight="1">
      <c r="AB486" s="110"/>
      <c r="AJ486" s="111"/>
      <c r="AK486" s="111"/>
      <c r="AL486" s="111"/>
    </row>
    <row r="487" ht="16.5" customHeight="1">
      <c r="AB487" s="110"/>
      <c r="AJ487" s="111"/>
      <c r="AK487" s="111"/>
      <c r="AL487" s="111"/>
    </row>
    <row r="488" ht="16.5" customHeight="1">
      <c r="AB488" s="110"/>
      <c r="AJ488" s="111"/>
      <c r="AK488" s="111"/>
      <c r="AL488" s="111"/>
    </row>
    <row r="489" ht="16.5" customHeight="1">
      <c r="AB489" s="110"/>
      <c r="AJ489" s="111"/>
      <c r="AK489" s="111"/>
      <c r="AL489" s="111"/>
    </row>
    <row r="490" ht="16.5" customHeight="1">
      <c r="AB490" s="110"/>
      <c r="AJ490" s="111"/>
      <c r="AK490" s="111"/>
      <c r="AL490" s="111"/>
    </row>
    <row r="491" ht="16.5" customHeight="1">
      <c r="AB491" s="110"/>
      <c r="AJ491" s="111"/>
      <c r="AK491" s="111"/>
      <c r="AL491" s="111"/>
    </row>
    <row r="492" ht="16.5" customHeight="1">
      <c r="AB492" s="110"/>
      <c r="AJ492" s="111"/>
      <c r="AK492" s="111"/>
      <c r="AL492" s="111"/>
    </row>
    <row r="493" ht="16.5" customHeight="1">
      <c r="AB493" s="110"/>
      <c r="AJ493" s="111"/>
      <c r="AK493" s="111"/>
      <c r="AL493" s="111"/>
    </row>
    <row r="494" ht="16.5" customHeight="1">
      <c r="AB494" s="110"/>
      <c r="AJ494" s="111"/>
      <c r="AK494" s="111"/>
      <c r="AL494" s="111"/>
    </row>
    <row r="495" ht="16.5" customHeight="1">
      <c r="AB495" s="110"/>
      <c r="AJ495" s="111"/>
      <c r="AK495" s="111"/>
      <c r="AL495" s="111"/>
    </row>
    <row r="496" ht="16.5" customHeight="1">
      <c r="AB496" s="110"/>
      <c r="AJ496" s="111"/>
      <c r="AK496" s="111"/>
      <c r="AL496" s="111"/>
    </row>
    <row r="497" ht="16.5" customHeight="1">
      <c r="AB497" s="110"/>
      <c r="AJ497" s="111"/>
      <c r="AK497" s="111"/>
      <c r="AL497" s="111"/>
    </row>
    <row r="498" ht="16.5" customHeight="1">
      <c r="AB498" s="110"/>
      <c r="AJ498" s="111"/>
      <c r="AK498" s="111"/>
      <c r="AL498" s="111"/>
    </row>
    <row r="499" ht="16.5" customHeight="1">
      <c r="AB499" s="110"/>
      <c r="AJ499" s="111"/>
      <c r="AK499" s="111"/>
      <c r="AL499" s="111"/>
    </row>
    <row r="500" ht="16.5" customHeight="1">
      <c r="AB500" s="110"/>
      <c r="AJ500" s="111"/>
      <c r="AK500" s="111"/>
      <c r="AL500" s="111"/>
    </row>
    <row r="501" ht="16.5" customHeight="1">
      <c r="AB501" s="110"/>
      <c r="AJ501" s="111"/>
      <c r="AK501" s="111"/>
      <c r="AL501" s="111"/>
    </row>
    <row r="502" ht="16.5" customHeight="1">
      <c r="AB502" s="110"/>
      <c r="AJ502" s="111"/>
      <c r="AK502" s="111"/>
      <c r="AL502" s="111"/>
    </row>
    <row r="503" ht="16.5" customHeight="1">
      <c r="AB503" s="110"/>
      <c r="AJ503" s="111"/>
      <c r="AK503" s="111"/>
      <c r="AL503" s="111"/>
    </row>
    <row r="504" ht="16.5" customHeight="1">
      <c r="AB504" s="110"/>
      <c r="AJ504" s="111"/>
      <c r="AK504" s="111"/>
      <c r="AL504" s="111"/>
    </row>
    <row r="505" ht="16.5" customHeight="1">
      <c r="AB505" s="110"/>
      <c r="AJ505" s="111"/>
      <c r="AK505" s="111"/>
      <c r="AL505" s="111"/>
    </row>
    <row r="506" ht="16.5" customHeight="1">
      <c r="AB506" s="110"/>
      <c r="AJ506" s="111"/>
      <c r="AK506" s="111"/>
      <c r="AL506" s="111"/>
    </row>
    <row r="507" ht="16.5" customHeight="1">
      <c r="AB507" s="110"/>
      <c r="AJ507" s="111"/>
      <c r="AK507" s="111"/>
      <c r="AL507" s="111"/>
    </row>
    <row r="508" ht="16.5" customHeight="1">
      <c r="AB508" s="110"/>
      <c r="AJ508" s="111"/>
      <c r="AK508" s="111"/>
      <c r="AL508" s="111"/>
    </row>
    <row r="509" ht="16.5" customHeight="1">
      <c r="AB509" s="110"/>
      <c r="AJ509" s="111"/>
      <c r="AK509" s="111"/>
      <c r="AL509" s="111"/>
    </row>
    <row r="510" ht="16.5" customHeight="1">
      <c r="AB510" s="110"/>
      <c r="AJ510" s="111"/>
      <c r="AK510" s="111"/>
      <c r="AL510" s="111"/>
    </row>
    <row r="511" ht="16.5" customHeight="1">
      <c r="AB511" s="110"/>
      <c r="AJ511" s="111"/>
      <c r="AK511" s="111"/>
      <c r="AL511" s="111"/>
    </row>
    <row r="512" ht="16.5" customHeight="1">
      <c r="AB512" s="110"/>
      <c r="AJ512" s="111"/>
      <c r="AK512" s="111"/>
      <c r="AL512" s="111"/>
    </row>
    <row r="513" ht="16.5" customHeight="1">
      <c r="AB513" s="110"/>
      <c r="AJ513" s="111"/>
      <c r="AK513" s="111"/>
      <c r="AL513" s="111"/>
    </row>
    <row r="514" ht="16.5" customHeight="1">
      <c r="AB514" s="110"/>
      <c r="AJ514" s="111"/>
      <c r="AK514" s="111"/>
      <c r="AL514" s="111"/>
    </row>
    <row r="515" ht="16.5" customHeight="1">
      <c r="AB515" s="110"/>
      <c r="AJ515" s="111"/>
      <c r="AK515" s="111"/>
      <c r="AL515" s="111"/>
    </row>
    <row r="516" ht="16.5" customHeight="1">
      <c r="AB516" s="110"/>
      <c r="AJ516" s="111"/>
      <c r="AK516" s="111"/>
      <c r="AL516" s="111"/>
    </row>
    <row r="517" ht="16.5" customHeight="1">
      <c r="AB517" s="110"/>
      <c r="AJ517" s="111"/>
      <c r="AK517" s="111"/>
      <c r="AL517" s="111"/>
    </row>
    <row r="518" ht="16.5" customHeight="1">
      <c r="AB518" s="110"/>
      <c r="AJ518" s="111"/>
      <c r="AK518" s="111"/>
      <c r="AL518" s="111"/>
    </row>
    <row r="519" ht="16.5" customHeight="1">
      <c r="AB519" s="110"/>
      <c r="AJ519" s="111"/>
      <c r="AK519" s="111"/>
      <c r="AL519" s="111"/>
    </row>
    <row r="520" ht="16.5" customHeight="1">
      <c r="AB520" s="110"/>
      <c r="AJ520" s="111"/>
      <c r="AK520" s="111"/>
      <c r="AL520" s="111"/>
    </row>
    <row r="521" ht="16.5" customHeight="1">
      <c r="AB521" s="110"/>
      <c r="AJ521" s="111"/>
      <c r="AK521" s="111"/>
      <c r="AL521" s="111"/>
    </row>
    <row r="522" ht="16.5" customHeight="1">
      <c r="AB522" s="110"/>
      <c r="AJ522" s="111"/>
      <c r="AK522" s="111"/>
      <c r="AL522" s="111"/>
    </row>
    <row r="523" ht="16.5" customHeight="1">
      <c r="AB523" s="110"/>
      <c r="AJ523" s="111"/>
      <c r="AK523" s="111"/>
      <c r="AL523" s="111"/>
    </row>
    <row r="524" ht="16.5" customHeight="1">
      <c r="AB524" s="110"/>
      <c r="AJ524" s="111"/>
      <c r="AK524" s="111"/>
      <c r="AL524" s="111"/>
    </row>
    <row r="525" ht="16.5" customHeight="1">
      <c r="AB525" s="110"/>
      <c r="AJ525" s="111"/>
      <c r="AK525" s="111"/>
      <c r="AL525" s="111"/>
    </row>
    <row r="526" ht="16.5" customHeight="1">
      <c r="AB526" s="110"/>
      <c r="AJ526" s="111"/>
      <c r="AK526" s="111"/>
      <c r="AL526" s="111"/>
    </row>
    <row r="527" ht="16.5" customHeight="1">
      <c r="AB527" s="110"/>
      <c r="AJ527" s="111"/>
      <c r="AK527" s="111"/>
      <c r="AL527" s="111"/>
    </row>
    <row r="528" ht="16.5" customHeight="1">
      <c r="AB528" s="110"/>
      <c r="AJ528" s="111"/>
      <c r="AK528" s="111"/>
      <c r="AL528" s="111"/>
    </row>
    <row r="529" ht="16.5" customHeight="1">
      <c r="AB529" s="110"/>
      <c r="AJ529" s="111"/>
      <c r="AK529" s="111"/>
      <c r="AL529" s="111"/>
    </row>
    <row r="530" ht="16.5" customHeight="1">
      <c r="AB530" s="110"/>
      <c r="AJ530" s="111"/>
      <c r="AK530" s="111"/>
      <c r="AL530" s="111"/>
    </row>
    <row r="531" ht="16.5" customHeight="1">
      <c r="AB531" s="110"/>
      <c r="AJ531" s="111"/>
      <c r="AK531" s="111"/>
      <c r="AL531" s="111"/>
    </row>
    <row r="532" ht="16.5" customHeight="1">
      <c r="AB532" s="110"/>
      <c r="AJ532" s="111"/>
      <c r="AK532" s="111"/>
      <c r="AL532" s="111"/>
    </row>
    <row r="533" ht="16.5" customHeight="1">
      <c r="AB533" s="110"/>
      <c r="AJ533" s="111"/>
      <c r="AK533" s="111"/>
      <c r="AL533" s="111"/>
    </row>
    <row r="534" ht="16.5" customHeight="1">
      <c r="AB534" s="110"/>
      <c r="AJ534" s="111"/>
      <c r="AK534" s="111"/>
      <c r="AL534" s="111"/>
    </row>
    <row r="535" ht="16.5" customHeight="1">
      <c r="AB535" s="110"/>
      <c r="AJ535" s="111"/>
      <c r="AK535" s="111"/>
      <c r="AL535" s="111"/>
    </row>
    <row r="536" ht="16.5" customHeight="1">
      <c r="AB536" s="110"/>
      <c r="AJ536" s="111"/>
      <c r="AK536" s="111"/>
      <c r="AL536" s="111"/>
    </row>
    <row r="537" ht="16.5" customHeight="1">
      <c r="AB537" s="110"/>
      <c r="AJ537" s="111"/>
      <c r="AK537" s="111"/>
      <c r="AL537" s="111"/>
    </row>
    <row r="538" ht="16.5" customHeight="1">
      <c r="AB538" s="110"/>
      <c r="AJ538" s="111"/>
      <c r="AK538" s="111"/>
      <c r="AL538" s="111"/>
    </row>
    <row r="539" ht="16.5" customHeight="1">
      <c r="AB539" s="110"/>
      <c r="AJ539" s="111"/>
      <c r="AK539" s="111"/>
      <c r="AL539" s="111"/>
    </row>
    <row r="540" ht="16.5" customHeight="1">
      <c r="AB540" s="110"/>
      <c r="AJ540" s="111"/>
      <c r="AK540" s="111"/>
      <c r="AL540" s="111"/>
    </row>
    <row r="541" ht="16.5" customHeight="1">
      <c r="AB541" s="110"/>
      <c r="AJ541" s="111"/>
      <c r="AK541" s="111"/>
      <c r="AL541" s="111"/>
    </row>
    <row r="542" ht="16.5" customHeight="1">
      <c r="AB542" s="110"/>
      <c r="AJ542" s="111"/>
      <c r="AK542" s="111"/>
      <c r="AL542" s="111"/>
    </row>
    <row r="543" ht="16.5" customHeight="1">
      <c r="AB543" s="110"/>
      <c r="AJ543" s="111"/>
      <c r="AK543" s="111"/>
      <c r="AL543" s="111"/>
    </row>
    <row r="544" ht="16.5" customHeight="1">
      <c r="AB544" s="110"/>
      <c r="AJ544" s="111"/>
      <c r="AK544" s="111"/>
      <c r="AL544" s="111"/>
    </row>
    <row r="545" ht="16.5" customHeight="1">
      <c r="AB545" s="110"/>
      <c r="AJ545" s="111"/>
      <c r="AK545" s="111"/>
      <c r="AL545" s="111"/>
    </row>
    <row r="546" ht="16.5" customHeight="1">
      <c r="AB546" s="110"/>
      <c r="AJ546" s="111"/>
      <c r="AK546" s="111"/>
      <c r="AL546" s="111"/>
    </row>
    <row r="547" ht="16.5" customHeight="1">
      <c r="AB547" s="110"/>
      <c r="AJ547" s="111"/>
      <c r="AK547" s="111"/>
      <c r="AL547" s="111"/>
    </row>
    <row r="548" ht="16.5" customHeight="1">
      <c r="AB548" s="110"/>
      <c r="AJ548" s="111"/>
      <c r="AK548" s="111"/>
      <c r="AL548" s="111"/>
    </row>
    <row r="549" ht="16.5" customHeight="1">
      <c r="AB549" s="110"/>
      <c r="AJ549" s="111"/>
      <c r="AK549" s="111"/>
      <c r="AL549" s="111"/>
    </row>
    <row r="550" ht="16.5" customHeight="1">
      <c r="AB550" s="110"/>
      <c r="AJ550" s="111"/>
      <c r="AK550" s="111"/>
      <c r="AL550" s="111"/>
    </row>
    <row r="551" ht="16.5" customHeight="1">
      <c r="AB551" s="110"/>
      <c r="AJ551" s="111"/>
      <c r="AK551" s="111"/>
      <c r="AL551" s="111"/>
    </row>
    <row r="552" ht="16.5" customHeight="1">
      <c r="AB552" s="110"/>
      <c r="AJ552" s="111"/>
      <c r="AK552" s="111"/>
      <c r="AL552" s="111"/>
    </row>
    <row r="553" ht="16.5" customHeight="1">
      <c r="AB553" s="110"/>
      <c r="AJ553" s="111"/>
      <c r="AK553" s="111"/>
      <c r="AL553" s="111"/>
    </row>
    <row r="554" ht="16.5" customHeight="1">
      <c r="AB554" s="110"/>
      <c r="AJ554" s="111"/>
      <c r="AK554" s="111"/>
      <c r="AL554" s="111"/>
    </row>
    <row r="555" ht="16.5" customHeight="1">
      <c r="AB555" s="110"/>
      <c r="AJ555" s="111"/>
      <c r="AK555" s="111"/>
      <c r="AL555" s="111"/>
    </row>
    <row r="556" ht="16.5" customHeight="1">
      <c r="AB556" s="110"/>
      <c r="AJ556" s="111"/>
      <c r="AK556" s="111"/>
      <c r="AL556" s="111"/>
    </row>
    <row r="557" ht="16.5" customHeight="1">
      <c r="AB557" s="110"/>
      <c r="AJ557" s="111"/>
      <c r="AK557" s="111"/>
      <c r="AL557" s="111"/>
    </row>
    <row r="558" ht="16.5" customHeight="1">
      <c r="AB558" s="110"/>
      <c r="AJ558" s="111"/>
      <c r="AK558" s="111"/>
      <c r="AL558" s="111"/>
    </row>
    <row r="559" ht="16.5" customHeight="1">
      <c r="AB559" s="110"/>
      <c r="AJ559" s="111"/>
      <c r="AK559" s="111"/>
      <c r="AL559" s="111"/>
    </row>
    <row r="560" ht="16.5" customHeight="1">
      <c r="AB560" s="110"/>
      <c r="AJ560" s="111"/>
      <c r="AK560" s="111"/>
      <c r="AL560" s="111"/>
    </row>
    <row r="561" ht="16.5" customHeight="1">
      <c r="AB561" s="110"/>
      <c r="AJ561" s="111"/>
      <c r="AK561" s="111"/>
      <c r="AL561" s="111"/>
    </row>
    <row r="562" ht="16.5" customHeight="1">
      <c r="AB562" s="110"/>
      <c r="AJ562" s="111"/>
      <c r="AK562" s="111"/>
      <c r="AL562" s="111"/>
    </row>
    <row r="563" ht="16.5" customHeight="1">
      <c r="AB563" s="110"/>
      <c r="AJ563" s="111"/>
      <c r="AK563" s="111"/>
      <c r="AL563" s="111"/>
    </row>
    <row r="564" ht="16.5" customHeight="1">
      <c r="AB564" s="110"/>
      <c r="AJ564" s="111"/>
      <c r="AK564" s="111"/>
      <c r="AL564" s="111"/>
    </row>
    <row r="565" ht="16.5" customHeight="1">
      <c r="AB565" s="110"/>
      <c r="AJ565" s="111"/>
      <c r="AK565" s="111"/>
      <c r="AL565" s="111"/>
    </row>
    <row r="566" ht="16.5" customHeight="1">
      <c r="AB566" s="110"/>
      <c r="AJ566" s="111"/>
      <c r="AK566" s="111"/>
      <c r="AL566" s="111"/>
    </row>
    <row r="567" ht="16.5" customHeight="1">
      <c r="AB567" s="110"/>
      <c r="AJ567" s="111"/>
      <c r="AK567" s="111"/>
      <c r="AL567" s="111"/>
    </row>
    <row r="568" ht="16.5" customHeight="1">
      <c r="AB568" s="110"/>
      <c r="AJ568" s="111"/>
      <c r="AK568" s="111"/>
      <c r="AL568" s="111"/>
    </row>
    <row r="569" ht="16.5" customHeight="1">
      <c r="AB569" s="110"/>
      <c r="AJ569" s="111"/>
      <c r="AK569" s="111"/>
      <c r="AL569" s="111"/>
    </row>
    <row r="570" ht="16.5" customHeight="1">
      <c r="AB570" s="110"/>
      <c r="AJ570" s="111"/>
      <c r="AK570" s="111"/>
      <c r="AL570" s="111"/>
    </row>
    <row r="571" ht="16.5" customHeight="1">
      <c r="AB571" s="110"/>
      <c r="AJ571" s="111"/>
      <c r="AK571" s="111"/>
      <c r="AL571" s="111"/>
    </row>
    <row r="572" ht="16.5" customHeight="1">
      <c r="AB572" s="110"/>
      <c r="AJ572" s="111"/>
      <c r="AK572" s="111"/>
      <c r="AL572" s="111"/>
    </row>
    <row r="573" ht="16.5" customHeight="1">
      <c r="AB573" s="110"/>
      <c r="AJ573" s="111"/>
      <c r="AK573" s="111"/>
      <c r="AL573" s="111"/>
    </row>
    <row r="574" ht="16.5" customHeight="1">
      <c r="AB574" s="110"/>
      <c r="AJ574" s="111"/>
      <c r="AK574" s="111"/>
      <c r="AL574" s="111"/>
    </row>
    <row r="575" ht="16.5" customHeight="1">
      <c r="AB575" s="110"/>
      <c r="AJ575" s="111"/>
      <c r="AK575" s="111"/>
      <c r="AL575" s="111"/>
    </row>
    <row r="576" ht="16.5" customHeight="1">
      <c r="AB576" s="110"/>
      <c r="AJ576" s="111"/>
      <c r="AK576" s="111"/>
      <c r="AL576" s="111"/>
    </row>
    <row r="577" ht="16.5" customHeight="1">
      <c r="AB577" s="110"/>
      <c r="AJ577" s="111"/>
      <c r="AK577" s="111"/>
      <c r="AL577" s="111"/>
    </row>
    <row r="578" ht="16.5" customHeight="1">
      <c r="AB578" s="110"/>
      <c r="AJ578" s="111"/>
      <c r="AK578" s="111"/>
      <c r="AL578" s="111"/>
    </row>
    <row r="579" ht="16.5" customHeight="1">
      <c r="AB579" s="110"/>
      <c r="AJ579" s="111"/>
      <c r="AK579" s="111"/>
      <c r="AL579" s="111"/>
    </row>
    <row r="580" ht="16.5" customHeight="1">
      <c r="AB580" s="110"/>
      <c r="AJ580" s="111"/>
      <c r="AK580" s="111"/>
      <c r="AL580" s="111"/>
    </row>
    <row r="581" ht="16.5" customHeight="1">
      <c r="AB581" s="110"/>
      <c r="AJ581" s="111"/>
      <c r="AK581" s="111"/>
      <c r="AL581" s="111"/>
    </row>
    <row r="582" ht="16.5" customHeight="1">
      <c r="AB582" s="110"/>
      <c r="AJ582" s="111"/>
      <c r="AK582" s="111"/>
      <c r="AL582" s="111"/>
    </row>
    <row r="583" ht="16.5" customHeight="1">
      <c r="AB583" s="110"/>
      <c r="AJ583" s="111"/>
      <c r="AK583" s="111"/>
      <c r="AL583" s="111"/>
    </row>
    <row r="584" ht="16.5" customHeight="1">
      <c r="AB584" s="110"/>
      <c r="AJ584" s="111"/>
      <c r="AK584" s="111"/>
      <c r="AL584" s="111"/>
    </row>
    <row r="585" ht="16.5" customHeight="1">
      <c r="AB585" s="110"/>
      <c r="AJ585" s="111"/>
      <c r="AK585" s="111"/>
      <c r="AL585" s="111"/>
    </row>
    <row r="586" ht="16.5" customHeight="1">
      <c r="AB586" s="110"/>
      <c r="AJ586" s="111"/>
      <c r="AK586" s="111"/>
      <c r="AL586" s="111"/>
    </row>
    <row r="587" ht="16.5" customHeight="1">
      <c r="AB587" s="110"/>
      <c r="AJ587" s="111"/>
      <c r="AK587" s="111"/>
      <c r="AL587" s="111"/>
    </row>
    <row r="588" ht="16.5" customHeight="1">
      <c r="AB588" s="110"/>
      <c r="AJ588" s="111"/>
      <c r="AK588" s="111"/>
      <c r="AL588" s="111"/>
    </row>
    <row r="589" ht="16.5" customHeight="1">
      <c r="AB589" s="110"/>
      <c r="AJ589" s="111"/>
      <c r="AK589" s="111"/>
      <c r="AL589" s="111"/>
    </row>
    <row r="590" ht="16.5" customHeight="1">
      <c r="AB590" s="110"/>
      <c r="AJ590" s="111"/>
      <c r="AK590" s="111"/>
      <c r="AL590" s="111"/>
    </row>
    <row r="591" ht="16.5" customHeight="1">
      <c r="AB591" s="110"/>
      <c r="AJ591" s="111"/>
      <c r="AK591" s="111"/>
      <c r="AL591" s="111"/>
    </row>
    <row r="592" ht="16.5" customHeight="1">
      <c r="AB592" s="110"/>
      <c r="AJ592" s="111"/>
      <c r="AK592" s="111"/>
      <c r="AL592" s="111"/>
    </row>
    <row r="593" ht="16.5" customHeight="1">
      <c r="AB593" s="110"/>
      <c r="AJ593" s="111"/>
      <c r="AK593" s="111"/>
      <c r="AL593" s="111"/>
    </row>
    <row r="594" ht="16.5" customHeight="1">
      <c r="AB594" s="110"/>
      <c r="AJ594" s="111"/>
      <c r="AK594" s="111"/>
      <c r="AL594" s="111"/>
    </row>
    <row r="595" ht="16.5" customHeight="1">
      <c r="AB595" s="110"/>
      <c r="AJ595" s="111"/>
      <c r="AK595" s="111"/>
      <c r="AL595" s="111"/>
    </row>
    <row r="596" ht="16.5" customHeight="1">
      <c r="AB596" s="110"/>
      <c r="AJ596" s="111"/>
      <c r="AK596" s="111"/>
      <c r="AL596" s="111"/>
    </row>
    <row r="597" ht="16.5" customHeight="1">
      <c r="AB597" s="110"/>
      <c r="AJ597" s="111"/>
      <c r="AK597" s="111"/>
      <c r="AL597" s="111"/>
    </row>
    <row r="598" ht="16.5" customHeight="1">
      <c r="AB598" s="110"/>
      <c r="AJ598" s="111"/>
      <c r="AK598" s="111"/>
      <c r="AL598" s="111"/>
    </row>
    <row r="599" ht="16.5" customHeight="1">
      <c r="AB599" s="110"/>
      <c r="AJ599" s="111"/>
      <c r="AK599" s="111"/>
      <c r="AL599" s="111"/>
    </row>
    <row r="600" ht="16.5" customHeight="1">
      <c r="AB600" s="110"/>
      <c r="AJ600" s="111"/>
      <c r="AK600" s="111"/>
      <c r="AL600" s="111"/>
    </row>
    <row r="601" ht="16.5" customHeight="1">
      <c r="AB601" s="110"/>
      <c r="AJ601" s="111"/>
      <c r="AK601" s="111"/>
      <c r="AL601" s="111"/>
    </row>
    <row r="602" ht="16.5" customHeight="1">
      <c r="AB602" s="110"/>
      <c r="AJ602" s="111"/>
      <c r="AK602" s="111"/>
      <c r="AL602" s="111"/>
    </row>
    <row r="603" ht="16.5" customHeight="1">
      <c r="AB603" s="110"/>
      <c r="AJ603" s="111"/>
      <c r="AK603" s="111"/>
      <c r="AL603" s="111"/>
    </row>
    <row r="604" ht="16.5" customHeight="1">
      <c r="AB604" s="110"/>
      <c r="AJ604" s="111"/>
      <c r="AK604" s="111"/>
      <c r="AL604" s="111"/>
    </row>
    <row r="605" ht="16.5" customHeight="1">
      <c r="AB605" s="110"/>
      <c r="AJ605" s="111"/>
      <c r="AK605" s="111"/>
      <c r="AL605" s="111"/>
    </row>
    <row r="606" ht="16.5" customHeight="1">
      <c r="AB606" s="110"/>
      <c r="AJ606" s="111"/>
      <c r="AK606" s="111"/>
      <c r="AL606" s="111"/>
    </row>
    <row r="607" ht="16.5" customHeight="1">
      <c r="AB607" s="110"/>
      <c r="AJ607" s="111"/>
      <c r="AK607" s="111"/>
      <c r="AL607" s="111"/>
    </row>
    <row r="608" ht="16.5" customHeight="1">
      <c r="AB608" s="110"/>
      <c r="AJ608" s="111"/>
      <c r="AK608" s="111"/>
      <c r="AL608" s="111"/>
    </row>
    <row r="609" ht="16.5" customHeight="1">
      <c r="AB609" s="110"/>
      <c r="AJ609" s="111"/>
      <c r="AK609" s="111"/>
      <c r="AL609" s="111"/>
    </row>
    <row r="610" ht="16.5" customHeight="1">
      <c r="AB610" s="110"/>
      <c r="AJ610" s="111"/>
      <c r="AK610" s="111"/>
      <c r="AL610" s="111"/>
    </row>
    <row r="611" ht="16.5" customHeight="1">
      <c r="AB611" s="110"/>
      <c r="AJ611" s="111"/>
      <c r="AK611" s="111"/>
      <c r="AL611" s="111"/>
    </row>
    <row r="612" ht="16.5" customHeight="1">
      <c r="AB612" s="110"/>
      <c r="AJ612" s="111"/>
      <c r="AK612" s="111"/>
      <c r="AL612" s="111"/>
    </row>
    <row r="613" ht="16.5" customHeight="1">
      <c r="AB613" s="110"/>
      <c r="AJ613" s="111"/>
      <c r="AK613" s="111"/>
      <c r="AL613" s="111"/>
    </row>
    <row r="614" ht="16.5" customHeight="1">
      <c r="AB614" s="110"/>
      <c r="AJ614" s="111"/>
      <c r="AK614" s="111"/>
      <c r="AL614" s="111"/>
    </row>
    <row r="615" ht="16.5" customHeight="1">
      <c r="AB615" s="110"/>
      <c r="AJ615" s="111"/>
      <c r="AK615" s="111"/>
      <c r="AL615" s="111"/>
    </row>
    <row r="616" ht="16.5" customHeight="1">
      <c r="AB616" s="110"/>
      <c r="AJ616" s="111"/>
      <c r="AK616" s="111"/>
      <c r="AL616" s="111"/>
    </row>
    <row r="617" ht="16.5" customHeight="1">
      <c r="AB617" s="110"/>
      <c r="AJ617" s="111"/>
      <c r="AK617" s="111"/>
      <c r="AL617" s="111"/>
    </row>
    <row r="618" ht="16.5" customHeight="1">
      <c r="AB618" s="110"/>
      <c r="AJ618" s="111"/>
      <c r="AK618" s="111"/>
      <c r="AL618" s="111"/>
    </row>
    <row r="619" ht="16.5" customHeight="1">
      <c r="AB619" s="110"/>
      <c r="AJ619" s="111"/>
      <c r="AK619" s="111"/>
      <c r="AL619" s="111"/>
    </row>
    <row r="620" ht="16.5" customHeight="1">
      <c r="AB620" s="110"/>
      <c r="AJ620" s="111"/>
      <c r="AK620" s="111"/>
      <c r="AL620" s="111"/>
    </row>
    <row r="621" ht="16.5" customHeight="1">
      <c r="AB621" s="110"/>
      <c r="AJ621" s="111"/>
      <c r="AK621" s="111"/>
      <c r="AL621" s="111"/>
    </row>
    <row r="622" ht="16.5" customHeight="1">
      <c r="AB622" s="110"/>
      <c r="AJ622" s="111"/>
      <c r="AK622" s="111"/>
      <c r="AL622" s="111"/>
    </row>
    <row r="623" ht="16.5" customHeight="1">
      <c r="AB623" s="110"/>
      <c r="AJ623" s="111"/>
      <c r="AK623" s="111"/>
      <c r="AL623" s="111"/>
    </row>
    <row r="624" ht="16.5" customHeight="1">
      <c r="AB624" s="110"/>
      <c r="AJ624" s="111"/>
      <c r="AK624" s="111"/>
      <c r="AL624" s="111"/>
    </row>
    <row r="625" ht="16.5" customHeight="1">
      <c r="AB625" s="110"/>
      <c r="AJ625" s="111"/>
      <c r="AK625" s="111"/>
      <c r="AL625" s="111"/>
    </row>
    <row r="626" ht="16.5" customHeight="1">
      <c r="AB626" s="110"/>
      <c r="AJ626" s="111"/>
      <c r="AK626" s="111"/>
      <c r="AL626" s="111"/>
    </row>
    <row r="627" ht="16.5" customHeight="1">
      <c r="AB627" s="110"/>
      <c r="AJ627" s="111"/>
      <c r="AK627" s="111"/>
      <c r="AL627" s="111"/>
    </row>
    <row r="628" ht="16.5" customHeight="1">
      <c r="AB628" s="110"/>
      <c r="AJ628" s="111"/>
      <c r="AK628" s="111"/>
      <c r="AL628" s="111"/>
    </row>
    <row r="629" ht="16.5" customHeight="1">
      <c r="AB629" s="110"/>
      <c r="AJ629" s="111"/>
      <c r="AK629" s="111"/>
      <c r="AL629" s="111"/>
    </row>
    <row r="630" ht="16.5" customHeight="1">
      <c r="AB630" s="110"/>
      <c r="AJ630" s="111"/>
      <c r="AK630" s="111"/>
      <c r="AL630" s="111"/>
    </row>
    <row r="631" ht="16.5" customHeight="1">
      <c r="AB631" s="110"/>
      <c r="AJ631" s="111"/>
      <c r="AK631" s="111"/>
      <c r="AL631" s="111"/>
    </row>
    <row r="632" ht="16.5" customHeight="1">
      <c r="AB632" s="110"/>
      <c r="AJ632" s="111"/>
      <c r="AK632" s="111"/>
      <c r="AL632" s="111"/>
    </row>
    <row r="633" ht="16.5" customHeight="1">
      <c r="AB633" s="110"/>
      <c r="AJ633" s="111"/>
      <c r="AK633" s="111"/>
      <c r="AL633" s="111"/>
    </row>
    <row r="634" ht="16.5" customHeight="1">
      <c r="AB634" s="110"/>
      <c r="AJ634" s="111"/>
      <c r="AK634" s="111"/>
      <c r="AL634" s="111"/>
    </row>
    <row r="635" ht="16.5" customHeight="1">
      <c r="AB635" s="110"/>
      <c r="AJ635" s="111"/>
      <c r="AK635" s="111"/>
      <c r="AL635" s="111"/>
    </row>
    <row r="636" ht="16.5" customHeight="1">
      <c r="AB636" s="110"/>
      <c r="AJ636" s="111"/>
      <c r="AK636" s="111"/>
      <c r="AL636" s="111"/>
    </row>
    <row r="637" ht="16.5" customHeight="1">
      <c r="AB637" s="110"/>
      <c r="AJ637" s="111"/>
      <c r="AK637" s="111"/>
      <c r="AL637" s="111"/>
    </row>
    <row r="638" ht="16.5" customHeight="1">
      <c r="AB638" s="110"/>
      <c r="AJ638" s="111"/>
      <c r="AK638" s="111"/>
      <c r="AL638" s="111"/>
    </row>
    <row r="639" ht="16.5" customHeight="1">
      <c r="AB639" s="110"/>
      <c r="AJ639" s="111"/>
      <c r="AK639" s="111"/>
      <c r="AL639" s="111"/>
    </row>
    <row r="640" ht="16.5" customHeight="1">
      <c r="AB640" s="110"/>
      <c r="AJ640" s="111"/>
      <c r="AK640" s="111"/>
      <c r="AL640" s="111"/>
    </row>
    <row r="641" ht="16.5" customHeight="1">
      <c r="AB641" s="110"/>
      <c r="AJ641" s="111"/>
      <c r="AK641" s="111"/>
      <c r="AL641" s="111"/>
    </row>
    <row r="642" ht="16.5" customHeight="1">
      <c r="AB642" s="110"/>
      <c r="AJ642" s="111"/>
      <c r="AK642" s="111"/>
      <c r="AL642" s="111"/>
    </row>
    <row r="643" ht="16.5" customHeight="1">
      <c r="AB643" s="110"/>
      <c r="AJ643" s="111"/>
      <c r="AK643" s="111"/>
      <c r="AL643" s="111"/>
    </row>
    <row r="644" ht="16.5" customHeight="1">
      <c r="AB644" s="110"/>
      <c r="AJ644" s="111"/>
      <c r="AK644" s="111"/>
      <c r="AL644" s="111"/>
    </row>
    <row r="645" ht="16.5" customHeight="1">
      <c r="AB645" s="110"/>
      <c r="AJ645" s="111"/>
      <c r="AK645" s="111"/>
      <c r="AL645" s="111"/>
    </row>
    <row r="646" ht="16.5" customHeight="1">
      <c r="AB646" s="110"/>
      <c r="AJ646" s="111"/>
      <c r="AK646" s="111"/>
      <c r="AL646" s="111"/>
    </row>
    <row r="647" ht="16.5" customHeight="1">
      <c r="AB647" s="110"/>
      <c r="AJ647" s="111"/>
      <c r="AK647" s="111"/>
      <c r="AL647" s="111"/>
    </row>
    <row r="648" ht="16.5" customHeight="1">
      <c r="AB648" s="110"/>
      <c r="AJ648" s="111"/>
      <c r="AK648" s="111"/>
      <c r="AL648" s="111"/>
    </row>
    <row r="649" ht="16.5" customHeight="1">
      <c r="AB649" s="110"/>
      <c r="AJ649" s="111"/>
      <c r="AK649" s="111"/>
      <c r="AL649" s="111"/>
    </row>
    <row r="650" ht="16.5" customHeight="1">
      <c r="AB650" s="110"/>
      <c r="AJ650" s="111"/>
      <c r="AK650" s="111"/>
      <c r="AL650" s="111"/>
    </row>
    <row r="651" ht="16.5" customHeight="1">
      <c r="AB651" s="110"/>
      <c r="AJ651" s="111"/>
      <c r="AK651" s="111"/>
      <c r="AL651" s="111"/>
    </row>
    <row r="652" ht="16.5" customHeight="1">
      <c r="AB652" s="110"/>
      <c r="AJ652" s="111"/>
      <c r="AK652" s="111"/>
      <c r="AL652" s="111"/>
    </row>
    <row r="653" ht="16.5" customHeight="1">
      <c r="AB653" s="110"/>
      <c r="AJ653" s="111"/>
      <c r="AK653" s="111"/>
      <c r="AL653" s="111"/>
    </row>
    <row r="654" ht="16.5" customHeight="1">
      <c r="AB654" s="110"/>
      <c r="AJ654" s="111"/>
      <c r="AK654" s="111"/>
      <c r="AL654" s="111"/>
    </row>
    <row r="655" ht="16.5" customHeight="1">
      <c r="AB655" s="110"/>
      <c r="AJ655" s="111"/>
      <c r="AK655" s="111"/>
      <c r="AL655" s="111"/>
    </row>
    <row r="656" ht="16.5" customHeight="1">
      <c r="AB656" s="110"/>
      <c r="AJ656" s="111"/>
      <c r="AK656" s="111"/>
      <c r="AL656" s="111"/>
    </row>
    <row r="657" ht="16.5" customHeight="1">
      <c r="AB657" s="110"/>
      <c r="AJ657" s="111"/>
      <c r="AK657" s="111"/>
      <c r="AL657" s="111"/>
    </row>
    <row r="658" ht="16.5" customHeight="1">
      <c r="AB658" s="110"/>
      <c r="AJ658" s="111"/>
      <c r="AK658" s="111"/>
      <c r="AL658" s="111"/>
    </row>
    <row r="659" ht="16.5" customHeight="1">
      <c r="AB659" s="110"/>
      <c r="AJ659" s="111"/>
      <c r="AK659" s="111"/>
      <c r="AL659" s="111"/>
    </row>
    <row r="660" ht="16.5" customHeight="1">
      <c r="AB660" s="110"/>
      <c r="AJ660" s="111"/>
      <c r="AK660" s="111"/>
      <c r="AL660" s="111"/>
    </row>
    <row r="661" ht="16.5" customHeight="1">
      <c r="AB661" s="110"/>
      <c r="AJ661" s="111"/>
      <c r="AK661" s="111"/>
      <c r="AL661" s="111"/>
    </row>
    <row r="662" ht="16.5" customHeight="1">
      <c r="AB662" s="110"/>
      <c r="AJ662" s="111"/>
      <c r="AK662" s="111"/>
      <c r="AL662" s="111"/>
    </row>
    <row r="663" ht="16.5" customHeight="1">
      <c r="AB663" s="110"/>
      <c r="AJ663" s="111"/>
      <c r="AK663" s="111"/>
      <c r="AL663" s="111"/>
    </row>
    <row r="664" ht="16.5" customHeight="1">
      <c r="AB664" s="110"/>
      <c r="AJ664" s="111"/>
      <c r="AK664" s="111"/>
      <c r="AL664" s="111"/>
    </row>
    <row r="665" ht="16.5" customHeight="1">
      <c r="AB665" s="110"/>
      <c r="AJ665" s="111"/>
      <c r="AK665" s="111"/>
      <c r="AL665" s="111"/>
    </row>
    <row r="666" ht="16.5" customHeight="1">
      <c r="AB666" s="110"/>
      <c r="AJ666" s="111"/>
      <c r="AK666" s="111"/>
      <c r="AL666" s="111"/>
    </row>
    <row r="667" ht="16.5" customHeight="1">
      <c r="AB667" s="110"/>
      <c r="AJ667" s="111"/>
      <c r="AK667" s="111"/>
      <c r="AL667" s="111"/>
    </row>
    <row r="668" ht="16.5" customHeight="1">
      <c r="AB668" s="110"/>
      <c r="AJ668" s="111"/>
      <c r="AK668" s="111"/>
      <c r="AL668" s="111"/>
    </row>
    <row r="669" ht="16.5" customHeight="1">
      <c r="AB669" s="110"/>
      <c r="AJ669" s="111"/>
      <c r="AK669" s="111"/>
      <c r="AL669" s="111"/>
    </row>
    <row r="670" ht="16.5" customHeight="1">
      <c r="AB670" s="110"/>
      <c r="AJ670" s="111"/>
      <c r="AK670" s="111"/>
      <c r="AL670" s="111"/>
    </row>
    <row r="671" ht="16.5" customHeight="1">
      <c r="AB671" s="110"/>
      <c r="AJ671" s="111"/>
      <c r="AK671" s="111"/>
      <c r="AL671" s="111"/>
    </row>
    <row r="672" ht="16.5" customHeight="1">
      <c r="AB672" s="110"/>
      <c r="AJ672" s="111"/>
      <c r="AK672" s="111"/>
      <c r="AL672" s="111"/>
    </row>
    <row r="673" ht="16.5" customHeight="1">
      <c r="AB673" s="110"/>
      <c r="AJ673" s="111"/>
      <c r="AK673" s="111"/>
      <c r="AL673" s="111"/>
    </row>
    <row r="674" ht="16.5" customHeight="1">
      <c r="AB674" s="110"/>
      <c r="AJ674" s="111"/>
      <c r="AK674" s="111"/>
      <c r="AL674" s="111"/>
    </row>
    <row r="675" ht="16.5" customHeight="1">
      <c r="AB675" s="110"/>
      <c r="AJ675" s="111"/>
      <c r="AK675" s="111"/>
      <c r="AL675" s="111"/>
    </row>
    <row r="676" ht="16.5" customHeight="1">
      <c r="AB676" s="110"/>
      <c r="AJ676" s="111"/>
      <c r="AK676" s="111"/>
      <c r="AL676" s="111"/>
    </row>
    <row r="677" ht="16.5" customHeight="1">
      <c r="AB677" s="110"/>
      <c r="AJ677" s="111"/>
      <c r="AK677" s="111"/>
      <c r="AL677" s="111"/>
    </row>
    <row r="678" ht="16.5" customHeight="1">
      <c r="AB678" s="110"/>
      <c r="AJ678" s="111"/>
      <c r="AK678" s="111"/>
      <c r="AL678" s="111"/>
    </row>
    <row r="679" ht="16.5" customHeight="1">
      <c r="AB679" s="110"/>
      <c r="AJ679" s="111"/>
      <c r="AK679" s="111"/>
      <c r="AL679" s="111"/>
    </row>
    <row r="680" ht="16.5" customHeight="1">
      <c r="AB680" s="110"/>
      <c r="AJ680" s="111"/>
      <c r="AK680" s="111"/>
      <c r="AL680" s="111"/>
    </row>
    <row r="681" ht="16.5" customHeight="1">
      <c r="AB681" s="110"/>
      <c r="AJ681" s="111"/>
      <c r="AK681" s="111"/>
      <c r="AL681" s="111"/>
    </row>
    <row r="682" ht="16.5" customHeight="1">
      <c r="AB682" s="110"/>
      <c r="AJ682" s="111"/>
      <c r="AK682" s="111"/>
      <c r="AL682" s="111"/>
    </row>
    <row r="683" ht="16.5" customHeight="1">
      <c r="AB683" s="110"/>
      <c r="AJ683" s="111"/>
      <c r="AK683" s="111"/>
      <c r="AL683" s="111"/>
    </row>
    <row r="684" ht="16.5" customHeight="1">
      <c r="AB684" s="110"/>
      <c r="AJ684" s="111"/>
      <c r="AK684" s="111"/>
      <c r="AL684" s="111"/>
    </row>
    <row r="685" ht="16.5" customHeight="1">
      <c r="AB685" s="110"/>
      <c r="AJ685" s="111"/>
      <c r="AK685" s="111"/>
      <c r="AL685" s="111"/>
    </row>
    <row r="686" ht="16.5" customHeight="1">
      <c r="AB686" s="110"/>
      <c r="AJ686" s="111"/>
      <c r="AK686" s="111"/>
      <c r="AL686" s="111"/>
    </row>
    <row r="687" ht="16.5" customHeight="1">
      <c r="AB687" s="110"/>
      <c r="AJ687" s="111"/>
      <c r="AK687" s="111"/>
      <c r="AL687" s="111"/>
    </row>
    <row r="688" ht="16.5" customHeight="1">
      <c r="AB688" s="110"/>
      <c r="AJ688" s="111"/>
      <c r="AK688" s="111"/>
      <c r="AL688" s="111"/>
    </row>
    <row r="689" ht="16.5" customHeight="1">
      <c r="AB689" s="110"/>
      <c r="AJ689" s="111"/>
      <c r="AK689" s="111"/>
      <c r="AL689" s="111"/>
    </row>
    <row r="690" ht="16.5" customHeight="1">
      <c r="AB690" s="110"/>
      <c r="AJ690" s="111"/>
      <c r="AK690" s="111"/>
      <c r="AL690" s="111"/>
    </row>
    <row r="691" ht="16.5" customHeight="1">
      <c r="AB691" s="110"/>
      <c r="AJ691" s="111"/>
      <c r="AK691" s="111"/>
      <c r="AL691" s="111"/>
    </row>
    <row r="692" ht="16.5" customHeight="1">
      <c r="AB692" s="110"/>
      <c r="AJ692" s="111"/>
      <c r="AK692" s="111"/>
      <c r="AL692" s="111"/>
    </row>
    <row r="693" ht="16.5" customHeight="1">
      <c r="AB693" s="110"/>
      <c r="AJ693" s="111"/>
      <c r="AK693" s="111"/>
      <c r="AL693" s="111"/>
    </row>
    <row r="694" ht="16.5" customHeight="1">
      <c r="AB694" s="110"/>
      <c r="AJ694" s="111"/>
      <c r="AK694" s="111"/>
      <c r="AL694" s="111"/>
    </row>
    <row r="695" ht="16.5" customHeight="1">
      <c r="AB695" s="110"/>
      <c r="AJ695" s="111"/>
      <c r="AK695" s="111"/>
      <c r="AL695" s="111"/>
    </row>
    <row r="696" ht="16.5" customHeight="1">
      <c r="AB696" s="110"/>
      <c r="AJ696" s="111"/>
      <c r="AK696" s="111"/>
      <c r="AL696" s="111"/>
    </row>
    <row r="697" ht="16.5" customHeight="1">
      <c r="AB697" s="110"/>
      <c r="AJ697" s="111"/>
      <c r="AK697" s="111"/>
      <c r="AL697" s="111"/>
    </row>
    <row r="698" ht="16.5" customHeight="1">
      <c r="AB698" s="110"/>
      <c r="AJ698" s="111"/>
      <c r="AK698" s="111"/>
      <c r="AL698" s="111"/>
    </row>
    <row r="699" ht="16.5" customHeight="1">
      <c r="AB699" s="110"/>
      <c r="AJ699" s="111"/>
      <c r="AK699" s="111"/>
      <c r="AL699" s="111"/>
    </row>
    <row r="700" ht="16.5" customHeight="1">
      <c r="AB700" s="110"/>
      <c r="AJ700" s="111"/>
      <c r="AK700" s="111"/>
      <c r="AL700" s="111"/>
    </row>
    <row r="701" ht="16.5" customHeight="1">
      <c r="AB701" s="110"/>
      <c r="AJ701" s="111"/>
      <c r="AK701" s="111"/>
      <c r="AL701" s="111"/>
    </row>
    <row r="702" ht="16.5" customHeight="1">
      <c r="AB702" s="110"/>
      <c r="AJ702" s="111"/>
      <c r="AK702" s="111"/>
      <c r="AL702" s="111"/>
    </row>
    <row r="703" ht="16.5" customHeight="1">
      <c r="AB703" s="110"/>
      <c r="AJ703" s="111"/>
      <c r="AK703" s="111"/>
      <c r="AL703" s="111"/>
    </row>
    <row r="704" ht="16.5" customHeight="1">
      <c r="AB704" s="110"/>
      <c r="AJ704" s="111"/>
      <c r="AK704" s="111"/>
      <c r="AL704" s="111"/>
    </row>
    <row r="705" ht="16.5" customHeight="1">
      <c r="AB705" s="110"/>
      <c r="AJ705" s="111"/>
      <c r="AK705" s="111"/>
      <c r="AL705" s="111"/>
    </row>
    <row r="706" ht="16.5" customHeight="1">
      <c r="AB706" s="110"/>
      <c r="AJ706" s="111"/>
      <c r="AK706" s="111"/>
      <c r="AL706" s="111"/>
    </row>
    <row r="707" ht="16.5" customHeight="1">
      <c r="AB707" s="110"/>
      <c r="AJ707" s="111"/>
      <c r="AK707" s="111"/>
      <c r="AL707" s="111"/>
    </row>
    <row r="708" ht="16.5" customHeight="1">
      <c r="AB708" s="110"/>
      <c r="AJ708" s="111"/>
      <c r="AK708" s="111"/>
      <c r="AL708" s="111"/>
    </row>
    <row r="709" ht="16.5" customHeight="1">
      <c r="AB709" s="110"/>
      <c r="AJ709" s="111"/>
      <c r="AK709" s="111"/>
      <c r="AL709" s="111"/>
    </row>
    <row r="710" ht="16.5" customHeight="1">
      <c r="AB710" s="110"/>
      <c r="AJ710" s="111"/>
      <c r="AK710" s="111"/>
      <c r="AL710" s="111"/>
    </row>
    <row r="711" ht="16.5" customHeight="1">
      <c r="AB711" s="110"/>
      <c r="AJ711" s="111"/>
      <c r="AK711" s="111"/>
      <c r="AL711" s="111"/>
    </row>
    <row r="712" ht="16.5" customHeight="1">
      <c r="AB712" s="110"/>
      <c r="AJ712" s="111"/>
      <c r="AK712" s="111"/>
      <c r="AL712" s="111"/>
    </row>
    <row r="713" ht="16.5" customHeight="1">
      <c r="AB713" s="110"/>
      <c r="AJ713" s="111"/>
      <c r="AK713" s="111"/>
      <c r="AL713" s="111"/>
    </row>
    <row r="714" ht="16.5" customHeight="1">
      <c r="AB714" s="110"/>
      <c r="AJ714" s="111"/>
      <c r="AK714" s="111"/>
      <c r="AL714" s="111"/>
    </row>
    <row r="715" ht="16.5" customHeight="1">
      <c r="AB715" s="110"/>
      <c r="AJ715" s="111"/>
      <c r="AK715" s="111"/>
      <c r="AL715" s="111"/>
    </row>
    <row r="716" ht="16.5" customHeight="1">
      <c r="AB716" s="110"/>
      <c r="AJ716" s="111"/>
      <c r="AK716" s="111"/>
      <c r="AL716" s="111"/>
    </row>
    <row r="717" ht="16.5" customHeight="1">
      <c r="AB717" s="110"/>
      <c r="AJ717" s="111"/>
      <c r="AK717" s="111"/>
      <c r="AL717" s="111"/>
    </row>
    <row r="718" ht="16.5" customHeight="1">
      <c r="AB718" s="110"/>
      <c r="AJ718" s="111"/>
      <c r="AK718" s="111"/>
      <c r="AL718" s="111"/>
    </row>
    <row r="719" ht="16.5" customHeight="1">
      <c r="AB719" s="110"/>
      <c r="AJ719" s="111"/>
      <c r="AK719" s="111"/>
      <c r="AL719" s="111"/>
    </row>
    <row r="720" ht="16.5" customHeight="1">
      <c r="AB720" s="110"/>
      <c r="AJ720" s="111"/>
      <c r="AK720" s="111"/>
      <c r="AL720" s="111"/>
    </row>
    <row r="721" ht="16.5" customHeight="1">
      <c r="AB721" s="110"/>
      <c r="AJ721" s="111"/>
      <c r="AK721" s="111"/>
      <c r="AL721" s="111"/>
    </row>
    <row r="722" ht="16.5" customHeight="1">
      <c r="AB722" s="110"/>
      <c r="AJ722" s="111"/>
      <c r="AK722" s="111"/>
      <c r="AL722" s="111"/>
    </row>
    <row r="723" ht="16.5" customHeight="1">
      <c r="AB723" s="110"/>
      <c r="AJ723" s="111"/>
      <c r="AK723" s="111"/>
      <c r="AL723" s="111"/>
    </row>
    <row r="724" ht="16.5" customHeight="1">
      <c r="AB724" s="110"/>
      <c r="AJ724" s="111"/>
      <c r="AK724" s="111"/>
      <c r="AL724" s="111"/>
    </row>
    <row r="725" ht="16.5" customHeight="1">
      <c r="AB725" s="110"/>
      <c r="AJ725" s="111"/>
      <c r="AK725" s="111"/>
      <c r="AL725" s="111"/>
    </row>
    <row r="726" ht="16.5" customHeight="1">
      <c r="AB726" s="110"/>
      <c r="AJ726" s="111"/>
      <c r="AK726" s="111"/>
      <c r="AL726" s="111"/>
    </row>
    <row r="727" ht="16.5" customHeight="1">
      <c r="AB727" s="110"/>
      <c r="AJ727" s="111"/>
      <c r="AK727" s="111"/>
      <c r="AL727" s="111"/>
    </row>
    <row r="728" ht="16.5" customHeight="1">
      <c r="AB728" s="110"/>
      <c r="AJ728" s="111"/>
      <c r="AK728" s="111"/>
      <c r="AL728" s="111"/>
    </row>
    <row r="729" ht="16.5" customHeight="1">
      <c r="AB729" s="110"/>
      <c r="AJ729" s="111"/>
      <c r="AK729" s="111"/>
      <c r="AL729" s="111"/>
    </row>
    <row r="730" ht="16.5" customHeight="1">
      <c r="AB730" s="110"/>
      <c r="AJ730" s="111"/>
      <c r="AK730" s="111"/>
      <c r="AL730" s="111"/>
    </row>
    <row r="731" ht="16.5" customHeight="1">
      <c r="AB731" s="110"/>
      <c r="AJ731" s="111"/>
      <c r="AK731" s="111"/>
      <c r="AL731" s="111"/>
    </row>
    <row r="732" ht="16.5" customHeight="1">
      <c r="AB732" s="110"/>
      <c r="AJ732" s="111"/>
      <c r="AK732" s="111"/>
      <c r="AL732" s="111"/>
    </row>
    <row r="733" ht="16.5" customHeight="1">
      <c r="AB733" s="110"/>
      <c r="AJ733" s="111"/>
      <c r="AK733" s="111"/>
      <c r="AL733" s="111"/>
    </row>
    <row r="734" ht="16.5" customHeight="1">
      <c r="AB734" s="110"/>
      <c r="AJ734" s="111"/>
      <c r="AK734" s="111"/>
      <c r="AL734" s="111"/>
    </row>
    <row r="735" ht="16.5" customHeight="1">
      <c r="AB735" s="110"/>
      <c r="AJ735" s="111"/>
      <c r="AK735" s="111"/>
      <c r="AL735" s="111"/>
    </row>
    <row r="736" ht="16.5" customHeight="1">
      <c r="AB736" s="110"/>
      <c r="AJ736" s="111"/>
      <c r="AK736" s="111"/>
      <c r="AL736" s="111"/>
    </row>
    <row r="737" ht="16.5" customHeight="1">
      <c r="AB737" s="110"/>
      <c r="AJ737" s="111"/>
      <c r="AK737" s="111"/>
      <c r="AL737" s="111"/>
    </row>
    <row r="738" ht="16.5" customHeight="1">
      <c r="AB738" s="110"/>
      <c r="AJ738" s="111"/>
      <c r="AK738" s="111"/>
      <c r="AL738" s="111"/>
    </row>
    <row r="739" ht="16.5" customHeight="1">
      <c r="AB739" s="110"/>
      <c r="AJ739" s="111"/>
      <c r="AK739" s="111"/>
      <c r="AL739" s="111"/>
    </row>
    <row r="740" ht="16.5" customHeight="1">
      <c r="AB740" s="110"/>
      <c r="AJ740" s="111"/>
      <c r="AK740" s="111"/>
      <c r="AL740" s="111"/>
    </row>
    <row r="741" ht="16.5" customHeight="1">
      <c r="AB741" s="110"/>
      <c r="AJ741" s="111"/>
      <c r="AK741" s="111"/>
      <c r="AL741" s="111"/>
    </row>
    <row r="742" ht="16.5" customHeight="1">
      <c r="AB742" s="110"/>
      <c r="AJ742" s="111"/>
      <c r="AK742" s="111"/>
      <c r="AL742" s="111"/>
    </row>
    <row r="743" ht="16.5" customHeight="1">
      <c r="AB743" s="110"/>
      <c r="AJ743" s="111"/>
      <c r="AK743" s="111"/>
      <c r="AL743" s="111"/>
    </row>
    <row r="744" ht="16.5" customHeight="1">
      <c r="AB744" s="110"/>
      <c r="AJ744" s="111"/>
      <c r="AK744" s="111"/>
      <c r="AL744" s="111"/>
    </row>
    <row r="745" ht="16.5" customHeight="1">
      <c r="AB745" s="110"/>
      <c r="AJ745" s="111"/>
      <c r="AK745" s="111"/>
      <c r="AL745" s="111"/>
    </row>
    <row r="746" ht="16.5" customHeight="1">
      <c r="AB746" s="110"/>
      <c r="AJ746" s="111"/>
      <c r="AK746" s="111"/>
      <c r="AL746" s="111"/>
    </row>
    <row r="747" ht="16.5" customHeight="1">
      <c r="AB747" s="110"/>
      <c r="AJ747" s="111"/>
      <c r="AK747" s="111"/>
      <c r="AL747" s="111"/>
    </row>
    <row r="748" ht="16.5" customHeight="1">
      <c r="AB748" s="110"/>
      <c r="AJ748" s="111"/>
      <c r="AK748" s="111"/>
      <c r="AL748" s="111"/>
    </row>
    <row r="749" ht="16.5" customHeight="1">
      <c r="AB749" s="110"/>
      <c r="AJ749" s="111"/>
      <c r="AK749" s="111"/>
      <c r="AL749" s="111"/>
    </row>
    <row r="750" ht="16.5" customHeight="1">
      <c r="AB750" s="110"/>
      <c r="AJ750" s="111"/>
      <c r="AK750" s="111"/>
      <c r="AL750" s="111"/>
    </row>
    <row r="751" ht="16.5" customHeight="1">
      <c r="AB751" s="110"/>
      <c r="AJ751" s="111"/>
      <c r="AK751" s="111"/>
      <c r="AL751" s="111"/>
    </row>
    <row r="752" ht="16.5" customHeight="1">
      <c r="AB752" s="110"/>
      <c r="AJ752" s="111"/>
      <c r="AK752" s="111"/>
      <c r="AL752" s="111"/>
    </row>
    <row r="753" ht="16.5" customHeight="1">
      <c r="AB753" s="110"/>
      <c r="AJ753" s="111"/>
      <c r="AK753" s="111"/>
      <c r="AL753" s="111"/>
    </row>
    <row r="754" ht="16.5" customHeight="1">
      <c r="AB754" s="110"/>
      <c r="AJ754" s="111"/>
      <c r="AK754" s="111"/>
      <c r="AL754" s="111"/>
    </row>
    <row r="755" ht="16.5" customHeight="1">
      <c r="AB755" s="110"/>
      <c r="AJ755" s="111"/>
      <c r="AK755" s="111"/>
      <c r="AL755" s="111"/>
    </row>
    <row r="756" ht="16.5" customHeight="1">
      <c r="AB756" s="110"/>
      <c r="AJ756" s="111"/>
      <c r="AK756" s="111"/>
      <c r="AL756" s="111"/>
    </row>
    <row r="757" ht="16.5" customHeight="1">
      <c r="AB757" s="110"/>
      <c r="AJ757" s="111"/>
      <c r="AK757" s="111"/>
      <c r="AL757" s="111"/>
    </row>
    <row r="758" ht="16.5" customHeight="1">
      <c r="AB758" s="110"/>
      <c r="AJ758" s="111"/>
      <c r="AK758" s="111"/>
      <c r="AL758" s="111"/>
    </row>
    <row r="759" ht="16.5" customHeight="1">
      <c r="AB759" s="110"/>
      <c r="AJ759" s="111"/>
      <c r="AK759" s="111"/>
      <c r="AL759" s="111"/>
    </row>
    <row r="760" ht="16.5" customHeight="1">
      <c r="AB760" s="110"/>
      <c r="AJ760" s="111"/>
      <c r="AK760" s="111"/>
      <c r="AL760" s="111"/>
    </row>
    <row r="761" ht="16.5" customHeight="1">
      <c r="AB761" s="110"/>
      <c r="AJ761" s="111"/>
      <c r="AK761" s="111"/>
      <c r="AL761" s="111"/>
    </row>
    <row r="762" ht="16.5" customHeight="1">
      <c r="AB762" s="110"/>
      <c r="AJ762" s="111"/>
      <c r="AK762" s="111"/>
      <c r="AL762" s="111"/>
    </row>
    <row r="763" ht="16.5" customHeight="1">
      <c r="AB763" s="110"/>
      <c r="AJ763" s="111"/>
      <c r="AK763" s="111"/>
      <c r="AL763" s="111"/>
    </row>
    <row r="764" ht="16.5" customHeight="1">
      <c r="AB764" s="110"/>
      <c r="AJ764" s="111"/>
      <c r="AK764" s="111"/>
      <c r="AL764" s="111"/>
    </row>
    <row r="765" ht="16.5" customHeight="1">
      <c r="AB765" s="110"/>
      <c r="AJ765" s="111"/>
      <c r="AK765" s="111"/>
      <c r="AL765" s="111"/>
    </row>
    <row r="766" ht="16.5" customHeight="1">
      <c r="AB766" s="110"/>
      <c r="AJ766" s="111"/>
      <c r="AK766" s="111"/>
      <c r="AL766" s="111"/>
    </row>
    <row r="767" ht="16.5" customHeight="1">
      <c r="AB767" s="110"/>
      <c r="AJ767" s="111"/>
      <c r="AK767" s="111"/>
      <c r="AL767" s="111"/>
    </row>
    <row r="768" ht="16.5" customHeight="1">
      <c r="AB768" s="110"/>
      <c r="AJ768" s="111"/>
      <c r="AK768" s="111"/>
      <c r="AL768" s="111"/>
    </row>
    <row r="769" ht="16.5" customHeight="1">
      <c r="AB769" s="110"/>
      <c r="AJ769" s="111"/>
      <c r="AK769" s="111"/>
      <c r="AL769" s="111"/>
    </row>
    <row r="770" ht="16.5" customHeight="1">
      <c r="AB770" s="110"/>
      <c r="AJ770" s="111"/>
      <c r="AK770" s="111"/>
      <c r="AL770" s="111"/>
    </row>
    <row r="771" ht="16.5" customHeight="1">
      <c r="AB771" s="110"/>
      <c r="AJ771" s="111"/>
      <c r="AK771" s="111"/>
      <c r="AL771" s="111"/>
    </row>
    <row r="772" ht="16.5" customHeight="1">
      <c r="AB772" s="110"/>
      <c r="AJ772" s="111"/>
      <c r="AK772" s="111"/>
      <c r="AL772" s="111"/>
    </row>
    <row r="773" ht="16.5" customHeight="1">
      <c r="AB773" s="110"/>
      <c r="AJ773" s="111"/>
      <c r="AK773" s="111"/>
      <c r="AL773" s="111"/>
    </row>
    <row r="774" ht="16.5" customHeight="1">
      <c r="AB774" s="110"/>
      <c r="AJ774" s="111"/>
      <c r="AK774" s="111"/>
      <c r="AL774" s="111"/>
    </row>
    <row r="775" ht="16.5" customHeight="1">
      <c r="AB775" s="110"/>
      <c r="AJ775" s="111"/>
      <c r="AK775" s="111"/>
      <c r="AL775" s="111"/>
    </row>
    <row r="776" ht="16.5" customHeight="1">
      <c r="AB776" s="110"/>
      <c r="AJ776" s="111"/>
      <c r="AK776" s="111"/>
      <c r="AL776" s="111"/>
    </row>
    <row r="777" ht="16.5" customHeight="1">
      <c r="AB777" s="110"/>
      <c r="AJ777" s="111"/>
      <c r="AK777" s="111"/>
      <c r="AL777" s="111"/>
    </row>
    <row r="778" ht="16.5" customHeight="1">
      <c r="AB778" s="110"/>
      <c r="AJ778" s="111"/>
      <c r="AK778" s="111"/>
      <c r="AL778" s="111"/>
    </row>
    <row r="779" ht="16.5" customHeight="1">
      <c r="AB779" s="110"/>
      <c r="AJ779" s="111"/>
      <c r="AK779" s="111"/>
      <c r="AL779" s="111"/>
    </row>
    <row r="780" ht="16.5" customHeight="1">
      <c r="AB780" s="110"/>
      <c r="AJ780" s="111"/>
      <c r="AK780" s="111"/>
      <c r="AL780" s="111"/>
    </row>
    <row r="781" ht="16.5" customHeight="1">
      <c r="AB781" s="110"/>
      <c r="AJ781" s="111"/>
      <c r="AK781" s="111"/>
      <c r="AL781" s="111"/>
    </row>
    <row r="782" ht="16.5" customHeight="1">
      <c r="AB782" s="110"/>
      <c r="AJ782" s="111"/>
      <c r="AK782" s="111"/>
      <c r="AL782" s="111"/>
    </row>
    <row r="783" ht="16.5" customHeight="1">
      <c r="AB783" s="110"/>
      <c r="AJ783" s="111"/>
      <c r="AK783" s="111"/>
      <c r="AL783" s="111"/>
    </row>
    <row r="784" ht="16.5" customHeight="1">
      <c r="AB784" s="110"/>
      <c r="AJ784" s="111"/>
      <c r="AK784" s="111"/>
      <c r="AL784" s="111"/>
    </row>
    <row r="785" ht="16.5" customHeight="1">
      <c r="AB785" s="110"/>
      <c r="AJ785" s="111"/>
      <c r="AK785" s="111"/>
      <c r="AL785" s="111"/>
    </row>
    <row r="786" ht="16.5" customHeight="1">
      <c r="AB786" s="110"/>
      <c r="AJ786" s="111"/>
      <c r="AK786" s="111"/>
      <c r="AL786" s="111"/>
    </row>
    <row r="787" ht="16.5" customHeight="1">
      <c r="AB787" s="110"/>
      <c r="AJ787" s="111"/>
      <c r="AK787" s="111"/>
      <c r="AL787" s="111"/>
    </row>
    <row r="788" ht="16.5" customHeight="1">
      <c r="AB788" s="110"/>
      <c r="AJ788" s="111"/>
      <c r="AK788" s="111"/>
      <c r="AL788" s="111"/>
    </row>
    <row r="789" ht="16.5" customHeight="1">
      <c r="AB789" s="110"/>
      <c r="AJ789" s="111"/>
      <c r="AK789" s="111"/>
      <c r="AL789" s="111"/>
    </row>
    <row r="790" ht="16.5" customHeight="1">
      <c r="AB790" s="110"/>
      <c r="AJ790" s="111"/>
      <c r="AK790" s="111"/>
      <c r="AL790" s="111"/>
    </row>
    <row r="791" ht="16.5" customHeight="1">
      <c r="AB791" s="110"/>
      <c r="AJ791" s="111"/>
      <c r="AK791" s="111"/>
      <c r="AL791" s="111"/>
    </row>
    <row r="792" ht="16.5" customHeight="1">
      <c r="AB792" s="110"/>
      <c r="AJ792" s="111"/>
      <c r="AK792" s="111"/>
      <c r="AL792" s="111"/>
    </row>
    <row r="793" ht="16.5" customHeight="1">
      <c r="AB793" s="110"/>
      <c r="AJ793" s="111"/>
      <c r="AK793" s="111"/>
      <c r="AL793" s="111"/>
    </row>
    <row r="794" ht="16.5" customHeight="1">
      <c r="AB794" s="110"/>
      <c r="AJ794" s="111"/>
      <c r="AK794" s="111"/>
      <c r="AL794" s="111"/>
    </row>
    <row r="795" ht="16.5" customHeight="1">
      <c r="AB795" s="110"/>
      <c r="AJ795" s="111"/>
      <c r="AK795" s="111"/>
      <c r="AL795" s="111"/>
    </row>
    <row r="796" ht="16.5" customHeight="1">
      <c r="AB796" s="110"/>
      <c r="AJ796" s="111"/>
      <c r="AK796" s="111"/>
      <c r="AL796" s="111"/>
    </row>
    <row r="797" ht="16.5" customHeight="1">
      <c r="AB797" s="110"/>
      <c r="AJ797" s="111"/>
      <c r="AK797" s="111"/>
      <c r="AL797" s="111"/>
    </row>
    <row r="798" ht="16.5" customHeight="1">
      <c r="AB798" s="110"/>
      <c r="AJ798" s="111"/>
      <c r="AK798" s="111"/>
      <c r="AL798" s="111"/>
    </row>
    <row r="799" ht="16.5" customHeight="1">
      <c r="AB799" s="110"/>
      <c r="AJ799" s="111"/>
      <c r="AK799" s="111"/>
      <c r="AL799" s="111"/>
    </row>
    <row r="800" ht="16.5" customHeight="1">
      <c r="AB800" s="110"/>
      <c r="AJ800" s="111"/>
      <c r="AK800" s="111"/>
      <c r="AL800" s="111"/>
    </row>
    <row r="801" ht="16.5" customHeight="1">
      <c r="AB801" s="110"/>
      <c r="AJ801" s="111"/>
      <c r="AK801" s="111"/>
      <c r="AL801" s="111"/>
    </row>
    <row r="802" ht="16.5" customHeight="1">
      <c r="AB802" s="110"/>
      <c r="AJ802" s="111"/>
      <c r="AK802" s="111"/>
      <c r="AL802" s="111"/>
    </row>
    <row r="803" ht="16.5" customHeight="1">
      <c r="AB803" s="110"/>
      <c r="AJ803" s="111"/>
      <c r="AK803" s="111"/>
      <c r="AL803" s="111"/>
    </row>
    <row r="804" ht="16.5" customHeight="1">
      <c r="AB804" s="110"/>
      <c r="AJ804" s="111"/>
      <c r="AK804" s="111"/>
      <c r="AL804" s="111"/>
    </row>
    <row r="805" ht="16.5" customHeight="1">
      <c r="AB805" s="110"/>
      <c r="AJ805" s="111"/>
      <c r="AK805" s="111"/>
      <c r="AL805" s="111"/>
    </row>
    <row r="806" ht="16.5" customHeight="1">
      <c r="AB806" s="110"/>
      <c r="AJ806" s="111"/>
      <c r="AK806" s="111"/>
      <c r="AL806" s="111"/>
    </row>
    <row r="807" ht="16.5" customHeight="1">
      <c r="AB807" s="110"/>
      <c r="AJ807" s="111"/>
      <c r="AK807" s="111"/>
      <c r="AL807" s="111"/>
    </row>
    <row r="808" ht="16.5" customHeight="1">
      <c r="AB808" s="110"/>
      <c r="AJ808" s="111"/>
      <c r="AK808" s="111"/>
      <c r="AL808" s="111"/>
    </row>
    <row r="809" ht="16.5" customHeight="1">
      <c r="AB809" s="110"/>
      <c r="AJ809" s="111"/>
      <c r="AK809" s="111"/>
      <c r="AL809" s="111"/>
    </row>
    <row r="810" ht="16.5" customHeight="1">
      <c r="AB810" s="110"/>
      <c r="AJ810" s="111"/>
      <c r="AK810" s="111"/>
      <c r="AL810" s="111"/>
    </row>
    <row r="811" ht="16.5" customHeight="1">
      <c r="AB811" s="110"/>
      <c r="AJ811" s="111"/>
      <c r="AK811" s="111"/>
      <c r="AL811" s="111"/>
    </row>
    <row r="812" ht="16.5" customHeight="1">
      <c r="AB812" s="110"/>
      <c r="AJ812" s="111"/>
      <c r="AK812" s="111"/>
      <c r="AL812" s="111"/>
    </row>
    <row r="813" ht="16.5" customHeight="1">
      <c r="AB813" s="110"/>
      <c r="AJ813" s="111"/>
      <c r="AK813" s="111"/>
      <c r="AL813" s="111"/>
    </row>
    <row r="814" ht="16.5" customHeight="1">
      <c r="AB814" s="110"/>
      <c r="AJ814" s="111"/>
      <c r="AK814" s="111"/>
      <c r="AL814" s="111"/>
    </row>
    <row r="815" ht="16.5" customHeight="1">
      <c r="AB815" s="110"/>
      <c r="AJ815" s="111"/>
      <c r="AK815" s="111"/>
      <c r="AL815" s="111"/>
    </row>
    <row r="816" ht="16.5" customHeight="1">
      <c r="AB816" s="110"/>
      <c r="AJ816" s="111"/>
      <c r="AK816" s="111"/>
      <c r="AL816" s="111"/>
    </row>
    <row r="817" ht="16.5" customHeight="1">
      <c r="AB817" s="110"/>
      <c r="AJ817" s="111"/>
      <c r="AK817" s="111"/>
      <c r="AL817" s="111"/>
    </row>
    <row r="818" ht="16.5" customHeight="1">
      <c r="AB818" s="110"/>
      <c r="AJ818" s="111"/>
      <c r="AK818" s="111"/>
      <c r="AL818" s="111"/>
    </row>
    <row r="819" ht="16.5" customHeight="1">
      <c r="AB819" s="110"/>
      <c r="AJ819" s="111"/>
      <c r="AK819" s="111"/>
      <c r="AL819" s="111"/>
    </row>
    <row r="820" ht="16.5" customHeight="1">
      <c r="AB820" s="110"/>
      <c r="AJ820" s="111"/>
      <c r="AK820" s="111"/>
      <c r="AL820" s="111"/>
    </row>
    <row r="821" ht="16.5" customHeight="1">
      <c r="AB821" s="110"/>
      <c r="AJ821" s="111"/>
      <c r="AK821" s="111"/>
      <c r="AL821" s="111"/>
    </row>
    <row r="822" ht="16.5" customHeight="1">
      <c r="AB822" s="110"/>
      <c r="AJ822" s="111"/>
      <c r="AK822" s="111"/>
      <c r="AL822" s="111"/>
    </row>
    <row r="823" ht="16.5" customHeight="1">
      <c r="AB823" s="110"/>
      <c r="AJ823" s="111"/>
      <c r="AK823" s="111"/>
      <c r="AL823" s="111"/>
    </row>
    <row r="824" ht="16.5" customHeight="1">
      <c r="AB824" s="110"/>
      <c r="AJ824" s="111"/>
      <c r="AK824" s="111"/>
      <c r="AL824" s="111"/>
    </row>
    <row r="825" ht="16.5" customHeight="1">
      <c r="AB825" s="110"/>
      <c r="AJ825" s="111"/>
      <c r="AK825" s="111"/>
      <c r="AL825" s="111"/>
    </row>
    <row r="826" ht="16.5" customHeight="1">
      <c r="AB826" s="110"/>
      <c r="AJ826" s="111"/>
      <c r="AK826" s="111"/>
      <c r="AL826" s="111"/>
    </row>
    <row r="827" ht="16.5" customHeight="1">
      <c r="AB827" s="110"/>
      <c r="AJ827" s="111"/>
      <c r="AK827" s="111"/>
      <c r="AL827" s="111"/>
    </row>
    <row r="828" ht="16.5" customHeight="1">
      <c r="AB828" s="110"/>
      <c r="AJ828" s="111"/>
      <c r="AK828" s="111"/>
      <c r="AL828" s="111"/>
    </row>
    <row r="829" ht="16.5" customHeight="1">
      <c r="AB829" s="110"/>
      <c r="AJ829" s="111"/>
      <c r="AK829" s="111"/>
      <c r="AL829" s="111"/>
    </row>
    <row r="830" ht="16.5" customHeight="1">
      <c r="AB830" s="110"/>
      <c r="AJ830" s="111"/>
      <c r="AK830" s="111"/>
      <c r="AL830" s="111"/>
    </row>
    <row r="831" ht="16.5" customHeight="1">
      <c r="AB831" s="110"/>
      <c r="AJ831" s="111"/>
      <c r="AK831" s="111"/>
      <c r="AL831" s="111"/>
    </row>
    <row r="832" ht="16.5" customHeight="1">
      <c r="AB832" s="110"/>
      <c r="AJ832" s="111"/>
      <c r="AK832" s="111"/>
      <c r="AL832" s="111"/>
    </row>
    <row r="833" ht="16.5" customHeight="1">
      <c r="AB833" s="110"/>
      <c r="AJ833" s="111"/>
      <c r="AK833" s="111"/>
      <c r="AL833" s="111"/>
    </row>
    <row r="834" ht="16.5" customHeight="1">
      <c r="AB834" s="110"/>
      <c r="AJ834" s="111"/>
      <c r="AK834" s="111"/>
      <c r="AL834" s="111"/>
    </row>
    <row r="835" ht="16.5" customHeight="1">
      <c r="AB835" s="110"/>
      <c r="AJ835" s="111"/>
      <c r="AK835" s="111"/>
      <c r="AL835" s="111"/>
    </row>
    <row r="836" ht="16.5" customHeight="1">
      <c r="AB836" s="110"/>
      <c r="AJ836" s="111"/>
      <c r="AK836" s="111"/>
      <c r="AL836" s="111"/>
    </row>
    <row r="837" ht="16.5" customHeight="1">
      <c r="AB837" s="110"/>
      <c r="AJ837" s="111"/>
      <c r="AK837" s="111"/>
      <c r="AL837" s="111"/>
    </row>
    <row r="838" ht="16.5" customHeight="1">
      <c r="AB838" s="110"/>
      <c r="AJ838" s="111"/>
      <c r="AK838" s="111"/>
      <c r="AL838" s="111"/>
    </row>
    <row r="839" ht="16.5" customHeight="1">
      <c r="AB839" s="110"/>
      <c r="AJ839" s="111"/>
      <c r="AK839" s="111"/>
      <c r="AL839" s="111"/>
    </row>
    <row r="840" ht="16.5" customHeight="1">
      <c r="AB840" s="110"/>
      <c r="AJ840" s="111"/>
      <c r="AK840" s="111"/>
      <c r="AL840" s="111"/>
    </row>
    <row r="841" ht="16.5" customHeight="1">
      <c r="AB841" s="110"/>
      <c r="AJ841" s="111"/>
      <c r="AK841" s="111"/>
      <c r="AL841" s="111"/>
    </row>
    <row r="842" ht="16.5" customHeight="1">
      <c r="AB842" s="110"/>
      <c r="AJ842" s="111"/>
      <c r="AK842" s="111"/>
      <c r="AL842" s="111"/>
    </row>
    <row r="843" ht="16.5" customHeight="1">
      <c r="AB843" s="110"/>
      <c r="AJ843" s="111"/>
      <c r="AK843" s="111"/>
      <c r="AL843" s="111"/>
    </row>
    <row r="844" ht="16.5" customHeight="1">
      <c r="AB844" s="110"/>
      <c r="AJ844" s="111"/>
      <c r="AK844" s="111"/>
      <c r="AL844" s="111"/>
    </row>
    <row r="845" ht="16.5" customHeight="1">
      <c r="AB845" s="110"/>
      <c r="AJ845" s="111"/>
      <c r="AK845" s="111"/>
      <c r="AL845" s="111"/>
    </row>
    <row r="846" ht="16.5" customHeight="1">
      <c r="AB846" s="110"/>
      <c r="AJ846" s="111"/>
      <c r="AK846" s="111"/>
      <c r="AL846" s="111"/>
    </row>
    <row r="847" ht="16.5" customHeight="1">
      <c r="AB847" s="110"/>
      <c r="AJ847" s="111"/>
      <c r="AK847" s="111"/>
      <c r="AL847" s="111"/>
    </row>
    <row r="848" ht="16.5" customHeight="1">
      <c r="AB848" s="110"/>
      <c r="AJ848" s="111"/>
      <c r="AK848" s="111"/>
      <c r="AL848" s="111"/>
    </row>
    <row r="849" ht="16.5" customHeight="1">
      <c r="AB849" s="110"/>
      <c r="AJ849" s="111"/>
      <c r="AK849" s="111"/>
      <c r="AL849" s="111"/>
    </row>
    <row r="850" ht="16.5" customHeight="1">
      <c r="AB850" s="110"/>
      <c r="AJ850" s="111"/>
      <c r="AK850" s="111"/>
      <c r="AL850" s="111"/>
    </row>
    <row r="851" ht="16.5" customHeight="1">
      <c r="AB851" s="110"/>
      <c r="AJ851" s="111"/>
      <c r="AK851" s="111"/>
      <c r="AL851" s="111"/>
    </row>
    <row r="852" ht="16.5" customHeight="1">
      <c r="AB852" s="110"/>
      <c r="AJ852" s="111"/>
      <c r="AK852" s="111"/>
      <c r="AL852" s="111"/>
    </row>
    <row r="853" ht="16.5" customHeight="1">
      <c r="AB853" s="110"/>
      <c r="AJ853" s="111"/>
      <c r="AK853" s="111"/>
      <c r="AL853" s="111"/>
    </row>
    <row r="854" ht="16.5" customHeight="1">
      <c r="AB854" s="110"/>
      <c r="AJ854" s="111"/>
      <c r="AK854" s="111"/>
      <c r="AL854" s="111"/>
    </row>
    <row r="855" ht="16.5" customHeight="1">
      <c r="AB855" s="110"/>
      <c r="AJ855" s="111"/>
      <c r="AK855" s="111"/>
      <c r="AL855" s="111"/>
    </row>
    <row r="856" ht="16.5" customHeight="1">
      <c r="AB856" s="110"/>
      <c r="AJ856" s="111"/>
      <c r="AK856" s="111"/>
      <c r="AL856" s="111"/>
    </row>
    <row r="857" ht="16.5" customHeight="1">
      <c r="AB857" s="110"/>
      <c r="AJ857" s="111"/>
      <c r="AK857" s="111"/>
      <c r="AL857" s="111"/>
    </row>
    <row r="858" ht="16.5" customHeight="1">
      <c r="AB858" s="110"/>
      <c r="AJ858" s="111"/>
      <c r="AK858" s="111"/>
      <c r="AL858" s="111"/>
    </row>
    <row r="859" ht="16.5" customHeight="1">
      <c r="AB859" s="110"/>
      <c r="AJ859" s="111"/>
      <c r="AK859" s="111"/>
      <c r="AL859" s="111"/>
    </row>
    <row r="860" ht="16.5" customHeight="1">
      <c r="AB860" s="110"/>
      <c r="AJ860" s="111"/>
      <c r="AK860" s="111"/>
      <c r="AL860" s="111"/>
    </row>
    <row r="861" ht="16.5" customHeight="1">
      <c r="AB861" s="110"/>
      <c r="AJ861" s="111"/>
      <c r="AK861" s="111"/>
      <c r="AL861" s="111"/>
    </row>
    <row r="862" ht="16.5" customHeight="1">
      <c r="AB862" s="110"/>
      <c r="AJ862" s="111"/>
      <c r="AK862" s="111"/>
      <c r="AL862" s="111"/>
    </row>
    <row r="863" ht="16.5" customHeight="1">
      <c r="AB863" s="110"/>
      <c r="AJ863" s="111"/>
      <c r="AK863" s="111"/>
      <c r="AL863" s="111"/>
    </row>
    <row r="864" ht="16.5" customHeight="1">
      <c r="AB864" s="110"/>
      <c r="AJ864" s="111"/>
      <c r="AK864" s="111"/>
      <c r="AL864" s="111"/>
    </row>
    <row r="865" ht="16.5" customHeight="1">
      <c r="AB865" s="110"/>
      <c r="AJ865" s="111"/>
      <c r="AK865" s="111"/>
      <c r="AL865" s="111"/>
    </row>
    <row r="866" ht="16.5" customHeight="1">
      <c r="AB866" s="110"/>
      <c r="AJ866" s="111"/>
      <c r="AK866" s="111"/>
      <c r="AL866" s="111"/>
    </row>
    <row r="867" ht="16.5" customHeight="1">
      <c r="AB867" s="110"/>
      <c r="AJ867" s="111"/>
      <c r="AK867" s="111"/>
      <c r="AL867" s="111"/>
    </row>
    <row r="868" ht="16.5" customHeight="1">
      <c r="AB868" s="110"/>
      <c r="AJ868" s="111"/>
      <c r="AK868" s="111"/>
      <c r="AL868" s="111"/>
    </row>
    <row r="869" ht="16.5" customHeight="1">
      <c r="AB869" s="110"/>
      <c r="AJ869" s="111"/>
      <c r="AK869" s="111"/>
      <c r="AL869" s="111"/>
    </row>
    <row r="870" ht="16.5" customHeight="1">
      <c r="AB870" s="110"/>
      <c r="AJ870" s="111"/>
      <c r="AK870" s="111"/>
      <c r="AL870" s="111"/>
    </row>
    <row r="871" ht="16.5" customHeight="1">
      <c r="AB871" s="110"/>
      <c r="AJ871" s="111"/>
      <c r="AK871" s="111"/>
      <c r="AL871" s="111"/>
    </row>
    <row r="872" ht="16.5" customHeight="1">
      <c r="AB872" s="110"/>
      <c r="AJ872" s="111"/>
      <c r="AK872" s="111"/>
      <c r="AL872" s="111"/>
    </row>
    <row r="873" ht="16.5" customHeight="1">
      <c r="AB873" s="110"/>
      <c r="AJ873" s="111"/>
      <c r="AK873" s="111"/>
      <c r="AL873" s="111"/>
    </row>
    <row r="874" ht="16.5" customHeight="1">
      <c r="AB874" s="110"/>
      <c r="AJ874" s="111"/>
      <c r="AK874" s="111"/>
      <c r="AL874" s="111"/>
    </row>
    <row r="875" ht="16.5" customHeight="1">
      <c r="AB875" s="110"/>
      <c r="AJ875" s="111"/>
      <c r="AK875" s="111"/>
      <c r="AL875" s="111"/>
    </row>
    <row r="876" ht="16.5" customHeight="1">
      <c r="AB876" s="110"/>
      <c r="AJ876" s="111"/>
      <c r="AK876" s="111"/>
      <c r="AL876" s="111"/>
    </row>
    <row r="877" ht="16.5" customHeight="1">
      <c r="AB877" s="110"/>
      <c r="AJ877" s="111"/>
      <c r="AK877" s="111"/>
      <c r="AL877" s="111"/>
    </row>
    <row r="878" ht="16.5" customHeight="1">
      <c r="AB878" s="110"/>
      <c r="AJ878" s="111"/>
      <c r="AK878" s="111"/>
      <c r="AL878" s="111"/>
    </row>
    <row r="879" ht="16.5" customHeight="1">
      <c r="AB879" s="110"/>
      <c r="AJ879" s="111"/>
      <c r="AK879" s="111"/>
      <c r="AL879" s="111"/>
    </row>
    <row r="880" ht="16.5" customHeight="1">
      <c r="AB880" s="110"/>
      <c r="AJ880" s="111"/>
      <c r="AK880" s="111"/>
      <c r="AL880" s="111"/>
    </row>
    <row r="881" ht="16.5" customHeight="1">
      <c r="AB881" s="110"/>
      <c r="AJ881" s="111"/>
      <c r="AK881" s="111"/>
      <c r="AL881" s="111"/>
    </row>
    <row r="882" ht="16.5" customHeight="1">
      <c r="AB882" s="110"/>
      <c r="AJ882" s="111"/>
      <c r="AK882" s="111"/>
      <c r="AL882" s="111"/>
    </row>
    <row r="883" ht="16.5" customHeight="1">
      <c r="AB883" s="110"/>
      <c r="AJ883" s="111"/>
      <c r="AK883" s="111"/>
      <c r="AL883" s="111"/>
    </row>
    <row r="884" ht="16.5" customHeight="1">
      <c r="AB884" s="110"/>
      <c r="AJ884" s="111"/>
      <c r="AK884" s="111"/>
      <c r="AL884" s="111"/>
    </row>
    <row r="885" ht="16.5" customHeight="1">
      <c r="AB885" s="110"/>
      <c r="AJ885" s="111"/>
      <c r="AK885" s="111"/>
      <c r="AL885" s="111"/>
    </row>
    <row r="886" ht="16.5" customHeight="1">
      <c r="AB886" s="110"/>
      <c r="AJ886" s="111"/>
      <c r="AK886" s="111"/>
      <c r="AL886" s="111"/>
    </row>
    <row r="887" ht="16.5" customHeight="1">
      <c r="AB887" s="110"/>
      <c r="AJ887" s="111"/>
      <c r="AK887" s="111"/>
      <c r="AL887" s="111"/>
    </row>
    <row r="888" ht="16.5" customHeight="1">
      <c r="AB888" s="110"/>
      <c r="AJ888" s="111"/>
      <c r="AK888" s="111"/>
      <c r="AL888" s="111"/>
    </row>
    <row r="889" ht="16.5" customHeight="1">
      <c r="AB889" s="110"/>
      <c r="AJ889" s="111"/>
      <c r="AK889" s="111"/>
      <c r="AL889" s="111"/>
    </row>
    <row r="890" ht="16.5" customHeight="1">
      <c r="AB890" s="110"/>
      <c r="AJ890" s="111"/>
      <c r="AK890" s="111"/>
      <c r="AL890" s="111"/>
    </row>
    <row r="891" ht="16.5" customHeight="1">
      <c r="AB891" s="110"/>
      <c r="AJ891" s="111"/>
      <c r="AK891" s="111"/>
      <c r="AL891" s="111"/>
    </row>
    <row r="892" ht="16.5" customHeight="1">
      <c r="AB892" s="110"/>
      <c r="AJ892" s="111"/>
      <c r="AK892" s="111"/>
      <c r="AL892" s="111"/>
    </row>
    <row r="893" ht="16.5" customHeight="1">
      <c r="AB893" s="110"/>
      <c r="AJ893" s="111"/>
      <c r="AK893" s="111"/>
      <c r="AL893" s="111"/>
    </row>
    <row r="894" ht="16.5" customHeight="1">
      <c r="AB894" s="110"/>
      <c r="AJ894" s="111"/>
      <c r="AK894" s="111"/>
      <c r="AL894" s="111"/>
    </row>
    <row r="895" ht="16.5" customHeight="1">
      <c r="AB895" s="110"/>
      <c r="AJ895" s="111"/>
      <c r="AK895" s="111"/>
      <c r="AL895" s="111"/>
    </row>
    <row r="896" ht="16.5" customHeight="1">
      <c r="AB896" s="110"/>
      <c r="AJ896" s="111"/>
      <c r="AK896" s="111"/>
      <c r="AL896" s="111"/>
    </row>
    <row r="897" ht="16.5" customHeight="1">
      <c r="AB897" s="110"/>
      <c r="AJ897" s="111"/>
      <c r="AK897" s="111"/>
      <c r="AL897" s="111"/>
    </row>
    <row r="898" ht="16.5" customHeight="1">
      <c r="AB898" s="110"/>
      <c r="AJ898" s="111"/>
      <c r="AK898" s="111"/>
      <c r="AL898" s="111"/>
    </row>
    <row r="899" ht="16.5" customHeight="1">
      <c r="AB899" s="110"/>
      <c r="AJ899" s="111"/>
      <c r="AK899" s="111"/>
      <c r="AL899" s="111"/>
    </row>
    <row r="900" ht="16.5" customHeight="1">
      <c r="AB900" s="110"/>
      <c r="AJ900" s="111"/>
      <c r="AK900" s="111"/>
      <c r="AL900" s="111"/>
    </row>
    <row r="901" ht="16.5" customHeight="1">
      <c r="AB901" s="110"/>
      <c r="AJ901" s="111"/>
      <c r="AK901" s="111"/>
      <c r="AL901" s="111"/>
    </row>
    <row r="902" ht="16.5" customHeight="1">
      <c r="AB902" s="110"/>
      <c r="AJ902" s="111"/>
      <c r="AK902" s="111"/>
      <c r="AL902" s="111"/>
    </row>
    <row r="903" ht="16.5" customHeight="1">
      <c r="AB903" s="110"/>
      <c r="AJ903" s="111"/>
      <c r="AK903" s="111"/>
      <c r="AL903" s="111"/>
    </row>
    <row r="904" ht="16.5" customHeight="1">
      <c r="AB904" s="110"/>
      <c r="AJ904" s="111"/>
      <c r="AK904" s="111"/>
      <c r="AL904" s="111"/>
    </row>
    <row r="905" ht="16.5" customHeight="1">
      <c r="AB905" s="110"/>
      <c r="AJ905" s="111"/>
      <c r="AK905" s="111"/>
      <c r="AL905" s="111"/>
    </row>
    <row r="906" ht="16.5" customHeight="1">
      <c r="AB906" s="110"/>
      <c r="AJ906" s="111"/>
      <c r="AK906" s="111"/>
      <c r="AL906" s="111"/>
    </row>
    <row r="907" ht="16.5" customHeight="1">
      <c r="AB907" s="110"/>
      <c r="AJ907" s="111"/>
      <c r="AK907" s="111"/>
      <c r="AL907" s="111"/>
    </row>
    <row r="908" ht="16.5" customHeight="1">
      <c r="AB908" s="110"/>
      <c r="AJ908" s="111"/>
      <c r="AK908" s="111"/>
      <c r="AL908" s="111"/>
    </row>
    <row r="909" ht="16.5" customHeight="1">
      <c r="AB909" s="110"/>
      <c r="AJ909" s="111"/>
      <c r="AK909" s="111"/>
      <c r="AL909" s="111"/>
    </row>
    <row r="910" ht="16.5" customHeight="1">
      <c r="AB910" s="110"/>
      <c r="AJ910" s="111"/>
      <c r="AK910" s="111"/>
      <c r="AL910" s="111"/>
    </row>
    <row r="911" ht="16.5" customHeight="1">
      <c r="AB911" s="110"/>
      <c r="AJ911" s="111"/>
      <c r="AK911" s="111"/>
      <c r="AL911" s="111"/>
    </row>
    <row r="912" ht="16.5" customHeight="1">
      <c r="AB912" s="110"/>
      <c r="AJ912" s="111"/>
      <c r="AK912" s="111"/>
      <c r="AL912" s="111"/>
    </row>
    <row r="913" ht="16.5" customHeight="1">
      <c r="AB913" s="110"/>
      <c r="AJ913" s="111"/>
      <c r="AK913" s="111"/>
      <c r="AL913" s="111"/>
    </row>
    <row r="914" ht="16.5" customHeight="1">
      <c r="AB914" s="110"/>
      <c r="AJ914" s="111"/>
      <c r="AK914" s="111"/>
      <c r="AL914" s="111"/>
    </row>
    <row r="915" ht="16.5" customHeight="1">
      <c r="AB915" s="110"/>
      <c r="AJ915" s="111"/>
      <c r="AK915" s="111"/>
      <c r="AL915" s="111"/>
    </row>
    <row r="916" ht="16.5" customHeight="1">
      <c r="AB916" s="110"/>
      <c r="AJ916" s="111"/>
      <c r="AK916" s="111"/>
      <c r="AL916" s="111"/>
    </row>
    <row r="917" ht="16.5" customHeight="1">
      <c r="AB917" s="110"/>
      <c r="AJ917" s="111"/>
      <c r="AK917" s="111"/>
      <c r="AL917" s="111"/>
    </row>
    <row r="918" ht="16.5" customHeight="1">
      <c r="AB918" s="110"/>
      <c r="AJ918" s="111"/>
      <c r="AK918" s="111"/>
      <c r="AL918" s="111"/>
    </row>
    <row r="919" ht="16.5" customHeight="1">
      <c r="AB919" s="110"/>
      <c r="AJ919" s="111"/>
      <c r="AK919" s="111"/>
      <c r="AL919" s="111"/>
    </row>
    <row r="920" ht="16.5" customHeight="1">
      <c r="AB920" s="110"/>
      <c r="AJ920" s="111"/>
      <c r="AK920" s="111"/>
      <c r="AL920" s="111"/>
    </row>
    <row r="921" ht="16.5" customHeight="1">
      <c r="AB921" s="110"/>
      <c r="AJ921" s="111"/>
      <c r="AK921" s="111"/>
      <c r="AL921" s="111"/>
    </row>
    <row r="922" ht="16.5" customHeight="1">
      <c r="AB922" s="110"/>
      <c r="AJ922" s="111"/>
      <c r="AK922" s="111"/>
      <c r="AL922" s="111"/>
    </row>
    <row r="923" ht="16.5" customHeight="1">
      <c r="AB923" s="110"/>
      <c r="AJ923" s="111"/>
      <c r="AK923" s="111"/>
      <c r="AL923" s="111"/>
    </row>
    <row r="924" ht="16.5" customHeight="1">
      <c r="AB924" s="110"/>
      <c r="AJ924" s="111"/>
      <c r="AK924" s="111"/>
      <c r="AL924" s="111"/>
    </row>
    <row r="925" ht="16.5" customHeight="1">
      <c r="AB925" s="110"/>
      <c r="AJ925" s="111"/>
      <c r="AK925" s="111"/>
      <c r="AL925" s="111"/>
    </row>
    <row r="926" ht="16.5" customHeight="1">
      <c r="AB926" s="110"/>
      <c r="AJ926" s="111"/>
      <c r="AK926" s="111"/>
      <c r="AL926" s="111"/>
    </row>
    <row r="927" ht="16.5" customHeight="1">
      <c r="AB927" s="110"/>
      <c r="AJ927" s="111"/>
      <c r="AK927" s="111"/>
      <c r="AL927" s="111"/>
    </row>
    <row r="928" ht="16.5" customHeight="1">
      <c r="AB928" s="110"/>
      <c r="AJ928" s="111"/>
      <c r="AK928" s="111"/>
      <c r="AL928" s="111"/>
    </row>
    <row r="929" ht="16.5" customHeight="1">
      <c r="AB929" s="110"/>
      <c r="AJ929" s="111"/>
      <c r="AK929" s="111"/>
      <c r="AL929" s="111"/>
    </row>
    <row r="930" ht="16.5" customHeight="1">
      <c r="AB930" s="110"/>
      <c r="AJ930" s="111"/>
      <c r="AK930" s="111"/>
      <c r="AL930" s="111"/>
    </row>
    <row r="931" ht="16.5" customHeight="1">
      <c r="AB931" s="110"/>
      <c r="AJ931" s="111"/>
      <c r="AK931" s="111"/>
      <c r="AL931" s="111"/>
    </row>
    <row r="932" ht="16.5" customHeight="1">
      <c r="AB932" s="110"/>
      <c r="AJ932" s="111"/>
      <c r="AK932" s="111"/>
      <c r="AL932" s="111"/>
    </row>
    <row r="933" ht="16.5" customHeight="1">
      <c r="AB933" s="110"/>
      <c r="AJ933" s="111"/>
      <c r="AK933" s="111"/>
      <c r="AL933" s="111"/>
    </row>
    <row r="934" ht="16.5" customHeight="1">
      <c r="AB934" s="110"/>
      <c r="AJ934" s="111"/>
      <c r="AK934" s="111"/>
      <c r="AL934" s="111"/>
    </row>
    <row r="935" ht="16.5" customHeight="1">
      <c r="AB935" s="110"/>
      <c r="AJ935" s="111"/>
      <c r="AK935" s="111"/>
      <c r="AL935" s="111"/>
    </row>
    <row r="936" ht="16.5" customHeight="1">
      <c r="AB936" s="110"/>
      <c r="AJ936" s="111"/>
      <c r="AK936" s="111"/>
      <c r="AL936" s="111"/>
    </row>
    <row r="937" ht="16.5" customHeight="1">
      <c r="AB937" s="110"/>
      <c r="AJ937" s="111"/>
      <c r="AK937" s="111"/>
      <c r="AL937" s="111"/>
    </row>
    <row r="938" ht="16.5" customHeight="1">
      <c r="AB938" s="110"/>
      <c r="AJ938" s="111"/>
      <c r="AK938" s="111"/>
      <c r="AL938" s="111"/>
    </row>
    <row r="939" ht="16.5" customHeight="1">
      <c r="AB939" s="110"/>
      <c r="AJ939" s="111"/>
      <c r="AK939" s="111"/>
      <c r="AL939" s="111"/>
    </row>
    <row r="940" ht="16.5" customHeight="1">
      <c r="AB940" s="110"/>
      <c r="AJ940" s="111"/>
      <c r="AK940" s="111"/>
      <c r="AL940" s="111"/>
    </row>
    <row r="941" ht="16.5" customHeight="1">
      <c r="AB941" s="110"/>
      <c r="AJ941" s="111"/>
      <c r="AK941" s="111"/>
      <c r="AL941" s="111"/>
    </row>
    <row r="942" ht="16.5" customHeight="1">
      <c r="AB942" s="110"/>
      <c r="AJ942" s="111"/>
      <c r="AK942" s="111"/>
      <c r="AL942" s="111"/>
    </row>
    <row r="943" ht="16.5" customHeight="1">
      <c r="AB943" s="110"/>
      <c r="AJ943" s="111"/>
      <c r="AK943" s="111"/>
      <c r="AL943" s="111"/>
    </row>
    <row r="944" ht="16.5" customHeight="1">
      <c r="AB944" s="110"/>
      <c r="AJ944" s="111"/>
      <c r="AK944" s="111"/>
      <c r="AL944" s="111"/>
    </row>
    <row r="945" ht="16.5" customHeight="1">
      <c r="AB945" s="110"/>
      <c r="AJ945" s="111"/>
      <c r="AK945" s="111"/>
      <c r="AL945" s="111"/>
    </row>
    <row r="946" ht="16.5" customHeight="1">
      <c r="AB946" s="110"/>
      <c r="AJ946" s="111"/>
      <c r="AK946" s="111"/>
      <c r="AL946" s="111"/>
    </row>
    <row r="947" ht="16.5" customHeight="1">
      <c r="AB947" s="110"/>
      <c r="AJ947" s="111"/>
      <c r="AK947" s="111"/>
      <c r="AL947" s="111"/>
    </row>
    <row r="948" ht="16.5" customHeight="1">
      <c r="AB948" s="110"/>
      <c r="AJ948" s="111"/>
      <c r="AK948" s="111"/>
      <c r="AL948" s="111"/>
    </row>
    <row r="949" ht="16.5" customHeight="1">
      <c r="AB949" s="110"/>
      <c r="AJ949" s="111"/>
      <c r="AK949" s="111"/>
      <c r="AL949" s="111"/>
    </row>
    <row r="950" ht="16.5" customHeight="1">
      <c r="AB950" s="110"/>
      <c r="AJ950" s="111"/>
      <c r="AK950" s="111"/>
      <c r="AL950" s="111"/>
    </row>
    <row r="951" ht="16.5" customHeight="1">
      <c r="AB951" s="110"/>
      <c r="AJ951" s="111"/>
      <c r="AK951" s="111"/>
      <c r="AL951" s="111"/>
    </row>
    <row r="952" ht="16.5" customHeight="1">
      <c r="AB952" s="110"/>
      <c r="AJ952" s="111"/>
      <c r="AK952" s="111"/>
      <c r="AL952" s="111"/>
    </row>
    <row r="953" ht="16.5" customHeight="1">
      <c r="AB953" s="110"/>
      <c r="AJ953" s="111"/>
      <c r="AK953" s="111"/>
      <c r="AL953" s="111"/>
    </row>
    <row r="954" ht="16.5" customHeight="1">
      <c r="AB954" s="110"/>
      <c r="AJ954" s="111"/>
      <c r="AK954" s="111"/>
      <c r="AL954" s="111"/>
    </row>
    <row r="955" ht="16.5" customHeight="1">
      <c r="AB955" s="110"/>
      <c r="AJ955" s="111"/>
      <c r="AK955" s="111"/>
      <c r="AL955" s="111"/>
    </row>
    <row r="956" ht="16.5" customHeight="1">
      <c r="AB956" s="110"/>
      <c r="AJ956" s="111"/>
      <c r="AK956" s="111"/>
      <c r="AL956" s="111"/>
    </row>
    <row r="957" ht="16.5" customHeight="1">
      <c r="AB957" s="110"/>
      <c r="AJ957" s="111"/>
      <c r="AK957" s="111"/>
      <c r="AL957" s="111"/>
    </row>
    <row r="958" ht="16.5" customHeight="1">
      <c r="AB958" s="110"/>
      <c r="AJ958" s="111"/>
      <c r="AK958" s="111"/>
      <c r="AL958" s="111"/>
    </row>
    <row r="959" ht="16.5" customHeight="1">
      <c r="AB959" s="110"/>
      <c r="AJ959" s="111"/>
      <c r="AK959" s="111"/>
      <c r="AL959" s="111"/>
    </row>
    <row r="960" ht="16.5" customHeight="1">
      <c r="AB960" s="110"/>
      <c r="AJ960" s="111"/>
      <c r="AK960" s="111"/>
      <c r="AL960" s="111"/>
    </row>
    <row r="961" ht="16.5" customHeight="1">
      <c r="AB961" s="110"/>
      <c r="AJ961" s="111"/>
      <c r="AK961" s="111"/>
      <c r="AL961" s="111"/>
    </row>
    <row r="962" ht="16.5" customHeight="1">
      <c r="AB962" s="110"/>
      <c r="AJ962" s="111"/>
      <c r="AK962" s="111"/>
      <c r="AL962" s="111"/>
    </row>
    <row r="963" ht="16.5" customHeight="1">
      <c r="AB963" s="110"/>
      <c r="AJ963" s="111"/>
      <c r="AK963" s="111"/>
      <c r="AL963" s="111"/>
    </row>
    <row r="964" ht="16.5" customHeight="1">
      <c r="AB964" s="110"/>
      <c r="AJ964" s="111"/>
      <c r="AK964" s="111"/>
      <c r="AL964" s="111"/>
    </row>
    <row r="965" ht="16.5" customHeight="1">
      <c r="AB965" s="110"/>
      <c r="AJ965" s="111"/>
      <c r="AK965" s="111"/>
      <c r="AL965" s="111"/>
    </row>
    <row r="966" ht="16.5" customHeight="1">
      <c r="AB966" s="110"/>
      <c r="AJ966" s="111"/>
      <c r="AK966" s="111"/>
      <c r="AL966" s="111"/>
    </row>
    <row r="967" ht="16.5" customHeight="1">
      <c r="AB967" s="110"/>
      <c r="AJ967" s="111"/>
      <c r="AK967" s="111"/>
      <c r="AL967" s="111"/>
    </row>
    <row r="968" ht="16.5" customHeight="1">
      <c r="AB968" s="110"/>
      <c r="AJ968" s="111"/>
      <c r="AK968" s="111"/>
      <c r="AL968" s="111"/>
    </row>
    <row r="969" ht="16.5" customHeight="1">
      <c r="AB969" s="110"/>
      <c r="AJ969" s="111"/>
      <c r="AK969" s="111"/>
      <c r="AL969" s="111"/>
    </row>
    <row r="970" ht="16.5" customHeight="1">
      <c r="AB970" s="110"/>
      <c r="AJ970" s="111"/>
      <c r="AK970" s="111"/>
      <c r="AL970" s="111"/>
    </row>
    <row r="971" ht="16.5" customHeight="1">
      <c r="AB971" s="110"/>
      <c r="AJ971" s="111"/>
      <c r="AK971" s="111"/>
      <c r="AL971" s="111"/>
    </row>
    <row r="972" ht="16.5" customHeight="1">
      <c r="AB972" s="110"/>
      <c r="AJ972" s="111"/>
      <c r="AK972" s="111"/>
      <c r="AL972" s="111"/>
    </row>
    <row r="973" ht="16.5" customHeight="1">
      <c r="AB973" s="110"/>
      <c r="AJ973" s="111"/>
      <c r="AK973" s="111"/>
      <c r="AL973" s="111"/>
    </row>
    <row r="974" ht="16.5" customHeight="1">
      <c r="AB974" s="110"/>
      <c r="AJ974" s="111"/>
      <c r="AK974" s="111"/>
      <c r="AL974" s="111"/>
    </row>
    <row r="975" ht="16.5" customHeight="1">
      <c r="AB975" s="110"/>
      <c r="AJ975" s="111"/>
      <c r="AK975" s="111"/>
      <c r="AL975" s="111"/>
    </row>
    <row r="976" ht="16.5" customHeight="1">
      <c r="AB976" s="110"/>
      <c r="AJ976" s="111"/>
      <c r="AK976" s="111"/>
      <c r="AL976" s="111"/>
    </row>
    <row r="977" ht="16.5" customHeight="1">
      <c r="AB977" s="110"/>
      <c r="AJ977" s="111"/>
      <c r="AK977" s="111"/>
      <c r="AL977" s="111"/>
    </row>
    <row r="978" ht="16.5" customHeight="1">
      <c r="AB978" s="110"/>
      <c r="AJ978" s="111"/>
      <c r="AK978" s="111"/>
      <c r="AL978" s="111"/>
    </row>
    <row r="979" ht="16.5" customHeight="1">
      <c r="AB979" s="110"/>
      <c r="AJ979" s="111"/>
      <c r="AK979" s="111"/>
      <c r="AL979" s="111"/>
    </row>
    <row r="980" ht="16.5" customHeight="1">
      <c r="AB980" s="110"/>
      <c r="AJ980" s="111"/>
      <c r="AK980" s="111"/>
      <c r="AL980" s="111"/>
    </row>
    <row r="981" ht="16.5" customHeight="1">
      <c r="AB981" s="110"/>
      <c r="AJ981" s="111"/>
      <c r="AK981" s="111"/>
      <c r="AL981" s="111"/>
    </row>
    <row r="982" ht="16.5" customHeight="1">
      <c r="AB982" s="110"/>
      <c r="AJ982" s="111"/>
      <c r="AK982" s="111"/>
      <c r="AL982" s="111"/>
    </row>
    <row r="983" ht="16.5" customHeight="1">
      <c r="AB983" s="110"/>
      <c r="AJ983" s="111"/>
      <c r="AK983" s="111"/>
      <c r="AL983" s="111"/>
    </row>
    <row r="984" ht="16.5" customHeight="1">
      <c r="AB984" s="110"/>
      <c r="AJ984" s="111"/>
      <c r="AK984" s="111"/>
      <c r="AL984" s="111"/>
    </row>
    <row r="985" ht="16.5" customHeight="1">
      <c r="AB985" s="110"/>
      <c r="AJ985" s="111"/>
      <c r="AK985" s="111"/>
      <c r="AL985" s="111"/>
    </row>
    <row r="986" ht="16.5" customHeight="1">
      <c r="AB986" s="110"/>
      <c r="AJ986" s="111"/>
      <c r="AK986" s="111"/>
      <c r="AL986" s="111"/>
    </row>
    <row r="987" ht="16.5" customHeight="1">
      <c r="AB987" s="110"/>
      <c r="AJ987" s="111"/>
      <c r="AK987" s="111"/>
      <c r="AL987" s="111"/>
    </row>
    <row r="988" ht="16.5" customHeight="1">
      <c r="AB988" s="110"/>
      <c r="AJ988" s="111"/>
      <c r="AK988" s="111"/>
      <c r="AL988" s="111"/>
    </row>
    <row r="989" ht="16.5" customHeight="1">
      <c r="AB989" s="110"/>
      <c r="AJ989" s="111"/>
      <c r="AK989" s="111"/>
      <c r="AL989" s="111"/>
    </row>
    <row r="990" ht="16.5" customHeight="1">
      <c r="AB990" s="110"/>
      <c r="AJ990" s="111"/>
      <c r="AK990" s="111"/>
      <c r="AL990" s="111"/>
    </row>
    <row r="991" ht="16.5" customHeight="1">
      <c r="AB991" s="110"/>
      <c r="AJ991" s="111"/>
      <c r="AK991" s="111"/>
      <c r="AL991" s="111"/>
    </row>
    <row r="992" ht="16.5" customHeight="1">
      <c r="AB992" s="110"/>
      <c r="AJ992" s="111"/>
      <c r="AK992" s="111"/>
      <c r="AL992" s="111"/>
    </row>
    <row r="993" ht="16.5" customHeight="1">
      <c r="AB993" s="110"/>
      <c r="AJ993" s="111"/>
      <c r="AK993" s="111"/>
      <c r="AL993" s="111"/>
    </row>
    <row r="994" ht="16.5" customHeight="1">
      <c r="AB994" s="110"/>
      <c r="AJ994" s="111"/>
      <c r="AK994" s="111"/>
      <c r="AL994" s="111"/>
    </row>
    <row r="995" ht="16.5" customHeight="1">
      <c r="AB995" s="110"/>
      <c r="AJ995" s="111"/>
      <c r="AK995" s="111"/>
      <c r="AL995" s="111"/>
    </row>
    <row r="996" ht="16.5" customHeight="1">
      <c r="AB996" s="110"/>
      <c r="AJ996" s="111"/>
      <c r="AK996" s="111"/>
      <c r="AL996" s="111"/>
    </row>
    <row r="997" ht="16.5" customHeight="1">
      <c r="AB997" s="110"/>
      <c r="AJ997" s="111"/>
      <c r="AK997" s="111"/>
      <c r="AL997" s="111"/>
    </row>
    <row r="998" ht="16.5" customHeight="1">
      <c r="AB998" s="110"/>
      <c r="AJ998" s="111"/>
      <c r="AK998" s="111"/>
      <c r="AL998" s="111"/>
    </row>
    <row r="999" ht="16.5" customHeight="1">
      <c r="AB999" s="110"/>
      <c r="AJ999" s="111"/>
      <c r="AK999" s="111"/>
      <c r="AL999" s="111"/>
    </row>
    <row r="1000" ht="16.5" customHeight="1">
      <c r="AB1000" s="110"/>
      <c r="AJ1000" s="111"/>
      <c r="AK1000" s="111"/>
      <c r="AL1000" s="111"/>
    </row>
  </sheetData>
  <mergeCells count="3">
    <mergeCell ref="A1:A2"/>
    <mergeCell ref="B1:B2"/>
    <mergeCell ref="A3:A21"/>
  </mergeCells>
  <printOptions/>
  <pageMargins bottom="0.1968503937007874" footer="0.0" header="0.0" left="0.2362204724409449" right="0.2362204724409449" top="0.7480314960629921"/>
  <pageSetup fitToHeight="0" paperSize="8" orientation="landscape"/>
  <headerFooter>
    <oddHeader>&amp;C桃園捷運公司 運務處站務中心 113年10月員工輪值表(北段)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22"/>
    <col customWidth="1" min="2" max="2" width="15.67"/>
    <col customWidth="1" min="3" max="3" width="14.67"/>
    <col customWidth="1" min="4" max="26" width="14.22"/>
    <col customWidth="1" min="27" max="27" width="16.89"/>
    <col customWidth="1" min="28" max="34" width="14.22"/>
    <col customWidth="1" min="35" max="38" width="16.89"/>
  </cols>
  <sheetData>
    <row r="1" ht="63.75" customHeight="1">
      <c r="A1" s="112"/>
      <c r="B1" s="113" t="s">
        <v>0</v>
      </c>
      <c r="C1" s="114" t="s">
        <v>61</v>
      </c>
      <c r="D1" s="115">
        <f>DATE('工作表1'!C1,'工作表1'!H1,1)</f>
        <v>45870</v>
      </c>
      <c r="E1" s="116">
        <f t="shared" ref="E1:AL1" si="1">D1+1</f>
        <v>45871</v>
      </c>
      <c r="F1" s="116">
        <f t="shared" si="1"/>
        <v>45872</v>
      </c>
      <c r="G1" s="116">
        <f t="shared" si="1"/>
        <v>45873</v>
      </c>
      <c r="H1" s="116">
        <f t="shared" si="1"/>
        <v>45874</v>
      </c>
      <c r="I1" s="116">
        <f t="shared" si="1"/>
        <v>45875</v>
      </c>
      <c r="J1" s="116">
        <f t="shared" si="1"/>
        <v>45876</v>
      </c>
      <c r="K1" s="116">
        <f t="shared" si="1"/>
        <v>45877</v>
      </c>
      <c r="L1" s="116">
        <f t="shared" si="1"/>
        <v>45878</v>
      </c>
      <c r="M1" s="116">
        <f t="shared" si="1"/>
        <v>45879</v>
      </c>
      <c r="N1" s="116">
        <f t="shared" si="1"/>
        <v>45880</v>
      </c>
      <c r="O1" s="116">
        <f t="shared" si="1"/>
        <v>45881</v>
      </c>
      <c r="P1" s="116">
        <f t="shared" si="1"/>
        <v>45882</v>
      </c>
      <c r="Q1" s="116">
        <f t="shared" si="1"/>
        <v>45883</v>
      </c>
      <c r="R1" s="116">
        <f t="shared" si="1"/>
        <v>45884</v>
      </c>
      <c r="S1" s="116">
        <f t="shared" si="1"/>
        <v>45885</v>
      </c>
      <c r="T1" s="116">
        <f t="shared" si="1"/>
        <v>45886</v>
      </c>
      <c r="U1" s="116">
        <f t="shared" si="1"/>
        <v>45887</v>
      </c>
      <c r="V1" s="116">
        <f t="shared" si="1"/>
        <v>45888</v>
      </c>
      <c r="W1" s="116">
        <f t="shared" si="1"/>
        <v>45889</v>
      </c>
      <c r="X1" s="116">
        <f t="shared" si="1"/>
        <v>45890</v>
      </c>
      <c r="Y1" s="116">
        <f t="shared" si="1"/>
        <v>45891</v>
      </c>
      <c r="Z1" s="116">
        <f t="shared" si="1"/>
        <v>45892</v>
      </c>
      <c r="AA1" s="116">
        <f t="shared" si="1"/>
        <v>45893</v>
      </c>
      <c r="AB1" s="116">
        <f t="shared" si="1"/>
        <v>45894</v>
      </c>
      <c r="AC1" s="116">
        <f t="shared" si="1"/>
        <v>45895</v>
      </c>
      <c r="AD1" s="116">
        <f t="shared" si="1"/>
        <v>45896</v>
      </c>
      <c r="AE1" s="116">
        <f t="shared" si="1"/>
        <v>45897</v>
      </c>
      <c r="AF1" s="116">
        <f t="shared" si="1"/>
        <v>45898</v>
      </c>
      <c r="AG1" s="116">
        <f t="shared" si="1"/>
        <v>45899</v>
      </c>
      <c r="AH1" s="116">
        <f t="shared" si="1"/>
        <v>45900</v>
      </c>
      <c r="AI1" s="116">
        <f t="shared" si="1"/>
        <v>45901</v>
      </c>
      <c r="AJ1" s="116">
        <f t="shared" si="1"/>
        <v>45902</v>
      </c>
      <c r="AK1" s="116">
        <f t="shared" si="1"/>
        <v>45903</v>
      </c>
      <c r="AL1" s="116">
        <f t="shared" si="1"/>
        <v>45904</v>
      </c>
    </row>
    <row r="2" ht="43.5" customHeight="1">
      <c r="A2" s="117"/>
      <c r="B2" s="118"/>
      <c r="C2" s="119"/>
      <c r="D2" s="120">
        <f t="shared" ref="D2:AL2" si="2">IFERROR(IF(WEEKDAY(D1,2)=7,"日",WEEKDAY(D1,2)),"")</f>
        <v>5</v>
      </c>
      <c r="E2" s="120">
        <f t="shared" si="2"/>
        <v>6</v>
      </c>
      <c r="F2" s="120" t="str">
        <f t="shared" si="2"/>
        <v>日</v>
      </c>
      <c r="G2" s="120">
        <f t="shared" si="2"/>
        <v>1</v>
      </c>
      <c r="H2" s="120">
        <f t="shared" si="2"/>
        <v>2</v>
      </c>
      <c r="I2" s="120">
        <f t="shared" si="2"/>
        <v>3</v>
      </c>
      <c r="J2" s="120">
        <f t="shared" si="2"/>
        <v>4</v>
      </c>
      <c r="K2" s="120">
        <f t="shared" si="2"/>
        <v>5</v>
      </c>
      <c r="L2" s="120">
        <f t="shared" si="2"/>
        <v>6</v>
      </c>
      <c r="M2" s="120" t="str">
        <f t="shared" si="2"/>
        <v>日</v>
      </c>
      <c r="N2" s="120">
        <f t="shared" si="2"/>
        <v>1</v>
      </c>
      <c r="O2" s="120">
        <f t="shared" si="2"/>
        <v>2</v>
      </c>
      <c r="P2" s="120">
        <f t="shared" si="2"/>
        <v>3</v>
      </c>
      <c r="Q2" s="120">
        <f t="shared" si="2"/>
        <v>4</v>
      </c>
      <c r="R2" s="120">
        <f t="shared" si="2"/>
        <v>5</v>
      </c>
      <c r="S2" s="120">
        <f t="shared" si="2"/>
        <v>6</v>
      </c>
      <c r="T2" s="120" t="str">
        <f t="shared" si="2"/>
        <v>日</v>
      </c>
      <c r="U2" s="120">
        <f t="shared" si="2"/>
        <v>1</v>
      </c>
      <c r="V2" s="120">
        <f t="shared" si="2"/>
        <v>2</v>
      </c>
      <c r="W2" s="120">
        <f t="shared" si="2"/>
        <v>3</v>
      </c>
      <c r="X2" s="120">
        <f t="shared" si="2"/>
        <v>4</v>
      </c>
      <c r="Y2" s="120">
        <f t="shared" si="2"/>
        <v>5</v>
      </c>
      <c r="Z2" s="120">
        <f t="shared" si="2"/>
        <v>6</v>
      </c>
      <c r="AA2" s="120" t="str">
        <f t="shared" si="2"/>
        <v>日</v>
      </c>
      <c r="AB2" s="120">
        <f t="shared" si="2"/>
        <v>1</v>
      </c>
      <c r="AC2" s="120">
        <f t="shared" si="2"/>
        <v>2</v>
      </c>
      <c r="AD2" s="120">
        <f t="shared" si="2"/>
        <v>3</v>
      </c>
      <c r="AE2" s="120">
        <f t="shared" si="2"/>
        <v>4</v>
      </c>
      <c r="AF2" s="120">
        <f t="shared" si="2"/>
        <v>5</v>
      </c>
      <c r="AG2" s="120">
        <f t="shared" si="2"/>
        <v>6</v>
      </c>
      <c r="AH2" s="120" t="str">
        <f t="shared" si="2"/>
        <v>日</v>
      </c>
      <c r="AI2" s="121">
        <f t="shared" si="2"/>
        <v>1</v>
      </c>
      <c r="AJ2" s="121">
        <f t="shared" si="2"/>
        <v>2</v>
      </c>
      <c r="AK2" s="121">
        <f t="shared" si="2"/>
        <v>3</v>
      </c>
      <c r="AL2" s="121">
        <f t="shared" si="2"/>
        <v>4</v>
      </c>
    </row>
    <row r="3" ht="39.75" customHeight="1">
      <c r="A3" s="122" t="s">
        <v>62</v>
      </c>
      <c r="B3" s="24" t="str">
        <f>LEFT(北段!#REF!,6)</f>
        <v>#ERROR!</v>
      </c>
      <c r="C3" s="24" t="str">
        <f>VLOOKUP(B3,'北段'!B:C,2,FALSE)</f>
        <v>#ERROR!</v>
      </c>
      <c r="D3" s="123" t="str">
        <f>LEFT(北段!#REF!,4)</f>
        <v>#ERROR!</v>
      </c>
      <c r="E3" s="123" t="str">
        <f>LEFT(北段!#REF!,4)</f>
        <v>#ERROR!</v>
      </c>
      <c r="F3" s="123" t="str">
        <f>LEFT(北段!#REF!,4)</f>
        <v>#ERROR!</v>
      </c>
      <c r="G3" s="123" t="str">
        <f>LEFT(北段!#REF!,4)</f>
        <v>#ERROR!</v>
      </c>
      <c r="H3" s="123" t="str">
        <f>LEFT(北段!#REF!,4)</f>
        <v>#ERROR!</v>
      </c>
      <c r="I3" s="123" t="str">
        <f>LEFT(北段!#REF!,4)</f>
        <v>#ERROR!</v>
      </c>
      <c r="J3" s="123" t="str">
        <f>LEFT(北段!#REF!,4)</f>
        <v>#ERROR!</v>
      </c>
      <c r="K3" s="123" t="str">
        <f>LEFT(北段!#REF!,4)</f>
        <v>#ERROR!</v>
      </c>
      <c r="L3" s="123" t="str">
        <f>LEFT(北段!#REF!,4)</f>
        <v>#ERROR!</v>
      </c>
      <c r="M3" s="123" t="str">
        <f>LEFT(北段!#REF!,4)</f>
        <v>#ERROR!</v>
      </c>
      <c r="N3" s="123" t="str">
        <f>LEFT(北段!#REF!,4)</f>
        <v>#ERROR!</v>
      </c>
      <c r="O3" s="123" t="str">
        <f>LEFT(北段!#REF!,4)</f>
        <v>#ERROR!</v>
      </c>
      <c r="P3" s="123" t="str">
        <f>LEFT(北段!#REF!,4)</f>
        <v>#ERROR!</v>
      </c>
      <c r="Q3" s="123" t="str">
        <f>LEFT(北段!#REF!,4)</f>
        <v>#ERROR!</v>
      </c>
      <c r="R3" s="123" t="str">
        <f>LEFT(北段!#REF!,4)</f>
        <v>#ERROR!</v>
      </c>
      <c r="S3" s="123" t="str">
        <f>LEFT(北段!#REF!,4)</f>
        <v>#ERROR!</v>
      </c>
      <c r="T3" s="123" t="str">
        <f>LEFT(北段!#REF!,4)</f>
        <v>#ERROR!</v>
      </c>
      <c r="U3" s="123" t="str">
        <f>LEFT(北段!#REF!,4)</f>
        <v>#ERROR!</v>
      </c>
      <c r="V3" s="123" t="str">
        <f>LEFT(北段!#REF!,4)</f>
        <v>#ERROR!</v>
      </c>
      <c r="W3" s="123" t="str">
        <f>LEFT(北段!#REF!,4)</f>
        <v>#ERROR!</v>
      </c>
      <c r="X3" s="123" t="str">
        <f>LEFT(北段!#REF!,4)</f>
        <v>#ERROR!</v>
      </c>
      <c r="Y3" s="123" t="str">
        <f>LEFT(北段!#REF!,4)</f>
        <v>#ERROR!</v>
      </c>
      <c r="Z3" s="123" t="str">
        <f>LEFT(北段!#REF!,4)</f>
        <v>#ERROR!</v>
      </c>
      <c r="AA3" s="123" t="str">
        <f>LEFT(北段!#REF!,4)</f>
        <v>#ERROR!</v>
      </c>
      <c r="AB3" s="123" t="str">
        <f>LEFT(北段!#REF!,4)</f>
        <v>#ERROR!</v>
      </c>
      <c r="AC3" s="123" t="str">
        <f>LEFT(北段!#REF!,4)</f>
        <v>#ERROR!</v>
      </c>
      <c r="AD3" s="123" t="str">
        <f>LEFT(北段!#REF!,4)</f>
        <v>#ERROR!</v>
      </c>
      <c r="AE3" s="123" t="str">
        <f>LEFT(北段!#REF!,4)</f>
        <v>#ERROR!</v>
      </c>
      <c r="AF3" s="123" t="str">
        <f>LEFT(北段!#REF!,4)</f>
        <v>#ERROR!</v>
      </c>
      <c r="AG3" s="123" t="str">
        <f>LEFT(北段!#REF!,4)</f>
        <v>#ERROR!</v>
      </c>
      <c r="AH3" s="123" t="str">
        <f>LEFT(北段!#REF!,4)</f>
        <v>#ERROR!</v>
      </c>
      <c r="AI3" s="123" t="str">
        <f>LEFT(北段!#REF!,4)</f>
        <v>#ERROR!</v>
      </c>
      <c r="AJ3" s="123" t="str">
        <f>LEFT(北段!#REF!,4)</f>
        <v>#ERROR!</v>
      </c>
      <c r="AK3" s="123" t="str">
        <f>LEFT(北段!#REF!,4)</f>
        <v>#ERROR!</v>
      </c>
      <c r="AL3" s="123" t="str">
        <f>LEFT(北段!#REF!,4)</f>
        <v>#ERROR!</v>
      </c>
    </row>
    <row r="4" ht="39.75" customHeight="1">
      <c r="A4" s="124"/>
      <c r="B4" s="24" t="str">
        <f>LEFT(北段!#REF!,6)</f>
        <v>#ERROR!</v>
      </c>
      <c r="C4" s="24" t="str">
        <f>VLOOKUP(B4,'北段'!B:C,2,FALSE)</f>
        <v>#ERROR!</v>
      </c>
      <c r="D4" s="123" t="str">
        <f>LEFT(北段!#REF!,4)</f>
        <v>#ERROR!</v>
      </c>
      <c r="E4" s="123" t="str">
        <f>LEFT(北段!#REF!,4)</f>
        <v>#ERROR!</v>
      </c>
      <c r="F4" s="123" t="str">
        <f>LEFT(北段!#REF!,4)</f>
        <v>#ERROR!</v>
      </c>
      <c r="G4" s="123" t="str">
        <f>LEFT(北段!#REF!,4)</f>
        <v>#ERROR!</v>
      </c>
      <c r="H4" s="123" t="str">
        <f>LEFT(北段!#REF!,4)</f>
        <v>#ERROR!</v>
      </c>
      <c r="I4" s="123" t="str">
        <f>LEFT(北段!#REF!,4)</f>
        <v>#ERROR!</v>
      </c>
      <c r="J4" s="123" t="str">
        <f>LEFT(北段!#REF!,4)</f>
        <v>#ERROR!</v>
      </c>
      <c r="K4" s="123" t="str">
        <f>LEFT(北段!#REF!,4)</f>
        <v>#ERROR!</v>
      </c>
      <c r="L4" s="123" t="str">
        <f>LEFT(北段!#REF!,4)</f>
        <v>#ERROR!</v>
      </c>
      <c r="M4" s="123" t="str">
        <f>LEFT(北段!#REF!,4)</f>
        <v>#ERROR!</v>
      </c>
      <c r="N4" s="123" t="str">
        <f>LEFT(北段!#REF!,4)</f>
        <v>#ERROR!</v>
      </c>
      <c r="O4" s="123" t="str">
        <f>LEFT(北段!#REF!,4)</f>
        <v>#ERROR!</v>
      </c>
      <c r="P4" s="123" t="str">
        <f>LEFT(北段!#REF!,4)</f>
        <v>#ERROR!</v>
      </c>
      <c r="Q4" s="123" t="str">
        <f>LEFT(北段!#REF!,4)</f>
        <v>#ERROR!</v>
      </c>
      <c r="R4" s="123" t="str">
        <f>LEFT(北段!#REF!,4)</f>
        <v>#ERROR!</v>
      </c>
      <c r="S4" s="123" t="str">
        <f>LEFT(北段!#REF!,4)</f>
        <v>#ERROR!</v>
      </c>
      <c r="T4" s="123" t="str">
        <f>LEFT(北段!#REF!,4)</f>
        <v>#ERROR!</v>
      </c>
      <c r="U4" s="123" t="str">
        <f>LEFT(北段!#REF!,4)</f>
        <v>#ERROR!</v>
      </c>
      <c r="V4" s="123" t="str">
        <f>LEFT(北段!#REF!,4)</f>
        <v>#ERROR!</v>
      </c>
      <c r="W4" s="123" t="str">
        <f>LEFT(北段!#REF!,4)</f>
        <v>#ERROR!</v>
      </c>
      <c r="X4" s="123" t="str">
        <f>LEFT(北段!#REF!,4)</f>
        <v>#ERROR!</v>
      </c>
      <c r="Y4" s="123" t="str">
        <f>LEFT(北段!#REF!,4)</f>
        <v>#ERROR!</v>
      </c>
      <c r="Z4" s="123" t="str">
        <f>LEFT(北段!#REF!,4)</f>
        <v>#ERROR!</v>
      </c>
      <c r="AA4" s="123" t="str">
        <f>LEFT(北段!#REF!,4)</f>
        <v>#ERROR!</v>
      </c>
      <c r="AB4" s="123" t="str">
        <f>LEFT(北段!#REF!,4)</f>
        <v>#ERROR!</v>
      </c>
      <c r="AC4" s="123" t="str">
        <f>LEFT(北段!#REF!,4)</f>
        <v>#ERROR!</v>
      </c>
      <c r="AD4" s="123" t="str">
        <f>LEFT(北段!#REF!,4)</f>
        <v>#ERROR!</v>
      </c>
      <c r="AE4" s="123" t="str">
        <f>LEFT(北段!#REF!,4)</f>
        <v>#ERROR!</v>
      </c>
      <c r="AF4" s="123" t="str">
        <f>LEFT(北段!#REF!,4)</f>
        <v>#ERROR!</v>
      </c>
      <c r="AG4" s="123" t="str">
        <f>LEFT(北段!#REF!,4)</f>
        <v>#ERROR!</v>
      </c>
      <c r="AH4" s="123" t="str">
        <f>LEFT(北段!#REF!,4)</f>
        <v>#ERROR!</v>
      </c>
      <c r="AI4" s="123" t="str">
        <f>LEFT(北段!#REF!,4)</f>
        <v>#ERROR!</v>
      </c>
      <c r="AJ4" s="123" t="str">
        <f>LEFT(北段!#REF!,4)</f>
        <v>#ERROR!</v>
      </c>
      <c r="AK4" s="123" t="str">
        <f>LEFT(北段!#REF!,4)</f>
        <v>#ERROR!</v>
      </c>
      <c r="AL4" s="123" t="str">
        <f>LEFT(北段!#REF!,4)</f>
        <v>#ERROR!</v>
      </c>
    </row>
    <row r="5" ht="39.75" customHeight="1">
      <c r="A5" s="124"/>
      <c r="B5" s="24" t="str">
        <f>LEFT(北段!#REF!,6)</f>
        <v>#ERROR!</v>
      </c>
      <c r="C5" s="24" t="str">
        <f>VLOOKUP(B5,'北段'!B:C,2,FALSE)</f>
        <v>#ERROR!</v>
      </c>
      <c r="D5" s="123" t="str">
        <f>LEFT(北段!#REF!,4)</f>
        <v>#ERROR!</v>
      </c>
      <c r="E5" s="123" t="str">
        <f>LEFT(北段!#REF!,4)</f>
        <v>#ERROR!</v>
      </c>
      <c r="F5" s="123" t="str">
        <f>LEFT(北段!#REF!,4)</f>
        <v>#ERROR!</v>
      </c>
      <c r="G5" s="123" t="str">
        <f>LEFT(北段!#REF!,4)</f>
        <v>#ERROR!</v>
      </c>
      <c r="H5" s="123" t="str">
        <f>LEFT(北段!#REF!,4)</f>
        <v>#ERROR!</v>
      </c>
      <c r="I5" s="123" t="str">
        <f>LEFT(北段!#REF!,4)</f>
        <v>#ERROR!</v>
      </c>
      <c r="J5" s="123" t="str">
        <f>LEFT(北段!#REF!,4)</f>
        <v>#ERROR!</v>
      </c>
      <c r="K5" s="123" t="str">
        <f>LEFT(北段!#REF!,4)</f>
        <v>#ERROR!</v>
      </c>
      <c r="L5" s="123" t="str">
        <f>LEFT(北段!#REF!,4)</f>
        <v>#ERROR!</v>
      </c>
      <c r="M5" s="123" t="str">
        <f>LEFT(北段!#REF!,4)</f>
        <v>#ERROR!</v>
      </c>
      <c r="N5" s="123" t="str">
        <f>LEFT(北段!#REF!,4)</f>
        <v>#ERROR!</v>
      </c>
      <c r="O5" s="123" t="str">
        <f>LEFT(北段!#REF!,4)</f>
        <v>#ERROR!</v>
      </c>
      <c r="P5" s="123" t="str">
        <f>LEFT(北段!#REF!,4)</f>
        <v>#ERROR!</v>
      </c>
      <c r="Q5" s="123" t="str">
        <f>LEFT(北段!#REF!,4)</f>
        <v>#ERROR!</v>
      </c>
      <c r="R5" s="123" t="str">
        <f>LEFT(北段!#REF!,4)</f>
        <v>#ERROR!</v>
      </c>
      <c r="S5" s="123" t="str">
        <f>LEFT(北段!#REF!,4)</f>
        <v>#ERROR!</v>
      </c>
      <c r="T5" s="123" t="str">
        <f>LEFT(北段!#REF!,4)</f>
        <v>#ERROR!</v>
      </c>
      <c r="U5" s="123" t="str">
        <f>LEFT(北段!#REF!,4)</f>
        <v>#ERROR!</v>
      </c>
      <c r="V5" s="123" t="str">
        <f>LEFT(北段!#REF!,4)</f>
        <v>#ERROR!</v>
      </c>
      <c r="W5" s="123" t="str">
        <f>LEFT(北段!#REF!,4)</f>
        <v>#ERROR!</v>
      </c>
      <c r="X5" s="123" t="str">
        <f>LEFT(北段!#REF!,4)</f>
        <v>#ERROR!</v>
      </c>
      <c r="Y5" s="123" t="str">
        <f>LEFT(北段!#REF!,4)</f>
        <v>#ERROR!</v>
      </c>
      <c r="Z5" s="123" t="str">
        <f>LEFT(北段!#REF!,4)</f>
        <v>#ERROR!</v>
      </c>
      <c r="AA5" s="123" t="str">
        <f>LEFT(北段!#REF!,4)</f>
        <v>#ERROR!</v>
      </c>
      <c r="AB5" s="123" t="str">
        <f>LEFT(北段!#REF!,4)</f>
        <v>#ERROR!</v>
      </c>
      <c r="AC5" s="123" t="str">
        <f>LEFT(北段!#REF!,4)</f>
        <v>#ERROR!</v>
      </c>
      <c r="AD5" s="123" t="str">
        <f>LEFT(北段!#REF!,4)</f>
        <v>#ERROR!</v>
      </c>
      <c r="AE5" s="123" t="str">
        <f>LEFT(北段!#REF!,4)</f>
        <v>#ERROR!</v>
      </c>
      <c r="AF5" s="123" t="str">
        <f>LEFT(北段!#REF!,4)</f>
        <v>#ERROR!</v>
      </c>
      <c r="AG5" s="123" t="str">
        <f>LEFT(北段!#REF!,4)</f>
        <v>#ERROR!</v>
      </c>
      <c r="AH5" s="123" t="str">
        <f>LEFT(北段!#REF!,4)</f>
        <v>#ERROR!</v>
      </c>
      <c r="AI5" s="123" t="str">
        <f>LEFT(北段!#REF!,4)</f>
        <v>#ERROR!</v>
      </c>
      <c r="AJ5" s="123" t="str">
        <f>LEFT(北段!#REF!,4)</f>
        <v>#ERROR!</v>
      </c>
      <c r="AK5" s="123" t="str">
        <f>LEFT(北段!#REF!,4)</f>
        <v>#ERROR!</v>
      </c>
      <c r="AL5" s="123" t="str">
        <f>LEFT(北段!#REF!,4)</f>
        <v>#ERROR!</v>
      </c>
    </row>
    <row r="6" ht="39.75" customHeight="1">
      <c r="A6" s="124"/>
      <c r="B6" s="24" t="str">
        <f>LEFT(北段!#REF!,6)</f>
        <v>#ERROR!</v>
      </c>
      <c r="C6" s="24" t="str">
        <f>VLOOKUP(B6,'北段'!B:C,2,FALSE)</f>
        <v>#ERROR!</v>
      </c>
      <c r="D6" s="123" t="str">
        <f>LEFT(北段!#REF!,4)</f>
        <v>#ERROR!</v>
      </c>
      <c r="E6" s="123" t="str">
        <f>LEFT(北段!#REF!,4)</f>
        <v>#ERROR!</v>
      </c>
      <c r="F6" s="123" t="str">
        <f>LEFT(北段!#REF!,4)</f>
        <v>#ERROR!</v>
      </c>
      <c r="G6" s="123" t="str">
        <f>LEFT(北段!#REF!,4)</f>
        <v>#ERROR!</v>
      </c>
      <c r="H6" s="123" t="str">
        <f>LEFT(北段!#REF!,4)</f>
        <v>#ERROR!</v>
      </c>
      <c r="I6" s="123" t="str">
        <f>LEFT(北段!#REF!,4)</f>
        <v>#ERROR!</v>
      </c>
      <c r="J6" s="123" t="str">
        <f>LEFT(北段!#REF!,4)</f>
        <v>#ERROR!</v>
      </c>
      <c r="K6" s="123" t="str">
        <f>LEFT(北段!#REF!,4)</f>
        <v>#ERROR!</v>
      </c>
      <c r="L6" s="123" t="str">
        <f>LEFT(北段!#REF!,4)</f>
        <v>#ERROR!</v>
      </c>
      <c r="M6" s="123" t="str">
        <f>LEFT(北段!#REF!,4)</f>
        <v>#ERROR!</v>
      </c>
      <c r="N6" s="123" t="str">
        <f>LEFT(北段!#REF!,4)</f>
        <v>#ERROR!</v>
      </c>
      <c r="O6" s="123" t="str">
        <f>LEFT(北段!#REF!,4)</f>
        <v>#ERROR!</v>
      </c>
      <c r="P6" s="123" t="str">
        <f>LEFT(北段!#REF!,4)</f>
        <v>#ERROR!</v>
      </c>
      <c r="Q6" s="123" t="str">
        <f>LEFT(北段!#REF!,4)</f>
        <v>#ERROR!</v>
      </c>
      <c r="R6" s="123" t="str">
        <f>LEFT(北段!#REF!,4)</f>
        <v>#ERROR!</v>
      </c>
      <c r="S6" s="123" t="str">
        <f>LEFT(北段!#REF!,4)</f>
        <v>#ERROR!</v>
      </c>
      <c r="T6" s="123" t="str">
        <f>LEFT(北段!#REF!,4)</f>
        <v>#ERROR!</v>
      </c>
      <c r="U6" s="123" t="str">
        <f>LEFT(北段!#REF!,4)</f>
        <v>#ERROR!</v>
      </c>
      <c r="V6" s="123" t="str">
        <f>LEFT(北段!#REF!,4)</f>
        <v>#ERROR!</v>
      </c>
      <c r="W6" s="123" t="str">
        <f>LEFT(北段!#REF!,4)</f>
        <v>#ERROR!</v>
      </c>
      <c r="X6" s="123" t="str">
        <f>LEFT(北段!#REF!,4)</f>
        <v>#ERROR!</v>
      </c>
      <c r="Y6" s="123" t="str">
        <f>LEFT(北段!#REF!,4)</f>
        <v>#ERROR!</v>
      </c>
      <c r="Z6" s="123" t="str">
        <f>LEFT(北段!#REF!,4)</f>
        <v>#ERROR!</v>
      </c>
      <c r="AA6" s="123" t="str">
        <f>LEFT(北段!#REF!,5)</f>
        <v>#ERROR!</v>
      </c>
      <c r="AB6" s="123" t="str">
        <f>LEFT(北段!#REF!,4)</f>
        <v>#ERROR!</v>
      </c>
      <c r="AC6" s="123" t="str">
        <f>LEFT(北段!#REF!,4)</f>
        <v>#ERROR!</v>
      </c>
      <c r="AD6" s="123" t="str">
        <f>LEFT(北段!#REF!,4)</f>
        <v>#ERROR!</v>
      </c>
      <c r="AE6" s="123" t="str">
        <f>LEFT(北段!#REF!,4)</f>
        <v>#ERROR!</v>
      </c>
      <c r="AF6" s="123" t="str">
        <f>LEFT(北段!#REF!,4)</f>
        <v>#ERROR!</v>
      </c>
      <c r="AG6" s="123" t="str">
        <f>LEFT(北段!#REF!,4)</f>
        <v>#ERROR!</v>
      </c>
      <c r="AH6" s="123" t="str">
        <f>LEFT(北段!#REF!,4)</f>
        <v>#ERROR!</v>
      </c>
      <c r="AI6" s="123" t="str">
        <f>LEFT(北段!#REF!,4)</f>
        <v>#ERROR!</v>
      </c>
      <c r="AJ6" s="123" t="str">
        <f>LEFT(北段!#REF!,4)</f>
        <v>#ERROR!</v>
      </c>
      <c r="AK6" s="123" t="str">
        <f>LEFT(北段!#REF!,4)</f>
        <v>#ERROR!</v>
      </c>
      <c r="AL6" s="123" t="str">
        <f>LEFT(北段!#REF!,4)</f>
        <v>#ERROR!</v>
      </c>
    </row>
    <row r="7" ht="39.75" customHeight="1">
      <c r="A7" s="124"/>
      <c r="B7" s="24" t="str">
        <f>LEFT(北段!#REF!,6)</f>
        <v>#ERROR!</v>
      </c>
      <c r="C7" s="24" t="str">
        <f>VLOOKUP(B7,'北段'!B:C,2,FALSE)</f>
        <v>#ERROR!</v>
      </c>
      <c r="D7" s="123" t="str">
        <f>LEFT(北段!#REF!,4)</f>
        <v>#ERROR!</v>
      </c>
      <c r="E7" s="123" t="str">
        <f>LEFT(北段!#REF!,4)</f>
        <v>#ERROR!</v>
      </c>
      <c r="F7" s="123" t="str">
        <f>LEFT(北段!#REF!,4)</f>
        <v>#ERROR!</v>
      </c>
      <c r="G7" s="123" t="str">
        <f>LEFT(北段!#REF!,4)</f>
        <v>#ERROR!</v>
      </c>
      <c r="H7" s="123" t="str">
        <f>LEFT(北段!#REF!,4)</f>
        <v>#ERROR!</v>
      </c>
      <c r="I7" s="123" t="str">
        <f>LEFT(北段!#REF!,4)</f>
        <v>#ERROR!</v>
      </c>
      <c r="J7" s="123" t="str">
        <f>LEFT(北段!#REF!,4)</f>
        <v>#ERROR!</v>
      </c>
      <c r="K7" s="123" t="str">
        <f>LEFT(北段!#REF!,4)</f>
        <v>#ERROR!</v>
      </c>
      <c r="L7" s="123" t="str">
        <f>LEFT(北段!#REF!,4)</f>
        <v>#ERROR!</v>
      </c>
      <c r="M7" s="123" t="str">
        <f>LEFT(北段!#REF!,4)</f>
        <v>#ERROR!</v>
      </c>
      <c r="N7" s="123" t="str">
        <f>LEFT(北段!#REF!,4)</f>
        <v>#ERROR!</v>
      </c>
      <c r="O7" s="123" t="str">
        <f>LEFT(北段!#REF!,4)</f>
        <v>#ERROR!</v>
      </c>
      <c r="P7" s="123" t="str">
        <f>LEFT(北段!#REF!,4)</f>
        <v>#ERROR!</v>
      </c>
      <c r="Q7" s="123" t="str">
        <f>LEFT(北段!#REF!,4)</f>
        <v>#ERROR!</v>
      </c>
      <c r="R7" s="123" t="str">
        <f>LEFT(北段!#REF!,4)</f>
        <v>#ERROR!</v>
      </c>
      <c r="S7" s="123" t="str">
        <f>LEFT(北段!#REF!,4)</f>
        <v>#ERROR!</v>
      </c>
      <c r="T7" s="123" t="str">
        <f>LEFT(北段!#REF!,4)</f>
        <v>#ERROR!</v>
      </c>
      <c r="U7" s="123" t="str">
        <f>LEFT(北段!#REF!,4)</f>
        <v>#ERROR!</v>
      </c>
      <c r="V7" s="123" t="str">
        <f>LEFT(北段!#REF!,4)</f>
        <v>#ERROR!</v>
      </c>
      <c r="W7" s="123" t="str">
        <f>LEFT(北段!#REF!,4)</f>
        <v>#ERROR!</v>
      </c>
      <c r="X7" s="123" t="str">
        <f>LEFT(北段!#REF!,4)</f>
        <v>#ERROR!</v>
      </c>
      <c r="Y7" s="123" t="str">
        <f>LEFT(北段!#REF!,4)</f>
        <v>#ERROR!</v>
      </c>
      <c r="Z7" s="123" t="str">
        <f>LEFT(北段!#REF!,4)</f>
        <v>#ERROR!</v>
      </c>
      <c r="AA7" s="123" t="str">
        <f>LEFT(北段!#REF!,4)</f>
        <v>#ERROR!</v>
      </c>
      <c r="AB7" s="123" t="str">
        <f>LEFT(北段!#REF!,4)</f>
        <v>#ERROR!</v>
      </c>
      <c r="AC7" s="123" t="str">
        <f>LEFT(北段!#REF!,4)</f>
        <v>#ERROR!</v>
      </c>
      <c r="AD7" s="123" t="str">
        <f>LEFT(北段!#REF!,4)</f>
        <v>#ERROR!</v>
      </c>
      <c r="AE7" s="123" t="str">
        <f>LEFT(北段!#REF!,4)</f>
        <v>#ERROR!</v>
      </c>
      <c r="AF7" s="123" t="str">
        <f>LEFT(北段!#REF!,4)</f>
        <v>#ERROR!</v>
      </c>
      <c r="AG7" s="123" t="str">
        <f>LEFT(北段!#REF!,4)</f>
        <v>#ERROR!</v>
      </c>
      <c r="AH7" s="123" t="str">
        <f>LEFT(北段!#REF!,4)</f>
        <v>#ERROR!</v>
      </c>
      <c r="AI7" s="123" t="str">
        <f>LEFT(北段!#REF!,4)</f>
        <v>#ERROR!</v>
      </c>
      <c r="AJ7" s="123" t="str">
        <f>LEFT(北段!#REF!,4)</f>
        <v>#ERROR!</v>
      </c>
      <c r="AK7" s="123" t="str">
        <f>LEFT(北段!#REF!,4)</f>
        <v>#ERROR!</v>
      </c>
      <c r="AL7" s="123" t="str">
        <f>LEFT(北段!#REF!,4)</f>
        <v>#ERROR!</v>
      </c>
    </row>
    <row r="8" ht="39.75" customHeight="1">
      <c r="A8" s="124"/>
      <c r="B8" s="24" t="str">
        <f>LEFT(北段!#REF!,6)</f>
        <v>#ERROR!</v>
      </c>
      <c r="C8" s="24" t="str">
        <f>VLOOKUP(B8,'北段'!B:C,2,FALSE)</f>
        <v>#ERROR!</v>
      </c>
      <c r="D8" s="123" t="str">
        <f>LEFT(北段!#REF!,4)</f>
        <v>#ERROR!</v>
      </c>
      <c r="E8" s="123" t="str">
        <f>LEFT(北段!#REF!,4)</f>
        <v>#ERROR!</v>
      </c>
      <c r="F8" s="123" t="str">
        <f>LEFT(北段!#REF!,4)</f>
        <v>#ERROR!</v>
      </c>
      <c r="G8" s="123" t="str">
        <f>LEFT(北段!#REF!,4)</f>
        <v>#ERROR!</v>
      </c>
      <c r="H8" s="123" t="str">
        <f>LEFT(北段!#REF!,4)</f>
        <v>#ERROR!</v>
      </c>
      <c r="I8" s="123" t="str">
        <f>LEFT(北段!#REF!,4)</f>
        <v>#ERROR!</v>
      </c>
      <c r="J8" s="123" t="str">
        <f>LEFT(北段!#REF!,4)</f>
        <v>#ERROR!</v>
      </c>
      <c r="K8" s="123" t="str">
        <f>LEFT(北段!#REF!,4)</f>
        <v>#ERROR!</v>
      </c>
      <c r="L8" s="123" t="str">
        <f>LEFT(北段!#REF!,4)</f>
        <v>#ERROR!</v>
      </c>
      <c r="M8" s="123" t="str">
        <f>LEFT(北段!#REF!,4)</f>
        <v>#ERROR!</v>
      </c>
      <c r="N8" s="123" t="str">
        <f>LEFT(北段!#REF!,4)</f>
        <v>#ERROR!</v>
      </c>
      <c r="O8" s="123" t="str">
        <f>LEFT(北段!#REF!,4)</f>
        <v>#ERROR!</v>
      </c>
      <c r="P8" s="123" t="str">
        <f>LEFT(北段!#REF!,4)</f>
        <v>#ERROR!</v>
      </c>
      <c r="Q8" s="123" t="str">
        <f>LEFT(北段!#REF!,4)</f>
        <v>#ERROR!</v>
      </c>
      <c r="R8" s="123" t="str">
        <f>LEFT(北段!#REF!,4)</f>
        <v>#ERROR!</v>
      </c>
      <c r="S8" s="123" t="str">
        <f>LEFT(北段!#REF!,4)</f>
        <v>#ERROR!</v>
      </c>
      <c r="T8" s="123" t="str">
        <f>LEFT(北段!#REF!,4)</f>
        <v>#ERROR!</v>
      </c>
      <c r="U8" s="123" t="str">
        <f>LEFT(北段!#REF!,4)</f>
        <v>#ERROR!</v>
      </c>
      <c r="V8" s="123" t="str">
        <f>LEFT(北段!#REF!,4)</f>
        <v>#ERROR!</v>
      </c>
      <c r="W8" s="123" t="str">
        <f>LEFT(北段!#REF!,4)</f>
        <v>#ERROR!</v>
      </c>
      <c r="X8" s="123" t="str">
        <f>LEFT(北段!#REF!,4)</f>
        <v>#ERROR!</v>
      </c>
      <c r="Y8" s="123" t="str">
        <f>LEFT(北段!#REF!,4)</f>
        <v>#ERROR!</v>
      </c>
      <c r="Z8" s="123" t="str">
        <f>LEFT(北段!#REF!,4)</f>
        <v>#ERROR!</v>
      </c>
      <c r="AA8" s="123" t="str">
        <f>LEFT(北段!#REF!,4)</f>
        <v>#ERROR!</v>
      </c>
      <c r="AB8" s="123" t="str">
        <f>LEFT(北段!#REF!,4)</f>
        <v>#ERROR!</v>
      </c>
      <c r="AC8" s="123" t="str">
        <f>LEFT(北段!#REF!,4)</f>
        <v>#ERROR!</v>
      </c>
      <c r="AD8" s="123" t="str">
        <f>LEFT(北段!#REF!,4)</f>
        <v>#ERROR!</v>
      </c>
      <c r="AE8" s="123" t="str">
        <f>LEFT(北段!#REF!,4)</f>
        <v>#ERROR!</v>
      </c>
      <c r="AF8" s="123" t="str">
        <f>LEFT(北段!#REF!,4)</f>
        <v>#ERROR!</v>
      </c>
      <c r="AG8" s="123" t="str">
        <f>LEFT(北段!#REF!,4)</f>
        <v>#ERROR!</v>
      </c>
      <c r="AH8" s="123" t="str">
        <f>LEFT(北段!#REF!,4)</f>
        <v>#ERROR!</v>
      </c>
      <c r="AI8" s="123" t="str">
        <f>LEFT(北段!#REF!,4)</f>
        <v>#ERROR!</v>
      </c>
      <c r="AJ8" s="123" t="str">
        <f>LEFT(北段!#REF!,4)</f>
        <v>#ERROR!</v>
      </c>
      <c r="AK8" s="123" t="str">
        <f>LEFT(北段!#REF!,4)</f>
        <v>#ERROR!</v>
      </c>
      <c r="AL8" s="123" t="str">
        <f>LEFT(北段!#REF!,4)</f>
        <v>#ERROR!</v>
      </c>
    </row>
    <row r="9" ht="39.0" customHeight="1">
      <c r="A9" s="124"/>
      <c r="B9" s="24" t="str">
        <f>LEFT(北段!#REF!,6)</f>
        <v>#ERROR!</v>
      </c>
      <c r="C9" s="24" t="str">
        <f>VLOOKUP(B9,'北段'!B:C,2,FALSE)</f>
        <v>#ERROR!</v>
      </c>
      <c r="D9" s="123" t="str">
        <f>LEFT(北段!#REF!,4)</f>
        <v>#ERROR!</v>
      </c>
      <c r="E9" s="123" t="str">
        <f>LEFT(北段!#REF!,4)</f>
        <v>#ERROR!</v>
      </c>
      <c r="F9" s="123" t="str">
        <f>LEFT(北段!#REF!,4)</f>
        <v>#ERROR!</v>
      </c>
      <c r="G9" s="123" t="str">
        <f>LEFT(北段!#REF!,4)</f>
        <v>#ERROR!</v>
      </c>
      <c r="H9" s="123" t="str">
        <f>LEFT(北段!#REF!,4)</f>
        <v>#ERROR!</v>
      </c>
      <c r="I9" s="123" t="str">
        <f>LEFT(北段!#REF!,4)</f>
        <v>#ERROR!</v>
      </c>
      <c r="J9" s="123" t="str">
        <f>LEFT(北段!#REF!,4)</f>
        <v>#ERROR!</v>
      </c>
      <c r="K9" s="123" t="str">
        <f>LEFT(北段!#REF!,4)</f>
        <v>#ERROR!</v>
      </c>
      <c r="L9" s="123" t="str">
        <f>LEFT(北段!#REF!,4)</f>
        <v>#ERROR!</v>
      </c>
      <c r="M9" s="123" t="str">
        <f>LEFT(北段!#REF!,4)</f>
        <v>#ERROR!</v>
      </c>
      <c r="N9" s="123" t="str">
        <f>LEFT(北段!#REF!,4)</f>
        <v>#ERROR!</v>
      </c>
      <c r="O9" s="123" t="str">
        <f>LEFT(北段!#REF!,4)</f>
        <v>#ERROR!</v>
      </c>
      <c r="P9" s="123" t="str">
        <f>LEFT(北段!#REF!,4)</f>
        <v>#ERROR!</v>
      </c>
      <c r="Q9" s="123" t="str">
        <f>LEFT(北段!#REF!,4)</f>
        <v>#ERROR!</v>
      </c>
      <c r="R9" s="123" t="str">
        <f>LEFT(北段!#REF!,4)</f>
        <v>#ERROR!</v>
      </c>
      <c r="S9" s="123" t="str">
        <f>LEFT(北段!#REF!,4)</f>
        <v>#ERROR!</v>
      </c>
      <c r="T9" s="123" t="str">
        <f>LEFT(北段!#REF!,4)</f>
        <v>#ERROR!</v>
      </c>
      <c r="U9" s="123" t="str">
        <f>LEFT(北段!#REF!,4)</f>
        <v>#ERROR!</v>
      </c>
      <c r="V9" s="123" t="str">
        <f>LEFT(北段!#REF!,4)</f>
        <v>#ERROR!</v>
      </c>
      <c r="W9" s="123" t="str">
        <f>LEFT(北段!#REF!,4)</f>
        <v>#ERROR!</v>
      </c>
      <c r="X9" s="123" t="str">
        <f>LEFT(北段!#REF!,4)</f>
        <v>#ERROR!</v>
      </c>
      <c r="Y9" s="123" t="str">
        <f>LEFT(北段!#REF!,4)</f>
        <v>#ERROR!</v>
      </c>
      <c r="Z9" s="123" t="str">
        <f>LEFT(北段!#REF!,4)</f>
        <v>#ERROR!</v>
      </c>
      <c r="AA9" s="123" t="str">
        <f>LEFT(北段!#REF!,4)</f>
        <v>#ERROR!</v>
      </c>
      <c r="AB9" s="123" t="str">
        <f>LEFT(北段!#REF!,4)</f>
        <v>#ERROR!</v>
      </c>
      <c r="AC9" s="123" t="str">
        <f>LEFT(北段!#REF!,4)</f>
        <v>#ERROR!</v>
      </c>
      <c r="AD9" s="123" t="str">
        <f>LEFT(北段!#REF!,4)</f>
        <v>#ERROR!</v>
      </c>
      <c r="AE9" s="123" t="str">
        <f>LEFT(北段!#REF!,4)</f>
        <v>#ERROR!</v>
      </c>
      <c r="AF9" s="123" t="str">
        <f>LEFT(北段!#REF!,4)</f>
        <v>#ERROR!</v>
      </c>
      <c r="AG9" s="123" t="str">
        <f>LEFT(北段!#REF!,4)</f>
        <v>#ERROR!</v>
      </c>
      <c r="AH9" s="123" t="str">
        <f>LEFT(北段!#REF!,4)</f>
        <v>#ERROR!</v>
      </c>
      <c r="AI9" s="123" t="str">
        <f>LEFT(北段!#REF!,4)</f>
        <v>#ERROR!</v>
      </c>
      <c r="AJ9" s="123" t="str">
        <f>LEFT(北段!#REF!,4)</f>
        <v>#ERROR!</v>
      </c>
      <c r="AK9" s="123" t="str">
        <f>LEFT(北段!#REF!,4)</f>
        <v>#ERROR!</v>
      </c>
      <c r="AL9" s="123" t="str">
        <f>LEFT(北段!#REF!,4)</f>
        <v>#ERROR!</v>
      </c>
    </row>
    <row r="10" ht="39.0" customHeight="1">
      <c r="A10" s="124"/>
      <c r="B10" s="24" t="str">
        <f>LEFT(北段!#REF!,6)</f>
        <v>#ERROR!</v>
      </c>
      <c r="C10" s="24" t="str">
        <f>VLOOKUP(B10,'北段'!B:C,2,FALSE)</f>
        <v>#ERROR!</v>
      </c>
      <c r="D10" s="123" t="str">
        <f>LEFT(北段!#REF!,4)</f>
        <v>#ERROR!</v>
      </c>
      <c r="E10" s="123" t="str">
        <f>LEFT(北段!#REF!,4)</f>
        <v>#ERROR!</v>
      </c>
      <c r="F10" s="123" t="str">
        <f>LEFT(北段!#REF!,4)</f>
        <v>#ERROR!</v>
      </c>
      <c r="G10" s="123" t="str">
        <f>LEFT(北段!#REF!,4)</f>
        <v>#ERROR!</v>
      </c>
      <c r="H10" s="123" t="str">
        <f>LEFT(北段!#REF!,4)</f>
        <v>#ERROR!</v>
      </c>
      <c r="I10" s="123" t="str">
        <f>LEFT(北段!#REF!,4)</f>
        <v>#ERROR!</v>
      </c>
      <c r="J10" s="123" t="str">
        <f>LEFT(北段!#REF!,4)</f>
        <v>#ERROR!</v>
      </c>
      <c r="K10" s="123" t="str">
        <f>LEFT(北段!#REF!,4)</f>
        <v>#ERROR!</v>
      </c>
      <c r="L10" s="123" t="str">
        <f>LEFT(北段!#REF!,4)</f>
        <v>#ERROR!</v>
      </c>
      <c r="M10" s="123" t="str">
        <f>LEFT(北段!#REF!,4)</f>
        <v>#ERROR!</v>
      </c>
      <c r="N10" s="123" t="str">
        <f>LEFT(北段!#REF!,4)</f>
        <v>#ERROR!</v>
      </c>
      <c r="O10" s="123" t="str">
        <f>LEFT(北段!#REF!,4)</f>
        <v>#ERROR!</v>
      </c>
      <c r="P10" s="123" t="str">
        <f>LEFT(北段!#REF!,4)</f>
        <v>#ERROR!</v>
      </c>
      <c r="Q10" s="123" t="str">
        <f>LEFT(北段!#REF!,4)</f>
        <v>#ERROR!</v>
      </c>
      <c r="R10" s="123" t="str">
        <f>LEFT(北段!#REF!,4)</f>
        <v>#ERROR!</v>
      </c>
      <c r="S10" s="123" t="str">
        <f>LEFT(北段!#REF!,4)</f>
        <v>#ERROR!</v>
      </c>
      <c r="T10" s="123" t="str">
        <f>LEFT(北段!#REF!,4)</f>
        <v>#ERROR!</v>
      </c>
      <c r="U10" s="123" t="str">
        <f>LEFT(北段!#REF!,4)</f>
        <v>#ERROR!</v>
      </c>
      <c r="V10" s="123" t="str">
        <f>LEFT(北段!#REF!,4)</f>
        <v>#ERROR!</v>
      </c>
      <c r="W10" s="123" t="str">
        <f>LEFT(北段!#REF!,4)</f>
        <v>#ERROR!</v>
      </c>
      <c r="X10" s="123" t="str">
        <f>LEFT(北段!#REF!,4)</f>
        <v>#ERROR!</v>
      </c>
      <c r="Y10" s="123" t="str">
        <f>LEFT(北段!#REF!,4)</f>
        <v>#ERROR!</v>
      </c>
      <c r="Z10" s="123" t="str">
        <f>LEFT(北段!#REF!,4)</f>
        <v>#ERROR!</v>
      </c>
      <c r="AA10" s="123" t="str">
        <f>LEFT(北段!#REF!,4)</f>
        <v>#ERROR!</v>
      </c>
      <c r="AB10" s="123" t="str">
        <f>LEFT(北段!#REF!,4)</f>
        <v>#ERROR!</v>
      </c>
      <c r="AC10" s="123" t="str">
        <f>LEFT(北段!#REF!,4)</f>
        <v>#ERROR!</v>
      </c>
      <c r="AD10" s="123" t="str">
        <f>LEFT(北段!#REF!,4)</f>
        <v>#ERROR!</v>
      </c>
      <c r="AE10" s="123" t="str">
        <f>LEFT(北段!#REF!,4)</f>
        <v>#ERROR!</v>
      </c>
      <c r="AF10" s="123" t="str">
        <f>LEFT(北段!#REF!,4)</f>
        <v>#ERROR!</v>
      </c>
      <c r="AG10" s="123" t="str">
        <f>LEFT(北段!#REF!,4)</f>
        <v>#ERROR!</v>
      </c>
      <c r="AH10" s="123" t="str">
        <f>LEFT(北段!#REF!,4)</f>
        <v>#ERROR!</v>
      </c>
      <c r="AI10" s="123" t="str">
        <f>LEFT(北段!#REF!,4)</f>
        <v>#ERROR!</v>
      </c>
      <c r="AJ10" s="123" t="str">
        <f>LEFT(北段!#REF!,4)</f>
        <v>#ERROR!</v>
      </c>
      <c r="AK10" s="123" t="str">
        <f>LEFT(北段!#REF!,4)</f>
        <v>#ERROR!</v>
      </c>
      <c r="AL10" s="123" t="str">
        <f>LEFT(北段!#REF!,4)</f>
        <v>#ERROR!</v>
      </c>
    </row>
    <row r="11" ht="39.0" customHeight="1">
      <c r="A11" s="124"/>
      <c r="B11" s="24" t="str">
        <f>LEFT(北段!#REF!,6)</f>
        <v>#ERROR!</v>
      </c>
      <c r="C11" s="24" t="str">
        <f>VLOOKUP(B11,'北段'!B:C,2,FALSE)</f>
        <v>#ERROR!</v>
      </c>
      <c r="D11" s="123" t="str">
        <f>LEFT(北段!#REF!,4)</f>
        <v>#ERROR!</v>
      </c>
      <c r="E11" s="123" t="str">
        <f>LEFT(北段!#REF!,4)</f>
        <v>#ERROR!</v>
      </c>
      <c r="F11" s="123" t="str">
        <f>LEFT(北段!#REF!,4)</f>
        <v>#ERROR!</v>
      </c>
      <c r="G11" s="123" t="str">
        <f>LEFT(北段!#REF!,4)</f>
        <v>#ERROR!</v>
      </c>
      <c r="H11" s="123" t="str">
        <f>LEFT(北段!#REF!,4)</f>
        <v>#ERROR!</v>
      </c>
      <c r="I11" s="123" t="str">
        <f>LEFT(北段!#REF!,4)</f>
        <v>#ERROR!</v>
      </c>
      <c r="J11" s="123" t="str">
        <f>LEFT(北段!#REF!,4)</f>
        <v>#ERROR!</v>
      </c>
      <c r="K11" s="123" t="str">
        <f>LEFT(北段!#REF!,4)</f>
        <v>#ERROR!</v>
      </c>
      <c r="L11" s="123" t="str">
        <f>LEFT(北段!#REF!,4)</f>
        <v>#ERROR!</v>
      </c>
      <c r="M11" s="123" t="str">
        <f>LEFT(北段!#REF!,4)</f>
        <v>#ERROR!</v>
      </c>
      <c r="N11" s="123" t="str">
        <f>LEFT(北段!#REF!,4)</f>
        <v>#ERROR!</v>
      </c>
      <c r="O11" s="123" t="str">
        <f>LEFT(北段!#REF!,4)</f>
        <v>#ERROR!</v>
      </c>
      <c r="P11" s="123" t="str">
        <f>LEFT(北段!#REF!,4)</f>
        <v>#ERROR!</v>
      </c>
      <c r="Q11" s="123" t="str">
        <f>LEFT(北段!#REF!,4)</f>
        <v>#ERROR!</v>
      </c>
      <c r="R11" s="123" t="str">
        <f>LEFT(北段!#REF!,4)</f>
        <v>#ERROR!</v>
      </c>
      <c r="S11" s="123" t="str">
        <f>LEFT(北段!#REF!,4)</f>
        <v>#ERROR!</v>
      </c>
      <c r="T11" s="123" t="str">
        <f>LEFT(北段!#REF!,4)</f>
        <v>#ERROR!</v>
      </c>
      <c r="U11" s="123" t="str">
        <f>LEFT(北段!#REF!,4)</f>
        <v>#ERROR!</v>
      </c>
      <c r="V11" s="123" t="str">
        <f>LEFT(北段!#REF!,4)</f>
        <v>#ERROR!</v>
      </c>
      <c r="W11" s="123" t="str">
        <f>LEFT(北段!#REF!,4)</f>
        <v>#ERROR!</v>
      </c>
      <c r="X11" s="123" t="str">
        <f>LEFT(北段!#REF!,4)</f>
        <v>#ERROR!</v>
      </c>
      <c r="Y11" s="123" t="str">
        <f>LEFT(北段!#REF!,4)</f>
        <v>#ERROR!</v>
      </c>
      <c r="Z11" s="123" t="str">
        <f>LEFT(北段!#REF!,4)</f>
        <v>#ERROR!</v>
      </c>
      <c r="AA11" s="123" t="str">
        <f>LEFT(北段!#REF!,4)</f>
        <v>#ERROR!</v>
      </c>
      <c r="AB11" s="123" t="str">
        <f>LEFT(北段!#REF!,4)</f>
        <v>#ERROR!</v>
      </c>
      <c r="AC11" s="123" t="str">
        <f>LEFT(北段!#REF!,4)</f>
        <v>#ERROR!</v>
      </c>
      <c r="AD11" s="123" t="str">
        <f>LEFT(北段!#REF!,4)</f>
        <v>#ERROR!</v>
      </c>
      <c r="AE11" s="123" t="str">
        <f>LEFT(北段!#REF!,4)</f>
        <v>#ERROR!</v>
      </c>
      <c r="AF11" s="123" t="str">
        <f>LEFT(北段!#REF!,4)</f>
        <v>#ERROR!</v>
      </c>
      <c r="AG11" s="123" t="str">
        <f>LEFT(北段!#REF!,4)</f>
        <v>#ERROR!</v>
      </c>
      <c r="AH11" s="123" t="str">
        <f>LEFT(北段!#REF!,4)</f>
        <v>#ERROR!</v>
      </c>
      <c r="AI11" s="123" t="str">
        <f>LEFT(北段!#REF!,4)</f>
        <v>#ERROR!</v>
      </c>
      <c r="AJ11" s="123" t="str">
        <f>LEFT(北段!#REF!,4)</f>
        <v>#ERROR!</v>
      </c>
      <c r="AK11" s="123" t="str">
        <f>LEFT(北段!#REF!,4)</f>
        <v>#ERROR!</v>
      </c>
      <c r="AL11" s="123" t="str">
        <f>LEFT(北段!#REF!,4)</f>
        <v>#ERROR!</v>
      </c>
    </row>
    <row r="12" ht="39.75" customHeight="1">
      <c r="A12" s="125"/>
      <c r="B12" s="24" t="str">
        <f>LEFT(北段!#REF!,6)</f>
        <v>#ERROR!</v>
      </c>
      <c r="C12" s="24" t="str">
        <f>VLOOKUP(B12,'北段'!B:C,2,FALSE)</f>
        <v>#ERROR!</v>
      </c>
      <c r="D12" s="123" t="str">
        <f>LEFT(北段!#REF!,4)</f>
        <v>#ERROR!</v>
      </c>
      <c r="E12" s="123" t="str">
        <f>LEFT(北段!#REF!,4)</f>
        <v>#ERROR!</v>
      </c>
      <c r="F12" s="123" t="str">
        <f>LEFT(北段!#REF!,4)</f>
        <v>#ERROR!</v>
      </c>
      <c r="G12" s="123" t="str">
        <f>LEFT(北段!#REF!,4)</f>
        <v>#ERROR!</v>
      </c>
      <c r="H12" s="123" t="str">
        <f>LEFT(北段!#REF!,4)</f>
        <v>#ERROR!</v>
      </c>
      <c r="I12" s="123" t="str">
        <f>LEFT(北段!#REF!,4)</f>
        <v>#ERROR!</v>
      </c>
      <c r="J12" s="123" t="str">
        <f>LEFT(北段!#REF!,4)</f>
        <v>#ERROR!</v>
      </c>
      <c r="K12" s="123" t="str">
        <f>LEFT(北段!#REF!,4)</f>
        <v>#ERROR!</v>
      </c>
      <c r="L12" s="123" t="str">
        <f>LEFT(北段!#REF!,4)</f>
        <v>#ERROR!</v>
      </c>
      <c r="M12" s="123" t="str">
        <f>LEFT(北段!#REF!,4)</f>
        <v>#ERROR!</v>
      </c>
      <c r="N12" s="123" t="str">
        <f>LEFT(北段!#REF!,4)</f>
        <v>#ERROR!</v>
      </c>
      <c r="O12" s="123" t="str">
        <f>LEFT(北段!#REF!,4)</f>
        <v>#ERROR!</v>
      </c>
      <c r="P12" s="123" t="str">
        <f>LEFT(北段!#REF!,4)</f>
        <v>#ERROR!</v>
      </c>
      <c r="Q12" s="123" t="str">
        <f>LEFT(北段!#REF!,4)</f>
        <v>#ERROR!</v>
      </c>
      <c r="R12" s="123" t="str">
        <f>LEFT(北段!#REF!,4)</f>
        <v>#ERROR!</v>
      </c>
      <c r="S12" s="123" t="str">
        <f>LEFT(北段!#REF!,4)</f>
        <v>#ERROR!</v>
      </c>
      <c r="T12" s="123" t="str">
        <f>LEFT(北段!#REF!,4)</f>
        <v>#ERROR!</v>
      </c>
      <c r="U12" s="123" t="str">
        <f>LEFT(北段!#REF!,4)</f>
        <v>#ERROR!</v>
      </c>
      <c r="V12" s="123" t="str">
        <f>LEFT(北段!#REF!,4)</f>
        <v>#ERROR!</v>
      </c>
      <c r="W12" s="123" t="str">
        <f>LEFT(北段!#REF!,4)</f>
        <v>#ERROR!</v>
      </c>
      <c r="X12" s="123" t="str">
        <f>LEFT(北段!#REF!,4)</f>
        <v>#ERROR!</v>
      </c>
      <c r="Y12" s="123" t="str">
        <f>LEFT(北段!#REF!,4)</f>
        <v>#ERROR!</v>
      </c>
      <c r="Z12" s="123" t="str">
        <f>LEFT(北段!#REF!,4)</f>
        <v>#ERROR!</v>
      </c>
      <c r="AA12" s="123" t="str">
        <f>LEFT(北段!#REF!,4)</f>
        <v>#ERROR!</v>
      </c>
      <c r="AB12" s="123" t="str">
        <f>LEFT(北段!#REF!,4)</f>
        <v>#ERROR!</v>
      </c>
      <c r="AC12" s="123" t="str">
        <f>LEFT(北段!#REF!,4)</f>
        <v>#ERROR!</v>
      </c>
      <c r="AD12" s="123" t="str">
        <f>LEFT(北段!#REF!,4)</f>
        <v>#ERROR!</v>
      </c>
      <c r="AE12" s="123" t="str">
        <f>LEFT(北段!#REF!,4)</f>
        <v>#ERROR!</v>
      </c>
      <c r="AF12" s="123" t="str">
        <f>LEFT(北段!#REF!,4)</f>
        <v>#ERROR!</v>
      </c>
      <c r="AG12" s="123" t="str">
        <f>LEFT(北段!#REF!,4)</f>
        <v>#ERROR!</v>
      </c>
      <c r="AH12" s="123" t="str">
        <f>LEFT(北段!#REF!,4)</f>
        <v>#ERROR!</v>
      </c>
      <c r="AI12" s="123" t="str">
        <f>LEFT(北段!#REF!,4)</f>
        <v>#ERROR!</v>
      </c>
      <c r="AJ12" s="123" t="str">
        <f>LEFT(北段!#REF!,4)</f>
        <v>#ERROR!</v>
      </c>
      <c r="AK12" s="123" t="str">
        <f>LEFT(北段!#REF!,4)</f>
        <v>#ERROR!</v>
      </c>
      <c r="AL12" s="123" t="str">
        <f>LEFT(北段!#REF!,4)</f>
        <v>#ERROR!</v>
      </c>
    </row>
    <row r="13" ht="39.75" customHeight="1">
      <c r="A13" s="126" t="s">
        <v>3</v>
      </c>
      <c r="B13" s="24" t="str">
        <f>LEFT('北段'!B3,6)</f>
        <v>T00509</v>
      </c>
      <c r="C13" s="24" t="str">
        <f>VLOOKUP(B13,'北段'!B:C,2,FALSE)</f>
        <v>郭秋儀</v>
      </c>
      <c r="D13" s="123" t="str">
        <f>LEFT('北段'!Q3,4)</f>
        <v>r'</v>
      </c>
      <c r="E13" s="123" t="str">
        <f>LEFT('北段'!R3,4)</f>
        <v>01夜</v>
      </c>
      <c r="F13" s="123" t="str">
        <f>LEFT('北段'!S3,4)</f>
        <v>01夜</v>
      </c>
      <c r="G13" s="123" t="str">
        <f>LEFT('北段'!T3,4)</f>
        <v>01夜</v>
      </c>
      <c r="H13" s="123" t="str">
        <f>LEFT('北段'!U3,4)</f>
        <v>r'</v>
      </c>
      <c r="I13" s="123" t="str">
        <f>LEFT('北段'!Q3,4)</f>
        <v>r'</v>
      </c>
      <c r="J13" s="123" t="str">
        <f>LEFT('北段'!R3,4)</f>
        <v>01夜</v>
      </c>
      <c r="K13" s="123" t="str">
        <f>LEFT('北段'!S3,4)</f>
        <v>01夜</v>
      </c>
      <c r="L13" s="123" t="str">
        <f>LEFT('北段'!T3,4)</f>
        <v>01夜</v>
      </c>
      <c r="M13" s="123" t="str">
        <f>LEFT('北段'!U3,4)</f>
        <v>r'</v>
      </c>
      <c r="N13" s="123" t="str">
        <f>LEFT('北段'!V3,4)</f>
        <v>R</v>
      </c>
      <c r="O13" s="123" t="str">
        <f>LEFT('北段'!W3,4)</f>
        <v>01早</v>
      </c>
      <c r="P13" s="123" t="str">
        <f>LEFT('北段'!X3,4)</f>
        <v>01早</v>
      </c>
      <c r="Q13" s="123" t="str">
        <f>LEFT('北段'!Y3,4)</f>
        <v>01夜</v>
      </c>
      <c r="R13" s="123" t="str">
        <f>LEFT('北段'!Z3,4)</f>
        <v>01夜</v>
      </c>
      <c r="S13" s="123" t="str">
        <f>LEFT('北段'!AA3,4)</f>
        <v>R</v>
      </c>
      <c r="T13" s="123" t="str">
        <f>LEFT('北段'!AB3,4)</f>
        <v>P</v>
      </c>
      <c r="U13" s="123" t="str">
        <f>LEFT('北段'!AC3,4)</f>
        <v>r'</v>
      </c>
      <c r="V13" s="123" t="str">
        <f>LEFT('北段'!AD3,4)</f>
        <v>r'</v>
      </c>
      <c r="W13" s="123" t="str">
        <f>LEFT('北段'!AE3,4)</f>
        <v>01早</v>
      </c>
      <c r="X13" s="123" t="str">
        <f>LEFT('北段'!AF3,4)</f>
        <v>01早</v>
      </c>
      <c r="Y13" s="123" t="str">
        <f>LEFT('北段'!AG3,4)</f>
        <v>01早</v>
      </c>
      <c r="Z13" s="123" t="str">
        <f>LEFT('北段'!AH3,4)</f>
        <v>01午</v>
      </c>
      <c r="AA13" s="123" t="str">
        <f>LEFT('北段'!AI3,4)</f>
        <v>r'</v>
      </c>
      <c r="AB13" s="123" t="str">
        <f>LEFT('北段'!AJ3,4)</f>
        <v>R</v>
      </c>
      <c r="AC13" s="123" t="str">
        <f>LEFT('北段'!AK3,4)</f>
        <v>L</v>
      </c>
      <c r="AD13" s="123" t="str">
        <f>LEFT('北段'!AL3,4)</f>
        <v>L</v>
      </c>
      <c r="AE13" s="123" t="str">
        <f>LEFT('北段'!AM3,4)</f>
        <v>01午</v>
      </c>
      <c r="AF13" s="123" t="str">
        <f>LEFT('北段'!AN3,4)</f>
        <v>01午</v>
      </c>
      <c r="AG13" s="123" t="str">
        <f>LEFT('北段'!AO3,4)</f>
        <v>R</v>
      </c>
      <c r="AH13" s="123" t="str">
        <f>LEFT(北段!#REF!,4)</f>
        <v>#ERROR!</v>
      </c>
      <c r="AI13" s="123" t="str">
        <f>LEFT(北段!#REF!,4)</f>
        <v>#ERROR!</v>
      </c>
      <c r="AJ13" s="123" t="str">
        <f>LEFT(北段!#REF!,4)</f>
        <v>#ERROR!</v>
      </c>
      <c r="AK13" s="123" t="str">
        <f>LEFT(北段!#REF!,4)</f>
        <v>#ERROR!</v>
      </c>
      <c r="AL13" s="123" t="str">
        <f>LEFT(北段!#REF!,4)</f>
        <v>#ERROR!</v>
      </c>
    </row>
    <row r="14" ht="39.75" customHeight="1">
      <c r="A14" s="126"/>
      <c r="B14" s="24" t="str">
        <f>LEFT('北段'!B4,6)</f>
        <v>T01028</v>
      </c>
      <c r="C14" s="24" t="str">
        <f>VLOOKUP(B14,'北段'!B:C,2,FALSE)</f>
        <v>林金緗</v>
      </c>
      <c r="D14" s="123" t="str">
        <f>LEFT('北段'!Q4,4)</f>
        <v>01夜B</v>
      </c>
      <c r="E14" s="123" t="str">
        <f>LEFT('北段'!R4,4)</f>
        <v>R</v>
      </c>
      <c r="F14" s="123" t="str">
        <f>LEFT('北段'!S4,4)</f>
        <v>r'</v>
      </c>
      <c r="G14" s="123" t="str">
        <f>LEFT('北段'!T4,4)</f>
        <v>L</v>
      </c>
      <c r="H14" s="123" t="str">
        <f>LEFT('北段'!U4,4)</f>
        <v>01午</v>
      </c>
      <c r="I14" s="123" t="str">
        <f>LEFT('北段'!Q4,4)</f>
        <v>01夜B</v>
      </c>
      <c r="J14" s="123" t="str">
        <f>LEFT('北段'!R4,4)</f>
        <v>R</v>
      </c>
      <c r="K14" s="123" t="str">
        <f>LEFT('北段'!S4,4)</f>
        <v>r'</v>
      </c>
      <c r="L14" s="123" t="str">
        <f>LEFT('北段'!T4,4)</f>
        <v>L</v>
      </c>
      <c r="M14" s="123" t="str">
        <f>LEFT('北段'!U4,4)</f>
        <v>01午</v>
      </c>
      <c r="N14" s="123" t="str">
        <f>LEFT('北段'!V4,4)</f>
        <v>01午</v>
      </c>
      <c r="O14" s="123" t="str">
        <f>LEFT('北段'!W4,4)</f>
        <v>01夜</v>
      </c>
      <c r="P14" s="123" t="str">
        <f>LEFT('北段'!X4,4)</f>
        <v>01夜</v>
      </c>
      <c r="Q14" s="123" t="str">
        <f>LEFT('北段'!Y4,4)</f>
        <v>01夜</v>
      </c>
      <c r="R14" s="123" t="str">
        <f>LEFT('北段'!Z4,4)</f>
        <v>r'</v>
      </c>
      <c r="S14" s="123" t="str">
        <f>LEFT('北段'!AA4,4)</f>
        <v>R</v>
      </c>
      <c r="T14" s="123" t="str">
        <f>LEFT('北段'!AB4,4)</f>
        <v>01午</v>
      </c>
      <c r="U14" s="123" t="str">
        <f>LEFT('北段'!AC4,4)</f>
        <v>01午</v>
      </c>
      <c r="V14" s="123" t="str">
        <f>LEFT('北段'!AD4,4)</f>
        <v>01午</v>
      </c>
      <c r="W14" s="123" t="str">
        <f>LEFT('北段'!AE4,6)</f>
        <v>01午</v>
      </c>
      <c r="X14" s="123" t="str">
        <f>LEFT('北段'!AF4,4)</f>
        <v>R</v>
      </c>
      <c r="Y14" s="123" t="str">
        <f>LEFT('北段'!AG4,4)</f>
        <v>01午</v>
      </c>
      <c r="Z14" s="123" t="str">
        <f>LEFT('北段'!AH4,4)</f>
        <v>01午</v>
      </c>
      <c r="AA14" s="123" t="str">
        <f>LEFT('北段'!AI4,4)</f>
        <v>r'</v>
      </c>
      <c r="AB14" s="123" t="str">
        <f>LEFT('北段'!AJ4,4)</f>
        <v>01午</v>
      </c>
      <c r="AC14" s="123" t="str">
        <f>LEFT('北段'!AK4,4)</f>
        <v>01午</v>
      </c>
      <c r="AD14" s="123" t="str">
        <f>LEFT('北段'!AL4,4)</f>
        <v>r'</v>
      </c>
      <c r="AE14" s="123" t="str">
        <f>LEFT('北段'!AM4,4)</f>
        <v>01早</v>
      </c>
      <c r="AF14" s="123" t="str">
        <f>LEFT('北段'!AN4,4)</f>
        <v>01早</v>
      </c>
      <c r="AG14" s="123" t="str">
        <f>LEFT('北段'!AO4,4)</f>
        <v>01午</v>
      </c>
      <c r="AH14" s="123" t="str">
        <f>LEFT(北段!#REF!,4)</f>
        <v>#ERROR!</v>
      </c>
      <c r="AI14" s="123" t="str">
        <f>LEFT(北段!#REF!,4)</f>
        <v>#ERROR!</v>
      </c>
      <c r="AJ14" s="123" t="str">
        <f>LEFT(北段!#REF!,4)</f>
        <v>#ERROR!</v>
      </c>
      <c r="AK14" s="123" t="str">
        <f>LEFT(北段!#REF!,4)</f>
        <v>#ERROR!</v>
      </c>
      <c r="AL14" s="123" t="str">
        <f>LEFT(北段!#REF!,4)</f>
        <v>#ERROR!</v>
      </c>
    </row>
    <row r="15" ht="39.0" customHeight="1">
      <c r="A15" s="126"/>
      <c r="B15" s="24" t="str">
        <f>LEFT('北段'!B6,6)</f>
        <v>T01734</v>
      </c>
      <c r="C15" s="24" t="str">
        <f>VLOOKUP(B15,'北段'!B:C,2,FALSE)</f>
        <v>黃冠銘</v>
      </c>
      <c r="D15" s="123" t="str">
        <f>LEFT(北段!#REF!,4)</f>
        <v>#ERROR!</v>
      </c>
      <c r="E15" s="123" t="str">
        <f>LEFT(北段!#REF!,4)</f>
        <v>#ERROR!</v>
      </c>
      <c r="F15" s="123" t="str">
        <f>LEFT(北段!#REF!,4)</f>
        <v>#ERROR!</v>
      </c>
      <c r="G15" s="123" t="str">
        <f>LEFT(北段!#REF!,4)</f>
        <v>#ERROR!</v>
      </c>
      <c r="H15" s="123" t="str">
        <f>LEFT(北段!#REF!,4)</f>
        <v>#ERROR!</v>
      </c>
      <c r="I15" s="123" t="str">
        <f>LEFT(北段!#REF!,4)</f>
        <v>#ERROR!</v>
      </c>
      <c r="J15" s="123" t="str">
        <f>LEFT(北段!#REF!,4)</f>
        <v>#ERROR!</v>
      </c>
      <c r="K15" s="123" t="str">
        <f>LEFT(北段!#REF!,4)</f>
        <v>#ERROR!</v>
      </c>
      <c r="L15" s="123" t="str">
        <f>LEFT(北段!#REF!,4)</f>
        <v>#ERROR!</v>
      </c>
      <c r="M15" s="123" t="str">
        <f>LEFT(北段!#REF!,4)</f>
        <v>#ERROR!</v>
      </c>
      <c r="N15" s="123" t="str">
        <f>LEFT(北段!#REF!,4)</f>
        <v>#ERROR!</v>
      </c>
      <c r="O15" s="123" t="str">
        <f>LEFT(北段!#REF!,4)</f>
        <v>#ERROR!</v>
      </c>
      <c r="P15" s="123" t="str">
        <f>LEFT(北段!#REF!,4)</f>
        <v>#ERROR!</v>
      </c>
      <c r="Q15" s="123" t="str">
        <f>LEFT(北段!#REF!,4)</f>
        <v>#ERROR!</v>
      </c>
      <c r="R15" s="123" t="str">
        <f>LEFT(北段!#REF!,4)</f>
        <v>#ERROR!</v>
      </c>
      <c r="S15" s="123" t="str">
        <f>LEFT(北段!#REF!,4)</f>
        <v>#ERROR!</v>
      </c>
      <c r="T15" s="123" t="str">
        <f>LEFT(北段!#REF!,4)</f>
        <v>#ERROR!</v>
      </c>
      <c r="U15" s="123" t="str">
        <f>LEFT(北段!#REF!,4)</f>
        <v>#ERROR!</v>
      </c>
      <c r="V15" s="123" t="str">
        <f>LEFT(北段!#REF!,4)</f>
        <v>#ERROR!</v>
      </c>
      <c r="W15" s="123" t="str">
        <f>LEFT(北段!#REF!,4)</f>
        <v>#ERROR!</v>
      </c>
      <c r="X15" s="123" t="str">
        <f>LEFT(北段!#REF!,4)</f>
        <v>#ERROR!</v>
      </c>
      <c r="Y15" s="123" t="str">
        <f>LEFT(北段!#REF!,4)</f>
        <v>#ERROR!</v>
      </c>
      <c r="Z15" s="123" t="str">
        <f>LEFT(北段!#REF!,4)</f>
        <v>#ERROR!</v>
      </c>
      <c r="AA15" s="123" t="str">
        <f>LEFT(北段!#REF!,4)</f>
        <v>#ERROR!</v>
      </c>
      <c r="AB15" s="123" t="str">
        <f>LEFT(北段!#REF!,4)</f>
        <v>#ERROR!</v>
      </c>
      <c r="AC15" s="123" t="str">
        <f>LEFT(北段!#REF!,4)</f>
        <v>#ERROR!</v>
      </c>
      <c r="AD15" s="123" t="str">
        <f>LEFT(北段!#REF!,4)</f>
        <v>#ERROR!</v>
      </c>
      <c r="AE15" s="123" t="str">
        <f>LEFT(北段!#REF!,4)</f>
        <v>#ERROR!</v>
      </c>
      <c r="AF15" s="123" t="str">
        <f>LEFT(北段!#REF!,4)</f>
        <v>#ERROR!</v>
      </c>
      <c r="AG15" s="123" t="str">
        <f>LEFT(北段!#REF!,4)</f>
        <v>#ERROR!</v>
      </c>
      <c r="AH15" s="123" t="str">
        <f>LEFT(北段!#REF!,4)</f>
        <v>#ERROR!</v>
      </c>
      <c r="AI15" s="123" t="str">
        <f>LEFT(北段!#REF!,4)</f>
        <v>#ERROR!</v>
      </c>
      <c r="AJ15" s="123" t="str">
        <f>LEFT(北段!#REF!,4)</f>
        <v>#ERROR!</v>
      </c>
      <c r="AK15" s="123" t="str">
        <f>LEFT(北段!#REF!,4)</f>
        <v>#ERROR!</v>
      </c>
      <c r="AL15" s="123" t="str">
        <f>LEFT(北段!#REF!,4)</f>
        <v>#ERROR!</v>
      </c>
    </row>
    <row r="16" ht="39.75" customHeight="1">
      <c r="A16" s="126"/>
      <c r="B16" s="24" t="str">
        <f>LEFT('北段'!B7,6)</f>
        <v>T02287</v>
      </c>
      <c r="C16" s="24" t="str">
        <f>VLOOKUP(B16,'北段'!B:C,2,FALSE)</f>
        <v>林江玉</v>
      </c>
      <c r="D16" s="123" t="str">
        <f>LEFT('北段'!Q6,4)</f>
        <v>01早m</v>
      </c>
      <c r="E16" s="123" t="str">
        <f>LEFT('北段'!R6,4)</f>
        <v>R</v>
      </c>
      <c r="F16" s="123" t="str">
        <f>LEFT('北段'!S6,4)</f>
        <v>01夜</v>
      </c>
      <c r="G16" s="123" t="str">
        <f>LEFT('北段'!T6,4)</f>
        <v>01夜</v>
      </c>
      <c r="H16" s="123" t="str">
        <f>LEFT('北段'!U6,4)</f>
        <v>01夜</v>
      </c>
      <c r="I16" s="123" t="str">
        <f>LEFT('北段'!Q6,4)</f>
        <v>01早m</v>
      </c>
      <c r="J16" s="123" t="str">
        <f>LEFT('北段'!R6,4)</f>
        <v>R</v>
      </c>
      <c r="K16" s="123" t="str">
        <f>LEFT('北段'!S6,4)</f>
        <v>01夜</v>
      </c>
      <c r="L16" s="123" t="str">
        <f>LEFT('北段'!T6,4)</f>
        <v>01夜</v>
      </c>
      <c r="M16" s="123" t="str">
        <f>LEFT('北段'!U6,4)</f>
        <v>01夜</v>
      </c>
      <c r="N16" s="123" t="str">
        <f>LEFT('北段'!V6,4)</f>
        <v>01夜</v>
      </c>
      <c r="O16" s="123" t="str">
        <f>LEFT('北段'!W6,4)</f>
        <v>r'</v>
      </c>
      <c r="P16" s="123" t="str">
        <f>LEFT('北段'!X6,4)</f>
        <v>r'</v>
      </c>
      <c r="Q16" s="123" t="str">
        <f>LEFT('北段'!Y6,4)</f>
        <v>R</v>
      </c>
      <c r="R16" s="123" t="str">
        <f>LEFT('北段'!Z6,4)</f>
        <v>01午</v>
      </c>
      <c r="S16" s="123" t="str">
        <f>LEFT('北段'!AA6,4)</f>
        <v>01午</v>
      </c>
      <c r="T16" s="123" t="str">
        <f>LEFT('北段'!AB6,4)</f>
        <v>r'</v>
      </c>
      <c r="U16" s="123" t="str">
        <f>LEFT('北段'!AC6,4)</f>
        <v>01早</v>
      </c>
      <c r="V16" s="123" t="str">
        <f>LEFT('北段'!AD6,4)</f>
        <v>01早</v>
      </c>
      <c r="W16" s="123" t="str">
        <f>LEFT('北段'!AE6,4)</f>
        <v>01早</v>
      </c>
      <c r="X16" s="123" t="str">
        <f>LEFT('北段'!AF6,4)</f>
        <v>01早</v>
      </c>
      <c r="Y16" s="123" t="str">
        <f>LEFT('北段'!AG6,4)</f>
        <v>01早</v>
      </c>
      <c r="Z16" s="123" t="str">
        <f>LEFT('北段'!AH6,4)</f>
        <v>R</v>
      </c>
      <c r="AA16" s="123" t="str">
        <f>LEFT('北段'!AI6,4)</f>
        <v>r'</v>
      </c>
      <c r="AB16" s="123" t="str">
        <f>LEFT('北段'!AJ6,4)</f>
        <v>01早</v>
      </c>
      <c r="AC16" s="123" t="str">
        <f>LEFT('北段'!AK6,4)</f>
        <v>01早</v>
      </c>
      <c r="AD16" s="123" t="str">
        <f>LEFT('北段'!AL6,4)</f>
        <v>01早</v>
      </c>
      <c r="AE16" s="123" t="str">
        <f>LEFT('北段'!AM6,4)</f>
        <v>01早</v>
      </c>
      <c r="AF16" s="123" t="str">
        <f>LEFT('北段'!AN6,4)</f>
        <v>R</v>
      </c>
      <c r="AG16" s="123" t="str">
        <f>LEFT('北段'!AO6,4)</f>
        <v>01早</v>
      </c>
      <c r="AH16" s="123" t="str">
        <f>LEFT(北段!#REF!,4)</f>
        <v>#ERROR!</v>
      </c>
      <c r="AI16" s="123" t="str">
        <f>LEFT(北段!#REF!,4)</f>
        <v>#ERROR!</v>
      </c>
      <c r="AJ16" s="123" t="str">
        <f>LEFT(北段!#REF!,4)</f>
        <v>#ERROR!</v>
      </c>
      <c r="AK16" s="123" t="str">
        <f>LEFT(北段!#REF!,4)</f>
        <v>#ERROR!</v>
      </c>
      <c r="AL16" s="123" t="str">
        <f>LEFT(北段!#REF!,4)</f>
        <v>#ERROR!</v>
      </c>
    </row>
    <row r="17" ht="39.0" customHeight="1">
      <c r="A17" s="126"/>
      <c r="B17" s="24" t="str">
        <f>LEFT('北段'!B8,6)</f>
        <v>T02359</v>
      </c>
      <c r="C17" s="24" t="str">
        <f>VLOOKUP(B17,'北段'!B:C,2,FALSE)</f>
        <v>陳佳婷</v>
      </c>
      <c r="D17" s="123" t="str">
        <f>LEFT('北段'!Q7,4)</f>
        <v>01早M</v>
      </c>
      <c r="E17" s="123" t="str">
        <f>LEFT('北段'!R7,4)</f>
        <v>R</v>
      </c>
      <c r="F17" s="123" t="str">
        <f>LEFT('北段'!S7,4)</f>
        <v>01早</v>
      </c>
      <c r="G17" s="123" t="str">
        <f>LEFT('北段'!T7,4)</f>
        <v>01早</v>
      </c>
      <c r="H17" s="123" t="str">
        <f>LEFT('北段'!U7,4)</f>
        <v>01早</v>
      </c>
      <c r="I17" s="123" t="str">
        <f>LEFT('北段'!Q7,4)</f>
        <v>01早M</v>
      </c>
      <c r="J17" s="123" t="str">
        <f>LEFT('北段'!R7,4)</f>
        <v>R</v>
      </c>
      <c r="K17" s="123" t="str">
        <f>LEFT('北段'!S7,4)</f>
        <v>01早</v>
      </c>
      <c r="L17" s="123" t="str">
        <f>LEFT('北段'!T7,4)</f>
        <v>01早</v>
      </c>
      <c r="M17" s="123" t="str">
        <f>LEFT('北段'!U7,4)</f>
        <v>01早</v>
      </c>
      <c r="N17" s="123" t="str">
        <f>LEFT('北段'!V7,4)</f>
        <v>01早</v>
      </c>
      <c r="O17" s="123" t="str">
        <f>LEFT('北段'!W7,4)</f>
        <v>r'</v>
      </c>
      <c r="P17" s="123" t="str">
        <f>LEFT('北段'!X7,4)</f>
        <v>r'</v>
      </c>
      <c r="Q17" s="123" t="str">
        <f>LEFT('北段'!Y7,4)</f>
        <v>01早</v>
      </c>
      <c r="R17" s="123" t="str">
        <f>LEFT('北段'!Z7,4)</f>
        <v>01早</v>
      </c>
      <c r="S17" s="123" t="str">
        <f>LEFT('北段'!AA7,4)</f>
        <v>01早</v>
      </c>
      <c r="T17" s="123" t="str">
        <f>LEFT('北段'!AB7,4)</f>
        <v>01早</v>
      </c>
      <c r="U17" s="123" t="str">
        <f>LEFT('北段'!AC7,4)</f>
        <v>01早</v>
      </c>
      <c r="V17" s="123" t="str">
        <f>LEFT('北段'!AD7,4)</f>
        <v>R</v>
      </c>
      <c r="W17" s="123" t="str">
        <f>LEFT('北段'!AE7,4)</f>
        <v>L</v>
      </c>
      <c r="X17" s="123" t="str">
        <f>LEFT('北段'!AF7,4)</f>
        <v>R</v>
      </c>
      <c r="Y17" s="123" t="str">
        <f>LEFT('北段'!AG7,4)</f>
        <v>r'</v>
      </c>
      <c r="Z17" s="123" t="str">
        <f>LEFT('北段'!AH7,4)</f>
        <v>01夜</v>
      </c>
      <c r="AA17" s="123" t="str">
        <f>LEFT('北段'!AI7,4)</f>
        <v>01夜</v>
      </c>
      <c r="AB17" s="123" t="str">
        <f>LEFT('北段'!AJ7,4)</f>
        <v>01夜</v>
      </c>
      <c r="AC17" s="123" t="str">
        <f>LEFT('北段'!AK7,4)</f>
        <v>01夜</v>
      </c>
      <c r="AD17" s="123" t="str">
        <f>LEFT('北段'!AL7,4)</f>
        <v>01夜</v>
      </c>
      <c r="AE17" s="123" t="str">
        <f>LEFT('北段'!AM7,4)</f>
        <v>R</v>
      </c>
      <c r="AF17" s="123" t="str">
        <f>LEFT('北段'!AN7,4)</f>
        <v>P</v>
      </c>
      <c r="AG17" s="123" t="str">
        <f>LEFT('北段'!AO7,4)</f>
        <v>01中A</v>
      </c>
      <c r="AH17" s="123" t="str">
        <f>LEFT(北段!#REF!,4)</f>
        <v>#ERROR!</v>
      </c>
      <c r="AI17" s="123" t="str">
        <f>LEFT(北段!#REF!,4)</f>
        <v>#ERROR!</v>
      </c>
      <c r="AJ17" s="123" t="str">
        <f>LEFT(北段!#REF!,4)</f>
        <v>#ERROR!</v>
      </c>
      <c r="AK17" s="123" t="str">
        <f>LEFT(北段!#REF!,4)</f>
        <v>#ERROR!</v>
      </c>
      <c r="AL17" s="123" t="str">
        <f>LEFT(北段!#REF!,4)</f>
        <v>#ERROR!</v>
      </c>
    </row>
    <row r="18" ht="39.0" customHeight="1">
      <c r="A18" s="126"/>
      <c r="B18" s="24" t="str">
        <f>LEFT('北段'!B9,6)</f>
        <v>T02363</v>
      </c>
      <c r="C18" s="24" t="str">
        <f>VLOOKUP(B18,'北段'!B:C,2,FALSE)</f>
        <v>林孟錡</v>
      </c>
      <c r="D18" s="123" t="str">
        <f>LEFT('北段'!Q8,4)</f>
        <v>r'</v>
      </c>
      <c r="E18" s="123" t="str">
        <f>LEFT('北段'!R8,4)</f>
        <v>01早</v>
      </c>
      <c r="F18" s="123" t="str">
        <f>LEFT('北段'!S8,4)</f>
        <v>01早</v>
      </c>
      <c r="G18" s="123" t="str">
        <f>LEFT('北段'!T8,4)</f>
        <v>01午</v>
      </c>
      <c r="H18" s="123" t="str">
        <f>LEFT('北段'!U8,4)</f>
        <v>R</v>
      </c>
      <c r="I18" s="123" t="str">
        <f>LEFT('北段'!Q8,4)</f>
        <v>r'</v>
      </c>
      <c r="J18" s="123" t="str">
        <f>LEFT('北段'!R8,4)</f>
        <v>01早</v>
      </c>
      <c r="K18" s="123" t="str">
        <f>LEFT('北段'!S8,4)</f>
        <v>01早</v>
      </c>
      <c r="L18" s="123" t="str">
        <f>LEFT('北段'!T8,4)</f>
        <v>01午</v>
      </c>
      <c r="M18" s="123" t="str">
        <f>LEFT('北段'!U8,4)</f>
        <v>R</v>
      </c>
      <c r="N18" s="123" t="str">
        <f>LEFT('北段'!V8,4)</f>
        <v>r'</v>
      </c>
      <c r="O18" s="123" t="str">
        <f>LEFT('北段'!W8,4)</f>
        <v>01午</v>
      </c>
      <c r="P18" s="123" t="str">
        <f>LEFT('北段'!X8,4)</f>
        <v>01午</v>
      </c>
      <c r="Q18" s="123" t="str">
        <f>LEFT('北段'!Y8,4)</f>
        <v>L</v>
      </c>
      <c r="R18" s="123" t="str">
        <f>LEFT('北段'!Z8,4)</f>
        <v>L</v>
      </c>
      <c r="S18" s="123" t="str">
        <f>LEFT('北段'!AA8,4)</f>
        <v>R</v>
      </c>
      <c r="T18" s="123" t="str">
        <f>LEFT('北段'!AB8,4)</f>
        <v>01早</v>
      </c>
      <c r="U18" s="123" t="str">
        <f>LEFT('北段'!AC8,4)</f>
        <v>01早</v>
      </c>
      <c r="V18" s="123" t="str">
        <f>LEFT('北段'!AD8,4)</f>
        <v>01早</v>
      </c>
      <c r="W18" s="123" t="str">
        <f>LEFT('北段'!AE8,4)</f>
        <v>01早</v>
      </c>
      <c r="X18" s="123" t="str">
        <f>LEFT('北段'!AF8,4)</f>
        <v>01早</v>
      </c>
      <c r="Y18" s="123" t="str">
        <f>LEFT('北段'!AG8,4)</f>
        <v>r'</v>
      </c>
      <c r="Z18" s="123" t="str">
        <f>LEFT('北段'!AH8,4)</f>
        <v>01早</v>
      </c>
      <c r="AA18" s="123" t="str">
        <f>LEFT('北段'!AI8,4)</f>
        <v>01早</v>
      </c>
      <c r="AB18" s="123" t="str">
        <f>LEFT('北段'!AJ8,4)</f>
        <v>01夜</v>
      </c>
      <c r="AC18" s="123" t="str">
        <f>LEFT('北段'!AK8,4)</f>
        <v>01夜</v>
      </c>
      <c r="AD18" s="123" t="str">
        <f>LEFT('北段'!AL8,4)</f>
        <v>R</v>
      </c>
      <c r="AE18" s="123" t="str">
        <f>LEFT('北段'!AM8,4)</f>
        <v>R</v>
      </c>
      <c r="AF18" s="123" t="str">
        <f>LEFT('北段'!AN8,4)</f>
        <v>r'</v>
      </c>
      <c r="AG18" s="123" t="str">
        <f>LEFT('北段'!AO8,4)</f>
        <v>01早</v>
      </c>
      <c r="AH18" s="123" t="str">
        <f>LEFT(北段!#REF!,4)</f>
        <v>#ERROR!</v>
      </c>
      <c r="AI18" s="123" t="str">
        <f>LEFT(北段!#REF!,4)</f>
        <v>#ERROR!</v>
      </c>
      <c r="AJ18" s="123" t="str">
        <f>LEFT(北段!#REF!,4)</f>
        <v>#ERROR!</v>
      </c>
      <c r="AK18" s="123" t="str">
        <f>LEFT(北段!#REF!,4)</f>
        <v>#ERROR!</v>
      </c>
      <c r="AL18" s="123" t="str">
        <f>LEFT(北段!#REF!,4)</f>
        <v>#ERROR!</v>
      </c>
    </row>
    <row r="19" ht="39.0" customHeight="1">
      <c r="A19" s="126"/>
      <c r="B19" s="24" t="str">
        <f>LEFT(北段!#REF!,6)</f>
        <v>#ERROR!</v>
      </c>
      <c r="C19" s="24" t="str">
        <f>VLOOKUP(B19,'北段'!B:C,2,FALSE)</f>
        <v>#ERROR!</v>
      </c>
      <c r="D19" s="123" t="str">
        <f>LEFT('北段'!Q9,4)</f>
        <v>01夜B</v>
      </c>
      <c r="E19" s="123" t="str">
        <f>LEFT('北段'!R9,4)</f>
        <v>01夜</v>
      </c>
      <c r="F19" s="123" t="str">
        <f>LEFT('北段'!S9,4)</f>
        <v>r'</v>
      </c>
      <c r="G19" s="123" t="str">
        <f>LEFT('北段'!T9,4)</f>
        <v>R</v>
      </c>
      <c r="H19" s="123" t="str">
        <f>LEFT('北段'!U9,4)</f>
        <v>01夜</v>
      </c>
      <c r="I19" s="123" t="str">
        <f>LEFT('北段'!Q9,4)</f>
        <v>01夜B</v>
      </c>
      <c r="J19" s="123" t="str">
        <f>LEFT('北段'!R9,4)</f>
        <v>01夜</v>
      </c>
      <c r="K19" s="123" t="str">
        <f>LEFT('北段'!S9,4)</f>
        <v>r'</v>
      </c>
      <c r="L19" s="123" t="str">
        <f>LEFT('北段'!T9,4)</f>
        <v>R</v>
      </c>
      <c r="M19" s="123" t="str">
        <f>LEFT('北段'!U9,4)</f>
        <v>01夜</v>
      </c>
      <c r="N19" s="123" t="str">
        <f>LEFT('北段'!V9,4)</f>
        <v>01夜</v>
      </c>
      <c r="O19" s="123" t="str">
        <f>LEFT('北段'!W9,4)</f>
        <v>01夜</v>
      </c>
      <c r="P19" s="123" t="str">
        <f>LEFT('北段'!X9,4)</f>
        <v>01夜</v>
      </c>
      <c r="Q19" s="123" t="str">
        <f>LEFT('北段'!Y9,4)</f>
        <v>r'</v>
      </c>
      <c r="R19" s="123" t="str">
        <f>LEFT('北段'!Z9,4)</f>
        <v>r'</v>
      </c>
      <c r="S19" s="123" t="str">
        <f>LEFT('北段'!AA9,4)</f>
        <v>01夜</v>
      </c>
      <c r="T19" s="123" t="str">
        <f>LEFT('北段'!AB9,4)</f>
        <v>01夜</v>
      </c>
      <c r="U19" s="123" t="str">
        <f>LEFT('北段'!AC9,4)</f>
        <v>01夜</v>
      </c>
      <c r="V19" s="123" t="str">
        <f>LEFT('北段'!AD9,4)</f>
        <v>R</v>
      </c>
      <c r="W19" s="123" t="str">
        <f>LEFT('北段'!AE9,4)</f>
        <v>r'</v>
      </c>
      <c r="X19" s="123" t="str">
        <f>LEFT('北段'!AF9,4)</f>
        <v>01夜</v>
      </c>
      <c r="Y19" s="123" t="str">
        <f>LEFT('北段'!AG9,4)</f>
        <v>01夜</v>
      </c>
      <c r="Z19" s="123" t="str">
        <f>LEFT('北段'!AH9,4)</f>
        <v>01夜</v>
      </c>
      <c r="AA19" s="123" t="str">
        <f>LEFT('北段'!AI9,4)</f>
        <v>01夜</v>
      </c>
      <c r="AB19" s="123" t="str">
        <f>LEFT('北段'!AJ9,4)</f>
        <v>R</v>
      </c>
      <c r="AC19" s="123" t="str">
        <f>LEFT('北段'!AK9,4)</f>
        <v>P</v>
      </c>
      <c r="AD19" s="123" t="str">
        <f>LEFT('北段'!AL9,4)</f>
        <v>01夜</v>
      </c>
      <c r="AE19" s="123" t="str">
        <f>LEFT('北段'!AM9,4)</f>
        <v>01夜</v>
      </c>
      <c r="AF19" s="123" t="str">
        <f>LEFT('北段'!AN9,4)</f>
        <v>01夜</v>
      </c>
      <c r="AG19" s="123" t="str">
        <f>LEFT('北段'!AO9,4)</f>
        <v>01夜</v>
      </c>
      <c r="AH19" s="123" t="str">
        <f>LEFT(北段!#REF!,4)</f>
        <v>#ERROR!</v>
      </c>
      <c r="AI19" s="123" t="str">
        <f>LEFT(北段!#REF!,4)</f>
        <v>#ERROR!</v>
      </c>
      <c r="AJ19" s="123" t="str">
        <f>LEFT(北段!#REF!,4)</f>
        <v>#ERROR!</v>
      </c>
      <c r="AK19" s="123" t="str">
        <f>LEFT(北段!#REF!,4)</f>
        <v>#ERROR!</v>
      </c>
      <c r="AL19" s="123" t="str">
        <f>LEFT(北段!#REF!,4)</f>
        <v>#ERROR!</v>
      </c>
    </row>
    <row r="20" ht="39.75" customHeight="1">
      <c r="A20" s="126"/>
      <c r="B20" s="24" t="str">
        <f>LEFT('北段'!B10,6)</f>
        <v>T02504</v>
      </c>
      <c r="C20" s="24" t="str">
        <f>VLOOKUP(B20,'北段'!B:C,2,FALSE)</f>
        <v>潘元浩</v>
      </c>
      <c r="D20" s="123" t="str">
        <f>LEFT(北段!#REF!,4)</f>
        <v>#ERROR!</v>
      </c>
      <c r="E20" s="123" t="str">
        <f>LEFT(北段!#REF!,4)</f>
        <v>#ERROR!</v>
      </c>
      <c r="F20" s="123" t="str">
        <f>LEFT(北段!#REF!,4)</f>
        <v>#ERROR!</v>
      </c>
      <c r="G20" s="123" t="str">
        <f>LEFT(北段!#REF!,4)</f>
        <v>#ERROR!</v>
      </c>
      <c r="H20" s="123" t="str">
        <f>LEFT(北段!#REF!,4)</f>
        <v>#ERROR!</v>
      </c>
      <c r="I20" s="123" t="str">
        <f>LEFT(北段!#REF!,4)</f>
        <v>#ERROR!</v>
      </c>
      <c r="J20" s="123" t="str">
        <f>LEFT(北段!#REF!,4)</f>
        <v>#ERROR!</v>
      </c>
      <c r="K20" s="123" t="str">
        <f>LEFT(北段!#REF!,4)</f>
        <v>#ERROR!</v>
      </c>
      <c r="L20" s="123" t="str">
        <f>LEFT(北段!#REF!,4)</f>
        <v>#ERROR!</v>
      </c>
      <c r="M20" s="123" t="str">
        <f>LEFT(北段!#REF!,4)</f>
        <v>#ERROR!</v>
      </c>
      <c r="N20" s="123" t="str">
        <f>LEFT(北段!#REF!,4)</f>
        <v>#ERROR!</v>
      </c>
      <c r="O20" s="123" t="str">
        <f>LEFT(北段!#REF!,4)</f>
        <v>#ERROR!</v>
      </c>
      <c r="P20" s="123" t="str">
        <f>LEFT(北段!#REF!,4)</f>
        <v>#ERROR!</v>
      </c>
      <c r="Q20" s="123" t="str">
        <f>LEFT(北段!#REF!,4)</f>
        <v>#ERROR!</v>
      </c>
      <c r="R20" s="123" t="str">
        <f>LEFT(北段!#REF!,4)</f>
        <v>#ERROR!</v>
      </c>
      <c r="S20" s="123" t="str">
        <f>LEFT(北段!#REF!,4)</f>
        <v>#ERROR!</v>
      </c>
      <c r="T20" s="123" t="str">
        <f>LEFT(北段!#REF!,4)</f>
        <v>#ERROR!</v>
      </c>
      <c r="U20" s="123" t="str">
        <f>LEFT(北段!#REF!,4)</f>
        <v>#ERROR!</v>
      </c>
      <c r="V20" s="123" t="str">
        <f>LEFT(北段!#REF!,4)</f>
        <v>#ERROR!</v>
      </c>
      <c r="W20" s="123" t="str">
        <f>LEFT(北段!#REF!,4)</f>
        <v>#ERROR!</v>
      </c>
      <c r="X20" s="123" t="str">
        <f>LEFT(北段!#REF!,4)</f>
        <v>#ERROR!</v>
      </c>
      <c r="Y20" s="123" t="str">
        <f>LEFT(北段!#REF!,4)</f>
        <v>#ERROR!</v>
      </c>
      <c r="Z20" s="123" t="str">
        <f>LEFT(北段!#REF!,4)</f>
        <v>#ERROR!</v>
      </c>
      <c r="AA20" s="123" t="str">
        <f>LEFT(北段!#REF!,4)</f>
        <v>#ERROR!</v>
      </c>
      <c r="AB20" s="123" t="str">
        <f>LEFT(北段!#REF!,4)</f>
        <v>#ERROR!</v>
      </c>
      <c r="AC20" s="123" t="str">
        <f>LEFT(北段!#REF!,4)</f>
        <v>#ERROR!</v>
      </c>
      <c r="AD20" s="123" t="str">
        <f>LEFT(北段!#REF!,4)</f>
        <v>#ERROR!</v>
      </c>
      <c r="AE20" s="123" t="str">
        <f>LEFT(北段!#REF!,4)</f>
        <v>#ERROR!</v>
      </c>
      <c r="AF20" s="123" t="str">
        <f>LEFT(北段!#REF!,4)</f>
        <v>#ERROR!</v>
      </c>
      <c r="AG20" s="123" t="str">
        <f>LEFT(北段!#REF!,4)</f>
        <v>#ERROR!</v>
      </c>
      <c r="AH20" s="123" t="str">
        <f>LEFT(北段!#REF!,4)</f>
        <v>#ERROR!</v>
      </c>
      <c r="AI20" s="123" t="str">
        <f>LEFT(北段!#REF!,4)</f>
        <v>#ERROR!</v>
      </c>
      <c r="AJ20" s="123" t="str">
        <f>LEFT(北段!#REF!,4)</f>
        <v>#ERROR!</v>
      </c>
      <c r="AK20" s="123" t="str">
        <f>LEFT(北段!#REF!,4)</f>
        <v>#ERROR!</v>
      </c>
      <c r="AL20" s="123" t="str">
        <f>LEFT(北段!#REF!,4)</f>
        <v>#ERROR!</v>
      </c>
    </row>
    <row r="21" ht="39.75" customHeight="1">
      <c r="A21" s="126"/>
      <c r="B21" s="24" t="str">
        <f>LEFT('北段'!B11,6)</f>
        <v>T02505</v>
      </c>
      <c r="C21" s="24" t="str">
        <f>VLOOKUP(B21,'北段'!B:C,2,FALSE)</f>
        <v>李慧盺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</row>
    <row r="22" ht="39.0" customHeight="1">
      <c r="A22" s="126"/>
      <c r="B22" s="24" t="str">
        <f>LEFT('北段'!B17,6)</f>
        <v>T02222</v>
      </c>
      <c r="C22" s="24" t="str">
        <f>VLOOKUP(B22,'北段'!B:C,2,FALSE)</f>
        <v>𡍼文妤</v>
      </c>
      <c r="D22" s="123" t="str">
        <f>LEFT('北段'!Q10,4)</f>
        <v>01午M</v>
      </c>
      <c r="E22" s="123" t="str">
        <f>LEFT('北段'!R10,4)</f>
        <v>01午</v>
      </c>
      <c r="F22" s="123" t="str">
        <f>LEFT('北段'!S10,4)</f>
        <v>01午</v>
      </c>
      <c r="G22" s="123" t="str">
        <f>LEFT('北段'!T10,4)</f>
        <v>R</v>
      </c>
      <c r="H22" s="123" t="str">
        <f>LEFT('北段'!U10,4)</f>
        <v>r'</v>
      </c>
      <c r="I22" s="123" t="str">
        <f>LEFT('北段'!Q11,4)</f>
        <v>R</v>
      </c>
      <c r="J22" s="123" t="str">
        <f>LEFT('北段'!R11,4)</f>
        <v>01早</v>
      </c>
      <c r="K22" s="123" t="str">
        <f>LEFT('北段'!S11,4)</f>
        <v>01午</v>
      </c>
      <c r="L22" s="123" t="str">
        <f>LEFT('北段'!T11,4)</f>
        <v>R</v>
      </c>
      <c r="M22" s="123" t="str">
        <f>LEFT('北段'!U11,4)</f>
        <v>r'</v>
      </c>
      <c r="N22" s="123" t="str">
        <f>LEFT('北段'!V11,4)</f>
        <v>L</v>
      </c>
      <c r="O22" s="123" t="str">
        <f>LEFT('北段'!W11,4)</f>
        <v>L</v>
      </c>
      <c r="P22" s="123" t="str">
        <f>LEFT('北段'!X11,4)</f>
        <v>L</v>
      </c>
      <c r="Q22" s="123" t="str">
        <f>LEFT('北段'!Y11,4)</f>
        <v>L</v>
      </c>
      <c r="R22" s="123" t="str">
        <f>LEFT('北段'!Z11,4)</f>
        <v>P</v>
      </c>
      <c r="S22" s="123" t="str">
        <f>LEFT('北段'!AA11,4)</f>
        <v>R</v>
      </c>
      <c r="T22" s="123" t="str">
        <f>LEFT('北段'!AB11,4)</f>
        <v>01午</v>
      </c>
      <c r="U22" s="123" t="str">
        <f>LEFT('北段'!AC11,4)</f>
        <v>01午</v>
      </c>
      <c r="V22" s="123" t="str">
        <f>LEFT('北段'!AD11,4)</f>
        <v>01夜</v>
      </c>
      <c r="W22" s="123" t="str">
        <f>LEFT('北段'!AE11,4)</f>
        <v>01夜</v>
      </c>
      <c r="X22" s="123" t="str">
        <f>LEFT('北段'!AF11,4)</f>
        <v>R</v>
      </c>
      <c r="Y22" s="123" t="str">
        <f>LEFT('北段'!AG11,4)</f>
        <v>r'</v>
      </c>
      <c r="Z22" s="123" t="str">
        <f>LEFT('北段'!AH11,4)</f>
        <v>01午</v>
      </c>
      <c r="AA22" s="123" t="str">
        <f>LEFT('北段'!AI11,4)</f>
        <v>01午</v>
      </c>
      <c r="AB22" s="123" t="str">
        <f>LEFT('北段'!AJ11,4)</f>
        <v>01午</v>
      </c>
      <c r="AC22" s="123" t="str">
        <f>LEFT('北段'!AK11,4)</f>
        <v>r'</v>
      </c>
      <c r="AD22" s="123" t="str">
        <f>LEFT('北段'!AL11,4)</f>
        <v>01午</v>
      </c>
      <c r="AE22" s="123" t="str">
        <f>LEFT('北段'!AM11,4)</f>
        <v>01夜</v>
      </c>
      <c r="AF22" s="123" t="str">
        <f>LEFT('北段'!AN11,4)</f>
        <v>01夜</v>
      </c>
      <c r="AG22" s="123" t="str">
        <f>LEFT('北段'!AO11,4)</f>
        <v>01夜</v>
      </c>
      <c r="AH22" s="123" t="str">
        <f>LEFT(北段!#REF!,4)</f>
        <v>#ERROR!</v>
      </c>
      <c r="AI22" s="123" t="str">
        <f>LEFT(北段!#REF!,4)</f>
        <v>#ERROR!</v>
      </c>
      <c r="AJ22" s="123" t="str">
        <f>LEFT(北段!#REF!,4)</f>
        <v>#ERROR!</v>
      </c>
      <c r="AK22" s="123" t="str">
        <f>LEFT(北段!#REF!,4)</f>
        <v>#ERROR!</v>
      </c>
      <c r="AL22" s="123" t="str">
        <f>LEFT(北段!#REF!,4)</f>
        <v>#ERROR!</v>
      </c>
    </row>
    <row r="23" ht="39.75" customHeight="1">
      <c r="A23" s="126"/>
      <c r="B23" s="24" t="str">
        <f>LEFT('北段'!B18,6)</f>
        <v>T02233</v>
      </c>
      <c r="C23" s="24" t="str">
        <f>VLOOKUP(B23,'北段'!B:C,2,FALSE)</f>
        <v>簡悅如</v>
      </c>
      <c r="D23" s="123" t="str">
        <f>LEFT('北段'!Q11,4)</f>
        <v>R</v>
      </c>
      <c r="E23" s="123" t="str">
        <f>LEFT('北段'!R11,4)</f>
        <v>01早</v>
      </c>
      <c r="F23" s="123" t="str">
        <f>LEFT('北段'!S11,4)</f>
        <v>01午</v>
      </c>
      <c r="G23" s="123" t="str">
        <f>LEFT('北段'!T11,4)</f>
        <v>R</v>
      </c>
      <c r="H23" s="123" t="str">
        <f>LEFT('北段'!U11,4)</f>
        <v>r'</v>
      </c>
      <c r="I23" s="123" t="str">
        <f>LEFT('北段'!Q17,4)</f>
        <v>R</v>
      </c>
      <c r="J23" s="123" t="str">
        <f>LEFT('北段'!R17,4)</f>
        <v>01午</v>
      </c>
      <c r="K23" s="123" t="str">
        <f>LEFT('北段'!S17,4)</f>
        <v>01午</v>
      </c>
      <c r="L23" s="123" t="str">
        <f>LEFT('北段'!T17,4)</f>
        <v>01午</v>
      </c>
      <c r="M23" s="123" t="str">
        <f>LEFT('北段'!U17,4)</f>
        <v>01午</v>
      </c>
      <c r="N23" s="123" t="str">
        <f>LEFT('北段'!V17,4)</f>
        <v>R</v>
      </c>
      <c r="O23" s="123" t="str">
        <f>LEFT('北段'!W17,4)</f>
        <v>01早</v>
      </c>
      <c r="P23" s="123" t="str">
        <f>LEFT('北段'!X17,4)</f>
        <v>01早</v>
      </c>
      <c r="Q23" s="123" t="str">
        <f>LEFT('北段'!Y17,4)</f>
        <v>01早</v>
      </c>
      <c r="R23" s="123" t="str">
        <f>LEFT('北段'!Z17,4)</f>
        <v>01早</v>
      </c>
      <c r="S23" s="123" t="str">
        <f>LEFT('北段'!AA17,4)</f>
        <v>R</v>
      </c>
      <c r="T23" s="123" t="str">
        <f>LEFT('北段'!AB17,4)</f>
        <v>r'</v>
      </c>
      <c r="U23" s="123" t="str">
        <f>LEFT('北段'!AC17,4)</f>
        <v>L</v>
      </c>
      <c r="V23" s="123" t="str">
        <f>LEFT('北段'!AD17,4)</f>
        <v>L</v>
      </c>
      <c r="W23" s="123" t="str">
        <f>LEFT('北段'!AE17,4)</f>
        <v>L</v>
      </c>
      <c r="X23" s="123" t="str">
        <f>LEFT('北段'!AF17,4)</f>
        <v>R</v>
      </c>
      <c r="Y23" s="123" t="str">
        <f>LEFT('北段'!AG17,4)</f>
        <v>01早</v>
      </c>
      <c r="Z23" s="123" t="str">
        <f>LEFT('北段'!AH17,4)</f>
        <v>01早</v>
      </c>
      <c r="AA23" s="123" t="str">
        <f>LEFT('北段'!AI17,4)</f>
        <v>01早</v>
      </c>
      <c r="AB23" s="123" t="str">
        <f>LEFT('北段'!AJ17,4)</f>
        <v>01早</v>
      </c>
      <c r="AC23" s="123" t="str">
        <f>LEFT('北段'!AK17,4)</f>
        <v>r'</v>
      </c>
      <c r="AD23" s="123" t="str">
        <f>LEFT('北段'!AL17,4)</f>
        <v>r'</v>
      </c>
      <c r="AE23" s="123" t="str">
        <f>LEFT('北段'!AM17,4)</f>
        <v>01早</v>
      </c>
      <c r="AF23" s="123" t="str">
        <f>LEFT('北段'!AN17,4)</f>
        <v>01早</v>
      </c>
      <c r="AG23" s="123" t="str">
        <f>LEFT('北段'!AO17,4)</f>
        <v>01早</v>
      </c>
      <c r="AH23" s="123" t="str">
        <f>LEFT(北段!#REF!,4)</f>
        <v>#ERROR!</v>
      </c>
      <c r="AI23" s="123" t="str">
        <f>LEFT(北段!#REF!,4)</f>
        <v>#ERROR!</v>
      </c>
      <c r="AJ23" s="123" t="str">
        <f>LEFT(北段!#REF!,4)</f>
        <v>#ERROR!</v>
      </c>
      <c r="AK23" s="123" t="str">
        <f>LEFT(北段!#REF!,4)</f>
        <v>#ERROR!</v>
      </c>
      <c r="AL23" s="123" t="str">
        <f>LEFT(北段!#REF!,4)</f>
        <v>#ERROR!</v>
      </c>
    </row>
    <row r="24" ht="39.75" customHeight="1">
      <c r="A24" s="126"/>
      <c r="B24" s="24" t="str">
        <f>LEFT('北段'!B19,6)</f>
        <v>T02498</v>
      </c>
      <c r="C24" s="24" t="str">
        <f>VLOOKUP(B24,'北段'!B:C,2,FALSE)</f>
        <v>張芯瑜</v>
      </c>
      <c r="D24" s="123" t="str">
        <f>LEFT('北段'!Q18,4)</f>
        <v>R</v>
      </c>
      <c r="E24" s="123" t="str">
        <f>LEFT('北段'!R18,4)</f>
        <v>R</v>
      </c>
      <c r="F24" s="123" t="str">
        <f>LEFT('北段'!S18,4)</f>
        <v>01早</v>
      </c>
      <c r="G24" s="123" t="str">
        <f>LEFT('北段'!T18,4)</f>
        <v>01午</v>
      </c>
      <c r="H24" s="123" t="str">
        <f>LEFT('北段'!U18,4)</f>
        <v>01午</v>
      </c>
      <c r="I24" s="123" t="str">
        <f>LEFT('北段'!Q18,4)</f>
        <v>R</v>
      </c>
      <c r="J24" s="123" t="str">
        <f>LEFT('北段'!R18,4)</f>
        <v>R</v>
      </c>
      <c r="K24" s="123" t="str">
        <f>LEFT('北段'!S18,4)</f>
        <v>01早</v>
      </c>
      <c r="L24" s="123" t="str">
        <f>LEFT('北段'!T18,4)</f>
        <v>01午</v>
      </c>
      <c r="M24" s="123" t="str">
        <f>LEFT('北段'!U18,4)</f>
        <v>01午</v>
      </c>
      <c r="N24" s="123" t="str">
        <f>LEFT('北段'!V18,4)</f>
        <v>r'</v>
      </c>
      <c r="O24" s="123" t="str">
        <f>LEFT('北段'!W18,4)</f>
        <v>01早</v>
      </c>
      <c r="P24" s="123" t="str">
        <f>LEFT('北段'!X18,4)</f>
        <v>01早</v>
      </c>
      <c r="Q24" s="123" t="str">
        <f>LEFT('北段'!Y18,4)</f>
        <v>L</v>
      </c>
      <c r="R24" s="123" t="str">
        <f>LEFT('北段'!Z18,4)</f>
        <v>01午</v>
      </c>
      <c r="S24" s="123" t="str">
        <f>LEFT('北段'!AA18,4)</f>
        <v>01午</v>
      </c>
      <c r="T24" s="123" t="str">
        <f>LEFT('北段'!AB18,4)</f>
        <v>R</v>
      </c>
      <c r="U24" s="123" t="str">
        <f>LEFT('北段'!AC18,4)</f>
        <v>r'</v>
      </c>
      <c r="V24" s="123" t="str">
        <f>LEFT('北段'!AD18,4)</f>
        <v>01早</v>
      </c>
      <c r="W24" s="123" t="str">
        <f>LEFT('北段'!AE18,4)</f>
        <v>01早</v>
      </c>
      <c r="X24" s="123" t="str">
        <f>LEFT('北段'!AF18,4)</f>
        <v>01早</v>
      </c>
      <c r="Y24" s="123" t="str">
        <f>LEFT('北段'!AG18,4)</f>
        <v>R</v>
      </c>
      <c r="Z24" s="123" t="str">
        <f>LEFT('北段'!AH18,4)</f>
        <v>L</v>
      </c>
      <c r="AA24" s="123" t="str">
        <f>LEFT('北段'!AI18,4)</f>
        <v>r'</v>
      </c>
      <c r="AB24" s="123" t="str">
        <f>LEFT('北段'!AJ18,4)</f>
        <v>01早</v>
      </c>
      <c r="AC24" s="123" t="str">
        <f>LEFT('北段'!AK18,4)</f>
        <v>01早</v>
      </c>
      <c r="AD24" s="123" t="str">
        <f>LEFT('北段'!AL18,4)</f>
        <v>01早</v>
      </c>
      <c r="AE24" s="123" t="str">
        <f>LEFT('北段'!AM18,4)</f>
        <v>P</v>
      </c>
      <c r="AF24" s="123" t="str">
        <f>LEFT('北段'!AN18,4)</f>
        <v>01早</v>
      </c>
      <c r="AG24" s="123" t="str">
        <f>LEFT('北段'!AO18,4)</f>
        <v>01早</v>
      </c>
      <c r="AH24" s="123" t="str">
        <f>LEFT(北段!#REF!,4)</f>
        <v>#ERROR!</v>
      </c>
      <c r="AI24" s="123" t="str">
        <f>LEFT(北段!#REF!,4)</f>
        <v>#ERROR!</v>
      </c>
      <c r="AJ24" s="123" t="str">
        <f>LEFT(北段!#REF!,4)</f>
        <v>#ERROR!</v>
      </c>
      <c r="AK24" s="123" t="str">
        <f>LEFT(北段!#REF!,4)</f>
        <v>#ERROR!</v>
      </c>
      <c r="AL24" s="123" t="str">
        <f>LEFT(北段!#REF!,4)</f>
        <v>#ERROR!</v>
      </c>
    </row>
    <row r="25" ht="39.0" customHeight="1">
      <c r="A25" s="126"/>
      <c r="B25" s="24" t="str">
        <f>LEFT('北段'!B20,6)</f>
        <v>T02612</v>
      </c>
      <c r="C25" s="24" t="str">
        <f>VLOOKUP(B25,'北段'!B:C,2,FALSE)</f>
        <v>蕭曉琦</v>
      </c>
      <c r="D25" s="123" t="str">
        <f>LEFT('北段'!Q19,4)</f>
        <v>01午B</v>
      </c>
      <c r="E25" s="123" t="str">
        <f>LEFT('北段'!R19,4)</f>
        <v>01午</v>
      </c>
      <c r="F25" s="123" t="str">
        <f>LEFT('北段'!S19,4)</f>
        <v>01午</v>
      </c>
      <c r="G25" s="123" t="str">
        <f>LEFT('北段'!T19,4)</f>
        <v>r'</v>
      </c>
      <c r="H25" s="123" t="str">
        <f>LEFT('北段'!U19,4)</f>
        <v>P</v>
      </c>
      <c r="I25" s="123" t="str">
        <f>LEFT('北段'!Q19,4)</f>
        <v>01午B</v>
      </c>
      <c r="J25" s="123" t="str">
        <f>LEFT('北段'!R19,4)</f>
        <v>01午</v>
      </c>
      <c r="K25" s="123" t="str">
        <f>LEFT('北段'!S19,4)</f>
        <v>01午</v>
      </c>
      <c r="L25" s="123" t="str">
        <f>LEFT('北段'!T19,4)</f>
        <v>r'</v>
      </c>
      <c r="M25" s="123" t="str">
        <f>LEFT('北段'!U19,4)</f>
        <v>P</v>
      </c>
      <c r="N25" s="123" t="str">
        <f>LEFT('北段'!V19,4)</f>
        <v>01午</v>
      </c>
      <c r="O25" s="123" t="str">
        <f>LEFT('北段'!W19,4)</f>
        <v>01午</v>
      </c>
      <c r="P25" s="123" t="str">
        <f>LEFT('北段'!X19,4)</f>
        <v>R</v>
      </c>
      <c r="Q25" s="123" t="str">
        <f>LEFT('北段'!Y19,4)</f>
        <v>01早</v>
      </c>
      <c r="R25" s="123" t="str">
        <f>LEFT('北段'!Z19,4)</f>
        <v>01早</v>
      </c>
      <c r="S25" s="123" t="str">
        <f>LEFT('北段'!AA19,4)</f>
        <v>01早</v>
      </c>
      <c r="T25" s="123" t="str">
        <f>LEFT('北段'!AB19,4)</f>
        <v>01早</v>
      </c>
      <c r="U25" s="123" t="str">
        <f>LEFT('北段'!AC19,4)</f>
        <v>r'</v>
      </c>
      <c r="V25" s="123" t="str">
        <f>LEFT('北段'!AD19,4)</f>
        <v>R</v>
      </c>
      <c r="W25" s="123" t="str">
        <f>LEFT('北段'!AE19,4)</f>
        <v>01午</v>
      </c>
      <c r="X25" s="123" t="str">
        <f>LEFT('北段'!AF19,4)</f>
        <v>01午</v>
      </c>
      <c r="Y25" s="123" t="str">
        <f>LEFT('北段'!AG19,4)</f>
        <v>01午</v>
      </c>
      <c r="Z25" s="123" t="str">
        <f>LEFT('北段'!AH19,4)</f>
        <v>01午</v>
      </c>
      <c r="AA25" s="123" t="str">
        <f>LEFT('北段'!AI19,4)</f>
        <v>01午</v>
      </c>
      <c r="AB25" s="123" t="str">
        <f>LEFT('北段'!AJ19,4)</f>
        <v>r'</v>
      </c>
      <c r="AC25" s="123" t="str">
        <f>LEFT('北段'!AK19,4)</f>
        <v>R</v>
      </c>
      <c r="AD25" s="123" t="str">
        <f>LEFT('北段'!AL19,4)</f>
        <v>01午</v>
      </c>
      <c r="AE25" s="123" t="str">
        <f>LEFT('北段'!AM19,4)</f>
        <v>01中A</v>
      </c>
      <c r="AF25" s="123" t="str">
        <f>LEFT('北段'!AN19,4)</f>
        <v>01午</v>
      </c>
      <c r="AG25" s="123" t="str">
        <f>LEFT('北段'!AO19,4)</f>
        <v>01午</v>
      </c>
      <c r="AH25" s="123" t="str">
        <f>LEFT(北段!#REF!,4)</f>
        <v>#ERROR!</v>
      </c>
      <c r="AI25" s="123" t="str">
        <f>LEFT(北段!#REF!,4)</f>
        <v>#ERROR!</v>
      </c>
      <c r="AJ25" s="123" t="str">
        <f>LEFT(北段!#REF!,4)</f>
        <v>#ERROR!</v>
      </c>
      <c r="AK25" s="123" t="str">
        <f>LEFT(北段!#REF!,4)</f>
        <v>#ERROR!</v>
      </c>
      <c r="AL25" s="123" t="str">
        <f>LEFT(北段!#REF!,4)</f>
        <v>#ERROR!</v>
      </c>
    </row>
    <row r="26" ht="39.75" customHeight="1">
      <c r="A26" s="126"/>
      <c r="B26" s="24" t="str">
        <f>LEFT('北段'!B21,6)</f>
        <v>T02613</v>
      </c>
      <c r="C26" s="24" t="str">
        <f>VLOOKUP(B26,'北段'!B:C,2,FALSE)</f>
        <v>張雅荃</v>
      </c>
      <c r="D26" s="123" t="str">
        <f>LEFT('北段'!Q20,4)</f>
        <v>01午B</v>
      </c>
      <c r="E26" s="123" t="str">
        <f>LEFT('北段'!R20,4)</f>
        <v>R</v>
      </c>
      <c r="F26" s="123" t="str">
        <f>LEFT('北段'!S20,4)</f>
        <v>01早</v>
      </c>
      <c r="G26" s="123" t="str">
        <f>LEFT('北段'!T20,4)</f>
        <v>01早</v>
      </c>
      <c r="H26" s="123" t="str">
        <f>LEFT('北段'!U20,4)</f>
        <v>P</v>
      </c>
      <c r="I26" s="123" t="str">
        <f>LEFT('北段'!Q20,4)</f>
        <v>01午B</v>
      </c>
      <c r="J26" s="123" t="str">
        <f>LEFT('北段'!R20,4)</f>
        <v>R</v>
      </c>
      <c r="K26" s="123" t="str">
        <f>LEFT('北段'!S20,4)</f>
        <v>01早</v>
      </c>
      <c r="L26" s="123" t="str">
        <f>LEFT('北段'!T20,4)</f>
        <v>01早</v>
      </c>
      <c r="M26" s="123" t="str">
        <f>LEFT('北段'!U20,4)</f>
        <v>P</v>
      </c>
      <c r="N26" s="123" t="str">
        <f>LEFT('北段'!V20,4)</f>
        <v>01早</v>
      </c>
      <c r="O26" s="123" t="str">
        <f>LEFT('北段'!W20,4)</f>
        <v>01早</v>
      </c>
      <c r="P26" s="123" t="str">
        <f>LEFT('北段'!X20,4)</f>
        <v>01早</v>
      </c>
      <c r="Q26" s="123" t="str">
        <f>LEFT('北段'!Y20,4)</f>
        <v>R</v>
      </c>
      <c r="R26" s="123" t="str">
        <f>LEFT('北段'!Z20,4)</f>
        <v>01早</v>
      </c>
      <c r="S26" s="123" t="str">
        <f>LEFT('北段'!AA20,4)</f>
        <v>01早</v>
      </c>
      <c r="T26" s="123" t="str">
        <f>LEFT('北段'!AB20,4)</f>
        <v>r'</v>
      </c>
      <c r="U26" s="123" t="str">
        <f>LEFT('北段'!AC20,4)</f>
        <v>01早</v>
      </c>
      <c r="V26" s="123" t="str">
        <f>LEFT('北段'!AD20,4)</f>
        <v>01午</v>
      </c>
      <c r="W26" s="123" t="str">
        <f>LEFT('北段'!AE20,4)</f>
        <v>r'</v>
      </c>
      <c r="X26" s="123" t="str">
        <f>LEFT('北段'!AF20,4)</f>
        <v>01午</v>
      </c>
      <c r="Y26" s="123" t="str">
        <f>LEFT('北段'!AG20,4)</f>
        <v>01午</v>
      </c>
      <c r="Z26" s="123" t="str">
        <f>LEFT('北段'!AH20,4)</f>
        <v>R</v>
      </c>
      <c r="AA26" s="123" t="str">
        <f>LEFT('北段'!AI20,4)</f>
        <v>01早</v>
      </c>
      <c r="AB26" s="123" t="str">
        <f>LEFT('北段'!AJ20,4)</f>
        <v>01早</v>
      </c>
      <c r="AC26" s="123" t="str">
        <f>LEFT('北段'!AK20,4)</f>
        <v>01早</v>
      </c>
      <c r="AD26" s="123" t="str">
        <f>LEFT('北段'!AL20,4)</f>
        <v>01早</v>
      </c>
      <c r="AE26" s="123" t="str">
        <f>LEFT('北段'!AM20,4)</f>
        <v>R</v>
      </c>
      <c r="AF26" s="123" t="str">
        <f>LEFT('北段'!AN20,4)</f>
        <v>01早</v>
      </c>
      <c r="AG26" s="123" t="str">
        <f>LEFT('北段'!AO20,4)</f>
        <v>01早</v>
      </c>
      <c r="AH26" s="123" t="str">
        <f>LEFT(北段!#REF!,4)</f>
        <v>#ERROR!</v>
      </c>
      <c r="AI26" s="123" t="str">
        <f>LEFT(北段!#REF!,4)</f>
        <v>#ERROR!</v>
      </c>
      <c r="AJ26" s="123" t="str">
        <f>LEFT(北段!#REF!,4)</f>
        <v>#ERROR!</v>
      </c>
      <c r="AK26" s="123" t="str">
        <f>LEFT(北段!#REF!,4)</f>
        <v>#ERROR!</v>
      </c>
      <c r="AL26" s="123" t="str">
        <f>LEFT(北段!#REF!,4)</f>
        <v>#ERROR!</v>
      </c>
    </row>
    <row r="27" ht="39.75" customHeight="1">
      <c r="A27" s="127"/>
      <c r="B27" s="24" t="str">
        <f>LEFT(北段!#REF!,6)</f>
        <v>#ERROR!</v>
      </c>
      <c r="C27" s="24" t="str">
        <f>VLOOKUP(B27,'北段'!B:C,2,FALSE)</f>
        <v>#ERROR!</v>
      </c>
      <c r="D27" s="123" t="str">
        <f>LEFT('北段'!Q21,4)</f>
        <v>01午B</v>
      </c>
      <c r="E27" s="123" t="str">
        <f>LEFT('北段'!R21,4)</f>
        <v>01午</v>
      </c>
      <c r="F27" s="123" t="str">
        <f>LEFT('北段'!S21,4)</f>
        <v>01午</v>
      </c>
      <c r="G27" s="123" t="str">
        <f>LEFT('北段'!T21,4)</f>
        <v>01午</v>
      </c>
      <c r="H27" s="123" t="str">
        <f>LEFT('北段'!U21,4)</f>
        <v>r'</v>
      </c>
      <c r="I27" s="123" t="str">
        <f>LEFT('北段'!Q21,4)</f>
        <v>01午B</v>
      </c>
      <c r="J27" s="123" t="str">
        <f>LEFT('北段'!R21,4)</f>
        <v>01午</v>
      </c>
      <c r="K27" s="123" t="str">
        <f>LEFT('北段'!S21,4)</f>
        <v>01午</v>
      </c>
      <c r="L27" s="123" t="str">
        <f>LEFT('北段'!T21,4)</f>
        <v>01午</v>
      </c>
      <c r="M27" s="123" t="str">
        <f>LEFT('北段'!U21,4)</f>
        <v>r'</v>
      </c>
      <c r="N27" s="123" t="str">
        <f>LEFT('北段'!V21,4)</f>
        <v>01午</v>
      </c>
      <c r="O27" s="123" t="str">
        <f>LEFT('北段'!W21,4)</f>
        <v>01午</v>
      </c>
      <c r="P27" s="123" t="str">
        <f>LEFT('北段'!X21,4)</f>
        <v>R</v>
      </c>
      <c r="Q27" s="123" t="str">
        <f>LEFT('北段'!Y21,4)</f>
        <v>P</v>
      </c>
      <c r="R27" s="123" t="str">
        <f>LEFT('北段'!Z21,4)</f>
        <v>01午</v>
      </c>
      <c r="S27" s="123" t="str">
        <f>LEFT('北段'!AA21,4)</f>
        <v>01午</v>
      </c>
      <c r="T27" s="123" t="str">
        <f>LEFT('北段'!AB21,4)</f>
        <v>R</v>
      </c>
      <c r="U27" s="123" t="str">
        <f>LEFT('北段'!AC21,4)</f>
        <v>01午</v>
      </c>
      <c r="V27" s="123" t="str">
        <f>LEFT('北段'!AD21,4)</f>
        <v>01午</v>
      </c>
      <c r="W27" s="123" t="str">
        <f>LEFT('北段'!AE21,4)</f>
        <v>01午</v>
      </c>
      <c r="X27" s="123" t="str">
        <f>LEFT('北段'!AF21,4)</f>
        <v>01午</v>
      </c>
      <c r="Y27" s="123" t="str">
        <f>LEFT('北段'!AG21,4)</f>
        <v>R</v>
      </c>
      <c r="Z27" s="123" t="str">
        <f>LEFT('北段'!AH21,4)</f>
        <v>r'</v>
      </c>
      <c r="AA27" s="123" t="str">
        <f>LEFT('北段'!AI21,4)</f>
        <v>01午</v>
      </c>
      <c r="AB27" s="123" t="str">
        <f>LEFT('北段'!AJ21,4)</f>
        <v>01午</v>
      </c>
      <c r="AC27" s="123" t="str">
        <f>LEFT('北段'!AK21,4)</f>
        <v>r'</v>
      </c>
      <c r="AD27" s="123" t="str">
        <f>LEFT('北段'!AL21,4)</f>
        <v>01午</v>
      </c>
      <c r="AE27" s="123" t="str">
        <f>LEFT('北段'!AM21,4)</f>
        <v>01午</v>
      </c>
      <c r="AF27" s="123" t="str">
        <f>LEFT('北段'!AN21,4)</f>
        <v>01中A</v>
      </c>
      <c r="AG27" s="123" t="str">
        <f>LEFT('北段'!AO21,4)</f>
        <v>R</v>
      </c>
      <c r="AH27" s="123" t="str">
        <f>LEFT(北段!#REF!,4)</f>
        <v>#ERROR!</v>
      </c>
      <c r="AI27" s="123" t="str">
        <f>LEFT(北段!#REF!,4)</f>
        <v>#ERROR!</v>
      </c>
      <c r="AJ27" s="123" t="str">
        <f>LEFT(北段!#REF!,4)</f>
        <v>#ERROR!</v>
      </c>
      <c r="AK27" s="123" t="str">
        <f>LEFT(北段!#REF!,4)</f>
        <v>#ERROR!</v>
      </c>
      <c r="AL27" s="123" t="str">
        <f>LEFT(北段!#REF!,4)</f>
        <v>#ERROR!</v>
      </c>
    </row>
    <row r="28" ht="39.75" customHeight="1">
      <c r="A28" s="126"/>
      <c r="B28" s="24" t="str">
        <f>LEFT(北段!#REF!,6)</f>
        <v>#ERROR!</v>
      </c>
      <c r="C28" s="24" t="str">
        <f>VLOOKUP(B28,'北段'!B:C,2,FALSE)</f>
        <v>#ERROR!</v>
      </c>
      <c r="D28" s="123" t="str">
        <f>LEFT(北段!#REF!,4)</f>
        <v>#ERROR!</v>
      </c>
      <c r="E28" s="123" t="str">
        <f>LEFT(北段!#REF!,4)</f>
        <v>#ERROR!</v>
      </c>
      <c r="F28" s="123" t="str">
        <f>LEFT(北段!#REF!,4)</f>
        <v>#ERROR!</v>
      </c>
      <c r="G28" s="123" t="str">
        <f>LEFT(北段!#REF!,4)</f>
        <v>#ERROR!</v>
      </c>
      <c r="H28" s="123" t="str">
        <f>LEFT(北段!#REF!,4)</f>
        <v>#ERROR!</v>
      </c>
      <c r="I28" s="123" t="str">
        <f>LEFT(北段!#REF!,4)</f>
        <v>#ERROR!</v>
      </c>
      <c r="J28" s="123" t="str">
        <f>LEFT(北段!#REF!,4)</f>
        <v>#ERROR!</v>
      </c>
      <c r="K28" s="123" t="str">
        <f>LEFT(北段!#REF!,4)</f>
        <v>#ERROR!</v>
      </c>
      <c r="L28" s="123" t="str">
        <f>LEFT(北段!#REF!,4)</f>
        <v>#ERROR!</v>
      </c>
      <c r="M28" s="123" t="str">
        <f>LEFT(北段!#REF!,4)</f>
        <v>#ERROR!</v>
      </c>
      <c r="N28" s="123" t="str">
        <f>LEFT(北段!#REF!,4)</f>
        <v>#ERROR!</v>
      </c>
      <c r="O28" s="123" t="str">
        <f>LEFT(北段!#REF!,4)</f>
        <v>#ERROR!</v>
      </c>
      <c r="P28" s="123" t="str">
        <f>LEFT(北段!#REF!,4)</f>
        <v>#ERROR!</v>
      </c>
      <c r="Q28" s="123" t="str">
        <f>LEFT(北段!#REF!,4)</f>
        <v>#ERROR!</v>
      </c>
      <c r="R28" s="123" t="str">
        <f>LEFT(北段!#REF!,4)</f>
        <v>#ERROR!</v>
      </c>
      <c r="S28" s="123" t="str">
        <f>LEFT(北段!#REF!,4)</f>
        <v>#ERROR!</v>
      </c>
      <c r="T28" s="123" t="str">
        <f>LEFT(北段!#REF!,4)</f>
        <v>#ERROR!</v>
      </c>
      <c r="U28" s="123" t="str">
        <f>LEFT(北段!#REF!,4)</f>
        <v>#ERROR!</v>
      </c>
      <c r="V28" s="123" t="str">
        <f>LEFT(北段!#REF!,4)</f>
        <v>#ERROR!</v>
      </c>
      <c r="W28" s="123" t="str">
        <f>LEFT(北段!#REF!,4)</f>
        <v>#ERROR!</v>
      </c>
      <c r="X28" s="123" t="str">
        <f>LEFT(北段!#REF!,4)</f>
        <v>#ERROR!</v>
      </c>
      <c r="Y28" s="123" t="str">
        <f>LEFT(北段!#REF!,4)</f>
        <v>#ERROR!</v>
      </c>
      <c r="Z28" s="123" t="str">
        <f>LEFT(北段!#REF!,4)</f>
        <v>#ERROR!</v>
      </c>
      <c r="AA28" s="123" t="str">
        <f>LEFT(北段!#REF!,5)</f>
        <v>#ERROR!</v>
      </c>
      <c r="AB28" s="123" t="str">
        <f>LEFT(北段!#REF!,4)</f>
        <v>#ERROR!</v>
      </c>
      <c r="AC28" s="123" t="str">
        <f>LEFT(北段!#REF!,4)</f>
        <v>#ERROR!</v>
      </c>
      <c r="AD28" s="123" t="str">
        <f>LEFT(北段!#REF!,4)</f>
        <v>#ERROR!</v>
      </c>
      <c r="AE28" s="123" t="str">
        <f>LEFT(北段!#REF!,4)</f>
        <v>#ERROR!</v>
      </c>
      <c r="AF28" s="123" t="str">
        <f>LEFT(北段!#REF!,4)</f>
        <v>#ERROR!</v>
      </c>
      <c r="AG28" s="123" t="str">
        <f>LEFT(北段!#REF!,4)</f>
        <v>#ERROR!</v>
      </c>
      <c r="AH28" s="123" t="str">
        <f>LEFT(北段!#REF!,4)</f>
        <v>#ERROR!</v>
      </c>
      <c r="AI28" s="123" t="str">
        <f>LEFT(北段!#REF!,4)</f>
        <v>#ERROR!</v>
      </c>
      <c r="AJ28" s="123" t="str">
        <f>LEFT(北段!#REF!,4)</f>
        <v>#ERROR!</v>
      </c>
      <c r="AK28" s="123" t="str">
        <f>LEFT(北段!#REF!,4)</f>
        <v>#ERROR!</v>
      </c>
      <c r="AL28" s="123" t="str">
        <f>LEFT(北段!#REF!,4)</f>
        <v>#ERROR!</v>
      </c>
    </row>
    <row r="29" ht="39.75" customHeight="1">
      <c r="A29" s="126"/>
      <c r="B29" s="24" t="str">
        <f>LEFT(北段!#REF!,6)</f>
        <v>#ERROR!</v>
      </c>
      <c r="C29" s="24" t="str">
        <f>VLOOKUP(B29,'北段'!B:C,2,FALSE)</f>
        <v>#ERROR!</v>
      </c>
      <c r="D29" s="123" t="str">
        <f>LEFT(北段!#REF!,4)</f>
        <v>#ERROR!</v>
      </c>
      <c r="E29" s="123" t="str">
        <f>LEFT(北段!#REF!,4)</f>
        <v>#ERROR!</v>
      </c>
      <c r="F29" s="123" t="str">
        <f>LEFT(北段!#REF!,4)</f>
        <v>#ERROR!</v>
      </c>
      <c r="G29" s="123" t="str">
        <f>LEFT(北段!#REF!,4)</f>
        <v>#ERROR!</v>
      </c>
      <c r="H29" s="123" t="str">
        <f>LEFT(北段!#REF!,4)</f>
        <v>#ERROR!</v>
      </c>
      <c r="I29" s="123" t="str">
        <f>LEFT(北段!#REF!,4)</f>
        <v>#ERROR!</v>
      </c>
      <c r="J29" s="123" t="str">
        <f>LEFT(北段!#REF!,4)</f>
        <v>#ERROR!</v>
      </c>
      <c r="K29" s="123" t="str">
        <f>LEFT(北段!#REF!,4)</f>
        <v>#ERROR!</v>
      </c>
      <c r="L29" s="123" t="str">
        <f>LEFT(北段!#REF!,4)</f>
        <v>#ERROR!</v>
      </c>
      <c r="M29" s="123" t="str">
        <f>LEFT(北段!#REF!,4)</f>
        <v>#ERROR!</v>
      </c>
      <c r="N29" s="123" t="str">
        <f>LEFT(北段!#REF!,4)</f>
        <v>#ERROR!</v>
      </c>
      <c r="O29" s="123" t="str">
        <f>LEFT(北段!#REF!,4)</f>
        <v>#ERROR!</v>
      </c>
      <c r="P29" s="123" t="str">
        <f>LEFT(北段!#REF!,4)</f>
        <v>#ERROR!</v>
      </c>
      <c r="Q29" s="123" t="str">
        <f>LEFT(北段!#REF!,4)</f>
        <v>#ERROR!</v>
      </c>
      <c r="R29" s="123" t="str">
        <f>LEFT(北段!#REF!,4)</f>
        <v>#ERROR!</v>
      </c>
      <c r="S29" s="123" t="str">
        <f>LEFT(北段!#REF!,4)</f>
        <v>#ERROR!</v>
      </c>
      <c r="T29" s="123" t="str">
        <f>LEFT(北段!#REF!,4)</f>
        <v>#ERROR!</v>
      </c>
      <c r="U29" s="123" t="str">
        <f>LEFT(北段!#REF!,4)</f>
        <v>#ERROR!</v>
      </c>
      <c r="V29" s="123" t="str">
        <f>LEFT(北段!#REF!,4)</f>
        <v>#ERROR!</v>
      </c>
      <c r="W29" s="123" t="str">
        <f>LEFT(北段!#REF!,4)</f>
        <v>#ERROR!</v>
      </c>
      <c r="X29" s="123" t="str">
        <f>LEFT(北段!#REF!,4)</f>
        <v>#ERROR!</v>
      </c>
      <c r="Y29" s="123" t="str">
        <f>LEFT(北段!#REF!,4)</f>
        <v>#ERROR!</v>
      </c>
      <c r="Z29" s="123" t="str">
        <f>LEFT(北段!#REF!,4)</f>
        <v>#ERROR!</v>
      </c>
      <c r="AA29" s="123" t="str">
        <f>LEFT(北段!#REF!,4)</f>
        <v>#ERROR!</v>
      </c>
      <c r="AB29" s="123" t="str">
        <f>LEFT(北段!#REF!,4)</f>
        <v>#ERROR!</v>
      </c>
      <c r="AC29" s="123" t="str">
        <f>LEFT(北段!#REF!,4)</f>
        <v>#ERROR!</v>
      </c>
      <c r="AD29" s="123" t="str">
        <f>LEFT(北段!#REF!,4)</f>
        <v>#ERROR!</v>
      </c>
      <c r="AE29" s="123" t="str">
        <f>LEFT(北段!#REF!,4)</f>
        <v>#ERROR!</v>
      </c>
      <c r="AF29" s="123" t="str">
        <f>LEFT(北段!#REF!,4)</f>
        <v>#ERROR!</v>
      </c>
      <c r="AG29" s="123" t="str">
        <f>LEFT(北段!#REF!,4)</f>
        <v>#ERROR!</v>
      </c>
      <c r="AH29" s="123" t="str">
        <f>LEFT(北段!#REF!,4)</f>
        <v>#ERROR!</v>
      </c>
      <c r="AI29" s="123" t="str">
        <f>LEFT(北段!#REF!,4)</f>
        <v>#ERROR!</v>
      </c>
      <c r="AJ29" s="123" t="str">
        <f>LEFT(北段!#REF!,4)</f>
        <v>#ERROR!</v>
      </c>
      <c r="AK29" s="123" t="str">
        <f>LEFT(北段!#REF!,4)</f>
        <v>#ERROR!</v>
      </c>
      <c r="AL29" s="123" t="str">
        <f>LEFT(北段!#REF!,4)</f>
        <v>#ERROR!</v>
      </c>
    </row>
    <row r="30" ht="39.75" customHeight="1">
      <c r="A30" s="126"/>
      <c r="B30" s="24" t="str">
        <f>LEFT(北段!#REF!,6)</f>
        <v>#ERROR!</v>
      </c>
      <c r="C30" s="24" t="str">
        <f>VLOOKUP(B30,'北段'!B:C,2,FALSE)</f>
        <v>#ERROR!</v>
      </c>
      <c r="D30" s="123" t="str">
        <f>LEFT(北段!#REF!,4)</f>
        <v>#ERROR!</v>
      </c>
      <c r="E30" s="123" t="str">
        <f>LEFT(北段!#REF!,4)</f>
        <v>#ERROR!</v>
      </c>
      <c r="F30" s="123" t="str">
        <f>LEFT(北段!#REF!,4)</f>
        <v>#ERROR!</v>
      </c>
      <c r="G30" s="123" t="str">
        <f>LEFT(北段!#REF!,4)</f>
        <v>#ERROR!</v>
      </c>
      <c r="H30" s="123" t="str">
        <f>LEFT(北段!#REF!,4)</f>
        <v>#ERROR!</v>
      </c>
      <c r="I30" s="123" t="str">
        <f>LEFT(北段!#REF!,4)</f>
        <v>#ERROR!</v>
      </c>
      <c r="J30" s="123" t="str">
        <f>LEFT(北段!#REF!,4)</f>
        <v>#ERROR!</v>
      </c>
      <c r="K30" s="123" t="str">
        <f>LEFT(北段!#REF!,4)</f>
        <v>#ERROR!</v>
      </c>
      <c r="L30" s="123" t="str">
        <f>LEFT(北段!#REF!,4)</f>
        <v>#ERROR!</v>
      </c>
      <c r="M30" s="123" t="str">
        <f>LEFT(北段!#REF!,4)</f>
        <v>#ERROR!</v>
      </c>
      <c r="N30" s="123" t="str">
        <f>LEFT(北段!#REF!,4)</f>
        <v>#ERROR!</v>
      </c>
      <c r="O30" s="123" t="str">
        <f>LEFT(北段!#REF!,4)</f>
        <v>#ERROR!</v>
      </c>
      <c r="P30" s="123" t="str">
        <f>LEFT(北段!#REF!,4)</f>
        <v>#ERROR!</v>
      </c>
      <c r="Q30" s="123" t="str">
        <f>LEFT(北段!#REF!,4)</f>
        <v>#ERROR!</v>
      </c>
      <c r="R30" s="123" t="str">
        <f>LEFT(北段!#REF!,4)</f>
        <v>#ERROR!</v>
      </c>
      <c r="S30" s="123" t="str">
        <f>LEFT(北段!#REF!,4)</f>
        <v>#ERROR!</v>
      </c>
      <c r="T30" s="123" t="str">
        <f>LEFT(北段!#REF!,4)</f>
        <v>#ERROR!</v>
      </c>
      <c r="U30" s="123" t="str">
        <f>LEFT(北段!#REF!,4)</f>
        <v>#ERROR!</v>
      </c>
      <c r="V30" s="123" t="str">
        <f>LEFT(北段!#REF!,4)</f>
        <v>#ERROR!</v>
      </c>
      <c r="W30" s="123" t="str">
        <f>LEFT(北段!#REF!,4)</f>
        <v>#ERROR!</v>
      </c>
      <c r="X30" s="123" t="str">
        <f>LEFT(北段!#REF!,4)</f>
        <v>#ERROR!</v>
      </c>
      <c r="Y30" s="123" t="str">
        <f>LEFT(北段!#REF!,4)</f>
        <v>#ERROR!</v>
      </c>
      <c r="Z30" s="123" t="str">
        <f>LEFT(北段!#REF!,4)</f>
        <v>#ERROR!</v>
      </c>
      <c r="AA30" s="123" t="str">
        <f>LEFT(北段!#REF!,4)</f>
        <v>#ERROR!</v>
      </c>
      <c r="AB30" s="123" t="str">
        <f>LEFT(北段!#REF!,4)</f>
        <v>#ERROR!</v>
      </c>
      <c r="AC30" s="123" t="str">
        <f>LEFT(北段!#REF!,4)</f>
        <v>#ERROR!</v>
      </c>
      <c r="AD30" s="123" t="str">
        <f>LEFT(北段!#REF!,4)</f>
        <v>#ERROR!</v>
      </c>
      <c r="AE30" s="123" t="str">
        <f>LEFT(北段!#REF!,4)</f>
        <v>#ERROR!</v>
      </c>
      <c r="AF30" s="123" t="str">
        <f>LEFT(北段!#REF!,4)</f>
        <v>#ERROR!</v>
      </c>
      <c r="AG30" s="123" t="str">
        <f>LEFT(北段!#REF!,4)</f>
        <v>#ERROR!</v>
      </c>
      <c r="AH30" s="123" t="str">
        <f>LEFT(北段!#REF!,4)</f>
        <v>#ERROR!</v>
      </c>
      <c r="AI30" s="123" t="str">
        <f>LEFT(北段!#REF!,4)</f>
        <v>#ERROR!</v>
      </c>
      <c r="AJ30" s="123" t="str">
        <f>LEFT(北段!#REF!,4)</f>
        <v>#ERROR!</v>
      </c>
      <c r="AK30" s="123" t="str">
        <f>LEFT(北段!#REF!,4)</f>
        <v>#ERROR!</v>
      </c>
      <c r="AL30" s="123" t="str">
        <f>LEFT(北段!#REF!,4)</f>
        <v>#ERROR!</v>
      </c>
    </row>
    <row r="31" ht="39.75" customHeight="1">
      <c r="A31" s="128" t="s">
        <v>63</v>
      </c>
      <c r="B31" s="24" t="str">
        <f>LEFT(北段!#REF!,6)</f>
        <v>#ERROR!</v>
      </c>
      <c r="C31" s="24" t="str">
        <f>VLOOKUP(B31,'北段'!B:C,2,FALSE)</f>
        <v>#ERROR!</v>
      </c>
      <c r="D31" s="123" t="str">
        <f>LEFT(北段!#REF!,4)</f>
        <v>#ERROR!</v>
      </c>
      <c r="E31" s="123" t="str">
        <f>LEFT(北段!#REF!,4)</f>
        <v>#ERROR!</v>
      </c>
      <c r="F31" s="123" t="str">
        <f>LEFT(北段!#REF!,4)</f>
        <v>#ERROR!</v>
      </c>
      <c r="G31" s="123" t="str">
        <f>LEFT(北段!#REF!,4)</f>
        <v>#ERROR!</v>
      </c>
      <c r="H31" s="123" t="str">
        <f>LEFT(北段!#REF!,4)</f>
        <v>#ERROR!</v>
      </c>
      <c r="I31" s="123" t="str">
        <f>LEFT(北段!#REF!,4)</f>
        <v>#ERROR!</v>
      </c>
      <c r="J31" s="123" t="str">
        <f>LEFT(北段!#REF!,4)</f>
        <v>#ERROR!</v>
      </c>
      <c r="K31" s="123" t="str">
        <f>LEFT(北段!#REF!,4)</f>
        <v>#ERROR!</v>
      </c>
      <c r="L31" s="123" t="str">
        <f>LEFT(北段!#REF!,4)</f>
        <v>#ERROR!</v>
      </c>
      <c r="M31" s="123" t="str">
        <f>LEFT(北段!#REF!,4)</f>
        <v>#ERROR!</v>
      </c>
      <c r="N31" s="123" t="str">
        <f>LEFT(北段!#REF!,4)</f>
        <v>#ERROR!</v>
      </c>
      <c r="O31" s="123" t="str">
        <f>LEFT(北段!#REF!,4)</f>
        <v>#ERROR!</v>
      </c>
      <c r="P31" s="123" t="str">
        <f>LEFT(北段!#REF!,4)</f>
        <v>#ERROR!</v>
      </c>
      <c r="Q31" s="123" t="str">
        <f>LEFT(北段!#REF!,4)</f>
        <v>#ERROR!</v>
      </c>
      <c r="R31" s="123" t="str">
        <f>LEFT(北段!#REF!,4)</f>
        <v>#ERROR!</v>
      </c>
      <c r="S31" s="123" t="str">
        <f>LEFT(北段!#REF!,4)</f>
        <v>#ERROR!</v>
      </c>
      <c r="T31" s="123" t="str">
        <f>LEFT(北段!#REF!,4)</f>
        <v>#ERROR!</v>
      </c>
      <c r="U31" s="123" t="str">
        <f>LEFT(北段!#REF!,4)</f>
        <v>#ERROR!</v>
      </c>
      <c r="V31" s="123" t="str">
        <f>LEFT(北段!#REF!,4)</f>
        <v>#ERROR!</v>
      </c>
      <c r="W31" s="123" t="str">
        <f>LEFT(北段!#REF!,4)</f>
        <v>#ERROR!</v>
      </c>
      <c r="X31" s="123" t="str">
        <f>LEFT(北段!#REF!,4)</f>
        <v>#ERROR!</v>
      </c>
      <c r="Y31" s="123" t="str">
        <f>LEFT(北段!#REF!,4)</f>
        <v>#ERROR!</v>
      </c>
      <c r="Z31" s="123" t="str">
        <f>LEFT(北段!#REF!,4)</f>
        <v>#ERROR!</v>
      </c>
      <c r="AA31" s="123" t="str">
        <f>LEFT(北段!#REF!,4)</f>
        <v>#ERROR!</v>
      </c>
      <c r="AB31" s="123" t="str">
        <f>LEFT(北段!#REF!,4)</f>
        <v>#ERROR!</v>
      </c>
      <c r="AC31" s="123" t="str">
        <f>LEFT(北段!#REF!,4)</f>
        <v>#ERROR!</v>
      </c>
      <c r="AD31" s="123" t="str">
        <f>LEFT(北段!#REF!,4)</f>
        <v>#ERROR!</v>
      </c>
      <c r="AE31" s="123" t="str">
        <f>LEFT(北段!#REF!,4)</f>
        <v>#ERROR!</v>
      </c>
      <c r="AF31" s="123" t="str">
        <f>LEFT(北段!#REF!,4)</f>
        <v>#ERROR!</v>
      </c>
      <c r="AG31" s="123" t="str">
        <f>LEFT(北段!#REF!,4)</f>
        <v>#ERROR!</v>
      </c>
      <c r="AH31" s="123" t="str">
        <f>LEFT(北段!#REF!,4)</f>
        <v>#ERROR!</v>
      </c>
      <c r="AI31" s="123" t="str">
        <f>LEFT(北段!#REF!,4)</f>
        <v>#ERROR!</v>
      </c>
      <c r="AJ31" s="123" t="str">
        <f>LEFT(北段!#REF!,4)</f>
        <v>#ERROR!</v>
      </c>
      <c r="AK31" s="123" t="str">
        <f>LEFT(北段!#REF!,4)</f>
        <v>#ERROR!</v>
      </c>
      <c r="AL31" s="123" t="str">
        <f>LEFT(北段!#REF!,4)</f>
        <v>#ERROR!</v>
      </c>
    </row>
    <row r="32" ht="39.75" customHeight="1">
      <c r="A32" s="126"/>
      <c r="B32" s="24" t="str">
        <f>LEFT(北段!#REF!,6)</f>
        <v>#ERROR!</v>
      </c>
      <c r="C32" s="24" t="str">
        <f>VLOOKUP(B32,'北段'!B:C,2,FALSE)</f>
        <v>#ERROR!</v>
      </c>
      <c r="D32" s="123" t="str">
        <f>LEFT(北段!#REF!,4)</f>
        <v>#ERROR!</v>
      </c>
      <c r="E32" s="123" t="str">
        <f>LEFT(北段!#REF!,4)</f>
        <v>#ERROR!</v>
      </c>
      <c r="F32" s="123" t="str">
        <f>LEFT(北段!#REF!,4)</f>
        <v>#ERROR!</v>
      </c>
      <c r="G32" s="123" t="str">
        <f>LEFT(北段!#REF!,4)</f>
        <v>#ERROR!</v>
      </c>
      <c r="H32" s="123" t="str">
        <f>LEFT(北段!#REF!,4)</f>
        <v>#ERROR!</v>
      </c>
      <c r="I32" s="123" t="str">
        <f>LEFT(北段!#REF!,4)</f>
        <v>#ERROR!</v>
      </c>
      <c r="J32" s="123" t="str">
        <f>LEFT(北段!#REF!,4)</f>
        <v>#ERROR!</v>
      </c>
      <c r="K32" s="123" t="str">
        <f>LEFT(北段!#REF!,4)</f>
        <v>#ERROR!</v>
      </c>
      <c r="L32" s="123" t="str">
        <f>LEFT(北段!#REF!,4)</f>
        <v>#ERROR!</v>
      </c>
      <c r="M32" s="123" t="str">
        <f>LEFT(北段!#REF!,4)</f>
        <v>#ERROR!</v>
      </c>
      <c r="N32" s="123" t="str">
        <f>LEFT(北段!#REF!,4)</f>
        <v>#ERROR!</v>
      </c>
      <c r="O32" s="123" t="str">
        <f>LEFT(北段!#REF!,4)</f>
        <v>#ERROR!</v>
      </c>
      <c r="P32" s="123" t="str">
        <f>LEFT(北段!#REF!,4)</f>
        <v>#ERROR!</v>
      </c>
      <c r="Q32" s="123" t="str">
        <f>LEFT(北段!#REF!,4)</f>
        <v>#ERROR!</v>
      </c>
      <c r="R32" s="123" t="str">
        <f>LEFT(北段!#REF!,4)</f>
        <v>#ERROR!</v>
      </c>
      <c r="S32" s="123" t="str">
        <f>LEFT(北段!#REF!,4)</f>
        <v>#ERROR!</v>
      </c>
      <c r="T32" s="123" t="str">
        <f>LEFT(北段!#REF!,4)</f>
        <v>#ERROR!</v>
      </c>
      <c r="U32" s="123" t="str">
        <f>LEFT(北段!#REF!,4)</f>
        <v>#ERROR!</v>
      </c>
      <c r="V32" s="123" t="str">
        <f>LEFT(北段!#REF!,4)</f>
        <v>#ERROR!</v>
      </c>
      <c r="W32" s="123" t="str">
        <f>LEFT(北段!#REF!,6)</f>
        <v>#ERROR!</v>
      </c>
      <c r="X32" s="123" t="str">
        <f>LEFT(北段!#REF!,4)</f>
        <v>#ERROR!</v>
      </c>
      <c r="Y32" s="123" t="str">
        <f>LEFT(北段!#REF!,4)</f>
        <v>#ERROR!</v>
      </c>
      <c r="Z32" s="123" t="str">
        <f>LEFT(北段!#REF!,4)</f>
        <v>#ERROR!</v>
      </c>
      <c r="AA32" s="123" t="str">
        <f>LEFT(北段!#REF!,4)</f>
        <v>#ERROR!</v>
      </c>
      <c r="AB32" s="123" t="str">
        <f>LEFT(北段!#REF!,4)</f>
        <v>#ERROR!</v>
      </c>
      <c r="AC32" s="123" t="str">
        <f>LEFT(北段!#REF!,4)</f>
        <v>#ERROR!</v>
      </c>
      <c r="AD32" s="123" t="str">
        <f>LEFT(北段!#REF!,4)</f>
        <v>#ERROR!</v>
      </c>
      <c r="AE32" s="123" t="str">
        <f>LEFT(北段!#REF!,4)</f>
        <v>#ERROR!</v>
      </c>
      <c r="AF32" s="123" t="str">
        <f>LEFT(北段!#REF!,4)</f>
        <v>#ERROR!</v>
      </c>
      <c r="AG32" s="123" t="str">
        <f>LEFT(北段!#REF!,4)</f>
        <v>#ERROR!</v>
      </c>
      <c r="AH32" s="123" t="str">
        <f>LEFT(北段!#REF!,4)</f>
        <v>#ERROR!</v>
      </c>
      <c r="AI32" s="123" t="str">
        <f>LEFT(北段!#REF!,4)</f>
        <v>#ERROR!</v>
      </c>
      <c r="AJ32" s="123" t="str">
        <f>LEFT(北段!#REF!,4)</f>
        <v>#ERROR!</v>
      </c>
      <c r="AK32" s="123" t="str">
        <f>LEFT(北段!#REF!,4)</f>
        <v>#ERROR!</v>
      </c>
      <c r="AL32" s="123" t="str">
        <f>LEFT(北段!#REF!,4)</f>
        <v>#ERROR!</v>
      </c>
    </row>
    <row r="33" ht="39.75" customHeight="1">
      <c r="A33" s="126"/>
      <c r="B33" s="24" t="str">
        <f>LEFT(北段!#REF!,6)</f>
        <v>#ERROR!</v>
      </c>
      <c r="C33" s="24" t="str">
        <f>VLOOKUP(B33,'北段'!B:C,2,FALSE)</f>
        <v>#ERROR!</v>
      </c>
      <c r="D33" s="123" t="str">
        <f>LEFT(北段!#REF!,4)</f>
        <v>#ERROR!</v>
      </c>
      <c r="E33" s="123" t="str">
        <f>LEFT(北段!#REF!,4)</f>
        <v>#ERROR!</v>
      </c>
      <c r="F33" s="123" t="str">
        <f>LEFT(北段!#REF!,4)</f>
        <v>#ERROR!</v>
      </c>
      <c r="G33" s="123" t="str">
        <f>LEFT(北段!#REF!,4)</f>
        <v>#ERROR!</v>
      </c>
      <c r="H33" s="123" t="str">
        <f>LEFT(北段!#REF!,4)</f>
        <v>#ERROR!</v>
      </c>
      <c r="I33" s="123" t="str">
        <f>LEFT(北段!#REF!,4)</f>
        <v>#ERROR!</v>
      </c>
      <c r="J33" s="123" t="str">
        <f>LEFT(北段!#REF!,4)</f>
        <v>#ERROR!</v>
      </c>
      <c r="K33" s="123" t="str">
        <f>LEFT(北段!#REF!,4)</f>
        <v>#ERROR!</v>
      </c>
      <c r="L33" s="123" t="str">
        <f>LEFT(北段!#REF!,4)</f>
        <v>#ERROR!</v>
      </c>
      <c r="M33" s="123" t="str">
        <f>LEFT(北段!#REF!,4)</f>
        <v>#ERROR!</v>
      </c>
      <c r="N33" s="123" t="str">
        <f>LEFT(北段!#REF!,4)</f>
        <v>#ERROR!</v>
      </c>
      <c r="O33" s="123" t="str">
        <f>LEFT(北段!#REF!,4)</f>
        <v>#ERROR!</v>
      </c>
      <c r="P33" s="123" t="str">
        <f>LEFT(北段!#REF!,4)</f>
        <v>#ERROR!</v>
      </c>
      <c r="Q33" s="123" t="str">
        <f>LEFT(北段!#REF!,4)</f>
        <v>#ERROR!</v>
      </c>
      <c r="R33" s="123" t="str">
        <f>LEFT(北段!#REF!,4)</f>
        <v>#ERROR!</v>
      </c>
      <c r="S33" s="123" t="str">
        <f>LEFT(北段!#REF!,4)</f>
        <v>#ERROR!</v>
      </c>
      <c r="T33" s="123" t="str">
        <f>LEFT(北段!#REF!,4)</f>
        <v>#ERROR!</v>
      </c>
      <c r="U33" s="123" t="str">
        <f>LEFT(北段!#REF!,4)</f>
        <v>#ERROR!</v>
      </c>
      <c r="V33" s="123" t="str">
        <f>LEFT(北段!#REF!,4)</f>
        <v>#ERROR!</v>
      </c>
      <c r="W33" s="123" t="str">
        <f>LEFT(北段!#REF!,4)</f>
        <v>#ERROR!</v>
      </c>
      <c r="X33" s="123" t="str">
        <f>LEFT(北段!#REF!,4)</f>
        <v>#ERROR!</v>
      </c>
      <c r="Y33" s="123" t="str">
        <f>LEFT(北段!#REF!,4)</f>
        <v>#ERROR!</v>
      </c>
      <c r="Z33" s="123" t="str">
        <f>LEFT(北段!#REF!,4)</f>
        <v>#ERROR!</v>
      </c>
      <c r="AA33" s="123" t="str">
        <f>LEFT(北段!#REF!,5)</f>
        <v>#ERROR!</v>
      </c>
      <c r="AB33" s="123" t="str">
        <f>LEFT(北段!#REF!,4)</f>
        <v>#ERROR!</v>
      </c>
      <c r="AC33" s="123" t="str">
        <f>LEFT(北段!#REF!,4)</f>
        <v>#ERROR!</v>
      </c>
      <c r="AD33" s="123" t="str">
        <f>LEFT(北段!#REF!,4)</f>
        <v>#ERROR!</v>
      </c>
      <c r="AE33" s="123" t="str">
        <f>LEFT(北段!#REF!,4)</f>
        <v>#ERROR!</v>
      </c>
      <c r="AF33" s="123" t="str">
        <f>LEFT(北段!#REF!,4)</f>
        <v>#ERROR!</v>
      </c>
      <c r="AG33" s="123" t="str">
        <f>LEFT(北段!#REF!,4)</f>
        <v>#ERROR!</v>
      </c>
      <c r="AH33" s="123" t="str">
        <f>LEFT(北段!#REF!,4)</f>
        <v>#ERROR!</v>
      </c>
      <c r="AI33" s="123" t="str">
        <f>LEFT(北段!#REF!,4)</f>
        <v>#ERROR!</v>
      </c>
      <c r="AJ33" s="123" t="str">
        <f>LEFT(北段!#REF!,4)</f>
        <v>#ERROR!</v>
      </c>
      <c r="AK33" s="123" t="str">
        <f>LEFT(北段!#REF!,4)</f>
        <v>#ERROR!</v>
      </c>
      <c r="AL33" s="123" t="str">
        <f>LEFT(北段!#REF!,4)</f>
        <v>#ERROR!</v>
      </c>
    </row>
    <row r="34" ht="39.75" customHeight="1">
      <c r="A34" s="126"/>
      <c r="B34" s="24" t="str">
        <f>LEFT(北段!#REF!,6)</f>
        <v>#ERROR!</v>
      </c>
      <c r="C34" s="24" t="str">
        <f>VLOOKUP(B34,'北段'!B:C,2,FALSE)</f>
        <v>#ERROR!</v>
      </c>
      <c r="D34" s="123" t="str">
        <f>LEFT(北段!#REF!,4)</f>
        <v>#ERROR!</v>
      </c>
      <c r="E34" s="123" t="str">
        <f>LEFT(北段!#REF!,4)</f>
        <v>#ERROR!</v>
      </c>
      <c r="F34" s="123" t="str">
        <f>LEFT(北段!#REF!,4)</f>
        <v>#ERROR!</v>
      </c>
      <c r="G34" s="123" t="str">
        <f>LEFT(北段!#REF!,4)</f>
        <v>#ERROR!</v>
      </c>
      <c r="H34" s="123" t="str">
        <f>LEFT(北段!#REF!,4)</f>
        <v>#ERROR!</v>
      </c>
      <c r="I34" s="123" t="str">
        <f>LEFT(北段!#REF!,4)</f>
        <v>#ERROR!</v>
      </c>
      <c r="J34" s="123" t="str">
        <f>LEFT(北段!#REF!,4)</f>
        <v>#ERROR!</v>
      </c>
      <c r="K34" s="123" t="str">
        <f>LEFT(北段!#REF!,4)</f>
        <v>#ERROR!</v>
      </c>
      <c r="L34" s="123" t="str">
        <f>LEFT(北段!#REF!,4)</f>
        <v>#ERROR!</v>
      </c>
      <c r="M34" s="123" t="str">
        <f>LEFT(北段!#REF!,4)</f>
        <v>#ERROR!</v>
      </c>
      <c r="N34" s="123" t="str">
        <f>LEFT(北段!#REF!,4)</f>
        <v>#ERROR!</v>
      </c>
      <c r="O34" s="123" t="str">
        <f>LEFT(北段!#REF!,4)</f>
        <v>#ERROR!</v>
      </c>
      <c r="P34" s="123" t="str">
        <f>LEFT(北段!#REF!,4)</f>
        <v>#ERROR!</v>
      </c>
      <c r="Q34" s="123" t="str">
        <f>LEFT(北段!#REF!,4)</f>
        <v>#ERROR!</v>
      </c>
      <c r="R34" s="123" t="str">
        <f>LEFT(北段!#REF!,4)</f>
        <v>#ERROR!</v>
      </c>
      <c r="S34" s="123" t="str">
        <f>LEFT(北段!#REF!,4)</f>
        <v>#ERROR!</v>
      </c>
      <c r="T34" s="123" t="str">
        <f>LEFT(北段!#REF!,4)</f>
        <v>#ERROR!</v>
      </c>
      <c r="U34" s="123" t="str">
        <f>LEFT(北段!#REF!,4)</f>
        <v>#ERROR!</v>
      </c>
      <c r="V34" s="123" t="str">
        <f>LEFT(北段!#REF!,4)</f>
        <v>#ERROR!</v>
      </c>
      <c r="W34" s="123" t="str">
        <f>LEFT(北段!#REF!,4)</f>
        <v>#ERROR!</v>
      </c>
      <c r="X34" s="123" t="str">
        <f>LEFT(北段!#REF!,4)</f>
        <v>#ERROR!</v>
      </c>
      <c r="Y34" s="123" t="str">
        <f>LEFT(北段!#REF!,4)</f>
        <v>#ERROR!</v>
      </c>
      <c r="Z34" s="123" t="str">
        <f>LEFT(北段!#REF!,4)</f>
        <v>#ERROR!</v>
      </c>
      <c r="AA34" s="123" t="str">
        <f>LEFT(北段!#REF!,4)</f>
        <v>#ERROR!</v>
      </c>
      <c r="AB34" s="123" t="str">
        <f>LEFT(北段!#REF!,4)</f>
        <v>#ERROR!</v>
      </c>
      <c r="AC34" s="123" t="str">
        <f>LEFT(北段!#REF!,4)</f>
        <v>#ERROR!</v>
      </c>
      <c r="AD34" s="123" t="str">
        <f>LEFT(北段!#REF!,4)</f>
        <v>#ERROR!</v>
      </c>
      <c r="AE34" s="123" t="str">
        <f>LEFT(北段!#REF!,4)</f>
        <v>#ERROR!</v>
      </c>
      <c r="AF34" s="123" t="str">
        <f>LEFT(北段!#REF!,4)</f>
        <v>#ERROR!</v>
      </c>
      <c r="AG34" s="123" t="str">
        <f>LEFT(北段!#REF!,4)</f>
        <v>#ERROR!</v>
      </c>
      <c r="AH34" s="123" t="str">
        <f>LEFT(北段!#REF!,4)</f>
        <v>#ERROR!</v>
      </c>
      <c r="AI34" s="123" t="str">
        <f>LEFT(北段!#REF!,4)</f>
        <v>#ERROR!</v>
      </c>
      <c r="AJ34" s="123" t="str">
        <f>LEFT(北段!#REF!,4)</f>
        <v>#ERROR!</v>
      </c>
      <c r="AK34" s="123" t="str">
        <f>LEFT(北段!#REF!,4)</f>
        <v>#ERROR!</v>
      </c>
      <c r="AL34" s="123" t="str">
        <f>LEFT(北段!#REF!,4)</f>
        <v>#ERROR!</v>
      </c>
    </row>
    <row r="35" ht="39.75" customHeight="1">
      <c r="A35" s="126"/>
      <c r="B35" s="24" t="str">
        <f>LEFT(北段!#REF!,6)</f>
        <v>#ERROR!</v>
      </c>
      <c r="C35" s="24" t="str">
        <f>VLOOKUP(B35,'北段'!B:C,2,FALSE)</f>
        <v>#ERROR!</v>
      </c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</row>
    <row r="36" ht="39.75" customHeight="1">
      <c r="A36" s="126"/>
      <c r="B36" s="24" t="str">
        <f>LEFT(北段!#REF!,6)</f>
        <v>#ERROR!</v>
      </c>
      <c r="C36" s="24" t="str">
        <f>VLOOKUP(B36,'北段'!B:C,2,FALSE)</f>
        <v>#ERROR!</v>
      </c>
      <c r="D36" s="123" t="str">
        <f>LEFT(北段!#REF!,4)</f>
        <v>#ERROR!</v>
      </c>
      <c r="E36" s="123" t="str">
        <f>LEFT(北段!#REF!,4)</f>
        <v>#ERROR!</v>
      </c>
      <c r="F36" s="123" t="str">
        <f>LEFT(北段!#REF!,4)</f>
        <v>#ERROR!</v>
      </c>
      <c r="G36" s="123" t="str">
        <f>LEFT(北段!#REF!,4)</f>
        <v>#ERROR!</v>
      </c>
      <c r="H36" s="123" t="str">
        <f>LEFT(北段!#REF!,4)</f>
        <v>#ERROR!</v>
      </c>
      <c r="I36" s="123" t="str">
        <f>LEFT(北段!#REF!,4)</f>
        <v>#ERROR!</v>
      </c>
      <c r="J36" s="123" t="str">
        <f>LEFT(北段!#REF!,4)</f>
        <v>#ERROR!</v>
      </c>
      <c r="K36" s="123" t="str">
        <f>LEFT(北段!#REF!,4)</f>
        <v>#ERROR!</v>
      </c>
      <c r="L36" s="123" t="str">
        <f>LEFT(北段!#REF!,4)</f>
        <v>#ERROR!</v>
      </c>
      <c r="M36" s="123" t="str">
        <f>LEFT(北段!#REF!,4)</f>
        <v>#ERROR!</v>
      </c>
      <c r="N36" s="123" t="str">
        <f>LEFT(北段!#REF!,4)</f>
        <v>#ERROR!</v>
      </c>
      <c r="O36" s="123" t="str">
        <f>LEFT(北段!#REF!,4)</f>
        <v>#ERROR!</v>
      </c>
      <c r="P36" s="123" t="str">
        <f>LEFT(北段!#REF!,4)</f>
        <v>#ERROR!</v>
      </c>
      <c r="Q36" s="123" t="str">
        <f>LEFT(北段!#REF!,4)</f>
        <v>#ERROR!</v>
      </c>
      <c r="R36" s="123" t="str">
        <f>LEFT(北段!#REF!,4)</f>
        <v>#ERROR!</v>
      </c>
      <c r="S36" s="123" t="str">
        <f>LEFT(北段!#REF!,4)</f>
        <v>#ERROR!</v>
      </c>
      <c r="T36" s="123" t="str">
        <f>LEFT(北段!#REF!,4)</f>
        <v>#ERROR!</v>
      </c>
      <c r="U36" s="123" t="str">
        <f>LEFT(北段!#REF!,4)</f>
        <v>#ERROR!</v>
      </c>
      <c r="V36" s="123" t="str">
        <f>LEFT(北段!#REF!,4)</f>
        <v>#ERROR!</v>
      </c>
      <c r="W36" s="123" t="str">
        <f>LEFT(北段!#REF!,4)</f>
        <v>#ERROR!</v>
      </c>
      <c r="X36" s="123" t="str">
        <f>LEFT(北段!#REF!,4)</f>
        <v>#ERROR!</v>
      </c>
      <c r="Y36" s="123" t="str">
        <f>LEFT(北段!#REF!,4)</f>
        <v>#ERROR!</v>
      </c>
      <c r="Z36" s="123" t="str">
        <f>LEFT(北段!#REF!,4)</f>
        <v>#ERROR!</v>
      </c>
      <c r="AA36" s="123" t="str">
        <f>LEFT(北段!#REF!,4)</f>
        <v>#ERROR!</v>
      </c>
      <c r="AB36" s="123" t="str">
        <f>LEFT(北段!#REF!,4)</f>
        <v>#ERROR!</v>
      </c>
      <c r="AC36" s="123" t="str">
        <f>LEFT(北段!#REF!,4)</f>
        <v>#ERROR!</v>
      </c>
      <c r="AD36" s="123" t="str">
        <f>LEFT(北段!#REF!,4)</f>
        <v>#ERROR!</v>
      </c>
      <c r="AE36" s="123" t="str">
        <f>LEFT(北段!#REF!,4)</f>
        <v>#ERROR!</v>
      </c>
      <c r="AF36" s="123" t="str">
        <f>LEFT(北段!#REF!,4)</f>
        <v>#ERROR!</v>
      </c>
      <c r="AG36" s="123" t="str">
        <f>LEFT(北段!#REF!,4)</f>
        <v>#ERROR!</v>
      </c>
      <c r="AH36" s="123" t="str">
        <f>LEFT(北段!#REF!,4)</f>
        <v>#ERROR!</v>
      </c>
      <c r="AI36" s="123" t="str">
        <f>LEFT(北段!#REF!,4)</f>
        <v>#ERROR!</v>
      </c>
      <c r="AJ36" s="123" t="str">
        <f>LEFT(北段!#REF!,4)</f>
        <v>#ERROR!</v>
      </c>
      <c r="AK36" s="123" t="str">
        <f>LEFT(北段!#REF!,4)</f>
        <v>#ERROR!</v>
      </c>
      <c r="AL36" s="123" t="str">
        <f>LEFT(北段!#REF!,4)</f>
        <v>#ERROR!</v>
      </c>
    </row>
    <row r="37" ht="39.0" customHeight="1">
      <c r="A37" s="129"/>
      <c r="B37" s="24" t="str">
        <f>LEFT(北段!#REF!,6)</f>
        <v>#ERROR!</v>
      </c>
      <c r="C37" s="24" t="str">
        <f>VLOOKUP(B37,'北段'!B:C,2,FALSE)</f>
        <v>#ERROR!</v>
      </c>
      <c r="D37" s="123" t="str">
        <f>LEFT(北段!#REF!,4)</f>
        <v>#ERROR!</v>
      </c>
      <c r="E37" s="123" t="str">
        <f>LEFT(北段!#REF!,4)</f>
        <v>#ERROR!</v>
      </c>
      <c r="F37" s="123" t="str">
        <f>LEFT(北段!#REF!,4)</f>
        <v>#ERROR!</v>
      </c>
      <c r="G37" s="123" t="str">
        <f>LEFT(北段!#REF!,4)</f>
        <v>#ERROR!</v>
      </c>
      <c r="H37" s="123" t="str">
        <f>LEFT(北段!#REF!,4)</f>
        <v>#ERROR!</v>
      </c>
      <c r="I37" s="123" t="str">
        <f>LEFT(北段!#REF!,4)</f>
        <v>#ERROR!</v>
      </c>
      <c r="J37" s="123" t="str">
        <f>LEFT(北段!#REF!,4)</f>
        <v>#ERROR!</v>
      </c>
      <c r="K37" s="123" t="str">
        <f>LEFT(北段!#REF!,4)</f>
        <v>#ERROR!</v>
      </c>
      <c r="L37" s="123" t="str">
        <f>LEFT(北段!#REF!,4)</f>
        <v>#ERROR!</v>
      </c>
      <c r="M37" s="123" t="str">
        <f>LEFT(北段!#REF!,4)</f>
        <v>#ERROR!</v>
      </c>
      <c r="N37" s="123" t="str">
        <f>LEFT(北段!#REF!,4)</f>
        <v>#ERROR!</v>
      </c>
      <c r="O37" s="123" t="str">
        <f>LEFT(北段!#REF!,4)</f>
        <v>#ERROR!</v>
      </c>
      <c r="P37" s="123" t="str">
        <f>LEFT(北段!#REF!,4)</f>
        <v>#ERROR!</v>
      </c>
      <c r="Q37" s="123" t="str">
        <f>LEFT(北段!#REF!,4)</f>
        <v>#ERROR!</v>
      </c>
      <c r="R37" s="123" t="str">
        <f>LEFT(北段!#REF!,4)</f>
        <v>#ERROR!</v>
      </c>
      <c r="S37" s="123" t="str">
        <f>LEFT(北段!#REF!,4)</f>
        <v>#ERROR!</v>
      </c>
      <c r="T37" s="123" t="str">
        <f>LEFT(北段!#REF!,4)</f>
        <v>#ERROR!</v>
      </c>
      <c r="U37" s="123" t="str">
        <f>LEFT(北段!#REF!,4)</f>
        <v>#ERROR!</v>
      </c>
      <c r="V37" s="123" t="str">
        <f>LEFT(北段!#REF!,4)</f>
        <v>#ERROR!</v>
      </c>
      <c r="W37" s="123" t="str">
        <f>LEFT(北段!#REF!,4)</f>
        <v>#ERROR!</v>
      </c>
      <c r="X37" s="123" t="str">
        <f>LEFT(北段!#REF!,4)</f>
        <v>#ERROR!</v>
      </c>
      <c r="Y37" s="123" t="str">
        <f>LEFT(北段!#REF!,4)</f>
        <v>#ERROR!</v>
      </c>
      <c r="Z37" s="123" t="str">
        <f>LEFT(北段!#REF!,4)</f>
        <v>#ERROR!</v>
      </c>
      <c r="AA37" s="123" t="str">
        <f>LEFT(北段!#REF!,4)</f>
        <v>#ERROR!</v>
      </c>
      <c r="AB37" s="123" t="str">
        <f>LEFT(北段!#REF!,4)</f>
        <v>#ERROR!</v>
      </c>
      <c r="AC37" s="123" t="str">
        <f>LEFT(北段!#REF!,4)</f>
        <v>#ERROR!</v>
      </c>
      <c r="AD37" s="123" t="str">
        <f>LEFT(北段!#REF!,4)</f>
        <v>#ERROR!</v>
      </c>
      <c r="AE37" s="123" t="str">
        <f>LEFT(北段!#REF!,4)</f>
        <v>#ERROR!</v>
      </c>
      <c r="AF37" s="123" t="str">
        <f>LEFT(北段!#REF!,4)</f>
        <v>#ERROR!</v>
      </c>
      <c r="AG37" s="123" t="str">
        <f>LEFT(北段!#REF!,4)</f>
        <v>#ERROR!</v>
      </c>
      <c r="AH37" s="123" t="str">
        <f>LEFT(北段!#REF!,4)</f>
        <v>#ERROR!</v>
      </c>
      <c r="AI37" s="123" t="str">
        <f>LEFT(北段!#REF!,4)</f>
        <v>#ERROR!</v>
      </c>
      <c r="AJ37" s="123" t="str">
        <f>LEFT(北段!#REF!,4)</f>
        <v>#ERROR!</v>
      </c>
      <c r="AK37" s="123" t="str">
        <f>LEFT(北段!#REF!,4)</f>
        <v>#ERROR!</v>
      </c>
      <c r="AL37" s="123" t="str">
        <f>LEFT(北段!#REF!,4)</f>
        <v>#ERROR!</v>
      </c>
    </row>
    <row r="38" ht="39.75" customHeight="1">
      <c r="A38" s="126"/>
      <c r="B38" s="24" t="str">
        <f>LEFT(北段!#REF!,6)</f>
        <v>#ERROR!</v>
      </c>
      <c r="C38" s="24" t="str">
        <f>VLOOKUP(B38,'北段'!B:C,2,FALSE)</f>
        <v>#ERROR!</v>
      </c>
      <c r="D38" s="123" t="str">
        <f>LEFT(北段!#REF!,4)</f>
        <v>#ERROR!</v>
      </c>
      <c r="E38" s="123" t="str">
        <f>LEFT(北段!#REF!,4)</f>
        <v>#ERROR!</v>
      </c>
      <c r="F38" s="123" t="str">
        <f>LEFT(北段!#REF!,4)</f>
        <v>#ERROR!</v>
      </c>
      <c r="G38" s="123" t="str">
        <f>LEFT(北段!#REF!,4)</f>
        <v>#ERROR!</v>
      </c>
      <c r="H38" s="123" t="str">
        <f>LEFT(北段!#REF!,4)</f>
        <v>#ERROR!</v>
      </c>
      <c r="I38" s="123" t="str">
        <f>LEFT(北段!#REF!,4)</f>
        <v>#ERROR!</v>
      </c>
      <c r="J38" s="123" t="str">
        <f>LEFT(北段!#REF!,4)</f>
        <v>#ERROR!</v>
      </c>
      <c r="K38" s="123" t="str">
        <f>LEFT(北段!#REF!,4)</f>
        <v>#ERROR!</v>
      </c>
      <c r="L38" s="123" t="str">
        <f>LEFT(北段!#REF!,4)</f>
        <v>#ERROR!</v>
      </c>
      <c r="M38" s="123" t="str">
        <f>LEFT(北段!#REF!,4)</f>
        <v>#ERROR!</v>
      </c>
      <c r="N38" s="123" t="str">
        <f>LEFT(北段!#REF!,4)</f>
        <v>#ERROR!</v>
      </c>
      <c r="O38" s="123" t="str">
        <f>LEFT(北段!#REF!,4)</f>
        <v>#ERROR!</v>
      </c>
      <c r="P38" s="123" t="str">
        <f>LEFT(北段!#REF!,4)</f>
        <v>#ERROR!</v>
      </c>
      <c r="Q38" s="123" t="str">
        <f>LEFT(北段!#REF!,4)</f>
        <v>#ERROR!</v>
      </c>
      <c r="R38" s="123" t="str">
        <f>LEFT(北段!#REF!,4)</f>
        <v>#ERROR!</v>
      </c>
      <c r="S38" s="123" t="str">
        <f>LEFT(北段!#REF!,4)</f>
        <v>#ERROR!</v>
      </c>
      <c r="T38" s="123" t="str">
        <f>LEFT(北段!#REF!,4)</f>
        <v>#ERROR!</v>
      </c>
      <c r="U38" s="123" t="str">
        <f>LEFT(北段!#REF!,4)</f>
        <v>#ERROR!</v>
      </c>
      <c r="V38" s="123" t="str">
        <f>LEFT(北段!#REF!,4)</f>
        <v>#ERROR!</v>
      </c>
      <c r="W38" s="123" t="str">
        <f>LEFT(北段!#REF!,4)</f>
        <v>#ERROR!</v>
      </c>
      <c r="X38" s="123" t="str">
        <f>LEFT(北段!#REF!,4)</f>
        <v>#ERROR!</v>
      </c>
      <c r="Y38" s="123" t="str">
        <f>LEFT(北段!#REF!,4)</f>
        <v>#ERROR!</v>
      </c>
      <c r="Z38" s="123" t="str">
        <f>LEFT(北段!#REF!,4)</f>
        <v>#ERROR!</v>
      </c>
      <c r="AA38" s="123" t="str">
        <f>LEFT(北段!#REF!,4)</f>
        <v>#ERROR!</v>
      </c>
      <c r="AB38" s="123" t="str">
        <f>LEFT(北段!#REF!,4)</f>
        <v>#ERROR!</v>
      </c>
      <c r="AC38" s="123" t="str">
        <f>LEFT(北段!#REF!,4)</f>
        <v>#ERROR!</v>
      </c>
      <c r="AD38" s="123" t="str">
        <f>LEFT(北段!#REF!,4)</f>
        <v>#ERROR!</v>
      </c>
      <c r="AE38" s="123" t="str">
        <f>LEFT(北段!#REF!,4)</f>
        <v>#ERROR!</v>
      </c>
      <c r="AF38" s="123" t="str">
        <f>LEFT(北段!#REF!,4)</f>
        <v>#ERROR!</v>
      </c>
      <c r="AG38" s="123" t="str">
        <f>LEFT(北段!#REF!,4)</f>
        <v>#ERROR!</v>
      </c>
      <c r="AH38" s="123" t="str">
        <f>LEFT(北段!#REF!,4)</f>
        <v>#ERROR!</v>
      </c>
      <c r="AI38" s="123" t="str">
        <f>LEFT(北段!#REF!,4)</f>
        <v>#ERROR!</v>
      </c>
      <c r="AJ38" s="123" t="str">
        <f>LEFT(北段!#REF!,4)</f>
        <v>#ERROR!</v>
      </c>
      <c r="AK38" s="123" t="str">
        <f>LEFT(北段!#REF!,4)</f>
        <v>#ERROR!</v>
      </c>
      <c r="AL38" s="123" t="str">
        <f>LEFT(北段!#REF!,4)</f>
        <v>#ERROR!</v>
      </c>
    </row>
    <row r="39" ht="39.0" customHeight="1">
      <c r="A39" s="126"/>
      <c r="B39" s="24" t="str">
        <f>LEFT(北段!#REF!,6)</f>
        <v>#ERROR!</v>
      </c>
      <c r="C39" s="24" t="str">
        <f>VLOOKUP(B39,'北段'!B:C,2,FALSE)</f>
        <v>#ERROR!</v>
      </c>
      <c r="D39" s="123" t="str">
        <f>LEFT(北段!#REF!,4)</f>
        <v>#ERROR!</v>
      </c>
      <c r="E39" s="123" t="str">
        <f>LEFT(北段!#REF!,4)</f>
        <v>#ERROR!</v>
      </c>
      <c r="F39" s="123" t="str">
        <f>LEFT(北段!#REF!,4)</f>
        <v>#ERROR!</v>
      </c>
      <c r="G39" s="123" t="str">
        <f>LEFT(北段!#REF!,4)</f>
        <v>#ERROR!</v>
      </c>
      <c r="H39" s="123" t="str">
        <f>LEFT(北段!#REF!,4)</f>
        <v>#ERROR!</v>
      </c>
      <c r="I39" s="123" t="str">
        <f>LEFT(北段!#REF!,4)</f>
        <v>#ERROR!</v>
      </c>
      <c r="J39" s="123" t="str">
        <f>LEFT(北段!#REF!,4)</f>
        <v>#ERROR!</v>
      </c>
      <c r="K39" s="123" t="str">
        <f>LEFT(北段!#REF!,4)</f>
        <v>#ERROR!</v>
      </c>
      <c r="L39" s="123" t="str">
        <f>LEFT(北段!#REF!,4)</f>
        <v>#ERROR!</v>
      </c>
      <c r="M39" s="123" t="str">
        <f>LEFT(北段!#REF!,4)</f>
        <v>#ERROR!</v>
      </c>
      <c r="N39" s="123" t="str">
        <f>LEFT(北段!#REF!,4)</f>
        <v>#ERROR!</v>
      </c>
      <c r="O39" s="123" t="str">
        <f>LEFT(北段!#REF!,4)</f>
        <v>#ERROR!</v>
      </c>
      <c r="P39" s="123" t="str">
        <f>LEFT(北段!#REF!,4)</f>
        <v>#ERROR!</v>
      </c>
      <c r="Q39" s="123" t="str">
        <f>LEFT(北段!#REF!,4)</f>
        <v>#ERROR!</v>
      </c>
      <c r="R39" s="123" t="str">
        <f>LEFT(北段!#REF!,4)</f>
        <v>#ERROR!</v>
      </c>
      <c r="S39" s="123" t="str">
        <f>LEFT(北段!#REF!,4)</f>
        <v>#ERROR!</v>
      </c>
      <c r="T39" s="123" t="str">
        <f>LEFT(北段!#REF!,4)</f>
        <v>#ERROR!</v>
      </c>
      <c r="U39" s="123" t="str">
        <f>LEFT(北段!#REF!,4)</f>
        <v>#ERROR!</v>
      </c>
      <c r="V39" s="123" t="str">
        <f>LEFT(北段!#REF!,4)</f>
        <v>#ERROR!</v>
      </c>
      <c r="W39" s="123" t="str">
        <f>LEFT(北段!#REF!,4)</f>
        <v>#ERROR!</v>
      </c>
      <c r="X39" s="123" t="str">
        <f>LEFT(北段!#REF!,4)</f>
        <v>#ERROR!</v>
      </c>
      <c r="Y39" s="123" t="str">
        <f>LEFT(北段!#REF!,4)</f>
        <v>#ERROR!</v>
      </c>
      <c r="Z39" s="123" t="str">
        <f>LEFT(北段!#REF!,4)</f>
        <v>#ERROR!</v>
      </c>
      <c r="AA39" s="123" t="str">
        <f>LEFT(北段!#REF!,4)</f>
        <v>#ERROR!</v>
      </c>
      <c r="AB39" s="123" t="str">
        <f>LEFT(北段!#REF!,4)</f>
        <v>#ERROR!</v>
      </c>
      <c r="AC39" s="123" t="str">
        <f>LEFT(北段!#REF!,4)</f>
        <v>#ERROR!</v>
      </c>
      <c r="AD39" s="123" t="str">
        <f>LEFT(北段!#REF!,4)</f>
        <v>#ERROR!</v>
      </c>
      <c r="AE39" s="123" t="str">
        <f>LEFT(北段!#REF!,4)</f>
        <v>#ERROR!</v>
      </c>
      <c r="AF39" s="123" t="str">
        <f>LEFT(北段!#REF!,4)</f>
        <v>#ERROR!</v>
      </c>
      <c r="AG39" s="123" t="str">
        <f>LEFT(北段!#REF!,4)</f>
        <v>#ERROR!</v>
      </c>
      <c r="AH39" s="123" t="str">
        <f>LEFT(北段!#REF!,4)</f>
        <v>#ERROR!</v>
      </c>
      <c r="AI39" s="123" t="str">
        <f>LEFT(北段!#REF!,4)</f>
        <v>#ERROR!</v>
      </c>
      <c r="AJ39" s="123" t="str">
        <f>LEFT(北段!#REF!,4)</f>
        <v>#ERROR!</v>
      </c>
      <c r="AK39" s="123" t="str">
        <f>LEFT(北段!#REF!,4)</f>
        <v>#ERROR!</v>
      </c>
      <c r="AL39" s="123" t="str">
        <f>LEFT(北段!#REF!,4)</f>
        <v>#ERROR!</v>
      </c>
    </row>
    <row r="40" ht="39.0" customHeight="1">
      <c r="A40" s="127"/>
      <c r="B40" s="24" t="str">
        <f>LEFT(北段!#REF!,6)</f>
        <v>#ERROR!</v>
      </c>
      <c r="C40" s="24" t="str">
        <f>VLOOKUP(B40,'北段'!B:C,2,FALSE)</f>
        <v>#ERROR!</v>
      </c>
      <c r="D40" s="123" t="str">
        <f>LEFT(北段!#REF!,4)</f>
        <v>#ERROR!</v>
      </c>
      <c r="E40" s="123" t="str">
        <f>LEFT(北段!#REF!,4)</f>
        <v>#ERROR!</v>
      </c>
      <c r="F40" s="123" t="str">
        <f>LEFT(北段!#REF!,4)</f>
        <v>#ERROR!</v>
      </c>
      <c r="G40" s="123" t="str">
        <f>LEFT(北段!#REF!,4)</f>
        <v>#ERROR!</v>
      </c>
      <c r="H40" s="123" t="str">
        <f>LEFT(北段!#REF!,4)</f>
        <v>#ERROR!</v>
      </c>
      <c r="I40" s="123" t="str">
        <f>LEFT(北段!#REF!,4)</f>
        <v>#ERROR!</v>
      </c>
      <c r="J40" s="123" t="str">
        <f>LEFT(北段!#REF!,4)</f>
        <v>#ERROR!</v>
      </c>
      <c r="K40" s="123" t="str">
        <f>LEFT(北段!#REF!,4)</f>
        <v>#ERROR!</v>
      </c>
      <c r="L40" s="123" t="str">
        <f>LEFT(北段!#REF!,4)</f>
        <v>#ERROR!</v>
      </c>
      <c r="M40" s="123" t="str">
        <f>LEFT(北段!#REF!,4)</f>
        <v>#ERROR!</v>
      </c>
      <c r="N40" s="123" t="str">
        <f>LEFT(北段!#REF!,4)</f>
        <v>#ERROR!</v>
      </c>
      <c r="O40" s="123" t="str">
        <f>LEFT(北段!#REF!,4)</f>
        <v>#ERROR!</v>
      </c>
      <c r="P40" s="123" t="str">
        <f>LEFT(北段!#REF!,4)</f>
        <v>#ERROR!</v>
      </c>
      <c r="Q40" s="123" t="str">
        <f>LEFT(北段!#REF!,4)</f>
        <v>#ERROR!</v>
      </c>
      <c r="R40" s="123" t="str">
        <f>LEFT(北段!#REF!,4)</f>
        <v>#ERROR!</v>
      </c>
      <c r="S40" s="123" t="str">
        <f>LEFT(北段!#REF!,4)</f>
        <v>#ERROR!</v>
      </c>
      <c r="T40" s="123" t="str">
        <f>LEFT(北段!#REF!,4)</f>
        <v>#ERROR!</v>
      </c>
      <c r="U40" s="123" t="str">
        <f>LEFT(北段!#REF!,4)</f>
        <v>#ERROR!</v>
      </c>
      <c r="V40" s="123" t="str">
        <f>LEFT(北段!#REF!,4)</f>
        <v>#ERROR!</v>
      </c>
      <c r="W40" s="123" t="str">
        <f>LEFT(北段!#REF!,4)</f>
        <v>#ERROR!</v>
      </c>
      <c r="X40" s="123" t="str">
        <f>LEFT(北段!#REF!,4)</f>
        <v>#ERROR!</v>
      </c>
      <c r="Y40" s="123" t="str">
        <f>LEFT(北段!#REF!,4)</f>
        <v>#ERROR!</v>
      </c>
      <c r="Z40" s="123" t="str">
        <f>LEFT(北段!#REF!,4)</f>
        <v>#ERROR!</v>
      </c>
      <c r="AA40" s="123" t="str">
        <f>LEFT(北段!#REF!,4)</f>
        <v>#ERROR!</v>
      </c>
      <c r="AB40" s="123" t="str">
        <f>LEFT(北段!#REF!,4)</f>
        <v>#ERROR!</v>
      </c>
      <c r="AC40" s="123" t="str">
        <f>LEFT(北段!#REF!,4)</f>
        <v>#ERROR!</v>
      </c>
      <c r="AD40" s="123" t="str">
        <f>LEFT(北段!#REF!,4)</f>
        <v>#ERROR!</v>
      </c>
      <c r="AE40" s="123" t="str">
        <f>LEFT(北段!#REF!,4)</f>
        <v>#ERROR!</v>
      </c>
      <c r="AF40" s="123" t="str">
        <f>LEFT(北段!#REF!,4)</f>
        <v>#ERROR!</v>
      </c>
      <c r="AG40" s="123" t="str">
        <f>LEFT(北段!#REF!,4)</f>
        <v>#ERROR!</v>
      </c>
      <c r="AH40" s="123" t="str">
        <f>LEFT(北段!#REF!,4)</f>
        <v>#ERROR!</v>
      </c>
      <c r="AI40" s="123" t="str">
        <f>LEFT(北段!#REF!,4)</f>
        <v>#ERROR!</v>
      </c>
      <c r="AJ40" s="123" t="str">
        <f>LEFT(北段!#REF!,4)</f>
        <v>#ERROR!</v>
      </c>
      <c r="AK40" s="123" t="str">
        <f>LEFT(北段!#REF!,4)</f>
        <v>#ERROR!</v>
      </c>
      <c r="AL40" s="123" t="str">
        <f>LEFT(北段!#REF!,4)</f>
        <v>#ERROR!</v>
      </c>
    </row>
    <row r="41" ht="39.0" customHeight="1">
      <c r="A41" s="126"/>
      <c r="B41" s="24" t="str">
        <f>LEFT(北段!#REF!,6)</f>
        <v>#ERROR!</v>
      </c>
      <c r="C41" s="24" t="str">
        <f>VLOOKUP(B41,'北段'!B:C,2,FALSE)</f>
        <v>#ERROR!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</row>
    <row r="42" ht="39.75" customHeight="1">
      <c r="A42" s="112" t="s">
        <v>64</v>
      </c>
      <c r="B42" s="24" t="str">
        <f>LEFT(北段!#REF!,6)</f>
        <v>#ERROR!</v>
      </c>
      <c r="C42" s="24" t="str">
        <f>VLOOKUP(B42,'北段'!B:C,2,FALSE)</f>
        <v>#ERROR!</v>
      </c>
      <c r="D42" s="123" t="str">
        <f>LEFT(北段!#REF!,4)</f>
        <v>#ERROR!</v>
      </c>
      <c r="E42" s="123" t="str">
        <f>LEFT(北段!#REF!,4)</f>
        <v>#ERROR!</v>
      </c>
      <c r="F42" s="123" t="str">
        <f>LEFT(北段!#REF!,4)</f>
        <v>#ERROR!</v>
      </c>
      <c r="G42" s="123" t="str">
        <f>LEFT(北段!#REF!,4)</f>
        <v>#ERROR!</v>
      </c>
      <c r="H42" s="123" t="str">
        <f>LEFT(北段!#REF!,4)</f>
        <v>#ERROR!</v>
      </c>
      <c r="I42" s="123" t="str">
        <f>LEFT(北段!#REF!,4)</f>
        <v>#ERROR!</v>
      </c>
      <c r="J42" s="123" t="str">
        <f>LEFT(北段!#REF!,4)</f>
        <v>#ERROR!</v>
      </c>
      <c r="K42" s="123" t="str">
        <f>LEFT(北段!#REF!,4)</f>
        <v>#ERROR!</v>
      </c>
      <c r="L42" s="123" t="str">
        <f>LEFT(北段!#REF!,4)</f>
        <v>#ERROR!</v>
      </c>
      <c r="M42" s="123" t="str">
        <f>LEFT(北段!#REF!,4)</f>
        <v>#ERROR!</v>
      </c>
      <c r="N42" s="123" t="str">
        <f>LEFT(北段!#REF!,4)</f>
        <v>#ERROR!</v>
      </c>
      <c r="O42" s="123" t="str">
        <f>LEFT(北段!#REF!,4)</f>
        <v>#ERROR!</v>
      </c>
      <c r="P42" s="123" t="str">
        <f>LEFT(北段!#REF!,4)</f>
        <v>#ERROR!</v>
      </c>
      <c r="Q42" s="123" t="str">
        <f>LEFT(北段!#REF!,4)</f>
        <v>#ERROR!</v>
      </c>
      <c r="R42" s="123" t="str">
        <f>LEFT(北段!#REF!,4)</f>
        <v>#ERROR!</v>
      </c>
      <c r="S42" s="123" t="str">
        <f>LEFT(北段!#REF!,4)</f>
        <v>#ERROR!</v>
      </c>
      <c r="T42" s="123" t="str">
        <f>LEFT(北段!#REF!,4)</f>
        <v>#ERROR!</v>
      </c>
      <c r="U42" s="123" t="str">
        <f>LEFT(北段!#REF!,4)</f>
        <v>#ERROR!</v>
      </c>
      <c r="V42" s="123" t="str">
        <f>LEFT(北段!#REF!,4)</f>
        <v>#ERROR!</v>
      </c>
      <c r="W42" s="123" t="str">
        <f>LEFT(北段!#REF!,4)</f>
        <v>#ERROR!</v>
      </c>
      <c r="X42" s="123" t="str">
        <f>LEFT(北段!#REF!,4)</f>
        <v>#ERROR!</v>
      </c>
      <c r="Y42" s="123" t="str">
        <f>LEFT(北段!#REF!,4)</f>
        <v>#ERROR!</v>
      </c>
      <c r="Z42" s="123" t="str">
        <f>LEFT(北段!#REF!,4)</f>
        <v>#ERROR!</v>
      </c>
      <c r="AA42" s="123" t="str">
        <f>LEFT(北段!#REF!,5)</f>
        <v>#ERROR!</v>
      </c>
      <c r="AB42" s="123" t="str">
        <f>LEFT(北段!#REF!,4)</f>
        <v>#ERROR!</v>
      </c>
      <c r="AC42" s="123" t="str">
        <f>LEFT(北段!#REF!,4)</f>
        <v>#ERROR!</v>
      </c>
      <c r="AD42" s="123" t="str">
        <f>LEFT(北段!#REF!,4)</f>
        <v>#ERROR!</v>
      </c>
      <c r="AE42" s="123" t="str">
        <f>LEFT(北段!#REF!,4)</f>
        <v>#ERROR!</v>
      </c>
      <c r="AF42" s="123" t="str">
        <f>LEFT(北段!#REF!,4)</f>
        <v>#ERROR!</v>
      </c>
      <c r="AG42" s="123" t="str">
        <f>LEFT(北段!#REF!,4)</f>
        <v>#ERROR!</v>
      </c>
      <c r="AH42" s="123" t="str">
        <f>LEFT(北段!#REF!,4)</f>
        <v>#ERROR!</v>
      </c>
      <c r="AI42" s="123" t="str">
        <f>LEFT(北段!#REF!,4)</f>
        <v>#ERROR!</v>
      </c>
      <c r="AJ42" s="123" t="str">
        <f>LEFT(北段!#REF!,4)</f>
        <v>#ERROR!</v>
      </c>
      <c r="AK42" s="123" t="str">
        <f>LEFT(北段!#REF!,4)</f>
        <v>#ERROR!</v>
      </c>
      <c r="AL42" s="123" t="str">
        <f>LEFT(北段!#REF!,4)</f>
        <v>#ERROR!</v>
      </c>
    </row>
    <row r="43" ht="39.75" customHeight="1">
      <c r="A43" s="117"/>
      <c r="B43" s="24" t="str">
        <f>LEFT(北段!#REF!,6)</f>
        <v>#ERROR!</v>
      </c>
      <c r="C43" s="24" t="str">
        <f>VLOOKUP(B43,'北段'!B:C,2,FALSE)</f>
        <v>#ERROR!</v>
      </c>
      <c r="D43" s="123" t="str">
        <f>LEFT(北段!#REF!,4)</f>
        <v>#ERROR!</v>
      </c>
      <c r="E43" s="123" t="str">
        <f>LEFT(北段!#REF!,4)</f>
        <v>#ERROR!</v>
      </c>
      <c r="F43" s="123" t="str">
        <f>LEFT(北段!#REF!,4)</f>
        <v>#ERROR!</v>
      </c>
      <c r="G43" s="123" t="str">
        <f>LEFT(北段!#REF!,4)</f>
        <v>#ERROR!</v>
      </c>
      <c r="H43" s="123" t="str">
        <f>LEFT(北段!#REF!,4)</f>
        <v>#ERROR!</v>
      </c>
      <c r="I43" s="123" t="str">
        <f>LEFT(北段!#REF!,4)</f>
        <v>#ERROR!</v>
      </c>
      <c r="J43" s="123" t="str">
        <f>LEFT(北段!#REF!,4)</f>
        <v>#ERROR!</v>
      </c>
      <c r="K43" s="123" t="str">
        <f>LEFT(北段!#REF!,4)</f>
        <v>#ERROR!</v>
      </c>
      <c r="L43" s="123" t="str">
        <f>LEFT(北段!#REF!,4)</f>
        <v>#ERROR!</v>
      </c>
      <c r="M43" s="123" t="str">
        <f>LEFT(北段!#REF!,4)</f>
        <v>#ERROR!</v>
      </c>
      <c r="N43" s="123" t="str">
        <f>LEFT(北段!#REF!,4)</f>
        <v>#ERROR!</v>
      </c>
      <c r="O43" s="123" t="str">
        <f>LEFT(北段!#REF!,4)</f>
        <v>#ERROR!</v>
      </c>
      <c r="P43" s="123" t="str">
        <f>LEFT(北段!#REF!,4)</f>
        <v>#ERROR!</v>
      </c>
      <c r="Q43" s="123" t="str">
        <f>LEFT(北段!#REF!,4)</f>
        <v>#ERROR!</v>
      </c>
      <c r="R43" s="123" t="str">
        <f>LEFT(北段!#REF!,4)</f>
        <v>#ERROR!</v>
      </c>
      <c r="S43" s="123" t="str">
        <f>LEFT(北段!#REF!,4)</f>
        <v>#ERROR!</v>
      </c>
      <c r="T43" s="123" t="str">
        <f>LEFT(北段!#REF!,4)</f>
        <v>#ERROR!</v>
      </c>
      <c r="U43" s="123" t="str">
        <f>LEFT(北段!#REF!,4)</f>
        <v>#ERROR!</v>
      </c>
      <c r="V43" s="123" t="str">
        <f>LEFT(北段!#REF!,4)</f>
        <v>#ERROR!</v>
      </c>
      <c r="W43" s="123" t="str">
        <f>LEFT(北段!#REF!,4)</f>
        <v>#ERROR!</v>
      </c>
      <c r="X43" s="123" t="str">
        <f>LEFT(北段!#REF!,4)</f>
        <v>#ERROR!</v>
      </c>
      <c r="Y43" s="123" t="str">
        <f>LEFT(北段!#REF!,4)</f>
        <v>#ERROR!</v>
      </c>
      <c r="Z43" s="123" t="str">
        <f>LEFT(北段!#REF!,4)</f>
        <v>#ERROR!</v>
      </c>
      <c r="AA43" s="123" t="str">
        <f>LEFT(北段!#REF!,4)</f>
        <v>#ERROR!</v>
      </c>
      <c r="AB43" s="123" t="str">
        <f>LEFT(北段!#REF!,4)</f>
        <v>#ERROR!</v>
      </c>
      <c r="AC43" s="123" t="str">
        <f>LEFT(北段!#REF!,4)</f>
        <v>#ERROR!</v>
      </c>
      <c r="AD43" s="123" t="str">
        <f>LEFT(北段!#REF!,4)</f>
        <v>#ERROR!</v>
      </c>
      <c r="AE43" s="123" t="str">
        <f>LEFT(北段!#REF!,4)</f>
        <v>#ERROR!</v>
      </c>
      <c r="AF43" s="123" t="str">
        <f>LEFT(北段!#REF!,4)</f>
        <v>#ERROR!</v>
      </c>
      <c r="AG43" s="123" t="str">
        <f>LEFT(北段!#REF!,4)</f>
        <v>#ERROR!</v>
      </c>
      <c r="AH43" s="123" t="str">
        <f>LEFT(北段!#REF!,4)</f>
        <v>#ERROR!</v>
      </c>
      <c r="AI43" s="123" t="str">
        <f>LEFT(北段!#REF!,4)</f>
        <v>#ERROR!</v>
      </c>
      <c r="AJ43" s="123" t="str">
        <f>LEFT(北段!#REF!,4)</f>
        <v>#ERROR!</v>
      </c>
      <c r="AK43" s="123" t="str">
        <f>LEFT(北段!#REF!,4)</f>
        <v>#ERROR!</v>
      </c>
      <c r="AL43" s="123" t="str">
        <f>LEFT(北段!#REF!,4)</f>
        <v>#ERROR!</v>
      </c>
    </row>
    <row r="44" ht="39.0" customHeight="1">
      <c r="A44" s="117"/>
      <c r="B44" s="24" t="str">
        <f>LEFT(北段!#REF!,6)</f>
        <v>#ERROR!</v>
      </c>
      <c r="C44" s="24" t="str">
        <f>VLOOKUP(B44,'北段'!B:C,2,FALSE)</f>
        <v>#ERROR!</v>
      </c>
      <c r="D44" s="123" t="str">
        <f>LEFT(北段!#REF!,4)</f>
        <v>#ERROR!</v>
      </c>
      <c r="E44" s="123" t="str">
        <f>LEFT(北段!#REF!,4)</f>
        <v>#ERROR!</v>
      </c>
      <c r="F44" s="123" t="str">
        <f>LEFT(北段!#REF!,4)</f>
        <v>#ERROR!</v>
      </c>
      <c r="G44" s="123" t="str">
        <f>LEFT(北段!#REF!,4)</f>
        <v>#ERROR!</v>
      </c>
      <c r="H44" s="123" t="str">
        <f>LEFT(北段!#REF!,4)</f>
        <v>#ERROR!</v>
      </c>
      <c r="I44" s="123" t="str">
        <f>LEFT(北段!#REF!,4)</f>
        <v>#ERROR!</v>
      </c>
      <c r="J44" s="123" t="str">
        <f>LEFT(北段!#REF!,4)</f>
        <v>#ERROR!</v>
      </c>
      <c r="K44" s="123" t="str">
        <f>LEFT(北段!#REF!,4)</f>
        <v>#ERROR!</v>
      </c>
      <c r="L44" s="123" t="str">
        <f>LEFT(北段!#REF!,4)</f>
        <v>#ERROR!</v>
      </c>
      <c r="M44" s="123" t="str">
        <f>LEFT(北段!#REF!,4)</f>
        <v>#ERROR!</v>
      </c>
      <c r="N44" s="123" t="str">
        <f>LEFT(北段!#REF!,4)</f>
        <v>#ERROR!</v>
      </c>
      <c r="O44" s="123" t="str">
        <f>LEFT(北段!#REF!,4)</f>
        <v>#ERROR!</v>
      </c>
      <c r="P44" s="123" t="str">
        <f>LEFT(北段!#REF!,4)</f>
        <v>#ERROR!</v>
      </c>
      <c r="Q44" s="123" t="str">
        <f>LEFT(北段!#REF!,4)</f>
        <v>#ERROR!</v>
      </c>
      <c r="R44" s="123" t="str">
        <f>LEFT(北段!#REF!,4)</f>
        <v>#ERROR!</v>
      </c>
      <c r="S44" s="123" t="str">
        <f>LEFT(北段!#REF!,4)</f>
        <v>#ERROR!</v>
      </c>
      <c r="T44" s="123" t="str">
        <f>LEFT(北段!#REF!,4)</f>
        <v>#ERROR!</v>
      </c>
      <c r="U44" s="123" t="str">
        <f>LEFT(北段!#REF!,4)</f>
        <v>#ERROR!</v>
      </c>
      <c r="V44" s="123" t="str">
        <f>LEFT(北段!#REF!,4)</f>
        <v>#ERROR!</v>
      </c>
      <c r="W44" s="123" t="str">
        <f>LEFT(北段!#REF!,4)</f>
        <v>#ERROR!</v>
      </c>
      <c r="X44" s="123" t="str">
        <f>LEFT(北段!#REF!,4)</f>
        <v>#ERROR!</v>
      </c>
      <c r="Y44" s="123" t="str">
        <f>LEFT(北段!#REF!,4)</f>
        <v>#ERROR!</v>
      </c>
      <c r="Z44" s="123" t="str">
        <f>LEFT(北段!#REF!,4)</f>
        <v>#ERROR!</v>
      </c>
      <c r="AA44" s="123" t="str">
        <f>LEFT(北段!#REF!,4)</f>
        <v>#ERROR!</v>
      </c>
      <c r="AB44" s="123" t="str">
        <f>LEFT(北段!#REF!,4)</f>
        <v>#ERROR!</v>
      </c>
      <c r="AC44" s="123" t="str">
        <f>LEFT(北段!#REF!,4)</f>
        <v>#ERROR!</v>
      </c>
      <c r="AD44" s="123" t="str">
        <f>LEFT(北段!#REF!,4)</f>
        <v>#ERROR!</v>
      </c>
      <c r="AE44" s="123" t="str">
        <f>LEFT(北段!#REF!,4)</f>
        <v>#ERROR!</v>
      </c>
      <c r="AF44" s="123" t="str">
        <f>LEFT(北段!#REF!,4)</f>
        <v>#ERROR!</v>
      </c>
      <c r="AG44" s="123" t="str">
        <f>LEFT(北段!#REF!,4)</f>
        <v>#ERROR!</v>
      </c>
      <c r="AH44" s="123" t="str">
        <f>LEFT(北段!#REF!,4)</f>
        <v>#ERROR!</v>
      </c>
      <c r="AI44" s="123" t="str">
        <f>LEFT(北段!#REF!,4)</f>
        <v>#ERROR!</v>
      </c>
      <c r="AJ44" s="123" t="str">
        <f>LEFT(北段!#REF!,4)</f>
        <v>#ERROR!</v>
      </c>
      <c r="AK44" s="123" t="str">
        <f>LEFT(北段!#REF!,4)</f>
        <v>#ERROR!</v>
      </c>
      <c r="AL44" s="123" t="str">
        <f>LEFT(北段!#REF!,4)</f>
        <v>#ERROR!</v>
      </c>
    </row>
    <row r="45" ht="39.0" customHeight="1">
      <c r="A45" s="117"/>
      <c r="B45" s="24" t="str">
        <f>LEFT(北段!#REF!,6)</f>
        <v>#ERROR!</v>
      </c>
      <c r="C45" s="24" t="str">
        <f>VLOOKUP(B45,'北段'!B:C,2,FALSE)</f>
        <v>#ERROR!</v>
      </c>
      <c r="D45" s="123" t="str">
        <f>LEFT(北段!#REF!,4)</f>
        <v>#ERROR!</v>
      </c>
      <c r="E45" s="123" t="str">
        <f>LEFT(北段!#REF!,4)</f>
        <v>#ERROR!</v>
      </c>
      <c r="F45" s="123" t="str">
        <f>LEFT(北段!#REF!,4)</f>
        <v>#ERROR!</v>
      </c>
      <c r="G45" s="123" t="str">
        <f>LEFT(北段!#REF!,4)</f>
        <v>#ERROR!</v>
      </c>
      <c r="H45" s="123" t="str">
        <f>LEFT(北段!#REF!,4)</f>
        <v>#ERROR!</v>
      </c>
      <c r="I45" s="123" t="str">
        <f>LEFT(北段!#REF!,4)</f>
        <v>#ERROR!</v>
      </c>
      <c r="J45" s="123" t="str">
        <f>LEFT(北段!#REF!,4)</f>
        <v>#ERROR!</v>
      </c>
      <c r="K45" s="123" t="str">
        <f>LEFT(北段!#REF!,4)</f>
        <v>#ERROR!</v>
      </c>
      <c r="L45" s="123" t="str">
        <f>LEFT(北段!#REF!,4)</f>
        <v>#ERROR!</v>
      </c>
      <c r="M45" s="123" t="str">
        <f>LEFT(北段!#REF!,4)</f>
        <v>#ERROR!</v>
      </c>
      <c r="N45" s="123" t="str">
        <f>LEFT(北段!#REF!,4)</f>
        <v>#ERROR!</v>
      </c>
      <c r="O45" s="123" t="str">
        <f>LEFT(北段!#REF!,4)</f>
        <v>#ERROR!</v>
      </c>
      <c r="P45" s="123" t="str">
        <f>LEFT(北段!#REF!,4)</f>
        <v>#ERROR!</v>
      </c>
      <c r="Q45" s="123" t="str">
        <f>LEFT(北段!#REF!,4)</f>
        <v>#ERROR!</v>
      </c>
      <c r="R45" s="123" t="str">
        <f>LEFT(北段!#REF!,4)</f>
        <v>#ERROR!</v>
      </c>
      <c r="S45" s="123" t="str">
        <f>LEFT(北段!#REF!,4)</f>
        <v>#ERROR!</v>
      </c>
      <c r="T45" s="123" t="str">
        <f>LEFT(北段!#REF!,4)</f>
        <v>#ERROR!</v>
      </c>
      <c r="U45" s="123" t="str">
        <f>LEFT(北段!#REF!,4)</f>
        <v>#ERROR!</v>
      </c>
      <c r="V45" s="123" t="str">
        <f>LEFT(北段!#REF!,4)</f>
        <v>#ERROR!</v>
      </c>
      <c r="W45" s="123" t="str">
        <f>LEFT(北段!#REF!,4)</f>
        <v>#ERROR!</v>
      </c>
      <c r="X45" s="123" t="str">
        <f>LEFT(北段!#REF!,4)</f>
        <v>#ERROR!</v>
      </c>
      <c r="Y45" s="123" t="str">
        <f>LEFT(北段!#REF!,4)</f>
        <v>#ERROR!</v>
      </c>
      <c r="Z45" s="123" t="str">
        <f>LEFT(北段!#REF!,4)</f>
        <v>#ERROR!</v>
      </c>
      <c r="AA45" s="123" t="str">
        <f>LEFT(北段!#REF!,4)</f>
        <v>#ERROR!</v>
      </c>
      <c r="AB45" s="123" t="str">
        <f>LEFT(北段!#REF!,4)</f>
        <v>#ERROR!</v>
      </c>
      <c r="AC45" s="123" t="str">
        <f>LEFT(北段!#REF!,4)</f>
        <v>#ERROR!</v>
      </c>
      <c r="AD45" s="123" t="str">
        <f>LEFT(北段!#REF!,4)</f>
        <v>#ERROR!</v>
      </c>
      <c r="AE45" s="123" t="str">
        <f>LEFT(北段!#REF!,4)</f>
        <v>#ERROR!</v>
      </c>
      <c r="AF45" s="123" t="str">
        <f>LEFT(北段!#REF!,4)</f>
        <v>#ERROR!</v>
      </c>
      <c r="AG45" s="123" t="str">
        <f>LEFT(北段!#REF!,4)</f>
        <v>#ERROR!</v>
      </c>
      <c r="AH45" s="123" t="str">
        <f>LEFT(北段!#REF!,4)</f>
        <v>#ERROR!</v>
      </c>
      <c r="AI45" s="123" t="str">
        <f>LEFT(北段!#REF!,4)</f>
        <v>#ERROR!</v>
      </c>
      <c r="AJ45" s="123" t="str">
        <f>LEFT(北段!#REF!,4)</f>
        <v>#ERROR!</v>
      </c>
      <c r="AK45" s="123" t="str">
        <f>LEFT(北段!#REF!,4)</f>
        <v>#ERROR!</v>
      </c>
      <c r="AL45" s="123" t="str">
        <f>LEFT(北段!#REF!,4)</f>
        <v>#ERROR!</v>
      </c>
    </row>
    <row r="46" ht="39.0" customHeight="1">
      <c r="A46" s="117"/>
      <c r="B46" s="24" t="str">
        <f>LEFT(北段!#REF!,6)</f>
        <v>#ERROR!</v>
      </c>
      <c r="C46" s="24" t="str">
        <f>VLOOKUP(B46,'北段'!B:C,2,FALSE)</f>
        <v>#ERROR!</v>
      </c>
      <c r="D46" s="123" t="str">
        <f>LEFT(北段!#REF!,4)</f>
        <v>#ERROR!</v>
      </c>
      <c r="E46" s="123" t="str">
        <f>LEFT(北段!#REF!,4)</f>
        <v>#ERROR!</v>
      </c>
      <c r="F46" s="123" t="str">
        <f>LEFT(北段!#REF!,4)</f>
        <v>#ERROR!</v>
      </c>
      <c r="G46" s="123" t="str">
        <f>LEFT(北段!#REF!,4)</f>
        <v>#ERROR!</v>
      </c>
      <c r="H46" s="123" t="str">
        <f>LEFT(北段!#REF!,4)</f>
        <v>#ERROR!</v>
      </c>
      <c r="I46" s="123" t="str">
        <f>LEFT(北段!#REF!,4)</f>
        <v>#ERROR!</v>
      </c>
      <c r="J46" s="123" t="str">
        <f>LEFT(北段!#REF!,4)</f>
        <v>#ERROR!</v>
      </c>
      <c r="K46" s="123" t="str">
        <f>LEFT(北段!#REF!,4)</f>
        <v>#ERROR!</v>
      </c>
      <c r="L46" s="123" t="str">
        <f>LEFT(北段!#REF!,4)</f>
        <v>#ERROR!</v>
      </c>
      <c r="M46" s="123" t="str">
        <f>LEFT(北段!#REF!,4)</f>
        <v>#ERROR!</v>
      </c>
      <c r="N46" s="123" t="str">
        <f>LEFT(北段!#REF!,4)</f>
        <v>#ERROR!</v>
      </c>
      <c r="O46" s="123" t="str">
        <f>LEFT(北段!#REF!,4)</f>
        <v>#ERROR!</v>
      </c>
      <c r="P46" s="123" t="str">
        <f>LEFT(北段!#REF!,4)</f>
        <v>#ERROR!</v>
      </c>
      <c r="Q46" s="123" t="str">
        <f>LEFT(北段!#REF!,4)</f>
        <v>#ERROR!</v>
      </c>
      <c r="R46" s="123" t="str">
        <f>LEFT(北段!#REF!,4)</f>
        <v>#ERROR!</v>
      </c>
      <c r="S46" s="123" t="str">
        <f>LEFT(北段!#REF!,4)</f>
        <v>#ERROR!</v>
      </c>
      <c r="T46" s="123" t="str">
        <f>LEFT(北段!#REF!,4)</f>
        <v>#ERROR!</v>
      </c>
      <c r="U46" s="123" t="str">
        <f>LEFT(北段!#REF!,4)</f>
        <v>#ERROR!</v>
      </c>
      <c r="V46" s="123" t="str">
        <f>LEFT(北段!#REF!,4)</f>
        <v>#ERROR!</v>
      </c>
      <c r="W46" s="123" t="str">
        <f>LEFT(北段!#REF!,4)</f>
        <v>#ERROR!</v>
      </c>
      <c r="X46" s="123" t="str">
        <f>LEFT(北段!#REF!,4)</f>
        <v>#ERROR!</v>
      </c>
      <c r="Y46" s="123" t="str">
        <f>LEFT(北段!#REF!,4)</f>
        <v>#ERROR!</v>
      </c>
      <c r="Z46" s="123" t="str">
        <f>LEFT(北段!#REF!,4)</f>
        <v>#ERROR!</v>
      </c>
      <c r="AA46" s="123" t="str">
        <f>LEFT(北段!#REF!,4)</f>
        <v>#ERROR!</v>
      </c>
      <c r="AB46" s="123" t="str">
        <f>LEFT(北段!#REF!,4)</f>
        <v>#ERROR!</v>
      </c>
      <c r="AC46" s="123" t="str">
        <f>LEFT(北段!#REF!,4)</f>
        <v>#ERROR!</v>
      </c>
      <c r="AD46" s="123" t="str">
        <f>LEFT(北段!#REF!,4)</f>
        <v>#ERROR!</v>
      </c>
      <c r="AE46" s="123" t="str">
        <f>LEFT(北段!#REF!,4)</f>
        <v>#ERROR!</v>
      </c>
      <c r="AF46" s="123" t="str">
        <f>LEFT(北段!#REF!,4)</f>
        <v>#ERROR!</v>
      </c>
      <c r="AG46" s="123" t="str">
        <f>LEFT(北段!#REF!,4)</f>
        <v>#ERROR!</v>
      </c>
      <c r="AH46" s="123" t="str">
        <f>LEFT(北段!#REF!,4)</f>
        <v>#ERROR!</v>
      </c>
      <c r="AI46" s="123" t="str">
        <f>LEFT(北段!#REF!,4)</f>
        <v>#ERROR!</v>
      </c>
      <c r="AJ46" s="123" t="str">
        <f>LEFT(北段!#REF!,4)</f>
        <v>#ERROR!</v>
      </c>
      <c r="AK46" s="123" t="str">
        <f>LEFT(北段!#REF!,4)</f>
        <v>#ERROR!</v>
      </c>
      <c r="AL46" s="123" t="str">
        <f>LEFT(北段!#REF!,4)</f>
        <v>#ERROR!</v>
      </c>
    </row>
    <row r="47" ht="39.0" customHeight="1">
      <c r="A47" s="117"/>
      <c r="B47" s="24" t="str">
        <f>LEFT(北段!#REF!,6)</f>
        <v>#ERROR!</v>
      </c>
      <c r="C47" s="24" t="str">
        <f>VLOOKUP(B47,'北段'!B:C,2,FALSE)</f>
        <v>#ERROR!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</row>
    <row r="48" ht="39.75" customHeight="1">
      <c r="A48" s="117"/>
      <c r="B48" s="24" t="str">
        <f>LEFT(北段!#REF!,6)</f>
        <v>#ERROR!</v>
      </c>
      <c r="C48" s="24" t="str">
        <f>VLOOKUP(B48,'北段'!B:C,2,FALSE)</f>
        <v>#ERROR!</v>
      </c>
      <c r="D48" s="123" t="str">
        <f>LEFT(北段!#REF!,4)</f>
        <v>#ERROR!</v>
      </c>
      <c r="E48" s="123" t="str">
        <f>LEFT(北段!#REF!,4)</f>
        <v>#ERROR!</v>
      </c>
      <c r="F48" s="123" t="str">
        <f>LEFT(北段!#REF!,4)</f>
        <v>#ERROR!</v>
      </c>
      <c r="G48" s="123" t="str">
        <f>LEFT(北段!#REF!,4)</f>
        <v>#ERROR!</v>
      </c>
      <c r="H48" s="123" t="str">
        <f>LEFT(北段!#REF!,4)</f>
        <v>#ERROR!</v>
      </c>
      <c r="I48" s="123" t="str">
        <f>LEFT(北段!#REF!,4)</f>
        <v>#ERROR!</v>
      </c>
      <c r="J48" s="123" t="str">
        <f>LEFT(北段!#REF!,4)</f>
        <v>#ERROR!</v>
      </c>
      <c r="K48" s="123" t="str">
        <f>LEFT(北段!#REF!,4)</f>
        <v>#ERROR!</v>
      </c>
      <c r="L48" s="123" t="str">
        <f>LEFT(北段!#REF!,4)</f>
        <v>#ERROR!</v>
      </c>
      <c r="M48" s="123" t="str">
        <f>LEFT(北段!#REF!,4)</f>
        <v>#ERROR!</v>
      </c>
      <c r="N48" s="123" t="str">
        <f>LEFT(北段!#REF!,4)</f>
        <v>#ERROR!</v>
      </c>
      <c r="O48" s="123" t="str">
        <f>LEFT(北段!#REF!,4)</f>
        <v>#ERROR!</v>
      </c>
      <c r="P48" s="123" t="str">
        <f>LEFT(北段!#REF!,4)</f>
        <v>#ERROR!</v>
      </c>
      <c r="Q48" s="123" t="str">
        <f>LEFT(北段!#REF!,4)</f>
        <v>#ERROR!</v>
      </c>
      <c r="R48" s="123" t="str">
        <f>LEFT(北段!#REF!,4)</f>
        <v>#ERROR!</v>
      </c>
      <c r="S48" s="123" t="str">
        <f>LEFT(北段!#REF!,4)</f>
        <v>#ERROR!</v>
      </c>
      <c r="T48" s="123" t="str">
        <f>LEFT(北段!#REF!,4)</f>
        <v>#ERROR!</v>
      </c>
      <c r="U48" s="123" t="str">
        <f>LEFT(北段!#REF!,4)</f>
        <v>#ERROR!</v>
      </c>
      <c r="V48" s="123" t="str">
        <f>LEFT(北段!#REF!,4)</f>
        <v>#ERROR!</v>
      </c>
      <c r="W48" s="123" t="str">
        <f>LEFT(北段!#REF!,4)</f>
        <v>#ERROR!</v>
      </c>
      <c r="X48" s="123" t="str">
        <f>LEFT(北段!#REF!,4)</f>
        <v>#ERROR!</v>
      </c>
      <c r="Y48" s="123" t="str">
        <f>LEFT(北段!#REF!,4)</f>
        <v>#ERROR!</v>
      </c>
      <c r="Z48" s="123" t="str">
        <f>LEFT(北段!#REF!,4)</f>
        <v>#ERROR!</v>
      </c>
      <c r="AA48" s="123" t="str">
        <f>LEFT(北段!#REF!,4)</f>
        <v>#ERROR!</v>
      </c>
      <c r="AB48" s="123" t="str">
        <f>LEFT(北段!#REF!,4)</f>
        <v>#ERROR!</v>
      </c>
      <c r="AC48" s="123" t="str">
        <f>LEFT(北段!#REF!,4)</f>
        <v>#ERROR!</v>
      </c>
      <c r="AD48" s="123" t="str">
        <f>LEFT(北段!#REF!,4)</f>
        <v>#ERROR!</v>
      </c>
      <c r="AE48" s="123" t="str">
        <f>LEFT(北段!#REF!,4)</f>
        <v>#ERROR!</v>
      </c>
      <c r="AF48" s="123" t="str">
        <f>LEFT(北段!#REF!,4)</f>
        <v>#ERROR!</v>
      </c>
      <c r="AG48" s="123" t="str">
        <f>LEFT(北段!#REF!,4)</f>
        <v>#ERROR!</v>
      </c>
      <c r="AH48" s="123" t="str">
        <f>LEFT(北段!#REF!,4)</f>
        <v>#ERROR!</v>
      </c>
      <c r="AI48" s="123" t="str">
        <f>LEFT(北段!#REF!,4)</f>
        <v>#ERROR!</v>
      </c>
      <c r="AJ48" s="123" t="str">
        <f>LEFT(北段!#REF!,4)</f>
        <v>#ERROR!</v>
      </c>
      <c r="AK48" s="123" t="str">
        <f>LEFT(北段!#REF!,4)</f>
        <v>#ERROR!</v>
      </c>
      <c r="AL48" s="123" t="str">
        <f>LEFT(北段!#REF!,4)</f>
        <v>#ERROR!</v>
      </c>
    </row>
    <row r="49" ht="39.75" customHeight="1">
      <c r="A49" s="130"/>
      <c r="B49" s="24" t="str">
        <f>LEFT(北段!#REF!,6)</f>
        <v>#ERROR!</v>
      </c>
      <c r="C49" s="24" t="str">
        <f>VLOOKUP(B49,'北段'!B:C,2,FALSE)</f>
        <v>#ERROR!</v>
      </c>
      <c r="D49" s="123" t="str">
        <f>LEFT(北段!#REF!,4)</f>
        <v>#ERROR!</v>
      </c>
      <c r="E49" s="123" t="str">
        <f>LEFT(北段!#REF!,4)</f>
        <v>#ERROR!</v>
      </c>
      <c r="F49" s="123" t="str">
        <f>LEFT(北段!#REF!,4)</f>
        <v>#ERROR!</v>
      </c>
      <c r="G49" s="123" t="str">
        <f>LEFT(北段!#REF!,4)</f>
        <v>#ERROR!</v>
      </c>
      <c r="H49" s="123" t="str">
        <f>LEFT(北段!#REF!,4)</f>
        <v>#ERROR!</v>
      </c>
      <c r="I49" s="123" t="str">
        <f>LEFT(北段!#REF!,4)</f>
        <v>#ERROR!</v>
      </c>
      <c r="J49" s="123" t="str">
        <f>LEFT(北段!#REF!,4)</f>
        <v>#ERROR!</v>
      </c>
      <c r="K49" s="123" t="str">
        <f>LEFT(北段!#REF!,4)</f>
        <v>#ERROR!</v>
      </c>
      <c r="L49" s="123" t="str">
        <f>LEFT(北段!#REF!,4)</f>
        <v>#ERROR!</v>
      </c>
      <c r="M49" s="123" t="str">
        <f>LEFT(北段!#REF!,4)</f>
        <v>#ERROR!</v>
      </c>
      <c r="N49" s="123" t="str">
        <f>LEFT(北段!#REF!,4)</f>
        <v>#ERROR!</v>
      </c>
      <c r="O49" s="123" t="str">
        <f>LEFT(北段!#REF!,4)</f>
        <v>#ERROR!</v>
      </c>
      <c r="P49" s="123" t="str">
        <f>LEFT(北段!#REF!,4)</f>
        <v>#ERROR!</v>
      </c>
      <c r="Q49" s="123" t="str">
        <f>LEFT(北段!#REF!,4)</f>
        <v>#ERROR!</v>
      </c>
      <c r="R49" s="123" t="str">
        <f>LEFT(北段!#REF!,4)</f>
        <v>#ERROR!</v>
      </c>
      <c r="S49" s="123" t="str">
        <f>LEFT(北段!#REF!,4)</f>
        <v>#ERROR!</v>
      </c>
      <c r="T49" s="123" t="str">
        <f>LEFT(北段!#REF!,4)</f>
        <v>#ERROR!</v>
      </c>
      <c r="U49" s="123" t="str">
        <f>LEFT(北段!#REF!,4)</f>
        <v>#ERROR!</v>
      </c>
      <c r="V49" s="123" t="str">
        <f>LEFT(北段!#REF!,4)</f>
        <v>#ERROR!</v>
      </c>
      <c r="W49" s="123" t="str">
        <f>LEFT(北段!#REF!,4)</f>
        <v>#ERROR!</v>
      </c>
      <c r="X49" s="123" t="str">
        <f>LEFT(北段!#REF!,4)</f>
        <v>#ERROR!</v>
      </c>
      <c r="Y49" s="123" t="str">
        <f>LEFT(北段!#REF!,4)</f>
        <v>#ERROR!</v>
      </c>
      <c r="Z49" s="123" t="str">
        <f>LEFT(北段!#REF!,4)</f>
        <v>#ERROR!</v>
      </c>
      <c r="AA49" s="123" t="str">
        <f>LEFT(北段!#REF!,4)</f>
        <v>#ERROR!</v>
      </c>
      <c r="AB49" s="123" t="str">
        <f>LEFT(北段!#REF!,4)</f>
        <v>#ERROR!</v>
      </c>
      <c r="AC49" s="123" t="str">
        <f>LEFT(北段!#REF!,4)</f>
        <v>#ERROR!</v>
      </c>
      <c r="AD49" s="123" t="str">
        <f>LEFT(北段!#REF!,4)</f>
        <v>#ERROR!</v>
      </c>
      <c r="AE49" s="123" t="str">
        <f>LEFT(北段!#REF!,4)</f>
        <v>#ERROR!</v>
      </c>
      <c r="AF49" s="123" t="str">
        <f>LEFT(北段!#REF!,4)</f>
        <v>#ERROR!</v>
      </c>
      <c r="AG49" s="123" t="str">
        <f>LEFT(北段!#REF!,4)</f>
        <v>#ERROR!</v>
      </c>
      <c r="AH49" s="123" t="str">
        <f>LEFT(北段!#REF!,4)</f>
        <v>#ERROR!</v>
      </c>
      <c r="AI49" s="123" t="str">
        <f>LEFT(北段!#REF!,4)</f>
        <v>#ERROR!</v>
      </c>
      <c r="AJ49" s="123" t="str">
        <f>LEFT(北段!#REF!,4)</f>
        <v>#ERROR!</v>
      </c>
      <c r="AK49" s="123" t="str">
        <f>LEFT(北段!#REF!,4)</f>
        <v>#ERROR!</v>
      </c>
      <c r="AL49" s="123" t="str">
        <f>LEFT(北段!#REF!,4)</f>
        <v>#ERROR!</v>
      </c>
    </row>
    <row r="50" ht="39.0" customHeight="1">
      <c r="A50" s="129"/>
      <c r="B50" s="24" t="str">
        <f>LEFT(北段!#REF!,6)</f>
        <v>#ERROR!</v>
      </c>
      <c r="C50" s="24" t="str">
        <f>VLOOKUP(B50,'北段'!B:C,2,FALSE)</f>
        <v>#ERROR!</v>
      </c>
      <c r="D50" s="123" t="str">
        <f>LEFT(北段!#REF!,4)</f>
        <v>#ERROR!</v>
      </c>
      <c r="E50" s="123" t="str">
        <f>LEFT(北段!#REF!,4)</f>
        <v>#ERROR!</v>
      </c>
      <c r="F50" s="123" t="str">
        <f>LEFT(北段!#REF!,4)</f>
        <v>#ERROR!</v>
      </c>
      <c r="G50" s="123" t="str">
        <f>LEFT(北段!#REF!,4)</f>
        <v>#ERROR!</v>
      </c>
      <c r="H50" s="123" t="str">
        <f>LEFT(北段!#REF!,4)</f>
        <v>#ERROR!</v>
      </c>
      <c r="I50" s="123" t="str">
        <f>LEFT(北段!#REF!,4)</f>
        <v>#ERROR!</v>
      </c>
      <c r="J50" s="123" t="str">
        <f>LEFT(北段!#REF!,4)</f>
        <v>#ERROR!</v>
      </c>
      <c r="K50" s="123" t="str">
        <f>LEFT(北段!#REF!,4)</f>
        <v>#ERROR!</v>
      </c>
      <c r="L50" s="123" t="str">
        <f>LEFT(北段!#REF!,4)</f>
        <v>#ERROR!</v>
      </c>
      <c r="M50" s="123" t="str">
        <f>LEFT(北段!#REF!,4)</f>
        <v>#ERROR!</v>
      </c>
      <c r="N50" s="123" t="str">
        <f>LEFT(北段!#REF!,4)</f>
        <v>#ERROR!</v>
      </c>
      <c r="O50" s="123" t="str">
        <f>LEFT(北段!#REF!,4)</f>
        <v>#ERROR!</v>
      </c>
      <c r="P50" s="123" t="str">
        <f>LEFT(北段!#REF!,4)</f>
        <v>#ERROR!</v>
      </c>
      <c r="Q50" s="123" t="str">
        <f>LEFT(北段!#REF!,4)</f>
        <v>#ERROR!</v>
      </c>
      <c r="R50" s="123" t="str">
        <f>LEFT(北段!#REF!,4)</f>
        <v>#ERROR!</v>
      </c>
      <c r="S50" s="123" t="str">
        <f>LEFT(北段!#REF!,4)</f>
        <v>#ERROR!</v>
      </c>
      <c r="T50" s="123" t="str">
        <f>LEFT(北段!#REF!,4)</f>
        <v>#ERROR!</v>
      </c>
      <c r="U50" s="123" t="str">
        <f>LEFT(北段!#REF!,4)</f>
        <v>#ERROR!</v>
      </c>
      <c r="V50" s="123" t="str">
        <f>LEFT(北段!#REF!,4)</f>
        <v>#ERROR!</v>
      </c>
      <c r="W50" s="123" t="str">
        <f>LEFT(北段!#REF!,4)</f>
        <v>#ERROR!</v>
      </c>
      <c r="X50" s="123" t="str">
        <f>LEFT(北段!#REF!,4)</f>
        <v>#ERROR!</v>
      </c>
      <c r="Y50" s="123" t="str">
        <f>LEFT(北段!#REF!,4)</f>
        <v>#ERROR!</v>
      </c>
      <c r="Z50" s="123" t="str">
        <f>LEFT(北段!#REF!,4)</f>
        <v>#ERROR!</v>
      </c>
      <c r="AA50" s="123" t="str">
        <f>LEFT(北段!#REF!,4)</f>
        <v>#ERROR!</v>
      </c>
      <c r="AB50" s="123" t="str">
        <f>LEFT(北段!#REF!,4)</f>
        <v>#ERROR!</v>
      </c>
      <c r="AC50" s="123" t="str">
        <f>LEFT(北段!#REF!,4)</f>
        <v>#ERROR!</v>
      </c>
      <c r="AD50" s="123" t="str">
        <f>LEFT(北段!#REF!,4)</f>
        <v>#ERROR!</v>
      </c>
      <c r="AE50" s="123" t="str">
        <f>LEFT(北段!#REF!,4)</f>
        <v>#ERROR!</v>
      </c>
      <c r="AF50" s="123" t="str">
        <f>LEFT(北段!#REF!,4)</f>
        <v>#ERROR!</v>
      </c>
      <c r="AG50" s="123" t="str">
        <f>LEFT(北段!#REF!,4)</f>
        <v>#ERROR!</v>
      </c>
      <c r="AH50" s="123" t="str">
        <f>LEFT(北段!#REF!,4)</f>
        <v>#ERROR!</v>
      </c>
      <c r="AI50" s="123" t="str">
        <f>LEFT(北段!#REF!,4)</f>
        <v>#ERROR!</v>
      </c>
      <c r="AJ50" s="123" t="str">
        <f>LEFT(北段!#REF!,4)</f>
        <v>#ERROR!</v>
      </c>
      <c r="AK50" s="123" t="str">
        <f>LEFT(北段!#REF!,4)</f>
        <v>#ERROR!</v>
      </c>
      <c r="AL50" s="123" t="str">
        <f>LEFT(北段!#REF!,4)</f>
        <v>#ERROR!</v>
      </c>
    </row>
    <row r="51" ht="39.75" customHeight="1">
      <c r="A51" s="131"/>
      <c r="B51" s="24" t="str">
        <f>LEFT(北段!#REF!,6)</f>
        <v>#ERROR!</v>
      </c>
      <c r="C51" s="24" t="str">
        <f>VLOOKUP(B51,'北段'!B:C,2,FALSE)</f>
        <v>#ERROR!</v>
      </c>
      <c r="D51" s="123" t="str">
        <f>LEFT(北段!#REF!,4)</f>
        <v>#ERROR!</v>
      </c>
      <c r="E51" s="123" t="str">
        <f>LEFT(北段!#REF!,4)</f>
        <v>#ERROR!</v>
      </c>
      <c r="F51" s="123" t="str">
        <f>LEFT(北段!#REF!,4)</f>
        <v>#ERROR!</v>
      </c>
      <c r="G51" s="123" t="str">
        <f>LEFT(北段!#REF!,4)</f>
        <v>#ERROR!</v>
      </c>
      <c r="H51" s="123" t="str">
        <f>LEFT(北段!#REF!,4)</f>
        <v>#ERROR!</v>
      </c>
      <c r="I51" s="123" t="str">
        <f>LEFT(北段!#REF!,4)</f>
        <v>#ERROR!</v>
      </c>
      <c r="J51" s="123" t="str">
        <f>LEFT(北段!#REF!,4)</f>
        <v>#ERROR!</v>
      </c>
      <c r="K51" s="123" t="str">
        <f>LEFT(北段!#REF!,4)</f>
        <v>#ERROR!</v>
      </c>
      <c r="L51" s="123" t="str">
        <f>LEFT(北段!#REF!,4)</f>
        <v>#ERROR!</v>
      </c>
      <c r="M51" s="123" t="str">
        <f>LEFT(北段!#REF!,4)</f>
        <v>#ERROR!</v>
      </c>
      <c r="N51" s="123" t="str">
        <f>LEFT(北段!#REF!,4)</f>
        <v>#ERROR!</v>
      </c>
      <c r="O51" s="123" t="str">
        <f>LEFT(北段!#REF!,4)</f>
        <v>#ERROR!</v>
      </c>
      <c r="P51" s="123" t="str">
        <f>LEFT(北段!#REF!,4)</f>
        <v>#ERROR!</v>
      </c>
      <c r="Q51" s="123" t="str">
        <f>LEFT(北段!#REF!,4)</f>
        <v>#ERROR!</v>
      </c>
      <c r="R51" s="123" t="str">
        <f>LEFT(北段!#REF!,4)</f>
        <v>#ERROR!</v>
      </c>
      <c r="S51" s="123" t="str">
        <f>LEFT(北段!#REF!,4)</f>
        <v>#ERROR!</v>
      </c>
      <c r="T51" s="123" t="str">
        <f>LEFT(北段!#REF!,4)</f>
        <v>#ERROR!</v>
      </c>
      <c r="U51" s="123" t="str">
        <f>LEFT(北段!#REF!,4)</f>
        <v>#ERROR!</v>
      </c>
      <c r="V51" s="123" t="str">
        <f>LEFT(北段!#REF!,4)</f>
        <v>#ERROR!</v>
      </c>
      <c r="W51" s="123" t="str">
        <f>LEFT(北段!#REF!,4)</f>
        <v>#ERROR!</v>
      </c>
      <c r="X51" s="123" t="str">
        <f>LEFT(北段!#REF!,4)</f>
        <v>#ERROR!</v>
      </c>
      <c r="Y51" s="123" t="str">
        <f>LEFT(北段!#REF!,4)</f>
        <v>#ERROR!</v>
      </c>
      <c r="Z51" s="123" t="str">
        <f>LEFT(北段!#REF!,4)</f>
        <v>#ERROR!</v>
      </c>
      <c r="AA51" s="123" t="str">
        <f>LEFT(北段!#REF!,4)</f>
        <v>#ERROR!</v>
      </c>
      <c r="AB51" s="123" t="str">
        <f>LEFT(北段!#REF!,4)</f>
        <v>#ERROR!</v>
      </c>
      <c r="AC51" s="123" t="str">
        <f>LEFT(北段!#REF!,4)</f>
        <v>#ERROR!</v>
      </c>
      <c r="AD51" s="123" t="str">
        <f>LEFT(北段!#REF!,4)</f>
        <v>#ERROR!</v>
      </c>
      <c r="AE51" s="123" t="str">
        <f>LEFT(北段!#REF!,4)</f>
        <v>#ERROR!</v>
      </c>
      <c r="AF51" s="123" t="str">
        <f>LEFT(北段!#REF!,4)</f>
        <v>#ERROR!</v>
      </c>
      <c r="AG51" s="123" t="str">
        <f>LEFT(北段!#REF!,4)</f>
        <v>#ERROR!</v>
      </c>
      <c r="AH51" s="123" t="str">
        <f>LEFT(北段!#REF!,4)</f>
        <v>#ERROR!</v>
      </c>
      <c r="AI51" s="123" t="str">
        <f>LEFT(北段!#REF!,4)</f>
        <v>#ERROR!</v>
      </c>
      <c r="AJ51" s="123" t="str">
        <f>LEFT(北段!#REF!,4)</f>
        <v>#ERROR!</v>
      </c>
      <c r="AK51" s="123" t="str">
        <f>LEFT(北段!#REF!,4)</f>
        <v>#ERROR!</v>
      </c>
      <c r="AL51" s="123" t="str">
        <f>LEFT(北段!#REF!,4)</f>
        <v>#ERROR!</v>
      </c>
    </row>
    <row r="52" ht="39.0" customHeight="1">
      <c r="A52" s="129" t="s">
        <v>65</v>
      </c>
      <c r="B52" s="24" t="str">
        <f>LEFT(北段!#REF!,6)</f>
        <v>#ERROR!</v>
      </c>
      <c r="C52" s="24" t="str">
        <f>VLOOKUP(B52,'北段'!B:C,2,FALSE)</f>
        <v>#ERROR!</v>
      </c>
      <c r="D52" s="123" t="str">
        <f>LEFT(北段!#REF!,4)</f>
        <v>#ERROR!</v>
      </c>
      <c r="E52" s="123" t="str">
        <f>LEFT(北段!#REF!,4)</f>
        <v>#ERROR!</v>
      </c>
      <c r="F52" s="123" t="str">
        <f>LEFT(北段!#REF!,4)</f>
        <v>#ERROR!</v>
      </c>
      <c r="G52" s="123" t="str">
        <f>LEFT(北段!#REF!,4)</f>
        <v>#ERROR!</v>
      </c>
      <c r="H52" s="123" t="str">
        <f>LEFT(北段!#REF!,4)</f>
        <v>#ERROR!</v>
      </c>
      <c r="I52" s="123" t="str">
        <f>LEFT(北段!#REF!,4)</f>
        <v>#ERROR!</v>
      </c>
      <c r="J52" s="123" t="str">
        <f>LEFT(北段!#REF!,4)</f>
        <v>#ERROR!</v>
      </c>
      <c r="K52" s="123" t="str">
        <f>LEFT(北段!#REF!,4)</f>
        <v>#ERROR!</v>
      </c>
      <c r="L52" s="123" t="str">
        <f>LEFT(北段!#REF!,4)</f>
        <v>#ERROR!</v>
      </c>
      <c r="M52" s="123" t="str">
        <f>LEFT(北段!#REF!,4)</f>
        <v>#ERROR!</v>
      </c>
      <c r="N52" s="123" t="str">
        <f>LEFT(北段!#REF!,4)</f>
        <v>#ERROR!</v>
      </c>
      <c r="O52" s="123" t="str">
        <f>LEFT(北段!#REF!,4)</f>
        <v>#ERROR!</v>
      </c>
      <c r="P52" s="123" t="str">
        <f>LEFT(北段!#REF!,4)</f>
        <v>#ERROR!</v>
      </c>
      <c r="Q52" s="123" t="str">
        <f>LEFT(北段!#REF!,4)</f>
        <v>#ERROR!</v>
      </c>
      <c r="R52" s="123" t="str">
        <f>LEFT(北段!#REF!,4)</f>
        <v>#ERROR!</v>
      </c>
      <c r="S52" s="123" t="str">
        <f>LEFT(北段!#REF!,4)</f>
        <v>#ERROR!</v>
      </c>
      <c r="T52" s="123" t="str">
        <f>LEFT(北段!#REF!,4)</f>
        <v>#ERROR!</v>
      </c>
      <c r="U52" s="123" t="str">
        <f>LEFT(北段!#REF!,4)</f>
        <v>#ERROR!</v>
      </c>
      <c r="V52" s="123" t="str">
        <f>LEFT(北段!#REF!,4)</f>
        <v>#ERROR!</v>
      </c>
      <c r="W52" s="123" t="str">
        <f>LEFT(北段!#REF!,4)</f>
        <v>#ERROR!</v>
      </c>
      <c r="X52" s="123" t="str">
        <f>LEFT(北段!#REF!,4)</f>
        <v>#ERROR!</v>
      </c>
      <c r="Y52" s="123" t="str">
        <f>LEFT(北段!#REF!,4)</f>
        <v>#ERROR!</v>
      </c>
      <c r="Z52" s="123" t="str">
        <f>LEFT(北段!#REF!,4)</f>
        <v>#ERROR!</v>
      </c>
      <c r="AA52" s="123" t="str">
        <f>LEFT(北段!#REF!,5)</f>
        <v>#ERROR!</v>
      </c>
      <c r="AB52" s="123" t="str">
        <f>LEFT(北段!#REF!,4)</f>
        <v>#ERROR!</v>
      </c>
      <c r="AC52" s="123" t="str">
        <f>LEFT(北段!#REF!,4)</f>
        <v>#ERROR!</v>
      </c>
      <c r="AD52" s="123" t="str">
        <f>LEFT(北段!#REF!,4)</f>
        <v>#ERROR!</v>
      </c>
      <c r="AE52" s="123" t="str">
        <f>LEFT(北段!#REF!,4)</f>
        <v>#ERROR!</v>
      </c>
      <c r="AF52" s="123" t="str">
        <f>LEFT(北段!#REF!,4)</f>
        <v>#ERROR!</v>
      </c>
      <c r="AG52" s="123" t="str">
        <f>LEFT(北段!#REF!,4)</f>
        <v>#ERROR!</v>
      </c>
      <c r="AH52" s="123" t="str">
        <f>LEFT(北段!#REF!,4)</f>
        <v>#ERROR!</v>
      </c>
      <c r="AI52" s="123" t="str">
        <f>LEFT(北段!#REF!,4)</f>
        <v>#ERROR!</v>
      </c>
      <c r="AJ52" s="123" t="str">
        <f>LEFT(北段!#REF!,4)</f>
        <v>#ERROR!</v>
      </c>
      <c r="AK52" s="123" t="str">
        <f>LEFT(北段!#REF!,4)</f>
        <v>#ERROR!</v>
      </c>
      <c r="AL52" s="123" t="str">
        <f>LEFT(北段!#REF!,4)</f>
        <v>#ERROR!</v>
      </c>
    </row>
    <row r="53" ht="39.75" customHeight="1">
      <c r="A53" s="129"/>
      <c r="B53" s="24" t="str">
        <f>LEFT(北段!#REF!,6)</f>
        <v>#ERROR!</v>
      </c>
      <c r="C53" s="24" t="str">
        <f>VLOOKUP(B53,'北段'!B:C,2,FALSE)</f>
        <v>#ERROR!</v>
      </c>
      <c r="D53" s="123" t="str">
        <f>LEFT(北段!#REF!,4)</f>
        <v>#ERROR!</v>
      </c>
      <c r="E53" s="123" t="str">
        <f>LEFT(北段!#REF!,4)</f>
        <v>#ERROR!</v>
      </c>
      <c r="F53" s="123" t="str">
        <f>LEFT(北段!#REF!,4)</f>
        <v>#ERROR!</v>
      </c>
      <c r="G53" s="123" t="str">
        <f>LEFT(北段!#REF!,4)</f>
        <v>#ERROR!</v>
      </c>
      <c r="H53" s="123" t="str">
        <f>LEFT(北段!#REF!,4)</f>
        <v>#ERROR!</v>
      </c>
      <c r="I53" s="123" t="str">
        <f>LEFT(北段!#REF!,4)</f>
        <v>#ERROR!</v>
      </c>
      <c r="J53" s="123" t="str">
        <f>LEFT(北段!#REF!,4)</f>
        <v>#ERROR!</v>
      </c>
      <c r="K53" s="123" t="str">
        <f>LEFT(北段!#REF!,4)</f>
        <v>#ERROR!</v>
      </c>
      <c r="L53" s="123" t="str">
        <f>LEFT(北段!#REF!,4)</f>
        <v>#ERROR!</v>
      </c>
      <c r="M53" s="123" t="str">
        <f>LEFT(北段!#REF!,4)</f>
        <v>#ERROR!</v>
      </c>
      <c r="N53" s="123" t="str">
        <f>LEFT(北段!#REF!,4)</f>
        <v>#ERROR!</v>
      </c>
      <c r="O53" s="123" t="str">
        <f>LEFT(北段!#REF!,4)</f>
        <v>#ERROR!</v>
      </c>
      <c r="P53" s="123" t="str">
        <f>LEFT(北段!#REF!,4)</f>
        <v>#ERROR!</v>
      </c>
      <c r="Q53" s="123" t="str">
        <f>LEFT(北段!#REF!,4)</f>
        <v>#ERROR!</v>
      </c>
      <c r="R53" s="123" t="str">
        <f>LEFT(北段!#REF!,4)</f>
        <v>#ERROR!</v>
      </c>
      <c r="S53" s="123" t="str">
        <f>LEFT(北段!#REF!,4)</f>
        <v>#ERROR!</v>
      </c>
      <c r="T53" s="123" t="str">
        <f>LEFT(北段!#REF!,4)</f>
        <v>#ERROR!</v>
      </c>
      <c r="U53" s="123" t="str">
        <f>LEFT(北段!#REF!,4)</f>
        <v>#ERROR!</v>
      </c>
      <c r="V53" s="123" t="str">
        <f>LEFT(北段!#REF!,4)</f>
        <v>#ERROR!</v>
      </c>
      <c r="W53" s="123" t="str">
        <f>LEFT(北段!#REF!,6)</f>
        <v>#ERROR!</v>
      </c>
      <c r="X53" s="123" t="str">
        <f>LEFT(北段!#REF!,4)</f>
        <v>#ERROR!</v>
      </c>
      <c r="Y53" s="123" t="str">
        <f>LEFT(北段!#REF!,4)</f>
        <v>#ERROR!</v>
      </c>
      <c r="Z53" s="123" t="str">
        <f>LEFT(北段!#REF!,4)</f>
        <v>#ERROR!</v>
      </c>
      <c r="AA53" s="123" t="str">
        <f>LEFT(北段!#REF!,4)</f>
        <v>#ERROR!</v>
      </c>
      <c r="AB53" s="123" t="str">
        <f>LEFT(北段!#REF!,4)</f>
        <v>#ERROR!</v>
      </c>
      <c r="AC53" s="123" t="str">
        <f>LEFT(北段!#REF!,4)</f>
        <v>#ERROR!</v>
      </c>
      <c r="AD53" s="123" t="str">
        <f>LEFT(北段!#REF!,4)</f>
        <v>#ERROR!</v>
      </c>
      <c r="AE53" s="123" t="str">
        <f>LEFT(北段!#REF!,4)</f>
        <v>#ERROR!</v>
      </c>
      <c r="AF53" s="123" t="str">
        <f>LEFT(北段!#REF!,4)</f>
        <v>#ERROR!</v>
      </c>
      <c r="AG53" s="123" t="str">
        <f>LEFT(北段!#REF!,4)</f>
        <v>#ERROR!</v>
      </c>
      <c r="AH53" s="123" t="str">
        <f>LEFT(北段!#REF!,4)</f>
        <v>#ERROR!</v>
      </c>
      <c r="AI53" s="123" t="str">
        <f>LEFT(北段!#REF!,4)</f>
        <v>#ERROR!</v>
      </c>
      <c r="AJ53" s="123" t="str">
        <f>LEFT(北段!#REF!,4)</f>
        <v>#ERROR!</v>
      </c>
      <c r="AK53" s="123" t="str">
        <f>LEFT(北段!#REF!,4)</f>
        <v>#ERROR!</v>
      </c>
      <c r="AL53" s="123" t="str">
        <f>LEFT(北段!#REF!,4)</f>
        <v>#ERROR!</v>
      </c>
    </row>
    <row r="54" ht="39.0" customHeight="1">
      <c r="A54" s="129"/>
      <c r="B54" s="24" t="str">
        <f>LEFT(北段!#REF!,6)</f>
        <v>#ERROR!</v>
      </c>
      <c r="C54" s="24" t="str">
        <f>VLOOKUP(B54,'北段'!B:C,2,FALSE)</f>
        <v>#ERROR!</v>
      </c>
      <c r="D54" s="123" t="str">
        <f>LEFT(北段!#REF!,4)</f>
        <v>#ERROR!</v>
      </c>
      <c r="E54" s="123" t="str">
        <f>LEFT(北段!#REF!,4)</f>
        <v>#ERROR!</v>
      </c>
      <c r="F54" s="123" t="str">
        <f>LEFT(北段!#REF!,4)</f>
        <v>#ERROR!</v>
      </c>
      <c r="G54" s="123" t="str">
        <f>LEFT(北段!#REF!,4)</f>
        <v>#ERROR!</v>
      </c>
      <c r="H54" s="123" t="str">
        <f>LEFT(北段!#REF!,4)</f>
        <v>#ERROR!</v>
      </c>
      <c r="I54" s="123" t="str">
        <f>LEFT(北段!#REF!,4)</f>
        <v>#ERROR!</v>
      </c>
      <c r="J54" s="123" t="str">
        <f>LEFT(北段!#REF!,4)</f>
        <v>#ERROR!</v>
      </c>
      <c r="K54" s="123" t="str">
        <f>LEFT(北段!#REF!,4)</f>
        <v>#ERROR!</v>
      </c>
      <c r="L54" s="123" t="str">
        <f>LEFT(北段!#REF!,4)</f>
        <v>#ERROR!</v>
      </c>
      <c r="M54" s="123" t="str">
        <f>LEFT(北段!#REF!,4)</f>
        <v>#ERROR!</v>
      </c>
      <c r="N54" s="123" t="str">
        <f>LEFT(北段!#REF!,4)</f>
        <v>#ERROR!</v>
      </c>
      <c r="O54" s="123" t="str">
        <f>LEFT(北段!#REF!,4)</f>
        <v>#ERROR!</v>
      </c>
      <c r="P54" s="123" t="str">
        <f>LEFT(北段!#REF!,4)</f>
        <v>#ERROR!</v>
      </c>
      <c r="Q54" s="123" t="str">
        <f>LEFT(北段!#REF!,4)</f>
        <v>#ERROR!</v>
      </c>
      <c r="R54" s="123" t="str">
        <f>LEFT(北段!#REF!,4)</f>
        <v>#ERROR!</v>
      </c>
      <c r="S54" s="123" t="str">
        <f>LEFT(北段!#REF!,4)</f>
        <v>#ERROR!</v>
      </c>
      <c r="T54" s="123" t="str">
        <f>LEFT(北段!#REF!,4)</f>
        <v>#ERROR!</v>
      </c>
      <c r="U54" s="123" t="str">
        <f>LEFT(北段!#REF!,4)</f>
        <v>#ERROR!</v>
      </c>
      <c r="V54" s="123" t="str">
        <f>LEFT(北段!#REF!,4)</f>
        <v>#ERROR!</v>
      </c>
      <c r="W54" s="123" t="str">
        <f>LEFT(北段!#REF!,4)</f>
        <v>#ERROR!</v>
      </c>
      <c r="X54" s="123" t="str">
        <f>LEFT(北段!#REF!,4)</f>
        <v>#ERROR!</v>
      </c>
      <c r="Y54" s="123" t="str">
        <f>LEFT(北段!#REF!,4)</f>
        <v>#ERROR!</v>
      </c>
      <c r="Z54" s="123" t="str">
        <f>LEFT(北段!#REF!,4)</f>
        <v>#ERROR!</v>
      </c>
      <c r="AA54" s="123" t="str">
        <f>LEFT(北段!#REF!,4)</f>
        <v>#ERROR!</v>
      </c>
      <c r="AB54" s="123" t="str">
        <f>LEFT(北段!#REF!,4)</f>
        <v>#ERROR!</v>
      </c>
      <c r="AC54" s="123" t="str">
        <f>LEFT(北段!#REF!,4)</f>
        <v>#ERROR!</v>
      </c>
      <c r="AD54" s="123" t="str">
        <f>LEFT(北段!#REF!,4)</f>
        <v>#ERROR!</v>
      </c>
      <c r="AE54" s="123" t="str">
        <f>LEFT(北段!#REF!,4)</f>
        <v>#ERROR!</v>
      </c>
      <c r="AF54" s="123" t="str">
        <f>LEFT(北段!#REF!,4)</f>
        <v>#ERROR!</v>
      </c>
      <c r="AG54" s="123" t="str">
        <f>LEFT(北段!#REF!,4)</f>
        <v>#ERROR!</v>
      </c>
      <c r="AH54" s="123" t="str">
        <f>LEFT(北段!#REF!,4)</f>
        <v>#ERROR!</v>
      </c>
      <c r="AI54" s="123" t="str">
        <f>LEFT(北段!#REF!,4)</f>
        <v>#ERROR!</v>
      </c>
      <c r="AJ54" s="123" t="str">
        <f>LEFT(北段!#REF!,4)</f>
        <v>#ERROR!</v>
      </c>
      <c r="AK54" s="123" t="str">
        <f>LEFT(北段!#REF!,4)</f>
        <v>#ERROR!</v>
      </c>
      <c r="AL54" s="123" t="str">
        <f>LEFT(北段!#REF!,4)</f>
        <v>#ERROR!</v>
      </c>
    </row>
    <row r="55" ht="39.75" customHeight="1">
      <c r="A55" s="129"/>
      <c r="B55" s="24" t="str">
        <f>LEFT(北段!#REF!,6)</f>
        <v>#ERROR!</v>
      </c>
      <c r="C55" s="24" t="str">
        <f>VLOOKUP(B55,'北段'!B:C,2,FALSE)</f>
        <v>#ERROR!</v>
      </c>
      <c r="D55" s="123" t="str">
        <f>LEFT(北段!#REF!,4)</f>
        <v>#ERROR!</v>
      </c>
      <c r="E55" s="123" t="str">
        <f>LEFT(北段!#REF!,4)</f>
        <v>#ERROR!</v>
      </c>
      <c r="F55" s="123" t="str">
        <f>LEFT(北段!#REF!,4)</f>
        <v>#ERROR!</v>
      </c>
      <c r="G55" s="123" t="str">
        <f>LEFT(北段!#REF!,4)</f>
        <v>#ERROR!</v>
      </c>
      <c r="H55" s="123" t="str">
        <f>LEFT(北段!#REF!,4)</f>
        <v>#ERROR!</v>
      </c>
      <c r="I55" s="123" t="str">
        <f>LEFT(北段!#REF!,4)</f>
        <v>#ERROR!</v>
      </c>
      <c r="J55" s="123" t="str">
        <f>LEFT(北段!#REF!,4)</f>
        <v>#ERROR!</v>
      </c>
      <c r="K55" s="123" t="str">
        <f>LEFT(北段!#REF!,4)</f>
        <v>#ERROR!</v>
      </c>
      <c r="L55" s="123" t="str">
        <f>LEFT(北段!#REF!,4)</f>
        <v>#ERROR!</v>
      </c>
      <c r="M55" s="123" t="str">
        <f>LEFT(北段!#REF!,4)</f>
        <v>#ERROR!</v>
      </c>
      <c r="N55" s="123" t="str">
        <f>LEFT(北段!#REF!,4)</f>
        <v>#ERROR!</v>
      </c>
      <c r="O55" s="123" t="str">
        <f>LEFT(北段!#REF!,4)</f>
        <v>#ERROR!</v>
      </c>
      <c r="P55" s="123" t="str">
        <f>LEFT(北段!#REF!,4)</f>
        <v>#ERROR!</v>
      </c>
      <c r="Q55" s="123" t="str">
        <f>LEFT(北段!#REF!,4)</f>
        <v>#ERROR!</v>
      </c>
      <c r="R55" s="123" t="str">
        <f>LEFT(北段!#REF!,4)</f>
        <v>#ERROR!</v>
      </c>
      <c r="S55" s="123" t="str">
        <f>LEFT(北段!#REF!,4)</f>
        <v>#ERROR!</v>
      </c>
      <c r="T55" s="123" t="str">
        <f>LEFT(北段!#REF!,4)</f>
        <v>#ERROR!</v>
      </c>
      <c r="U55" s="123" t="str">
        <f>LEFT(北段!#REF!,4)</f>
        <v>#ERROR!</v>
      </c>
      <c r="V55" s="123" t="str">
        <f>LEFT(北段!#REF!,4)</f>
        <v>#ERROR!</v>
      </c>
      <c r="W55" s="123" t="str">
        <f>LEFT(北段!#REF!,4)</f>
        <v>#ERROR!</v>
      </c>
      <c r="X55" s="123" t="str">
        <f>LEFT(北段!#REF!,4)</f>
        <v>#ERROR!</v>
      </c>
      <c r="Y55" s="123" t="str">
        <f>LEFT(北段!#REF!,4)</f>
        <v>#ERROR!</v>
      </c>
      <c r="Z55" s="123" t="str">
        <f>LEFT(北段!#REF!,4)</f>
        <v>#ERROR!</v>
      </c>
      <c r="AA55" s="123" t="str">
        <f>LEFT(北段!#REF!,4)</f>
        <v>#ERROR!</v>
      </c>
      <c r="AB55" s="123" t="str">
        <f>LEFT(北段!#REF!,4)</f>
        <v>#ERROR!</v>
      </c>
      <c r="AC55" s="123" t="str">
        <f>LEFT(北段!#REF!,4)</f>
        <v>#ERROR!</v>
      </c>
      <c r="AD55" s="123" t="str">
        <f>LEFT(北段!#REF!,4)</f>
        <v>#ERROR!</v>
      </c>
      <c r="AE55" s="123" t="str">
        <f>LEFT(北段!#REF!,4)</f>
        <v>#ERROR!</v>
      </c>
      <c r="AF55" s="123" t="str">
        <f>LEFT(北段!#REF!,4)</f>
        <v>#ERROR!</v>
      </c>
      <c r="AG55" s="123" t="str">
        <f>LEFT(北段!#REF!,4)</f>
        <v>#ERROR!</v>
      </c>
      <c r="AH55" s="123" t="str">
        <f>LEFT(北段!#REF!,4)</f>
        <v>#ERROR!</v>
      </c>
      <c r="AI55" s="123" t="str">
        <f>LEFT(北段!#REF!,4)</f>
        <v>#ERROR!</v>
      </c>
      <c r="AJ55" s="123" t="str">
        <f>LEFT(北段!#REF!,4)</f>
        <v>#ERROR!</v>
      </c>
      <c r="AK55" s="123" t="str">
        <f>LEFT(北段!#REF!,4)</f>
        <v>#ERROR!</v>
      </c>
      <c r="AL55" s="123" t="str">
        <f>LEFT(北段!#REF!,4)</f>
        <v>#ERROR!</v>
      </c>
    </row>
    <row r="56" ht="39.75" customHeight="1">
      <c r="A56" s="129"/>
      <c r="B56" s="24" t="str">
        <f>LEFT(北段!#REF!,6)</f>
        <v>#ERROR!</v>
      </c>
      <c r="C56" s="24" t="str">
        <f>VLOOKUP(B56,'北段'!B:C,2,FALSE)</f>
        <v>#ERROR!</v>
      </c>
      <c r="D56" s="123" t="str">
        <f>LEFT(北段!#REF!,4)</f>
        <v>#ERROR!</v>
      </c>
      <c r="E56" s="123" t="str">
        <f>LEFT(北段!#REF!,4)</f>
        <v>#ERROR!</v>
      </c>
      <c r="F56" s="123" t="str">
        <f>LEFT(北段!#REF!,4)</f>
        <v>#ERROR!</v>
      </c>
      <c r="G56" s="123" t="str">
        <f>LEFT(北段!#REF!,4)</f>
        <v>#ERROR!</v>
      </c>
      <c r="H56" s="123" t="str">
        <f>LEFT(北段!#REF!,4)</f>
        <v>#ERROR!</v>
      </c>
      <c r="I56" s="123" t="str">
        <f>LEFT(北段!#REF!,4)</f>
        <v>#ERROR!</v>
      </c>
      <c r="J56" s="123" t="str">
        <f>LEFT(北段!#REF!,4)</f>
        <v>#ERROR!</v>
      </c>
      <c r="K56" s="123" t="str">
        <f>LEFT(北段!#REF!,4)</f>
        <v>#ERROR!</v>
      </c>
      <c r="L56" s="123" t="str">
        <f>LEFT(北段!#REF!,4)</f>
        <v>#ERROR!</v>
      </c>
      <c r="M56" s="123" t="str">
        <f>LEFT(北段!#REF!,4)</f>
        <v>#ERROR!</v>
      </c>
      <c r="N56" s="123" t="str">
        <f>LEFT(北段!#REF!,4)</f>
        <v>#ERROR!</v>
      </c>
      <c r="O56" s="123" t="str">
        <f>LEFT(北段!#REF!,4)</f>
        <v>#ERROR!</v>
      </c>
      <c r="P56" s="123" t="str">
        <f>LEFT(北段!#REF!,4)</f>
        <v>#ERROR!</v>
      </c>
      <c r="Q56" s="123" t="str">
        <f>LEFT(北段!#REF!,4)</f>
        <v>#ERROR!</v>
      </c>
      <c r="R56" s="123" t="str">
        <f>LEFT(北段!#REF!,4)</f>
        <v>#ERROR!</v>
      </c>
      <c r="S56" s="123" t="str">
        <f>LEFT(北段!#REF!,4)</f>
        <v>#ERROR!</v>
      </c>
      <c r="T56" s="123" t="str">
        <f>LEFT(北段!#REF!,4)</f>
        <v>#ERROR!</v>
      </c>
      <c r="U56" s="123" t="str">
        <f>LEFT(北段!#REF!,4)</f>
        <v>#ERROR!</v>
      </c>
      <c r="V56" s="123" t="str">
        <f>LEFT(北段!#REF!,4)</f>
        <v>#ERROR!</v>
      </c>
      <c r="W56" s="123" t="str">
        <f>LEFT(北段!#REF!,4)</f>
        <v>#ERROR!</v>
      </c>
      <c r="X56" s="123" t="str">
        <f>LEFT(北段!#REF!,4)</f>
        <v>#ERROR!</v>
      </c>
      <c r="Y56" s="123" t="str">
        <f>LEFT(北段!#REF!,4)</f>
        <v>#ERROR!</v>
      </c>
      <c r="Z56" s="123" t="str">
        <f>LEFT(北段!#REF!,4)</f>
        <v>#ERROR!</v>
      </c>
      <c r="AA56" s="123" t="str">
        <f>LEFT(北段!#REF!,5)</f>
        <v>#ERROR!</v>
      </c>
      <c r="AB56" s="123" t="str">
        <f>LEFT(北段!#REF!,4)</f>
        <v>#ERROR!</v>
      </c>
      <c r="AC56" s="123" t="str">
        <f>LEFT(北段!#REF!,4)</f>
        <v>#ERROR!</v>
      </c>
      <c r="AD56" s="123" t="str">
        <f>LEFT(北段!#REF!,4)</f>
        <v>#ERROR!</v>
      </c>
      <c r="AE56" s="123" t="str">
        <f>LEFT(北段!#REF!,4)</f>
        <v>#ERROR!</v>
      </c>
      <c r="AF56" s="123" t="str">
        <f>LEFT(北段!#REF!,4)</f>
        <v>#ERROR!</v>
      </c>
      <c r="AG56" s="123" t="str">
        <f>LEFT(北段!#REF!,4)</f>
        <v>#ERROR!</v>
      </c>
      <c r="AH56" s="123" t="str">
        <f>LEFT(北段!#REF!,4)</f>
        <v>#ERROR!</v>
      </c>
      <c r="AI56" s="123" t="str">
        <f>LEFT(北段!#REF!,4)</f>
        <v>#ERROR!</v>
      </c>
      <c r="AJ56" s="123" t="str">
        <f>LEFT(北段!#REF!,4)</f>
        <v>#ERROR!</v>
      </c>
      <c r="AK56" s="123" t="str">
        <f>LEFT(北段!#REF!,4)</f>
        <v>#ERROR!</v>
      </c>
      <c r="AL56" s="123" t="str">
        <f>LEFT(北段!#REF!,4)</f>
        <v>#ERROR!</v>
      </c>
    </row>
    <row r="57" ht="39.75" customHeight="1">
      <c r="A57" s="129"/>
      <c r="B57" s="24" t="str">
        <f>LEFT(北段!#REF!,6)</f>
        <v>#ERROR!</v>
      </c>
      <c r="C57" s="24" t="str">
        <f>VLOOKUP(B57,'北段'!B:C,2,FALSE)</f>
        <v>#ERROR!</v>
      </c>
      <c r="D57" s="123" t="str">
        <f>LEFT(北段!#REF!,4)</f>
        <v>#ERROR!</v>
      </c>
      <c r="E57" s="123" t="str">
        <f>LEFT(北段!#REF!,4)</f>
        <v>#ERROR!</v>
      </c>
      <c r="F57" s="123" t="str">
        <f>LEFT(北段!#REF!,4)</f>
        <v>#ERROR!</v>
      </c>
      <c r="G57" s="123" t="str">
        <f>LEFT(北段!#REF!,4)</f>
        <v>#ERROR!</v>
      </c>
      <c r="H57" s="123" t="str">
        <f>LEFT(北段!#REF!,4)</f>
        <v>#ERROR!</v>
      </c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</row>
    <row r="58" ht="39.0" customHeight="1">
      <c r="A58" s="129"/>
      <c r="B58" s="24" t="str">
        <f>LEFT(北段!#REF!,6)</f>
        <v>#ERROR!</v>
      </c>
      <c r="C58" s="24" t="str">
        <f>VLOOKUP(B58,'北段'!B:C,2,FALSE)</f>
        <v>#ERROR!</v>
      </c>
      <c r="D58" s="123" t="str">
        <f>LEFT(北段!#REF!,4)</f>
        <v>#ERROR!</v>
      </c>
      <c r="E58" s="123" t="str">
        <f>LEFT(北段!#REF!,4)</f>
        <v>#ERROR!</v>
      </c>
      <c r="F58" s="123" t="str">
        <f>LEFT(北段!#REF!,4)</f>
        <v>#ERROR!</v>
      </c>
      <c r="G58" s="123" t="str">
        <f>LEFT(北段!#REF!,4)</f>
        <v>#ERROR!</v>
      </c>
      <c r="H58" s="123" t="str">
        <f>LEFT(北段!#REF!,4)</f>
        <v>#ERROR!</v>
      </c>
      <c r="I58" s="123" t="str">
        <f>LEFT(北段!#REF!,4)</f>
        <v>#ERROR!</v>
      </c>
      <c r="J58" s="123" t="str">
        <f>LEFT(北段!#REF!,4)</f>
        <v>#ERROR!</v>
      </c>
      <c r="K58" s="123" t="str">
        <f>LEFT(北段!#REF!,4)</f>
        <v>#ERROR!</v>
      </c>
      <c r="L58" s="123" t="str">
        <f>LEFT(北段!#REF!,4)</f>
        <v>#ERROR!</v>
      </c>
      <c r="M58" s="123" t="str">
        <f>LEFT(北段!#REF!,4)</f>
        <v>#ERROR!</v>
      </c>
      <c r="N58" s="123" t="str">
        <f>LEFT(北段!#REF!,4)</f>
        <v>#ERROR!</v>
      </c>
      <c r="O58" s="123" t="str">
        <f>LEFT(北段!#REF!,4)</f>
        <v>#ERROR!</v>
      </c>
      <c r="P58" s="123" t="str">
        <f>LEFT(北段!#REF!,4)</f>
        <v>#ERROR!</v>
      </c>
      <c r="Q58" s="123" t="str">
        <f>LEFT(北段!#REF!,4)</f>
        <v>#ERROR!</v>
      </c>
      <c r="R58" s="123" t="str">
        <f>LEFT(北段!#REF!,4)</f>
        <v>#ERROR!</v>
      </c>
      <c r="S58" s="123" t="str">
        <f>LEFT(北段!#REF!,4)</f>
        <v>#ERROR!</v>
      </c>
      <c r="T58" s="123" t="str">
        <f>LEFT(北段!#REF!,4)</f>
        <v>#ERROR!</v>
      </c>
      <c r="U58" s="123" t="str">
        <f>LEFT(北段!#REF!,4)</f>
        <v>#ERROR!</v>
      </c>
      <c r="V58" s="123" t="str">
        <f>LEFT(北段!#REF!,4)</f>
        <v>#ERROR!</v>
      </c>
      <c r="W58" s="123" t="str">
        <f>LEFT(北段!#REF!,4)</f>
        <v>#ERROR!</v>
      </c>
      <c r="X58" s="123" t="str">
        <f>LEFT(北段!#REF!,4)</f>
        <v>#ERROR!</v>
      </c>
      <c r="Y58" s="123" t="str">
        <f>LEFT(北段!#REF!,4)</f>
        <v>#ERROR!</v>
      </c>
      <c r="Z58" s="123" t="str">
        <f>LEFT(北段!#REF!,4)</f>
        <v>#ERROR!</v>
      </c>
      <c r="AA58" s="123" t="str">
        <f>LEFT(北段!#REF!,4)</f>
        <v>#ERROR!</v>
      </c>
      <c r="AB58" s="123" t="str">
        <f>LEFT(北段!#REF!,4)</f>
        <v>#ERROR!</v>
      </c>
      <c r="AC58" s="123" t="str">
        <f>LEFT(北段!#REF!,4)</f>
        <v>#ERROR!</v>
      </c>
      <c r="AD58" s="123" t="str">
        <f>LEFT(北段!#REF!,4)</f>
        <v>#ERROR!</v>
      </c>
      <c r="AE58" s="123" t="str">
        <f>LEFT(北段!#REF!,4)</f>
        <v>#ERROR!</v>
      </c>
      <c r="AF58" s="123" t="str">
        <f>LEFT(北段!#REF!,4)</f>
        <v>#ERROR!</v>
      </c>
      <c r="AG58" s="123" t="str">
        <f>LEFT(北段!#REF!,4)</f>
        <v>#ERROR!</v>
      </c>
      <c r="AH58" s="123" t="str">
        <f>LEFT(北段!#REF!,4)</f>
        <v>#ERROR!</v>
      </c>
      <c r="AI58" s="123" t="str">
        <f>LEFT(北段!#REF!,4)</f>
        <v>#ERROR!</v>
      </c>
      <c r="AJ58" s="123" t="str">
        <f>LEFT(北段!#REF!,4)</f>
        <v>#ERROR!</v>
      </c>
      <c r="AK58" s="123" t="str">
        <f>LEFT(北段!#REF!,4)</f>
        <v>#ERROR!</v>
      </c>
      <c r="AL58" s="123" t="str">
        <f>LEFT(北段!#REF!,4)</f>
        <v>#ERROR!</v>
      </c>
    </row>
    <row r="59" ht="39.75" customHeight="1">
      <c r="A59" s="129" t="s">
        <v>66</v>
      </c>
      <c r="B59" s="24" t="str">
        <f>LEFT(北段!#REF!,6)</f>
        <v>#ERROR!</v>
      </c>
      <c r="C59" s="24" t="str">
        <f>VLOOKUP(B59,'北段'!B:C,2,FALSE)</f>
        <v>#ERROR!</v>
      </c>
      <c r="D59" s="123" t="str">
        <f>LEFT(北段!#REF!,4)</f>
        <v>#ERROR!</v>
      </c>
      <c r="E59" s="123" t="str">
        <f>LEFT(北段!#REF!,4)</f>
        <v>#ERROR!</v>
      </c>
      <c r="F59" s="123" t="str">
        <f>LEFT(北段!#REF!,4)</f>
        <v>#ERROR!</v>
      </c>
      <c r="G59" s="123" t="str">
        <f>LEFT(北段!#REF!,4)</f>
        <v>#ERROR!</v>
      </c>
      <c r="H59" s="123" t="str">
        <f>LEFT(北段!#REF!,4)</f>
        <v>#ERROR!</v>
      </c>
      <c r="I59" s="123" t="str">
        <f>LEFT(北段!#REF!,4)</f>
        <v>#ERROR!</v>
      </c>
      <c r="J59" s="123" t="str">
        <f>LEFT(北段!#REF!,4)</f>
        <v>#ERROR!</v>
      </c>
      <c r="K59" s="123" t="str">
        <f>LEFT(北段!#REF!,4)</f>
        <v>#ERROR!</v>
      </c>
      <c r="L59" s="123" t="str">
        <f>LEFT(北段!#REF!,4)</f>
        <v>#ERROR!</v>
      </c>
      <c r="M59" s="123" t="str">
        <f>LEFT(北段!#REF!,4)</f>
        <v>#ERROR!</v>
      </c>
      <c r="N59" s="123" t="str">
        <f>LEFT(北段!#REF!,4)</f>
        <v>#ERROR!</v>
      </c>
      <c r="O59" s="123" t="str">
        <f>LEFT(北段!#REF!,4)</f>
        <v>#ERROR!</v>
      </c>
      <c r="P59" s="123" t="str">
        <f>LEFT(北段!#REF!,4)</f>
        <v>#ERROR!</v>
      </c>
      <c r="Q59" s="123" t="str">
        <f>LEFT(北段!#REF!,4)</f>
        <v>#ERROR!</v>
      </c>
      <c r="R59" s="123" t="str">
        <f>LEFT(北段!#REF!,4)</f>
        <v>#ERROR!</v>
      </c>
      <c r="S59" s="123" t="str">
        <f>LEFT(北段!#REF!,4)</f>
        <v>#ERROR!</v>
      </c>
      <c r="T59" s="123" t="str">
        <f>LEFT(北段!#REF!,4)</f>
        <v>#ERROR!</v>
      </c>
      <c r="U59" s="123" t="str">
        <f>LEFT(北段!#REF!,4)</f>
        <v>#ERROR!</v>
      </c>
      <c r="V59" s="123" t="str">
        <f>LEFT(北段!#REF!,4)</f>
        <v>#ERROR!</v>
      </c>
      <c r="W59" s="123" t="str">
        <f>LEFT(北段!#REF!,4)</f>
        <v>#ERROR!</v>
      </c>
      <c r="X59" s="123" t="str">
        <f>LEFT(北段!#REF!,4)</f>
        <v>#ERROR!</v>
      </c>
      <c r="Y59" s="123" t="str">
        <f>LEFT(北段!#REF!,4)</f>
        <v>#ERROR!</v>
      </c>
      <c r="Z59" s="123" t="str">
        <f>LEFT(北段!#REF!,4)</f>
        <v>#ERROR!</v>
      </c>
      <c r="AA59" s="123" t="str">
        <f>LEFT(北段!#REF!,5)</f>
        <v>#ERROR!</v>
      </c>
      <c r="AB59" s="123" t="str">
        <f>LEFT(北段!#REF!,4)</f>
        <v>#ERROR!</v>
      </c>
      <c r="AC59" s="123" t="str">
        <f>LEFT(北段!#REF!,4)</f>
        <v>#ERROR!</v>
      </c>
      <c r="AD59" s="123" t="str">
        <f>LEFT(北段!#REF!,4)</f>
        <v>#ERROR!</v>
      </c>
      <c r="AE59" s="123" t="str">
        <f>LEFT(北段!#REF!,4)</f>
        <v>#ERROR!</v>
      </c>
      <c r="AF59" s="123" t="str">
        <f>LEFT(北段!#REF!,4)</f>
        <v>#ERROR!</v>
      </c>
      <c r="AG59" s="123" t="str">
        <f>LEFT(北段!#REF!,4)</f>
        <v>#ERROR!</v>
      </c>
      <c r="AH59" s="123" t="str">
        <f>LEFT(北段!#REF!,4)</f>
        <v>#ERROR!</v>
      </c>
      <c r="AI59" s="123" t="str">
        <f>LEFT(北段!#REF!,4)</f>
        <v>#ERROR!</v>
      </c>
      <c r="AJ59" s="123" t="str">
        <f>LEFT(北段!#REF!,4)</f>
        <v>#ERROR!</v>
      </c>
      <c r="AK59" s="123" t="str">
        <f>LEFT(北段!#REF!,4)</f>
        <v>#ERROR!</v>
      </c>
      <c r="AL59" s="123" t="str">
        <f>LEFT(北段!#REF!,4)</f>
        <v>#ERROR!</v>
      </c>
    </row>
    <row r="60" ht="39.0" customHeight="1">
      <c r="A60" s="129"/>
      <c r="B60" s="24" t="str">
        <f>LEFT(北段!#REF!,6)</f>
        <v>#ERROR!</v>
      </c>
      <c r="C60" s="24" t="str">
        <f>VLOOKUP(B60,'北段'!B:C,2,FALSE)</f>
        <v>#ERROR!</v>
      </c>
      <c r="D60" s="123" t="str">
        <f>LEFT(北段!#REF!,4)</f>
        <v>#ERROR!</v>
      </c>
      <c r="E60" s="123" t="str">
        <f>LEFT(北段!#REF!,4)</f>
        <v>#ERROR!</v>
      </c>
      <c r="F60" s="123" t="str">
        <f>LEFT(北段!#REF!,4)</f>
        <v>#ERROR!</v>
      </c>
      <c r="G60" s="123" t="str">
        <f>LEFT(北段!#REF!,4)</f>
        <v>#ERROR!</v>
      </c>
      <c r="H60" s="123" t="str">
        <f>LEFT(北段!#REF!,4)</f>
        <v>#ERROR!</v>
      </c>
      <c r="I60" s="123" t="str">
        <f>LEFT(北段!#REF!,4)</f>
        <v>#ERROR!</v>
      </c>
      <c r="J60" s="123" t="str">
        <f>LEFT(北段!#REF!,4)</f>
        <v>#ERROR!</v>
      </c>
      <c r="K60" s="123" t="str">
        <f>LEFT(北段!#REF!,4)</f>
        <v>#ERROR!</v>
      </c>
      <c r="L60" s="123" t="str">
        <f>LEFT(北段!#REF!,4)</f>
        <v>#ERROR!</v>
      </c>
      <c r="M60" s="123" t="str">
        <f>LEFT(北段!#REF!,4)</f>
        <v>#ERROR!</v>
      </c>
      <c r="N60" s="123" t="str">
        <f>LEFT(北段!#REF!,4)</f>
        <v>#ERROR!</v>
      </c>
      <c r="O60" s="123" t="str">
        <f>LEFT(北段!#REF!,4)</f>
        <v>#ERROR!</v>
      </c>
      <c r="P60" s="123" t="str">
        <f>LEFT(北段!#REF!,4)</f>
        <v>#ERROR!</v>
      </c>
      <c r="Q60" s="123" t="str">
        <f>LEFT(北段!#REF!,4)</f>
        <v>#ERROR!</v>
      </c>
      <c r="R60" s="123" t="str">
        <f>LEFT(北段!#REF!,4)</f>
        <v>#ERROR!</v>
      </c>
      <c r="S60" s="123" t="str">
        <f>LEFT(北段!#REF!,4)</f>
        <v>#ERROR!</v>
      </c>
      <c r="T60" s="123" t="str">
        <f>LEFT(北段!#REF!,4)</f>
        <v>#ERROR!</v>
      </c>
      <c r="U60" s="123" t="str">
        <f>LEFT(北段!#REF!,4)</f>
        <v>#ERROR!</v>
      </c>
      <c r="V60" s="123" t="str">
        <f>LEFT(北段!#REF!,4)</f>
        <v>#ERROR!</v>
      </c>
      <c r="W60" s="123" t="str">
        <f>LEFT(北段!#REF!,6)</f>
        <v>#ERROR!</v>
      </c>
      <c r="X60" s="123" t="str">
        <f>LEFT(北段!#REF!,4)</f>
        <v>#ERROR!</v>
      </c>
      <c r="Y60" s="123" t="str">
        <f>LEFT(北段!#REF!,4)</f>
        <v>#ERROR!</v>
      </c>
      <c r="Z60" s="123" t="str">
        <f>LEFT(北段!#REF!,4)</f>
        <v>#ERROR!</v>
      </c>
      <c r="AA60" s="123" t="str">
        <f>LEFT(北段!#REF!,4)</f>
        <v>#ERROR!</v>
      </c>
      <c r="AB60" s="123" t="str">
        <f>LEFT(北段!#REF!,4)</f>
        <v>#ERROR!</v>
      </c>
      <c r="AC60" s="123" t="str">
        <f>LEFT(北段!#REF!,4)</f>
        <v>#ERROR!</v>
      </c>
      <c r="AD60" s="123" t="str">
        <f>LEFT(北段!#REF!,4)</f>
        <v>#ERROR!</v>
      </c>
      <c r="AE60" s="123" t="str">
        <f>LEFT(北段!#REF!,4)</f>
        <v>#ERROR!</v>
      </c>
      <c r="AF60" s="123" t="str">
        <f>LEFT(北段!#REF!,4)</f>
        <v>#ERROR!</v>
      </c>
      <c r="AG60" s="123" t="str">
        <f>LEFT(北段!#REF!,4)</f>
        <v>#ERROR!</v>
      </c>
      <c r="AH60" s="123" t="str">
        <f>LEFT(北段!#REF!,4)</f>
        <v>#ERROR!</v>
      </c>
      <c r="AI60" s="123" t="str">
        <f>LEFT(北段!#REF!,4)</f>
        <v>#ERROR!</v>
      </c>
      <c r="AJ60" s="123" t="str">
        <f>LEFT(北段!#REF!,4)</f>
        <v>#ERROR!</v>
      </c>
      <c r="AK60" s="123" t="str">
        <f>LEFT(北段!#REF!,4)</f>
        <v>#ERROR!</v>
      </c>
      <c r="AL60" s="123" t="str">
        <f>LEFT(北段!#REF!,4)</f>
        <v>#ERROR!</v>
      </c>
    </row>
    <row r="61" ht="39.75" customHeight="1">
      <c r="A61" s="129"/>
      <c r="B61" s="24" t="str">
        <f>LEFT(北段!#REF!,6)</f>
        <v>#ERROR!</v>
      </c>
      <c r="C61" s="24" t="str">
        <f>VLOOKUP(B61,'北段'!B:C,2,FALSE)</f>
        <v>#ERROR!</v>
      </c>
      <c r="D61" s="123" t="str">
        <f>LEFT(北段!#REF!,4)</f>
        <v>#ERROR!</v>
      </c>
      <c r="E61" s="123" t="str">
        <f>LEFT(北段!#REF!,4)</f>
        <v>#ERROR!</v>
      </c>
      <c r="F61" s="123" t="str">
        <f>LEFT(北段!#REF!,4)</f>
        <v>#ERROR!</v>
      </c>
      <c r="G61" s="123" t="str">
        <f>LEFT(北段!#REF!,4)</f>
        <v>#ERROR!</v>
      </c>
      <c r="H61" s="123" t="str">
        <f>LEFT(北段!#REF!,4)</f>
        <v>#ERROR!</v>
      </c>
      <c r="I61" s="123" t="str">
        <f>LEFT(北段!#REF!,4)</f>
        <v>#ERROR!</v>
      </c>
      <c r="J61" s="123" t="str">
        <f>LEFT(北段!#REF!,4)</f>
        <v>#ERROR!</v>
      </c>
      <c r="K61" s="123" t="str">
        <f>LEFT(北段!#REF!,4)</f>
        <v>#ERROR!</v>
      </c>
      <c r="L61" s="123" t="str">
        <f>LEFT(北段!#REF!,4)</f>
        <v>#ERROR!</v>
      </c>
      <c r="M61" s="123" t="str">
        <f>LEFT(北段!#REF!,4)</f>
        <v>#ERROR!</v>
      </c>
      <c r="N61" s="123" t="str">
        <f>LEFT(北段!#REF!,4)</f>
        <v>#ERROR!</v>
      </c>
      <c r="O61" s="123" t="str">
        <f>LEFT(北段!#REF!,4)</f>
        <v>#ERROR!</v>
      </c>
      <c r="P61" s="123" t="str">
        <f>LEFT(北段!#REF!,4)</f>
        <v>#ERROR!</v>
      </c>
      <c r="Q61" s="123" t="str">
        <f>LEFT(北段!#REF!,4)</f>
        <v>#ERROR!</v>
      </c>
      <c r="R61" s="123" t="str">
        <f>LEFT(北段!#REF!,4)</f>
        <v>#ERROR!</v>
      </c>
      <c r="S61" s="123" t="str">
        <f>LEFT(北段!#REF!,4)</f>
        <v>#ERROR!</v>
      </c>
      <c r="T61" s="123" t="str">
        <f>LEFT(北段!#REF!,4)</f>
        <v>#ERROR!</v>
      </c>
      <c r="U61" s="123" t="str">
        <f>LEFT(北段!#REF!,4)</f>
        <v>#ERROR!</v>
      </c>
      <c r="V61" s="123" t="str">
        <f>LEFT(北段!#REF!,4)</f>
        <v>#ERROR!</v>
      </c>
      <c r="W61" s="123" t="str">
        <f>LEFT(北段!#REF!,4)</f>
        <v>#ERROR!</v>
      </c>
      <c r="X61" s="123" t="str">
        <f>LEFT(北段!#REF!,4)</f>
        <v>#ERROR!</v>
      </c>
      <c r="Y61" s="123" t="str">
        <f>LEFT(北段!#REF!,4)</f>
        <v>#ERROR!</v>
      </c>
      <c r="Z61" s="123" t="str">
        <f>LEFT(北段!#REF!,4)</f>
        <v>#ERROR!</v>
      </c>
      <c r="AA61" s="123" t="str">
        <f>LEFT(北段!#REF!,4)</f>
        <v>#ERROR!</v>
      </c>
      <c r="AB61" s="123" t="str">
        <f>LEFT(北段!#REF!,4)</f>
        <v>#ERROR!</v>
      </c>
      <c r="AC61" s="123" t="str">
        <f>LEFT(北段!#REF!,4)</f>
        <v>#ERROR!</v>
      </c>
      <c r="AD61" s="123" t="str">
        <f>LEFT(北段!#REF!,4)</f>
        <v>#ERROR!</v>
      </c>
      <c r="AE61" s="123" t="str">
        <f>LEFT(北段!#REF!,4)</f>
        <v>#ERROR!</v>
      </c>
      <c r="AF61" s="123" t="str">
        <f>LEFT(北段!#REF!,4)</f>
        <v>#ERROR!</v>
      </c>
      <c r="AG61" s="123" t="str">
        <f>LEFT(北段!#REF!,4)</f>
        <v>#ERROR!</v>
      </c>
      <c r="AH61" s="123" t="str">
        <f>LEFT(北段!#REF!,4)</f>
        <v>#ERROR!</v>
      </c>
      <c r="AI61" s="123" t="str">
        <f>LEFT(北段!#REF!,4)</f>
        <v>#ERROR!</v>
      </c>
      <c r="AJ61" s="123" t="str">
        <f>LEFT(北段!#REF!,4)</f>
        <v>#ERROR!</v>
      </c>
      <c r="AK61" s="123" t="str">
        <f>LEFT(北段!#REF!,4)</f>
        <v>#ERROR!</v>
      </c>
      <c r="AL61" s="123" t="str">
        <f>LEFT(北段!#REF!,4)</f>
        <v>#ERROR!</v>
      </c>
    </row>
    <row r="62" ht="39.0" customHeight="1">
      <c r="A62" s="129"/>
      <c r="B62" s="24" t="str">
        <f>LEFT(北段!#REF!,6)</f>
        <v>#ERROR!</v>
      </c>
      <c r="C62" s="24" t="str">
        <f>VLOOKUP(B62,'北段'!B:C,2,FALSE)</f>
        <v>#ERROR!</v>
      </c>
      <c r="D62" s="123" t="str">
        <f>LEFT(北段!#REF!,4)</f>
        <v>#ERROR!</v>
      </c>
      <c r="E62" s="123" t="str">
        <f>LEFT(北段!#REF!,4)</f>
        <v>#ERROR!</v>
      </c>
      <c r="F62" s="123" t="str">
        <f>LEFT(北段!#REF!,4)</f>
        <v>#ERROR!</v>
      </c>
      <c r="G62" s="123" t="str">
        <f>LEFT(北段!#REF!,4)</f>
        <v>#ERROR!</v>
      </c>
      <c r="H62" s="123" t="str">
        <f>LEFT(北段!#REF!,4)</f>
        <v>#ERROR!</v>
      </c>
      <c r="I62" s="123" t="str">
        <f>LEFT(北段!#REF!,4)</f>
        <v>#ERROR!</v>
      </c>
      <c r="J62" s="123" t="str">
        <f>LEFT(北段!#REF!,4)</f>
        <v>#ERROR!</v>
      </c>
      <c r="K62" s="123" t="str">
        <f>LEFT(北段!#REF!,4)</f>
        <v>#ERROR!</v>
      </c>
      <c r="L62" s="123" t="str">
        <f>LEFT(北段!#REF!,4)</f>
        <v>#ERROR!</v>
      </c>
      <c r="M62" s="123" t="str">
        <f>LEFT(北段!#REF!,4)</f>
        <v>#ERROR!</v>
      </c>
      <c r="N62" s="123" t="str">
        <f>LEFT(北段!#REF!,4)</f>
        <v>#ERROR!</v>
      </c>
      <c r="O62" s="123" t="str">
        <f>LEFT(北段!#REF!,4)</f>
        <v>#ERROR!</v>
      </c>
      <c r="P62" s="123" t="str">
        <f>LEFT(北段!#REF!,4)</f>
        <v>#ERROR!</v>
      </c>
      <c r="Q62" s="123" t="str">
        <f>LEFT(北段!#REF!,4)</f>
        <v>#ERROR!</v>
      </c>
      <c r="R62" s="123" t="str">
        <f>LEFT(北段!#REF!,4)</f>
        <v>#ERROR!</v>
      </c>
      <c r="S62" s="123" t="str">
        <f>LEFT(北段!#REF!,4)</f>
        <v>#ERROR!</v>
      </c>
      <c r="T62" s="123" t="str">
        <f>LEFT(北段!#REF!,4)</f>
        <v>#ERROR!</v>
      </c>
      <c r="U62" s="123" t="str">
        <f>LEFT(北段!#REF!,4)</f>
        <v>#ERROR!</v>
      </c>
      <c r="V62" s="123" t="str">
        <f>LEFT(北段!#REF!,4)</f>
        <v>#ERROR!</v>
      </c>
      <c r="W62" s="123" t="str">
        <f>LEFT(北段!#REF!,4)</f>
        <v>#ERROR!</v>
      </c>
      <c r="X62" s="123" t="str">
        <f>LEFT(北段!#REF!,4)</f>
        <v>#ERROR!</v>
      </c>
      <c r="Y62" s="123" t="str">
        <f>LEFT(北段!#REF!,4)</f>
        <v>#ERROR!</v>
      </c>
      <c r="Z62" s="123" t="str">
        <f>LEFT(北段!#REF!,4)</f>
        <v>#ERROR!</v>
      </c>
      <c r="AA62" s="123" t="str">
        <f>LEFT(北段!#REF!,4)</f>
        <v>#ERROR!</v>
      </c>
      <c r="AB62" s="123" t="str">
        <f>LEFT(北段!#REF!,4)</f>
        <v>#ERROR!</v>
      </c>
      <c r="AC62" s="123" t="str">
        <f>LEFT(北段!#REF!,4)</f>
        <v>#ERROR!</v>
      </c>
      <c r="AD62" s="123" t="str">
        <f>LEFT(北段!#REF!,4)</f>
        <v>#ERROR!</v>
      </c>
      <c r="AE62" s="123" t="str">
        <f>LEFT(北段!#REF!,4)</f>
        <v>#ERROR!</v>
      </c>
      <c r="AF62" s="123" t="str">
        <f>LEFT(北段!#REF!,4)</f>
        <v>#ERROR!</v>
      </c>
      <c r="AG62" s="123" t="str">
        <f>LEFT(北段!#REF!,4)</f>
        <v>#ERROR!</v>
      </c>
      <c r="AH62" s="123" t="str">
        <f>LEFT(北段!#REF!,4)</f>
        <v>#ERROR!</v>
      </c>
      <c r="AI62" s="123" t="str">
        <f>LEFT(北段!#REF!,4)</f>
        <v>#ERROR!</v>
      </c>
      <c r="AJ62" s="123" t="str">
        <f>LEFT(北段!#REF!,4)</f>
        <v>#ERROR!</v>
      </c>
      <c r="AK62" s="123" t="str">
        <f>LEFT(北段!#REF!,4)</f>
        <v>#ERROR!</v>
      </c>
      <c r="AL62" s="123" t="str">
        <f>LEFT(北段!#REF!,4)</f>
        <v>#ERROR!</v>
      </c>
    </row>
    <row r="63" ht="39.0" customHeight="1">
      <c r="A63" s="129"/>
      <c r="B63" s="24" t="str">
        <f>LEFT(北段!#REF!,6)</f>
        <v>#ERROR!</v>
      </c>
      <c r="C63" s="24" t="str">
        <f>VLOOKUP(B63,'北段'!B:C,2,FALSE)</f>
        <v>#ERROR!</v>
      </c>
      <c r="D63" s="123" t="str">
        <f>LEFT(北段!#REF!,4)</f>
        <v>#ERROR!</v>
      </c>
      <c r="E63" s="123" t="str">
        <f>LEFT(北段!#REF!,4)</f>
        <v>#ERROR!</v>
      </c>
      <c r="F63" s="123" t="str">
        <f>LEFT(北段!#REF!,4)</f>
        <v>#ERROR!</v>
      </c>
      <c r="G63" s="123" t="str">
        <f>LEFT(北段!#REF!,4)</f>
        <v>#ERROR!</v>
      </c>
      <c r="H63" s="123" t="str">
        <f>LEFT(北段!#REF!,4)</f>
        <v>#ERROR!</v>
      </c>
      <c r="I63" s="123" t="str">
        <f>LEFT(北段!#REF!,4)</f>
        <v>#ERROR!</v>
      </c>
      <c r="J63" s="123" t="str">
        <f>LEFT(北段!#REF!,4)</f>
        <v>#ERROR!</v>
      </c>
      <c r="K63" s="123" t="str">
        <f>LEFT(北段!#REF!,4)</f>
        <v>#ERROR!</v>
      </c>
      <c r="L63" s="123" t="str">
        <f>LEFT(北段!#REF!,4)</f>
        <v>#ERROR!</v>
      </c>
      <c r="M63" s="123" t="str">
        <f>LEFT(北段!#REF!,4)</f>
        <v>#ERROR!</v>
      </c>
      <c r="N63" s="123" t="str">
        <f>LEFT(北段!#REF!,4)</f>
        <v>#ERROR!</v>
      </c>
      <c r="O63" s="123" t="str">
        <f>LEFT(北段!#REF!,4)</f>
        <v>#ERROR!</v>
      </c>
      <c r="P63" s="123" t="str">
        <f>LEFT(北段!#REF!,4)</f>
        <v>#ERROR!</v>
      </c>
      <c r="Q63" s="123" t="str">
        <f>LEFT(北段!#REF!,4)</f>
        <v>#ERROR!</v>
      </c>
      <c r="R63" s="123" t="str">
        <f>LEFT(北段!#REF!,4)</f>
        <v>#ERROR!</v>
      </c>
      <c r="S63" s="123" t="str">
        <f>LEFT(北段!#REF!,4)</f>
        <v>#ERROR!</v>
      </c>
      <c r="T63" s="123" t="str">
        <f>LEFT(北段!#REF!,4)</f>
        <v>#ERROR!</v>
      </c>
      <c r="U63" s="123" t="str">
        <f>LEFT(北段!#REF!,4)</f>
        <v>#ERROR!</v>
      </c>
      <c r="V63" s="123" t="str">
        <f>LEFT(北段!#REF!,4)</f>
        <v>#ERROR!</v>
      </c>
      <c r="W63" s="123" t="str">
        <f>LEFT(北段!#REF!,4)</f>
        <v>#ERROR!</v>
      </c>
      <c r="X63" s="123" t="str">
        <f>LEFT(北段!#REF!,4)</f>
        <v>#ERROR!</v>
      </c>
      <c r="Y63" s="123" t="str">
        <f>LEFT(北段!#REF!,4)</f>
        <v>#ERROR!</v>
      </c>
      <c r="Z63" s="123" t="str">
        <f>LEFT(北段!#REF!,4)</f>
        <v>#ERROR!</v>
      </c>
      <c r="AA63" s="123" t="str">
        <f>LEFT(北段!#REF!,4)</f>
        <v>#ERROR!</v>
      </c>
      <c r="AB63" s="123" t="str">
        <f>LEFT(北段!#REF!,4)</f>
        <v>#ERROR!</v>
      </c>
      <c r="AC63" s="123" t="str">
        <f>LEFT(北段!#REF!,4)</f>
        <v>#ERROR!</v>
      </c>
      <c r="AD63" s="123" t="str">
        <f>LEFT(北段!#REF!,4)</f>
        <v>#ERROR!</v>
      </c>
      <c r="AE63" s="123" t="str">
        <f>LEFT(北段!#REF!,4)</f>
        <v>#ERROR!</v>
      </c>
      <c r="AF63" s="123" t="str">
        <f>LEFT(北段!#REF!,4)</f>
        <v>#ERROR!</v>
      </c>
      <c r="AG63" s="123" t="str">
        <f>LEFT(北段!#REF!,4)</f>
        <v>#ERROR!</v>
      </c>
      <c r="AH63" s="123" t="str">
        <f>LEFT(北段!#REF!,4)</f>
        <v>#ERROR!</v>
      </c>
      <c r="AI63" s="123" t="str">
        <f>LEFT(北段!#REF!,4)</f>
        <v>#ERROR!</v>
      </c>
      <c r="AJ63" s="123" t="str">
        <f>LEFT(北段!#REF!,4)</f>
        <v>#ERROR!</v>
      </c>
      <c r="AK63" s="123" t="str">
        <f>LEFT(北段!#REF!,4)</f>
        <v>#ERROR!</v>
      </c>
      <c r="AL63" s="123" t="str">
        <f>LEFT(北段!#REF!,4)</f>
        <v>#ERROR!</v>
      </c>
    </row>
    <row r="64" ht="47.25" customHeight="1">
      <c r="A64" s="129"/>
      <c r="B64" s="24" t="str">
        <f>LEFT(北段!#REF!,6)</f>
        <v>#ERROR!</v>
      </c>
      <c r="C64" s="24" t="str">
        <f>VLOOKUP(B64,'北段'!B:C,2,FALSE)</f>
        <v>#ERROR!</v>
      </c>
      <c r="D64" s="123" t="str">
        <f>LEFT(北段!#REF!,4)</f>
        <v>#ERROR!</v>
      </c>
      <c r="E64" s="123" t="str">
        <f>LEFT(北段!#REF!,4)</f>
        <v>#ERROR!</v>
      </c>
      <c r="F64" s="123" t="str">
        <f>LEFT(北段!#REF!,4)</f>
        <v>#ERROR!</v>
      </c>
      <c r="G64" s="123" t="str">
        <f>LEFT(北段!#REF!,4)</f>
        <v>#ERROR!</v>
      </c>
      <c r="H64" s="123" t="str">
        <f>LEFT(北段!#REF!,4)</f>
        <v>#ERROR!</v>
      </c>
      <c r="I64" s="123" t="str">
        <f>LEFT(北段!#REF!,4)</f>
        <v>#ERROR!</v>
      </c>
      <c r="J64" s="123" t="str">
        <f>LEFT(北段!#REF!,4)</f>
        <v>#ERROR!</v>
      </c>
      <c r="K64" s="123" t="str">
        <f>LEFT(北段!#REF!,4)</f>
        <v>#ERROR!</v>
      </c>
      <c r="L64" s="123" t="str">
        <f>LEFT(北段!#REF!,4)</f>
        <v>#ERROR!</v>
      </c>
      <c r="M64" s="123" t="str">
        <f>LEFT(北段!#REF!,4)</f>
        <v>#ERROR!</v>
      </c>
      <c r="N64" s="123" t="str">
        <f>LEFT(北段!#REF!,4)</f>
        <v>#ERROR!</v>
      </c>
      <c r="O64" s="123" t="str">
        <f>LEFT(北段!#REF!,4)</f>
        <v>#ERROR!</v>
      </c>
      <c r="P64" s="123" t="str">
        <f>LEFT(北段!#REF!,4)</f>
        <v>#ERROR!</v>
      </c>
      <c r="Q64" s="123" t="str">
        <f>LEFT(北段!#REF!,4)</f>
        <v>#ERROR!</v>
      </c>
      <c r="R64" s="123" t="str">
        <f>LEFT(北段!#REF!,4)</f>
        <v>#ERROR!</v>
      </c>
      <c r="S64" s="123" t="str">
        <f>LEFT(北段!#REF!,4)</f>
        <v>#ERROR!</v>
      </c>
      <c r="T64" s="123" t="str">
        <f>LEFT(北段!#REF!,4)</f>
        <v>#ERROR!</v>
      </c>
      <c r="U64" s="123" t="str">
        <f>LEFT(北段!#REF!,4)</f>
        <v>#ERROR!</v>
      </c>
      <c r="V64" s="123" t="str">
        <f>LEFT(北段!#REF!,4)</f>
        <v>#ERROR!</v>
      </c>
      <c r="W64" s="123" t="str">
        <f>LEFT(北段!#REF!,4)</f>
        <v>#ERROR!</v>
      </c>
      <c r="X64" s="123" t="str">
        <f>LEFT(北段!#REF!,4)</f>
        <v>#ERROR!</v>
      </c>
      <c r="Y64" s="123" t="str">
        <f>LEFT(北段!#REF!,4)</f>
        <v>#ERROR!</v>
      </c>
      <c r="Z64" s="123" t="str">
        <f>LEFT(北段!#REF!,4)</f>
        <v>#ERROR!</v>
      </c>
      <c r="AA64" s="123" t="str">
        <f>LEFT(北段!#REF!,4)</f>
        <v>#ERROR!</v>
      </c>
      <c r="AB64" s="123" t="str">
        <f>LEFT(北段!#REF!,4)</f>
        <v>#ERROR!</v>
      </c>
      <c r="AC64" s="123" t="str">
        <f>LEFT(北段!#REF!,4)</f>
        <v>#ERROR!</v>
      </c>
      <c r="AD64" s="123" t="str">
        <f>LEFT(北段!#REF!,4)</f>
        <v>#ERROR!</v>
      </c>
      <c r="AE64" s="123" t="str">
        <f>LEFT(北段!#REF!,4)</f>
        <v>#ERROR!</v>
      </c>
      <c r="AF64" s="123" t="str">
        <f>LEFT(北段!#REF!,4)</f>
        <v>#ERROR!</v>
      </c>
      <c r="AG64" s="123" t="str">
        <f>LEFT(北段!#REF!,4)</f>
        <v>#ERROR!</v>
      </c>
      <c r="AH64" s="123" t="str">
        <f>LEFT(北段!#REF!,4)</f>
        <v>#ERROR!</v>
      </c>
      <c r="AI64" s="123" t="str">
        <f>LEFT(北段!#REF!,4)</f>
        <v>#ERROR!</v>
      </c>
      <c r="AJ64" s="123" t="str">
        <f>LEFT(北段!#REF!,4)</f>
        <v>#ERROR!</v>
      </c>
      <c r="AK64" s="123" t="str">
        <f>LEFT(北段!#REF!,4)</f>
        <v>#ERROR!</v>
      </c>
      <c r="AL64" s="123" t="str">
        <f>LEFT(北段!#REF!,4)</f>
        <v>#ERROR!</v>
      </c>
    </row>
    <row r="65" ht="39.75" customHeight="1">
      <c r="A65" s="129" t="s">
        <v>67</v>
      </c>
      <c r="B65" s="24" t="str">
        <f>LEFT(北段!#REF!,6)</f>
        <v>#ERROR!</v>
      </c>
      <c r="C65" s="24" t="str">
        <f>VLOOKUP(B65,'北段'!B:C,2,FALSE)</f>
        <v>#ERROR!</v>
      </c>
      <c r="D65" s="123" t="str">
        <f>LEFT(北段!#REF!,4)</f>
        <v>#ERROR!</v>
      </c>
      <c r="E65" s="123" t="str">
        <f>LEFT(北段!#REF!,4)</f>
        <v>#ERROR!</v>
      </c>
      <c r="F65" s="123" t="str">
        <f>LEFT(北段!#REF!,4)</f>
        <v>#ERROR!</v>
      </c>
      <c r="G65" s="123" t="str">
        <f>LEFT(北段!#REF!,4)</f>
        <v>#ERROR!</v>
      </c>
      <c r="H65" s="123" t="str">
        <f>LEFT(北段!#REF!,4)</f>
        <v>#ERROR!</v>
      </c>
      <c r="I65" s="123" t="str">
        <f>LEFT(北段!#REF!,4)</f>
        <v>#ERROR!</v>
      </c>
      <c r="J65" s="123" t="str">
        <f>LEFT(北段!#REF!,4)</f>
        <v>#ERROR!</v>
      </c>
      <c r="K65" s="123" t="str">
        <f>LEFT(北段!#REF!,4)</f>
        <v>#ERROR!</v>
      </c>
      <c r="L65" s="123" t="str">
        <f>LEFT(北段!#REF!,4)</f>
        <v>#ERROR!</v>
      </c>
      <c r="M65" s="123" t="str">
        <f>LEFT(北段!#REF!,4)</f>
        <v>#ERROR!</v>
      </c>
      <c r="N65" s="123" t="str">
        <f>LEFT(北段!#REF!,4)</f>
        <v>#ERROR!</v>
      </c>
      <c r="O65" s="123" t="str">
        <f>LEFT(北段!#REF!,4)</f>
        <v>#ERROR!</v>
      </c>
      <c r="P65" s="123" t="str">
        <f>LEFT(北段!#REF!,4)</f>
        <v>#ERROR!</v>
      </c>
      <c r="Q65" s="123" t="str">
        <f>LEFT(北段!#REF!,4)</f>
        <v>#ERROR!</v>
      </c>
      <c r="R65" s="123" t="str">
        <f>LEFT(北段!#REF!,4)</f>
        <v>#ERROR!</v>
      </c>
      <c r="S65" s="123" t="str">
        <f>LEFT(北段!#REF!,4)</f>
        <v>#ERROR!</v>
      </c>
      <c r="T65" s="123" t="str">
        <f>LEFT(北段!#REF!,4)</f>
        <v>#ERROR!</v>
      </c>
      <c r="U65" s="123" t="str">
        <f>LEFT(北段!#REF!,4)</f>
        <v>#ERROR!</v>
      </c>
      <c r="V65" s="123" t="str">
        <f>LEFT(北段!#REF!,4)</f>
        <v>#ERROR!</v>
      </c>
      <c r="W65" s="123" t="str">
        <f>LEFT(北段!#REF!,4)</f>
        <v>#ERROR!</v>
      </c>
      <c r="X65" s="123" t="str">
        <f>LEFT(北段!#REF!,4)</f>
        <v>#ERROR!</v>
      </c>
      <c r="Y65" s="123" t="str">
        <f>LEFT(北段!#REF!,4)</f>
        <v>#ERROR!</v>
      </c>
      <c r="Z65" s="123" t="str">
        <f>LEFT(北段!#REF!,4)</f>
        <v>#ERROR!</v>
      </c>
      <c r="AA65" s="123" t="str">
        <f>LEFT(北段!#REF!,5)</f>
        <v>#ERROR!</v>
      </c>
      <c r="AB65" s="123" t="str">
        <f>LEFT(北段!#REF!,4)</f>
        <v>#ERROR!</v>
      </c>
      <c r="AC65" s="123" t="str">
        <f>LEFT(北段!#REF!,4)</f>
        <v>#ERROR!</v>
      </c>
      <c r="AD65" s="123" t="str">
        <f>LEFT(北段!#REF!,4)</f>
        <v>#ERROR!</v>
      </c>
      <c r="AE65" s="123" t="str">
        <f>LEFT(北段!#REF!,4)</f>
        <v>#ERROR!</v>
      </c>
      <c r="AF65" s="123" t="str">
        <f>LEFT(北段!#REF!,4)</f>
        <v>#ERROR!</v>
      </c>
      <c r="AG65" s="123" t="str">
        <f>LEFT(北段!#REF!,4)</f>
        <v>#ERROR!</v>
      </c>
      <c r="AH65" s="123" t="str">
        <f>LEFT(北段!#REF!,4)</f>
        <v>#ERROR!</v>
      </c>
      <c r="AI65" s="123" t="str">
        <f>LEFT(北段!#REF!,4)</f>
        <v>#ERROR!</v>
      </c>
      <c r="AJ65" s="123" t="str">
        <f>LEFT(北段!#REF!,4)</f>
        <v>#ERROR!</v>
      </c>
      <c r="AK65" s="123" t="str">
        <f>LEFT(北段!#REF!,4)</f>
        <v>#ERROR!</v>
      </c>
      <c r="AL65" s="123" t="str">
        <f>LEFT(北段!#REF!,4)</f>
        <v>#ERROR!</v>
      </c>
    </row>
    <row r="66" ht="39.0" customHeight="1">
      <c r="A66" s="129"/>
      <c r="B66" s="24" t="str">
        <f>LEFT(北段!#REF!,6)</f>
        <v>#ERROR!</v>
      </c>
      <c r="C66" s="24" t="str">
        <f>VLOOKUP(B66,'北段'!B:C,2,FALSE)</f>
        <v>#ERROR!</v>
      </c>
      <c r="D66" s="123" t="str">
        <f>LEFT(北段!#REF!,4)</f>
        <v>#ERROR!</v>
      </c>
      <c r="E66" s="123" t="str">
        <f>LEFT(北段!#REF!,4)</f>
        <v>#ERROR!</v>
      </c>
      <c r="F66" s="123" t="str">
        <f>LEFT(北段!#REF!,4)</f>
        <v>#ERROR!</v>
      </c>
      <c r="G66" s="123" t="str">
        <f>LEFT(北段!#REF!,4)</f>
        <v>#ERROR!</v>
      </c>
      <c r="H66" s="123" t="str">
        <f>LEFT(北段!#REF!,4)</f>
        <v>#ERROR!</v>
      </c>
      <c r="I66" s="123" t="str">
        <f>LEFT(北段!#REF!,4)</f>
        <v>#ERROR!</v>
      </c>
      <c r="J66" s="123" t="str">
        <f>LEFT(北段!#REF!,4)</f>
        <v>#ERROR!</v>
      </c>
      <c r="K66" s="123" t="str">
        <f>LEFT(北段!#REF!,4)</f>
        <v>#ERROR!</v>
      </c>
      <c r="L66" s="123" t="str">
        <f>LEFT(北段!#REF!,4)</f>
        <v>#ERROR!</v>
      </c>
      <c r="M66" s="123" t="str">
        <f>LEFT(北段!#REF!,4)</f>
        <v>#ERROR!</v>
      </c>
      <c r="N66" s="123" t="str">
        <f>LEFT(北段!#REF!,4)</f>
        <v>#ERROR!</v>
      </c>
      <c r="O66" s="123" t="str">
        <f>LEFT(北段!#REF!,4)</f>
        <v>#ERROR!</v>
      </c>
      <c r="P66" s="123" t="str">
        <f>LEFT(北段!#REF!,4)</f>
        <v>#ERROR!</v>
      </c>
      <c r="Q66" s="123" t="str">
        <f>LEFT(北段!#REF!,4)</f>
        <v>#ERROR!</v>
      </c>
      <c r="R66" s="123" t="str">
        <f>LEFT(北段!#REF!,4)</f>
        <v>#ERROR!</v>
      </c>
      <c r="S66" s="123" t="str">
        <f>LEFT(北段!#REF!,4)</f>
        <v>#ERROR!</v>
      </c>
      <c r="T66" s="123" t="str">
        <f>LEFT(北段!#REF!,4)</f>
        <v>#ERROR!</v>
      </c>
      <c r="U66" s="123" t="str">
        <f>LEFT(北段!#REF!,4)</f>
        <v>#ERROR!</v>
      </c>
      <c r="V66" s="123" t="str">
        <f>LEFT(北段!#REF!,4)</f>
        <v>#ERROR!</v>
      </c>
      <c r="W66" s="123" t="str">
        <f>LEFT(北段!#REF!,4)</f>
        <v>#ERROR!</v>
      </c>
      <c r="X66" s="123" t="str">
        <f>LEFT(北段!#REF!,4)</f>
        <v>#ERROR!</v>
      </c>
      <c r="Y66" s="123" t="str">
        <f>LEFT(北段!#REF!,4)</f>
        <v>#ERROR!</v>
      </c>
      <c r="Z66" s="123" t="str">
        <f>LEFT(北段!#REF!,4)</f>
        <v>#ERROR!</v>
      </c>
      <c r="AA66" s="123" t="str">
        <f>LEFT(北段!#REF!,4)</f>
        <v>#ERROR!</v>
      </c>
      <c r="AB66" s="123" t="str">
        <f>LEFT(北段!#REF!,4)</f>
        <v>#ERROR!</v>
      </c>
      <c r="AC66" s="123" t="str">
        <f>LEFT(北段!#REF!,4)</f>
        <v>#ERROR!</v>
      </c>
      <c r="AD66" s="123" t="str">
        <f>LEFT(北段!#REF!,4)</f>
        <v>#ERROR!</v>
      </c>
      <c r="AE66" s="123" t="str">
        <f>LEFT(北段!#REF!,4)</f>
        <v>#ERROR!</v>
      </c>
      <c r="AF66" s="123" t="str">
        <f>LEFT(北段!#REF!,4)</f>
        <v>#ERROR!</v>
      </c>
      <c r="AG66" s="123" t="str">
        <f>LEFT(北段!#REF!,4)</f>
        <v>#ERROR!</v>
      </c>
      <c r="AH66" s="123" t="str">
        <f>LEFT(北段!#REF!,4)</f>
        <v>#ERROR!</v>
      </c>
      <c r="AI66" s="123" t="str">
        <f>LEFT(北段!#REF!,4)</f>
        <v>#ERROR!</v>
      </c>
      <c r="AJ66" s="123" t="str">
        <f>LEFT(北段!#REF!,4)</f>
        <v>#ERROR!</v>
      </c>
      <c r="AK66" s="123" t="str">
        <f>LEFT(北段!#REF!,4)</f>
        <v>#ERROR!</v>
      </c>
      <c r="AL66" s="123" t="str">
        <f>LEFT(北段!#REF!,4)</f>
        <v>#ERROR!</v>
      </c>
    </row>
    <row r="67" ht="39.75" customHeight="1">
      <c r="A67" s="129"/>
      <c r="B67" s="24" t="str">
        <f>LEFT(北段!#REF!,6)</f>
        <v>#ERROR!</v>
      </c>
      <c r="C67" s="24" t="str">
        <f>VLOOKUP(B67,'北段'!B:C,2,FALSE)</f>
        <v>#ERROR!</v>
      </c>
      <c r="D67" s="123" t="str">
        <f>LEFT(北段!#REF!,4)</f>
        <v>#ERROR!</v>
      </c>
      <c r="E67" s="123" t="str">
        <f>LEFT(北段!#REF!,4)</f>
        <v>#ERROR!</v>
      </c>
      <c r="F67" s="123" t="str">
        <f>LEFT(北段!#REF!,4)</f>
        <v>#ERROR!</v>
      </c>
      <c r="G67" s="123" t="str">
        <f>LEFT(北段!#REF!,4)</f>
        <v>#ERROR!</v>
      </c>
      <c r="H67" s="123" t="str">
        <f>LEFT(北段!#REF!,4)</f>
        <v>#ERROR!</v>
      </c>
      <c r="I67" s="123" t="str">
        <f>LEFT(北段!#REF!,4)</f>
        <v>#ERROR!</v>
      </c>
      <c r="J67" s="123" t="str">
        <f>LEFT(北段!#REF!,4)</f>
        <v>#ERROR!</v>
      </c>
      <c r="K67" s="123" t="str">
        <f>LEFT(北段!#REF!,4)</f>
        <v>#ERROR!</v>
      </c>
      <c r="L67" s="123" t="str">
        <f>LEFT(北段!#REF!,4)</f>
        <v>#ERROR!</v>
      </c>
      <c r="M67" s="123" t="str">
        <f>LEFT(北段!#REF!,4)</f>
        <v>#ERROR!</v>
      </c>
      <c r="N67" s="123" t="str">
        <f>LEFT(北段!#REF!,4)</f>
        <v>#ERROR!</v>
      </c>
      <c r="O67" s="123" t="str">
        <f>LEFT(北段!#REF!,4)</f>
        <v>#ERROR!</v>
      </c>
      <c r="P67" s="123" t="str">
        <f>LEFT(北段!#REF!,4)</f>
        <v>#ERROR!</v>
      </c>
      <c r="Q67" s="123" t="str">
        <f>LEFT(北段!#REF!,4)</f>
        <v>#ERROR!</v>
      </c>
      <c r="R67" s="123" t="str">
        <f>LEFT(北段!#REF!,4)</f>
        <v>#ERROR!</v>
      </c>
      <c r="S67" s="123" t="str">
        <f>LEFT(北段!#REF!,4)</f>
        <v>#ERROR!</v>
      </c>
      <c r="T67" s="123" t="str">
        <f>LEFT(北段!#REF!,4)</f>
        <v>#ERROR!</v>
      </c>
      <c r="U67" s="123" t="str">
        <f>LEFT(北段!#REF!,4)</f>
        <v>#ERROR!</v>
      </c>
      <c r="V67" s="123" t="str">
        <f>LEFT(北段!#REF!,4)</f>
        <v>#ERROR!</v>
      </c>
      <c r="W67" s="123" t="str">
        <f>LEFT(北段!#REF!,4)</f>
        <v>#ERROR!</v>
      </c>
      <c r="X67" s="123" t="str">
        <f>LEFT(北段!#REF!,4)</f>
        <v>#ERROR!</v>
      </c>
      <c r="Y67" s="123" t="str">
        <f>LEFT(北段!#REF!,4)</f>
        <v>#ERROR!</v>
      </c>
      <c r="Z67" s="123" t="str">
        <f>LEFT(北段!#REF!,4)</f>
        <v>#ERROR!</v>
      </c>
      <c r="AA67" s="123" t="str">
        <f>LEFT(北段!#REF!,4)</f>
        <v>#ERROR!</v>
      </c>
      <c r="AB67" s="123" t="str">
        <f>LEFT(北段!#REF!,4)</f>
        <v>#ERROR!</v>
      </c>
      <c r="AC67" s="123" t="str">
        <f>LEFT(北段!#REF!,4)</f>
        <v>#ERROR!</v>
      </c>
      <c r="AD67" s="123" t="str">
        <f>LEFT(北段!#REF!,4)</f>
        <v>#ERROR!</v>
      </c>
      <c r="AE67" s="123" t="str">
        <f>LEFT(北段!#REF!,4)</f>
        <v>#ERROR!</v>
      </c>
      <c r="AF67" s="123" t="str">
        <f>LEFT(北段!#REF!,4)</f>
        <v>#ERROR!</v>
      </c>
      <c r="AG67" s="123" t="str">
        <f>LEFT(北段!#REF!,4)</f>
        <v>#ERROR!</v>
      </c>
      <c r="AH67" s="123" t="str">
        <f>LEFT(北段!#REF!,4)</f>
        <v>#ERROR!</v>
      </c>
      <c r="AI67" s="123" t="str">
        <f>LEFT(北段!#REF!,4)</f>
        <v>#ERROR!</v>
      </c>
      <c r="AJ67" s="123" t="str">
        <f>LEFT(北段!#REF!,4)</f>
        <v>#ERROR!</v>
      </c>
      <c r="AK67" s="123" t="str">
        <f>LEFT(北段!#REF!,4)</f>
        <v>#ERROR!</v>
      </c>
      <c r="AL67" s="123" t="str">
        <f>LEFT(北段!#REF!,4)</f>
        <v>#ERROR!</v>
      </c>
    </row>
    <row r="68" ht="42.75" customHeight="1">
      <c r="A68" s="126"/>
      <c r="B68" s="24" t="str">
        <f>LEFT(北段!#REF!,6)</f>
        <v>#ERROR!</v>
      </c>
      <c r="C68" s="24" t="str">
        <f>VLOOKUP(B68,'北段'!B:C,2,FALSE)</f>
        <v>#ERROR!</v>
      </c>
      <c r="D68" s="123" t="str">
        <f>LEFT(北段!#REF!,4)</f>
        <v>#ERROR!</v>
      </c>
      <c r="E68" s="123" t="str">
        <f>LEFT(北段!#REF!,4)</f>
        <v>#ERROR!</v>
      </c>
      <c r="F68" s="123" t="str">
        <f>LEFT(北段!#REF!,4)</f>
        <v>#ERROR!</v>
      </c>
      <c r="G68" s="123" t="str">
        <f>LEFT(北段!#REF!,4)</f>
        <v>#ERROR!</v>
      </c>
      <c r="H68" s="123" t="str">
        <f>LEFT(北段!#REF!,4)</f>
        <v>#ERROR!</v>
      </c>
      <c r="I68" s="123" t="str">
        <f>LEFT(北段!#REF!,4)</f>
        <v>#ERROR!</v>
      </c>
      <c r="J68" s="123" t="str">
        <f>LEFT(北段!#REF!,4)</f>
        <v>#ERROR!</v>
      </c>
      <c r="K68" s="123" t="str">
        <f>LEFT(北段!#REF!,4)</f>
        <v>#ERROR!</v>
      </c>
      <c r="L68" s="123" t="str">
        <f>LEFT(北段!#REF!,4)</f>
        <v>#ERROR!</v>
      </c>
      <c r="M68" s="123" t="str">
        <f>LEFT(北段!#REF!,4)</f>
        <v>#ERROR!</v>
      </c>
      <c r="N68" s="123" t="str">
        <f>LEFT(北段!#REF!,4)</f>
        <v>#ERROR!</v>
      </c>
      <c r="O68" s="123" t="str">
        <f>LEFT(北段!#REF!,4)</f>
        <v>#ERROR!</v>
      </c>
      <c r="P68" s="123" t="str">
        <f>LEFT(北段!#REF!,4)</f>
        <v>#ERROR!</v>
      </c>
      <c r="Q68" s="123" t="str">
        <f>LEFT(北段!#REF!,4)</f>
        <v>#ERROR!</v>
      </c>
      <c r="R68" s="123" t="str">
        <f>LEFT(北段!#REF!,4)</f>
        <v>#ERROR!</v>
      </c>
      <c r="S68" s="123" t="str">
        <f>LEFT(北段!#REF!,4)</f>
        <v>#ERROR!</v>
      </c>
      <c r="T68" s="123" t="str">
        <f>LEFT(北段!#REF!,4)</f>
        <v>#ERROR!</v>
      </c>
      <c r="U68" s="123" t="str">
        <f>LEFT(北段!#REF!,4)</f>
        <v>#ERROR!</v>
      </c>
      <c r="V68" s="123" t="str">
        <f>LEFT(北段!#REF!,4)</f>
        <v>#ERROR!</v>
      </c>
      <c r="W68" s="123" t="str">
        <f>LEFT(北段!#REF!,4)</f>
        <v>#ERROR!</v>
      </c>
      <c r="X68" s="123" t="str">
        <f>LEFT(北段!#REF!,4)</f>
        <v>#ERROR!</v>
      </c>
      <c r="Y68" s="123" t="str">
        <f>LEFT(北段!#REF!,4)</f>
        <v>#ERROR!</v>
      </c>
      <c r="Z68" s="123" t="str">
        <f>LEFT(北段!#REF!,4)</f>
        <v>#ERROR!</v>
      </c>
      <c r="AA68" s="123" t="str">
        <f>LEFT(北段!#REF!,4)</f>
        <v>#ERROR!</v>
      </c>
      <c r="AB68" s="123" t="str">
        <f>LEFT(北段!#REF!,4)</f>
        <v>#ERROR!</v>
      </c>
      <c r="AC68" s="123" t="str">
        <f>LEFT(北段!#REF!,4)</f>
        <v>#ERROR!</v>
      </c>
      <c r="AD68" s="123" t="str">
        <f>LEFT(北段!#REF!,4)</f>
        <v>#ERROR!</v>
      </c>
      <c r="AE68" s="123" t="str">
        <f>LEFT(北段!#REF!,4)</f>
        <v>#ERROR!</v>
      </c>
      <c r="AF68" s="123" t="str">
        <f>LEFT(北段!#REF!,4)</f>
        <v>#ERROR!</v>
      </c>
      <c r="AG68" s="123" t="str">
        <f>LEFT(北段!#REF!,4)</f>
        <v>#ERROR!</v>
      </c>
      <c r="AH68" s="123" t="str">
        <f>LEFT(北段!#REF!,4)</f>
        <v>#ERROR!</v>
      </c>
      <c r="AI68" s="123" t="str">
        <f>LEFT(北段!#REF!,4)</f>
        <v>#ERROR!</v>
      </c>
      <c r="AJ68" s="123" t="str">
        <f>LEFT(北段!#REF!,4)</f>
        <v>#ERROR!</v>
      </c>
      <c r="AK68" s="123" t="str">
        <f>LEFT(北段!#REF!,4)</f>
        <v>#ERROR!</v>
      </c>
      <c r="AL68" s="123" t="str">
        <f>LEFT(北段!#REF!,4)</f>
        <v>#ERROR!</v>
      </c>
    </row>
    <row r="69" ht="47.25" customHeight="1">
      <c r="A69" s="129"/>
      <c r="B69" s="24" t="str">
        <f>LEFT(北段!#REF!,6)</f>
        <v>#ERROR!</v>
      </c>
      <c r="C69" s="24" t="str">
        <f>VLOOKUP(B69,'北段'!B:C,2,FALSE)</f>
        <v>#ERROR!</v>
      </c>
      <c r="D69" s="123" t="str">
        <f>LEFT(北段!#REF!,4)</f>
        <v>#ERROR!</v>
      </c>
      <c r="E69" s="123" t="str">
        <f>LEFT(北段!#REF!,4)</f>
        <v>#ERROR!</v>
      </c>
      <c r="F69" s="123" t="str">
        <f>LEFT(北段!#REF!,4)</f>
        <v>#ERROR!</v>
      </c>
      <c r="G69" s="123" t="str">
        <f>LEFT(北段!#REF!,4)</f>
        <v>#ERROR!</v>
      </c>
      <c r="H69" s="123" t="str">
        <f>LEFT(北段!#REF!,4)</f>
        <v>#ERROR!</v>
      </c>
      <c r="I69" s="123" t="str">
        <f>LEFT(北段!#REF!,4)</f>
        <v>#ERROR!</v>
      </c>
      <c r="J69" s="123" t="str">
        <f>LEFT(北段!#REF!,4)</f>
        <v>#ERROR!</v>
      </c>
      <c r="K69" s="123" t="str">
        <f>LEFT(北段!#REF!,4)</f>
        <v>#ERROR!</v>
      </c>
      <c r="L69" s="123" t="str">
        <f>LEFT(北段!#REF!,4)</f>
        <v>#ERROR!</v>
      </c>
      <c r="M69" s="123" t="str">
        <f>LEFT(北段!#REF!,4)</f>
        <v>#ERROR!</v>
      </c>
      <c r="N69" s="123" t="str">
        <f>LEFT(北段!#REF!,4)</f>
        <v>#ERROR!</v>
      </c>
      <c r="O69" s="123" t="str">
        <f>LEFT(北段!#REF!,4)</f>
        <v>#ERROR!</v>
      </c>
      <c r="P69" s="123" t="str">
        <f>LEFT(北段!#REF!,4)</f>
        <v>#ERROR!</v>
      </c>
      <c r="Q69" s="123" t="str">
        <f>LEFT(北段!#REF!,4)</f>
        <v>#ERROR!</v>
      </c>
      <c r="R69" s="123" t="str">
        <f>LEFT(北段!#REF!,4)</f>
        <v>#ERROR!</v>
      </c>
      <c r="S69" s="123" t="str">
        <f>LEFT(北段!#REF!,4)</f>
        <v>#ERROR!</v>
      </c>
      <c r="T69" s="123" t="str">
        <f>LEFT(北段!#REF!,4)</f>
        <v>#ERROR!</v>
      </c>
      <c r="U69" s="123" t="str">
        <f>LEFT(北段!#REF!,4)</f>
        <v>#ERROR!</v>
      </c>
      <c r="V69" s="123" t="str">
        <f>LEFT(北段!#REF!,4)</f>
        <v>#ERROR!</v>
      </c>
      <c r="W69" s="123" t="str">
        <f>LEFT(北段!#REF!,4)</f>
        <v>#ERROR!</v>
      </c>
      <c r="X69" s="123" t="str">
        <f>LEFT(北段!#REF!,4)</f>
        <v>#ERROR!</v>
      </c>
      <c r="Y69" s="123" t="str">
        <f>LEFT(北段!#REF!,4)</f>
        <v>#ERROR!</v>
      </c>
      <c r="Z69" s="123" t="str">
        <f>LEFT(北段!#REF!,4)</f>
        <v>#ERROR!</v>
      </c>
      <c r="AA69" s="123" t="str">
        <f>LEFT(北段!#REF!,4)</f>
        <v>#ERROR!</v>
      </c>
      <c r="AB69" s="123" t="str">
        <f>LEFT(北段!#REF!,4)</f>
        <v>#ERROR!</v>
      </c>
      <c r="AC69" s="123" t="str">
        <f>LEFT(北段!#REF!,4)</f>
        <v>#ERROR!</v>
      </c>
      <c r="AD69" s="123" t="str">
        <f>LEFT(北段!#REF!,4)</f>
        <v>#ERROR!</v>
      </c>
      <c r="AE69" s="123" t="str">
        <f>LEFT(北段!#REF!,4)</f>
        <v>#ERROR!</v>
      </c>
      <c r="AF69" s="123" t="str">
        <f>LEFT(北段!#REF!,4)</f>
        <v>#ERROR!</v>
      </c>
      <c r="AG69" s="123" t="str">
        <f>LEFT(北段!#REF!,4)</f>
        <v>#ERROR!</v>
      </c>
      <c r="AH69" s="123" t="str">
        <f>LEFT(北段!#REF!,4)</f>
        <v>#ERROR!</v>
      </c>
      <c r="AI69" s="123" t="str">
        <f>LEFT(北段!#REF!,4)</f>
        <v>#ERROR!</v>
      </c>
      <c r="AJ69" s="123" t="str">
        <f>LEFT(北段!#REF!,4)</f>
        <v>#ERROR!</v>
      </c>
      <c r="AK69" s="123" t="str">
        <f>LEFT(北段!#REF!,4)</f>
        <v>#ERROR!</v>
      </c>
      <c r="AL69" s="123" t="str">
        <f>LEFT(北段!#REF!,4)</f>
        <v>#ERROR!</v>
      </c>
    </row>
    <row r="70" ht="39.75" customHeight="1">
      <c r="A70" s="129"/>
      <c r="B70" s="24" t="str">
        <f>LEFT(北段!#REF!,6)</f>
        <v>#ERROR!</v>
      </c>
      <c r="C70" s="24" t="str">
        <f>VLOOKUP(B70,'北段'!B:C,2,FALSE)</f>
        <v>#ERROR!</v>
      </c>
      <c r="D70" s="123" t="str">
        <f>LEFT(北段!#REF!,4)</f>
        <v>#ERROR!</v>
      </c>
      <c r="E70" s="123" t="str">
        <f>LEFT(北段!#REF!,4)</f>
        <v>#ERROR!</v>
      </c>
      <c r="F70" s="123" t="str">
        <f>LEFT(北段!#REF!,4)</f>
        <v>#ERROR!</v>
      </c>
      <c r="G70" s="123" t="str">
        <f>LEFT(北段!#REF!,4)</f>
        <v>#ERROR!</v>
      </c>
      <c r="H70" s="123" t="str">
        <f>LEFT(北段!#REF!,4)</f>
        <v>#ERROR!</v>
      </c>
      <c r="I70" s="123" t="str">
        <f>LEFT(北段!#REF!,4)</f>
        <v>#ERROR!</v>
      </c>
      <c r="J70" s="123" t="str">
        <f>LEFT(北段!#REF!,4)</f>
        <v>#ERROR!</v>
      </c>
      <c r="K70" s="123" t="str">
        <f>LEFT(北段!#REF!,4)</f>
        <v>#ERROR!</v>
      </c>
      <c r="L70" s="123" t="str">
        <f>LEFT(北段!#REF!,4)</f>
        <v>#ERROR!</v>
      </c>
      <c r="M70" s="123" t="str">
        <f>LEFT(北段!#REF!,4)</f>
        <v>#ERROR!</v>
      </c>
      <c r="N70" s="123" t="str">
        <f>LEFT(北段!#REF!,4)</f>
        <v>#ERROR!</v>
      </c>
      <c r="O70" s="123" t="str">
        <f>LEFT(北段!#REF!,4)</f>
        <v>#ERROR!</v>
      </c>
      <c r="P70" s="123" t="str">
        <f>LEFT(北段!#REF!,4)</f>
        <v>#ERROR!</v>
      </c>
      <c r="Q70" s="123" t="str">
        <f>LEFT(北段!#REF!,4)</f>
        <v>#ERROR!</v>
      </c>
      <c r="R70" s="123" t="str">
        <f>LEFT(北段!#REF!,4)</f>
        <v>#ERROR!</v>
      </c>
      <c r="S70" s="123" t="str">
        <f>LEFT(北段!#REF!,4)</f>
        <v>#ERROR!</v>
      </c>
      <c r="T70" s="123" t="str">
        <f>LEFT(北段!#REF!,4)</f>
        <v>#ERROR!</v>
      </c>
      <c r="U70" s="123" t="str">
        <f>LEFT(北段!#REF!,4)</f>
        <v>#ERROR!</v>
      </c>
      <c r="V70" s="123" t="str">
        <f>LEFT(北段!#REF!,4)</f>
        <v>#ERROR!</v>
      </c>
      <c r="W70" s="123" t="str">
        <f>LEFT(北段!#REF!,4)</f>
        <v>#ERROR!</v>
      </c>
      <c r="X70" s="123" t="str">
        <f>LEFT(北段!#REF!,4)</f>
        <v>#ERROR!</v>
      </c>
      <c r="Y70" s="123" t="str">
        <f>LEFT(北段!#REF!,4)</f>
        <v>#ERROR!</v>
      </c>
      <c r="Z70" s="123" t="str">
        <f>LEFT(北段!#REF!,4)</f>
        <v>#ERROR!</v>
      </c>
      <c r="AA70" s="123" t="str">
        <f>LEFT(北段!#REF!,4)</f>
        <v>#ERROR!</v>
      </c>
      <c r="AB70" s="123" t="str">
        <f>LEFT(北段!#REF!,4)</f>
        <v>#ERROR!</v>
      </c>
      <c r="AC70" s="123" t="str">
        <f>LEFT(北段!#REF!,4)</f>
        <v>#ERROR!</v>
      </c>
      <c r="AD70" s="123" t="str">
        <f>LEFT(北段!#REF!,4)</f>
        <v>#ERROR!</v>
      </c>
      <c r="AE70" s="123" t="str">
        <f>LEFT(北段!#REF!,4)</f>
        <v>#ERROR!</v>
      </c>
      <c r="AF70" s="123" t="str">
        <f>LEFT(北段!#REF!,4)</f>
        <v>#ERROR!</v>
      </c>
      <c r="AG70" s="123" t="str">
        <f>LEFT(北段!#REF!,4)</f>
        <v>#ERROR!</v>
      </c>
      <c r="AH70" s="123" t="str">
        <f>LEFT(北段!#REF!,4)</f>
        <v>#ERROR!</v>
      </c>
      <c r="AI70" s="123" t="str">
        <f>LEFT(北段!#REF!,4)</f>
        <v>#ERROR!</v>
      </c>
      <c r="AJ70" s="123" t="str">
        <f>LEFT(北段!#REF!,4)</f>
        <v>#ERROR!</v>
      </c>
      <c r="AK70" s="123" t="str">
        <f>LEFT(北段!#REF!,4)</f>
        <v>#ERROR!</v>
      </c>
      <c r="AL70" s="123" t="str">
        <f>LEFT(北段!#REF!,4)</f>
        <v>#ERROR!</v>
      </c>
    </row>
    <row r="71" ht="39.75" customHeight="1">
      <c r="A71" s="132"/>
      <c r="B71" s="24" t="str">
        <f>LEFT(北段!#REF!,6)</f>
        <v>#ERROR!</v>
      </c>
      <c r="C71" s="24" t="str">
        <f>VLOOKUP(B71,'北段'!B:C,2,FALSE)</f>
        <v>#ERROR!</v>
      </c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</row>
    <row r="72" ht="47.25" customHeight="1">
      <c r="A72" s="133"/>
      <c r="B72" s="24" t="str">
        <f>LEFT(北段!#REF!,6)</f>
        <v>#ERROR!</v>
      </c>
      <c r="C72" s="24" t="str">
        <f>VLOOKUP(B72,'北段'!B:C,2,FALSE)</f>
        <v>#ERROR!</v>
      </c>
      <c r="D72" s="123" t="str">
        <f>LEFT(北段!#REF!,4)</f>
        <v>#ERROR!</v>
      </c>
      <c r="E72" s="123" t="str">
        <f>LEFT(北段!#REF!,4)</f>
        <v>#ERROR!</v>
      </c>
      <c r="F72" s="123" t="str">
        <f>LEFT(北段!#REF!,4)</f>
        <v>#ERROR!</v>
      </c>
      <c r="G72" s="123" t="str">
        <f>LEFT(北段!#REF!,4)</f>
        <v>#ERROR!</v>
      </c>
      <c r="H72" s="123" t="str">
        <f>LEFT(北段!#REF!,4)</f>
        <v>#ERROR!</v>
      </c>
      <c r="I72" s="123" t="str">
        <f>LEFT(北段!#REF!,4)</f>
        <v>#ERROR!</v>
      </c>
      <c r="J72" s="123" t="str">
        <f>LEFT(北段!#REF!,4)</f>
        <v>#ERROR!</v>
      </c>
      <c r="K72" s="123" t="str">
        <f>LEFT(北段!#REF!,4)</f>
        <v>#ERROR!</v>
      </c>
      <c r="L72" s="123" t="str">
        <f>LEFT(北段!#REF!,4)</f>
        <v>#ERROR!</v>
      </c>
      <c r="M72" s="123" t="str">
        <f>LEFT(北段!#REF!,4)</f>
        <v>#ERROR!</v>
      </c>
      <c r="N72" s="123" t="str">
        <f>LEFT(北段!#REF!,4)</f>
        <v>#ERROR!</v>
      </c>
      <c r="O72" s="123" t="str">
        <f>LEFT(北段!#REF!,4)</f>
        <v>#ERROR!</v>
      </c>
      <c r="P72" s="123" t="str">
        <f>LEFT(北段!#REF!,4)</f>
        <v>#ERROR!</v>
      </c>
      <c r="Q72" s="123" t="str">
        <f>LEFT(北段!#REF!,4)</f>
        <v>#ERROR!</v>
      </c>
      <c r="R72" s="123" t="str">
        <f>LEFT(北段!#REF!,4)</f>
        <v>#ERROR!</v>
      </c>
      <c r="S72" s="123" t="str">
        <f>LEFT(北段!#REF!,4)</f>
        <v>#ERROR!</v>
      </c>
      <c r="T72" s="123" t="str">
        <f>LEFT(北段!#REF!,4)</f>
        <v>#ERROR!</v>
      </c>
      <c r="U72" s="123" t="str">
        <f>LEFT(北段!#REF!,4)</f>
        <v>#ERROR!</v>
      </c>
      <c r="V72" s="123" t="str">
        <f>LEFT(北段!#REF!,4)</f>
        <v>#ERROR!</v>
      </c>
      <c r="W72" s="123" t="str">
        <f>LEFT(北段!#REF!,4)</f>
        <v>#ERROR!</v>
      </c>
      <c r="X72" s="123" t="str">
        <f>LEFT(北段!#REF!,4)</f>
        <v>#ERROR!</v>
      </c>
      <c r="Y72" s="123" t="str">
        <f>LEFT(北段!#REF!,4)</f>
        <v>#ERROR!</v>
      </c>
      <c r="Z72" s="123" t="str">
        <f>LEFT(北段!#REF!,4)</f>
        <v>#ERROR!</v>
      </c>
      <c r="AA72" s="123" t="str">
        <f>LEFT(北段!#REF!,4)</f>
        <v>#ERROR!</v>
      </c>
      <c r="AB72" s="123" t="str">
        <f>LEFT(北段!#REF!,4)</f>
        <v>#ERROR!</v>
      </c>
      <c r="AC72" s="123" t="str">
        <f>LEFT(北段!#REF!,4)</f>
        <v>#ERROR!</v>
      </c>
      <c r="AD72" s="123" t="str">
        <f>LEFT(北段!#REF!,4)</f>
        <v>#ERROR!</v>
      </c>
      <c r="AE72" s="123" t="str">
        <f>LEFT(北段!#REF!,4)</f>
        <v>#ERROR!</v>
      </c>
      <c r="AF72" s="123" t="str">
        <f>LEFT(北段!#REF!,4)</f>
        <v>#ERROR!</v>
      </c>
      <c r="AG72" s="123" t="str">
        <f>LEFT(北段!#REF!,4)</f>
        <v>#ERROR!</v>
      </c>
      <c r="AH72" s="123" t="str">
        <f>LEFT(北段!#REF!,4)</f>
        <v>#ERROR!</v>
      </c>
      <c r="AI72" s="123" t="str">
        <f>LEFT(北段!#REF!,4)</f>
        <v>#ERROR!</v>
      </c>
      <c r="AJ72" s="123" t="str">
        <f>LEFT(北段!#REF!,4)</f>
        <v>#ERROR!</v>
      </c>
      <c r="AK72" s="123" t="str">
        <f>LEFT(北段!#REF!,4)</f>
        <v>#ERROR!</v>
      </c>
      <c r="AL72" s="123" t="str">
        <f>LEFT(北段!#REF!,4)</f>
        <v>#ERROR!</v>
      </c>
    </row>
    <row r="73" ht="16.5" customHeight="1"/>
    <row r="74" ht="32.25" customHeight="1">
      <c r="A74" s="134"/>
      <c r="B74" s="134"/>
      <c r="C74" s="135" t="s">
        <v>68</v>
      </c>
      <c r="D74" s="28">
        <f t="shared" ref="D74:AL74" si="3">COUNTIF(D$3:D$72,"41早")</f>
        <v>0</v>
      </c>
      <c r="E74" s="28">
        <f t="shared" si="3"/>
        <v>0</v>
      </c>
      <c r="F74" s="28">
        <f t="shared" si="3"/>
        <v>0</v>
      </c>
      <c r="G74" s="28">
        <f t="shared" si="3"/>
        <v>0</v>
      </c>
      <c r="H74" s="28">
        <f t="shared" si="3"/>
        <v>0</v>
      </c>
      <c r="I74" s="28">
        <f t="shared" si="3"/>
        <v>0</v>
      </c>
      <c r="J74" s="28">
        <f t="shared" si="3"/>
        <v>0</v>
      </c>
      <c r="K74" s="28">
        <f t="shared" si="3"/>
        <v>0</v>
      </c>
      <c r="L74" s="28">
        <f t="shared" si="3"/>
        <v>0</v>
      </c>
      <c r="M74" s="28">
        <f t="shared" si="3"/>
        <v>0</v>
      </c>
      <c r="N74" s="28">
        <f t="shared" si="3"/>
        <v>0</v>
      </c>
      <c r="O74" s="28">
        <f t="shared" si="3"/>
        <v>0</v>
      </c>
      <c r="P74" s="28">
        <f t="shared" si="3"/>
        <v>0</v>
      </c>
      <c r="Q74" s="28">
        <f t="shared" si="3"/>
        <v>0</v>
      </c>
      <c r="R74" s="28">
        <f t="shared" si="3"/>
        <v>0</v>
      </c>
      <c r="S74" s="28">
        <f t="shared" si="3"/>
        <v>0</v>
      </c>
      <c r="T74" s="28">
        <f t="shared" si="3"/>
        <v>0</v>
      </c>
      <c r="U74" s="28">
        <f t="shared" si="3"/>
        <v>0</v>
      </c>
      <c r="V74" s="28">
        <f t="shared" si="3"/>
        <v>0</v>
      </c>
      <c r="W74" s="28">
        <f t="shared" si="3"/>
        <v>0</v>
      </c>
      <c r="X74" s="28">
        <f t="shared" si="3"/>
        <v>0</v>
      </c>
      <c r="Y74" s="28">
        <f t="shared" si="3"/>
        <v>0</v>
      </c>
      <c r="Z74" s="28">
        <f t="shared" si="3"/>
        <v>0</v>
      </c>
      <c r="AA74" s="28">
        <f t="shared" si="3"/>
        <v>0</v>
      </c>
      <c r="AB74" s="28">
        <f t="shared" si="3"/>
        <v>0</v>
      </c>
      <c r="AC74" s="28">
        <f t="shared" si="3"/>
        <v>0</v>
      </c>
      <c r="AD74" s="28">
        <f t="shared" si="3"/>
        <v>0</v>
      </c>
      <c r="AE74" s="28">
        <f t="shared" si="3"/>
        <v>0</v>
      </c>
      <c r="AF74" s="28">
        <f t="shared" si="3"/>
        <v>0</v>
      </c>
      <c r="AG74" s="28">
        <f t="shared" si="3"/>
        <v>0</v>
      </c>
      <c r="AH74" s="28">
        <f t="shared" si="3"/>
        <v>0</v>
      </c>
      <c r="AI74" s="28">
        <f t="shared" si="3"/>
        <v>0</v>
      </c>
      <c r="AJ74" s="28">
        <f t="shared" si="3"/>
        <v>0</v>
      </c>
      <c r="AK74" s="28">
        <f t="shared" si="3"/>
        <v>0</v>
      </c>
      <c r="AL74" s="28">
        <f t="shared" si="3"/>
        <v>0</v>
      </c>
    </row>
    <row r="75" ht="32.25" customHeight="1">
      <c r="A75" s="134"/>
      <c r="B75" s="134"/>
      <c r="C75" s="135" t="s">
        <v>69</v>
      </c>
      <c r="D75" s="24">
        <f t="shared" ref="D75:AL75" si="4">COUNTIF(D$3:D$72,"41午")</f>
        <v>0</v>
      </c>
      <c r="E75" s="24">
        <f t="shared" si="4"/>
        <v>0</v>
      </c>
      <c r="F75" s="24">
        <f t="shared" si="4"/>
        <v>0</v>
      </c>
      <c r="G75" s="24">
        <f t="shared" si="4"/>
        <v>0</v>
      </c>
      <c r="H75" s="24">
        <f t="shared" si="4"/>
        <v>0</v>
      </c>
      <c r="I75" s="24">
        <f t="shared" si="4"/>
        <v>0</v>
      </c>
      <c r="J75" s="24">
        <f t="shared" si="4"/>
        <v>0</v>
      </c>
      <c r="K75" s="24">
        <f t="shared" si="4"/>
        <v>0</v>
      </c>
      <c r="L75" s="24">
        <f t="shared" si="4"/>
        <v>0</v>
      </c>
      <c r="M75" s="24">
        <f t="shared" si="4"/>
        <v>0</v>
      </c>
      <c r="N75" s="24">
        <f t="shared" si="4"/>
        <v>0</v>
      </c>
      <c r="O75" s="24">
        <f t="shared" si="4"/>
        <v>0</v>
      </c>
      <c r="P75" s="24">
        <f t="shared" si="4"/>
        <v>0</v>
      </c>
      <c r="Q75" s="24">
        <f t="shared" si="4"/>
        <v>0</v>
      </c>
      <c r="R75" s="24">
        <f t="shared" si="4"/>
        <v>0</v>
      </c>
      <c r="S75" s="24">
        <f t="shared" si="4"/>
        <v>0</v>
      </c>
      <c r="T75" s="24">
        <f t="shared" si="4"/>
        <v>0</v>
      </c>
      <c r="U75" s="24">
        <f t="shared" si="4"/>
        <v>0</v>
      </c>
      <c r="V75" s="24">
        <f t="shared" si="4"/>
        <v>0</v>
      </c>
      <c r="W75" s="24">
        <f t="shared" si="4"/>
        <v>0</v>
      </c>
      <c r="X75" s="24">
        <f t="shared" si="4"/>
        <v>0</v>
      </c>
      <c r="Y75" s="24">
        <f t="shared" si="4"/>
        <v>0</v>
      </c>
      <c r="Z75" s="24">
        <f t="shared" si="4"/>
        <v>0</v>
      </c>
      <c r="AA75" s="24">
        <f t="shared" si="4"/>
        <v>0</v>
      </c>
      <c r="AB75" s="24">
        <f t="shared" si="4"/>
        <v>0</v>
      </c>
      <c r="AC75" s="24">
        <f t="shared" si="4"/>
        <v>0</v>
      </c>
      <c r="AD75" s="24">
        <f t="shared" si="4"/>
        <v>0</v>
      </c>
      <c r="AE75" s="24">
        <f t="shared" si="4"/>
        <v>0</v>
      </c>
      <c r="AF75" s="24">
        <f t="shared" si="4"/>
        <v>0</v>
      </c>
      <c r="AG75" s="24">
        <f t="shared" si="4"/>
        <v>0</v>
      </c>
      <c r="AH75" s="24">
        <f t="shared" si="4"/>
        <v>0</v>
      </c>
      <c r="AI75" s="24">
        <f t="shared" si="4"/>
        <v>0</v>
      </c>
      <c r="AJ75" s="24">
        <f t="shared" si="4"/>
        <v>0</v>
      </c>
      <c r="AK75" s="24">
        <f t="shared" si="4"/>
        <v>0</v>
      </c>
      <c r="AL75" s="24">
        <f t="shared" si="4"/>
        <v>0</v>
      </c>
    </row>
    <row r="76" ht="32.25" customHeight="1">
      <c r="A76" s="134"/>
      <c r="B76" s="134"/>
      <c r="C76" s="136" t="s">
        <v>70</v>
      </c>
      <c r="D76" s="100">
        <f t="shared" ref="D76:AL76" si="5">COUNTIF(D$3:D$72,"41夜*")</f>
        <v>0</v>
      </c>
      <c r="E76" s="100">
        <f t="shared" si="5"/>
        <v>0</v>
      </c>
      <c r="F76" s="100">
        <f t="shared" si="5"/>
        <v>0</v>
      </c>
      <c r="G76" s="100">
        <f t="shared" si="5"/>
        <v>0</v>
      </c>
      <c r="H76" s="100">
        <f t="shared" si="5"/>
        <v>0</v>
      </c>
      <c r="I76" s="100">
        <f t="shared" si="5"/>
        <v>0</v>
      </c>
      <c r="J76" s="100">
        <f t="shared" si="5"/>
        <v>0</v>
      </c>
      <c r="K76" s="100">
        <f t="shared" si="5"/>
        <v>0</v>
      </c>
      <c r="L76" s="100">
        <f t="shared" si="5"/>
        <v>0</v>
      </c>
      <c r="M76" s="100">
        <f t="shared" si="5"/>
        <v>0</v>
      </c>
      <c r="N76" s="100">
        <f t="shared" si="5"/>
        <v>0</v>
      </c>
      <c r="O76" s="100">
        <f t="shared" si="5"/>
        <v>0</v>
      </c>
      <c r="P76" s="100">
        <f t="shared" si="5"/>
        <v>0</v>
      </c>
      <c r="Q76" s="100">
        <f t="shared" si="5"/>
        <v>0</v>
      </c>
      <c r="R76" s="100">
        <f t="shared" si="5"/>
        <v>0</v>
      </c>
      <c r="S76" s="100">
        <f t="shared" si="5"/>
        <v>0</v>
      </c>
      <c r="T76" s="100">
        <f t="shared" si="5"/>
        <v>0</v>
      </c>
      <c r="U76" s="100">
        <f t="shared" si="5"/>
        <v>0</v>
      </c>
      <c r="V76" s="100">
        <f t="shared" si="5"/>
        <v>0</v>
      </c>
      <c r="W76" s="100">
        <f t="shared" si="5"/>
        <v>0</v>
      </c>
      <c r="X76" s="100">
        <f t="shared" si="5"/>
        <v>0</v>
      </c>
      <c r="Y76" s="100">
        <f t="shared" si="5"/>
        <v>0</v>
      </c>
      <c r="Z76" s="100">
        <f t="shared" si="5"/>
        <v>0</v>
      </c>
      <c r="AA76" s="100">
        <f t="shared" si="5"/>
        <v>0</v>
      </c>
      <c r="AB76" s="100">
        <f t="shared" si="5"/>
        <v>0</v>
      </c>
      <c r="AC76" s="100">
        <f t="shared" si="5"/>
        <v>0</v>
      </c>
      <c r="AD76" s="100">
        <f t="shared" si="5"/>
        <v>0</v>
      </c>
      <c r="AE76" s="100">
        <f t="shared" si="5"/>
        <v>0</v>
      </c>
      <c r="AF76" s="100">
        <f t="shared" si="5"/>
        <v>0</v>
      </c>
      <c r="AG76" s="100">
        <f t="shared" si="5"/>
        <v>0</v>
      </c>
      <c r="AH76" s="100">
        <f t="shared" si="5"/>
        <v>0</v>
      </c>
      <c r="AI76" s="100">
        <f t="shared" si="5"/>
        <v>0</v>
      </c>
      <c r="AJ76" s="100">
        <f t="shared" si="5"/>
        <v>0</v>
      </c>
      <c r="AK76" s="100">
        <f t="shared" si="5"/>
        <v>0</v>
      </c>
      <c r="AL76" s="100">
        <f t="shared" si="5"/>
        <v>0</v>
      </c>
    </row>
    <row r="77" ht="32.25" customHeight="1">
      <c r="A77" s="134"/>
      <c r="B77" s="135"/>
      <c r="C77" s="135" t="s">
        <v>71</v>
      </c>
      <c r="D77" s="21">
        <f t="shared" ref="D77:AL77" si="6">COUNTIF(D$3:D$72,"01早*")</f>
        <v>2</v>
      </c>
      <c r="E77" s="28">
        <f t="shared" si="6"/>
        <v>2</v>
      </c>
      <c r="F77" s="28">
        <f t="shared" si="6"/>
        <v>4</v>
      </c>
      <c r="G77" s="28">
        <f t="shared" si="6"/>
        <v>2</v>
      </c>
      <c r="H77" s="28">
        <f t="shared" si="6"/>
        <v>1</v>
      </c>
      <c r="I77" s="28">
        <f t="shared" si="6"/>
        <v>2</v>
      </c>
      <c r="J77" s="28">
        <f t="shared" si="6"/>
        <v>2</v>
      </c>
      <c r="K77" s="28">
        <f t="shared" si="6"/>
        <v>4</v>
      </c>
      <c r="L77" s="28">
        <f t="shared" si="6"/>
        <v>2</v>
      </c>
      <c r="M77" s="28">
        <f t="shared" si="6"/>
        <v>1</v>
      </c>
      <c r="N77" s="28">
        <f t="shared" si="6"/>
        <v>2</v>
      </c>
      <c r="O77" s="28">
        <f t="shared" si="6"/>
        <v>4</v>
      </c>
      <c r="P77" s="28">
        <f t="shared" si="6"/>
        <v>4</v>
      </c>
      <c r="Q77" s="28">
        <f t="shared" si="6"/>
        <v>3</v>
      </c>
      <c r="R77" s="28">
        <f t="shared" si="6"/>
        <v>4</v>
      </c>
      <c r="S77" s="28">
        <f t="shared" si="6"/>
        <v>3</v>
      </c>
      <c r="T77" s="28">
        <f t="shared" si="6"/>
        <v>3</v>
      </c>
      <c r="U77" s="28">
        <f t="shared" si="6"/>
        <v>4</v>
      </c>
      <c r="V77" s="28">
        <f t="shared" si="6"/>
        <v>3</v>
      </c>
      <c r="W77" s="28">
        <f t="shared" si="6"/>
        <v>4</v>
      </c>
      <c r="X77" s="28">
        <f t="shared" si="6"/>
        <v>4</v>
      </c>
      <c r="Y77" s="28">
        <f t="shared" si="6"/>
        <v>3</v>
      </c>
      <c r="Z77" s="28">
        <f t="shared" si="6"/>
        <v>2</v>
      </c>
      <c r="AA77" s="28">
        <f t="shared" si="6"/>
        <v>3</v>
      </c>
      <c r="AB77" s="28">
        <f t="shared" si="6"/>
        <v>4</v>
      </c>
      <c r="AC77" s="28">
        <f t="shared" si="6"/>
        <v>3</v>
      </c>
      <c r="AD77" s="28">
        <f t="shared" si="6"/>
        <v>3</v>
      </c>
      <c r="AE77" s="28">
        <f t="shared" si="6"/>
        <v>3</v>
      </c>
      <c r="AF77" s="28">
        <f t="shared" si="6"/>
        <v>4</v>
      </c>
      <c r="AG77" s="28">
        <f t="shared" si="6"/>
        <v>5</v>
      </c>
      <c r="AH77" s="28">
        <f t="shared" si="6"/>
        <v>0</v>
      </c>
      <c r="AI77" s="28">
        <f t="shared" si="6"/>
        <v>0</v>
      </c>
      <c r="AJ77" s="28">
        <f t="shared" si="6"/>
        <v>0</v>
      </c>
      <c r="AK77" s="28">
        <f t="shared" si="6"/>
        <v>0</v>
      </c>
      <c r="AL77" s="28">
        <f t="shared" si="6"/>
        <v>0</v>
      </c>
    </row>
    <row r="78" ht="32.25" customHeight="1">
      <c r="A78" s="134"/>
      <c r="C78" s="135" t="s">
        <v>72</v>
      </c>
      <c r="D78" s="40">
        <f t="shared" ref="D78:AL78" si="7">COUNTIF(D$3:D$72,"01中A*")</f>
        <v>0</v>
      </c>
      <c r="E78" s="24">
        <f t="shared" si="7"/>
        <v>0</v>
      </c>
      <c r="F78" s="24">
        <f t="shared" si="7"/>
        <v>0</v>
      </c>
      <c r="G78" s="24">
        <f t="shared" si="7"/>
        <v>0</v>
      </c>
      <c r="H78" s="24">
        <f t="shared" si="7"/>
        <v>0</v>
      </c>
      <c r="I78" s="24">
        <f t="shared" si="7"/>
        <v>0</v>
      </c>
      <c r="J78" s="24">
        <f t="shared" si="7"/>
        <v>0</v>
      </c>
      <c r="K78" s="24">
        <f t="shared" si="7"/>
        <v>0</v>
      </c>
      <c r="L78" s="24">
        <f t="shared" si="7"/>
        <v>0</v>
      </c>
      <c r="M78" s="24">
        <f t="shared" si="7"/>
        <v>0</v>
      </c>
      <c r="N78" s="24">
        <f t="shared" si="7"/>
        <v>0</v>
      </c>
      <c r="O78" s="24">
        <f t="shared" si="7"/>
        <v>0</v>
      </c>
      <c r="P78" s="24">
        <f t="shared" si="7"/>
        <v>0</v>
      </c>
      <c r="Q78" s="24">
        <f t="shared" si="7"/>
        <v>0</v>
      </c>
      <c r="R78" s="24">
        <f t="shared" si="7"/>
        <v>0</v>
      </c>
      <c r="S78" s="24">
        <f t="shared" si="7"/>
        <v>0</v>
      </c>
      <c r="T78" s="24">
        <f t="shared" si="7"/>
        <v>0</v>
      </c>
      <c r="U78" s="24">
        <f t="shared" si="7"/>
        <v>0</v>
      </c>
      <c r="V78" s="24">
        <f t="shared" si="7"/>
        <v>0</v>
      </c>
      <c r="W78" s="24">
        <f t="shared" si="7"/>
        <v>0</v>
      </c>
      <c r="X78" s="24">
        <f t="shared" si="7"/>
        <v>0</v>
      </c>
      <c r="Y78" s="24">
        <f t="shared" si="7"/>
        <v>0</v>
      </c>
      <c r="Z78" s="24">
        <f t="shared" si="7"/>
        <v>0</v>
      </c>
      <c r="AA78" s="24">
        <f t="shared" si="7"/>
        <v>0</v>
      </c>
      <c r="AB78" s="24">
        <f t="shared" si="7"/>
        <v>0</v>
      </c>
      <c r="AC78" s="24">
        <f t="shared" si="7"/>
        <v>0</v>
      </c>
      <c r="AD78" s="24">
        <f t="shared" si="7"/>
        <v>0</v>
      </c>
      <c r="AE78" s="24">
        <f t="shared" si="7"/>
        <v>1</v>
      </c>
      <c r="AF78" s="24">
        <f t="shared" si="7"/>
        <v>1</v>
      </c>
      <c r="AG78" s="24">
        <f t="shared" si="7"/>
        <v>1</v>
      </c>
      <c r="AH78" s="24">
        <f t="shared" si="7"/>
        <v>0</v>
      </c>
      <c r="AI78" s="24">
        <f t="shared" si="7"/>
        <v>0</v>
      </c>
      <c r="AJ78" s="24">
        <f t="shared" si="7"/>
        <v>0</v>
      </c>
      <c r="AK78" s="24">
        <f t="shared" si="7"/>
        <v>0</v>
      </c>
      <c r="AL78" s="24">
        <f t="shared" si="7"/>
        <v>0</v>
      </c>
    </row>
    <row r="79" ht="32.25" customHeight="1">
      <c r="A79" s="134"/>
      <c r="C79" s="135" t="s">
        <v>73</v>
      </c>
      <c r="D79" s="40">
        <f t="shared" ref="D79:AL79" si="8">COUNTIF(D$3:D$67,"01午*")</f>
        <v>4</v>
      </c>
      <c r="E79" s="24">
        <f t="shared" si="8"/>
        <v>3</v>
      </c>
      <c r="F79" s="24">
        <f t="shared" si="8"/>
        <v>4</v>
      </c>
      <c r="G79" s="24">
        <f t="shared" si="8"/>
        <v>3</v>
      </c>
      <c r="H79" s="24">
        <f t="shared" si="8"/>
        <v>2</v>
      </c>
      <c r="I79" s="24">
        <f t="shared" si="8"/>
        <v>3</v>
      </c>
      <c r="J79" s="24">
        <f t="shared" si="8"/>
        <v>3</v>
      </c>
      <c r="K79" s="24">
        <f t="shared" si="8"/>
        <v>4</v>
      </c>
      <c r="L79" s="24">
        <f t="shared" si="8"/>
        <v>4</v>
      </c>
      <c r="M79" s="24">
        <f t="shared" si="8"/>
        <v>3</v>
      </c>
      <c r="N79" s="24">
        <f t="shared" si="8"/>
        <v>3</v>
      </c>
      <c r="O79" s="24">
        <f t="shared" si="8"/>
        <v>3</v>
      </c>
      <c r="P79" s="24">
        <f t="shared" si="8"/>
        <v>1</v>
      </c>
      <c r="Q79" s="24">
        <f t="shared" si="8"/>
        <v>0</v>
      </c>
      <c r="R79" s="24">
        <f t="shared" si="8"/>
        <v>3</v>
      </c>
      <c r="S79" s="24">
        <f t="shared" si="8"/>
        <v>3</v>
      </c>
      <c r="T79" s="24">
        <f t="shared" si="8"/>
        <v>2</v>
      </c>
      <c r="U79" s="24">
        <f t="shared" si="8"/>
        <v>3</v>
      </c>
      <c r="V79" s="24">
        <f t="shared" si="8"/>
        <v>3</v>
      </c>
      <c r="W79" s="24">
        <f t="shared" si="8"/>
        <v>3</v>
      </c>
      <c r="X79" s="24">
        <f t="shared" si="8"/>
        <v>3</v>
      </c>
      <c r="Y79" s="24">
        <f t="shared" si="8"/>
        <v>3</v>
      </c>
      <c r="Z79" s="24">
        <f t="shared" si="8"/>
        <v>4</v>
      </c>
      <c r="AA79" s="24">
        <f t="shared" si="8"/>
        <v>3</v>
      </c>
      <c r="AB79" s="24">
        <f t="shared" si="8"/>
        <v>3</v>
      </c>
      <c r="AC79" s="24">
        <f t="shared" si="8"/>
        <v>1</v>
      </c>
      <c r="AD79" s="24">
        <f t="shared" si="8"/>
        <v>3</v>
      </c>
      <c r="AE79" s="24">
        <f t="shared" si="8"/>
        <v>2</v>
      </c>
      <c r="AF79" s="24">
        <f t="shared" si="8"/>
        <v>2</v>
      </c>
      <c r="AG79" s="24">
        <f t="shared" si="8"/>
        <v>2</v>
      </c>
      <c r="AH79" s="24">
        <f t="shared" si="8"/>
        <v>0</v>
      </c>
      <c r="AI79" s="24">
        <f t="shared" si="8"/>
        <v>0</v>
      </c>
      <c r="AJ79" s="24">
        <f t="shared" si="8"/>
        <v>0</v>
      </c>
      <c r="AK79" s="24">
        <f t="shared" si="8"/>
        <v>0</v>
      </c>
      <c r="AL79" s="24">
        <f t="shared" si="8"/>
        <v>0</v>
      </c>
    </row>
    <row r="80" ht="32.25" customHeight="1">
      <c r="A80" s="134"/>
      <c r="C80" s="136" t="s">
        <v>74</v>
      </c>
      <c r="D80" s="96">
        <f t="shared" ref="D80:AL80" si="9">COUNTIF(D$3:D$72,"01夜*")</f>
        <v>2</v>
      </c>
      <c r="E80" s="100">
        <f t="shared" si="9"/>
        <v>2</v>
      </c>
      <c r="F80" s="100">
        <f t="shared" si="9"/>
        <v>2</v>
      </c>
      <c r="G80" s="100">
        <f t="shared" si="9"/>
        <v>2</v>
      </c>
      <c r="H80" s="100">
        <f t="shared" si="9"/>
        <v>2</v>
      </c>
      <c r="I80" s="100">
        <f t="shared" si="9"/>
        <v>2</v>
      </c>
      <c r="J80" s="100">
        <f t="shared" si="9"/>
        <v>2</v>
      </c>
      <c r="K80" s="100">
        <f t="shared" si="9"/>
        <v>2</v>
      </c>
      <c r="L80" s="100">
        <f t="shared" si="9"/>
        <v>2</v>
      </c>
      <c r="M80" s="100">
        <f t="shared" si="9"/>
        <v>2</v>
      </c>
      <c r="N80" s="100">
        <f t="shared" si="9"/>
        <v>2</v>
      </c>
      <c r="O80" s="100">
        <f t="shared" si="9"/>
        <v>2</v>
      </c>
      <c r="P80" s="100">
        <f t="shared" si="9"/>
        <v>2</v>
      </c>
      <c r="Q80" s="100">
        <f t="shared" si="9"/>
        <v>2</v>
      </c>
      <c r="R80" s="100">
        <f t="shared" si="9"/>
        <v>1</v>
      </c>
      <c r="S80" s="100">
        <f t="shared" si="9"/>
        <v>1</v>
      </c>
      <c r="T80" s="100">
        <f t="shared" si="9"/>
        <v>1</v>
      </c>
      <c r="U80" s="100">
        <f t="shared" si="9"/>
        <v>1</v>
      </c>
      <c r="V80" s="100">
        <f t="shared" si="9"/>
        <v>1</v>
      </c>
      <c r="W80" s="100">
        <f t="shared" si="9"/>
        <v>1</v>
      </c>
      <c r="X80" s="100">
        <f t="shared" si="9"/>
        <v>1</v>
      </c>
      <c r="Y80" s="100">
        <f t="shared" si="9"/>
        <v>1</v>
      </c>
      <c r="Z80" s="100">
        <f t="shared" si="9"/>
        <v>2</v>
      </c>
      <c r="AA80" s="100">
        <f t="shared" si="9"/>
        <v>2</v>
      </c>
      <c r="AB80" s="100">
        <f t="shared" si="9"/>
        <v>2</v>
      </c>
      <c r="AC80" s="100">
        <f t="shared" si="9"/>
        <v>2</v>
      </c>
      <c r="AD80" s="100">
        <f t="shared" si="9"/>
        <v>2</v>
      </c>
      <c r="AE80" s="100">
        <f t="shared" si="9"/>
        <v>2</v>
      </c>
      <c r="AF80" s="100">
        <f t="shared" si="9"/>
        <v>2</v>
      </c>
      <c r="AG80" s="100">
        <f t="shared" si="9"/>
        <v>2</v>
      </c>
      <c r="AH80" s="100">
        <f t="shared" si="9"/>
        <v>0</v>
      </c>
      <c r="AI80" s="100">
        <f t="shared" si="9"/>
        <v>0</v>
      </c>
      <c r="AJ80" s="100">
        <f t="shared" si="9"/>
        <v>0</v>
      </c>
      <c r="AK80" s="100">
        <f t="shared" si="9"/>
        <v>0</v>
      </c>
      <c r="AL80" s="100">
        <f t="shared" si="9"/>
        <v>0</v>
      </c>
    </row>
    <row r="81" ht="32.25" customHeight="1">
      <c r="A81" s="134"/>
      <c r="B81" s="134"/>
      <c r="C81" s="137" t="s">
        <v>75</v>
      </c>
      <c r="D81" s="21">
        <f t="shared" ref="D81:AL81" si="10">COUNTIF(D$3:D$72,"**02早*")</f>
        <v>0</v>
      </c>
      <c r="E81" s="28">
        <f t="shared" si="10"/>
        <v>0</v>
      </c>
      <c r="F81" s="28">
        <f t="shared" si="10"/>
        <v>0</v>
      </c>
      <c r="G81" s="28">
        <f t="shared" si="10"/>
        <v>0</v>
      </c>
      <c r="H81" s="28">
        <f t="shared" si="10"/>
        <v>0</v>
      </c>
      <c r="I81" s="28">
        <f t="shared" si="10"/>
        <v>0</v>
      </c>
      <c r="J81" s="28">
        <f t="shared" si="10"/>
        <v>0</v>
      </c>
      <c r="K81" s="28">
        <f t="shared" si="10"/>
        <v>0</v>
      </c>
      <c r="L81" s="28">
        <f t="shared" si="10"/>
        <v>0</v>
      </c>
      <c r="M81" s="28">
        <f t="shared" si="10"/>
        <v>0</v>
      </c>
      <c r="N81" s="28">
        <f t="shared" si="10"/>
        <v>0</v>
      </c>
      <c r="O81" s="28">
        <f t="shared" si="10"/>
        <v>0</v>
      </c>
      <c r="P81" s="28">
        <f t="shared" si="10"/>
        <v>0</v>
      </c>
      <c r="Q81" s="28">
        <f t="shared" si="10"/>
        <v>0</v>
      </c>
      <c r="R81" s="28">
        <f t="shared" si="10"/>
        <v>0</v>
      </c>
      <c r="S81" s="28">
        <f t="shared" si="10"/>
        <v>0</v>
      </c>
      <c r="T81" s="28">
        <f t="shared" si="10"/>
        <v>0</v>
      </c>
      <c r="U81" s="28">
        <f t="shared" si="10"/>
        <v>0</v>
      </c>
      <c r="V81" s="28">
        <f t="shared" si="10"/>
        <v>0</v>
      </c>
      <c r="W81" s="28">
        <f t="shared" si="10"/>
        <v>0</v>
      </c>
      <c r="X81" s="28">
        <f t="shared" si="10"/>
        <v>0</v>
      </c>
      <c r="Y81" s="28">
        <f t="shared" si="10"/>
        <v>0</v>
      </c>
      <c r="Z81" s="28">
        <f t="shared" si="10"/>
        <v>0</v>
      </c>
      <c r="AA81" s="28">
        <f t="shared" si="10"/>
        <v>0</v>
      </c>
      <c r="AB81" s="28">
        <f t="shared" si="10"/>
        <v>0</v>
      </c>
      <c r="AC81" s="28">
        <f t="shared" si="10"/>
        <v>0</v>
      </c>
      <c r="AD81" s="28">
        <f t="shared" si="10"/>
        <v>0</v>
      </c>
      <c r="AE81" s="28">
        <f t="shared" si="10"/>
        <v>0</v>
      </c>
      <c r="AF81" s="28">
        <f t="shared" si="10"/>
        <v>0</v>
      </c>
      <c r="AG81" s="28">
        <f t="shared" si="10"/>
        <v>0</v>
      </c>
      <c r="AH81" s="28">
        <f t="shared" si="10"/>
        <v>0</v>
      </c>
      <c r="AI81" s="28">
        <f t="shared" si="10"/>
        <v>0</v>
      </c>
      <c r="AJ81" s="28">
        <f t="shared" si="10"/>
        <v>0</v>
      </c>
      <c r="AK81" s="28">
        <f t="shared" si="10"/>
        <v>0</v>
      </c>
      <c r="AL81" s="28">
        <f t="shared" si="10"/>
        <v>0</v>
      </c>
    </row>
    <row r="82" ht="32.25" customHeight="1">
      <c r="A82" s="134"/>
      <c r="B82" s="134"/>
      <c r="C82" s="135" t="s">
        <v>76</v>
      </c>
      <c r="D82" s="40">
        <f t="shared" ref="D82:AL82" si="11">COUNTIF(D$3:D$72,"02中A*")</f>
        <v>0</v>
      </c>
      <c r="E82" s="24">
        <f t="shared" si="11"/>
        <v>0</v>
      </c>
      <c r="F82" s="24">
        <f t="shared" si="11"/>
        <v>0</v>
      </c>
      <c r="G82" s="24">
        <f t="shared" si="11"/>
        <v>0</v>
      </c>
      <c r="H82" s="24">
        <f t="shared" si="11"/>
        <v>0</v>
      </c>
      <c r="I82" s="24">
        <f t="shared" si="11"/>
        <v>0</v>
      </c>
      <c r="J82" s="24">
        <f t="shared" si="11"/>
        <v>0</v>
      </c>
      <c r="K82" s="24">
        <f t="shared" si="11"/>
        <v>0</v>
      </c>
      <c r="L82" s="24">
        <f t="shared" si="11"/>
        <v>0</v>
      </c>
      <c r="M82" s="24">
        <f t="shared" si="11"/>
        <v>0</v>
      </c>
      <c r="N82" s="24">
        <f t="shared" si="11"/>
        <v>0</v>
      </c>
      <c r="O82" s="24">
        <f t="shared" si="11"/>
        <v>0</v>
      </c>
      <c r="P82" s="24">
        <f t="shared" si="11"/>
        <v>0</v>
      </c>
      <c r="Q82" s="24">
        <f t="shared" si="11"/>
        <v>0</v>
      </c>
      <c r="R82" s="24">
        <f t="shared" si="11"/>
        <v>0</v>
      </c>
      <c r="S82" s="24">
        <f t="shared" si="11"/>
        <v>0</v>
      </c>
      <c r="T82" s="24">
        <f t="shared" si="11"/>
        <v>0</v>
      </c>
      <c r="U82" s="24">
        <f t="shared" si="11"/>
        <v>0</v>
      </c>
      <c r="V82" s="24">
        <f t="shared" si="11"/>
        <v>0</v>
      </c>
      <c r="W82" s="24">
        <f t="shared" si="11"/>
        <v>0</v>
      </c>
      <c r="X82" s="24">
        <f t="shared" si="11"/>
        <v>0</v>
      </c>
      <c r="Y82" s="24">
        <f t="shared" si="11"/>
        <v>0</v>
      </c>
      <c r="Z82" s="24">
        <f t="shared" si="11"/>
        <v>0</v>
      </c>
      <c r="AA82" s="24">
        <f t="shared" si="11"/>
        <v>0</v>
      </c>
      <c r="AB82" s="24">
        <f t="shared" si="11"/>
        <v>0</v>
      </c>
      <c r="AC82" s="24">
        <f t="shared" si="11"/>
        <v>0</v>
      </c>
      <c r="AD82" s="24">
        <f t="shared" si="11"/>
        <v>0</v>
      </c>
      <c r="AE82" s="24">
        <f t="shared" si="11"/>
        <v>0</v>
      </c>
      <c r="AF82" s="24">
        <f t="shared" si="11"/>
        <v>0</v>
      </c>
      <c r="AG82" s="24">
        <f t="shared" si="11"/>
        <v>0</v>
      </c>
      <c r="AH82" s="24">
        <f t="shared" si="11"/>
        <v>0</v>
      </c>
      <c r="AI82" s="24">
        <f t="shared" si="11"/>
        <v>0</v>
      </c>
      <c r="AJ82" s="24">
        <f t="shared" si="11"/>
        <v>0</v>
      </c>
      <c r="AK82" s="24">
        <f t="shared" si="11"/>
        <v>0</v>
      </c>
      <c r="AL82" s="24">
        <f t="shared" si="11"/>
        <v>0</v>
      </c>
    </row>
    <row r="83" ht="32.25" customHeight="1">
      <c r="A83" s="134"/>
      <c r="B83" s="134"/>
      <c r="C83" s="135" t="s">
        <v>77</v>
      </c>
      <c r="D83" s="40">
        <f t="shared" ref="D83:AL83" si="12">COUNTIF(D$3:D$72,"*02午*")</f>
        <v>0</v>
      </c>
      <c r="E83" s="24">
        <f t="shared" si="12"/>
        <v>0</v>
      </c>
      <c r="F83" s="24">
        <f t="shared" si="12"/>
        <v>0</v>
      </c>
      <c r="G83" s="24">
        <f t="shared" si="12"/>
        <v>0</v>
      </c>
      <c r="H83" s="24">
        <f t="shared" si="12"/>
        <v>0</v>
      </c>
      <c r="I83" s="24">
        <f t="shared" si="12"/>
        <v>0</v>
      </c>
      <c r="J83" s="24">
        <f t="shared" si="12"/>
        <v>0</v>
      </c>
      <c r="K83" s="24">
        <f t="shared" si="12"/>
        <v>0</v>
      </c>
      <c r="L83" s="24">
        <f t="shared" si="12"/>
        <v>0</v>
      </c>
      <c r="M83" s="24">
        <f t="shared" si="12"/>
        <v>0</v>
      </c>
      <c r="N83" s="24">
        <f t="shared" si="12"/>
        <v>0</v>
      </c>
      <c r="O83" s="24">
        <f t="shared" si="12"/>
        <v>0</v>
      </c>
      <c r="P83" s="24">
        <f t="shared" si="12"/>
        <v>0</v>
      </c>
      <c r="Q83" s="24">
        <f t="shared" si="12"/>
        <v>0</v>
      </c>
      <c r="R83" s="24">
        <f t="shared" si="12"/>
        <v>0</v>
      </c>
      <c r="S83" s="24">
        <f t="shared" si="12"/>
        <v>0</v>
      </c>
      <c r="T83" s="24">
        <f t="shared" si="12"/>
        <v>0</v>
      </c>
      <c r="U83" s="24">
        <f t="shared" si="12"/>
        <v>0</v>
      </c>
      <c r="V83" s="24">
        <f t="shared" si="12"/>
        <v>0</v>
      </c>
      <c r="W83" s="24">
        <f t="shared" si="12"/>
        <v>0</v>
      </c>
      <c r="X83" s="24">
        <f t="shared" si="12"/>
        <v>0</v>
      </c>
      <c r="Y83" s="24">
        <f t="shared" si="12"/>
        <v>0</v>
      </c>
      <c r="Z83" s="24">
        <f t="shared" si="12"/>
        <v>0</v>
      </c>
      <c r="AA83" s="24">
        <f t="shared" si="12"/>
        <v>0</v>
      </c>
      <c r="AB83" s="24">
        <f t="shared" si="12"/>
        <v>0</v>
      </c>
      <c r="AC83" s="24">
        <f t="shared" si="12"/>
        <v>0</v>
      </c>
      <c r="AD83" s="24">
        <f t="shared" si="12"/>
        <v>0</v>
      </c>
      <c r="AE83" s="24">
        <f t="shared" si="12"/>
        <v>0</v>
      </c>
      <c r="AF83" s="24">
        <f t="shared" si="12"/>
        <v>0</v>
      </c>
      <c r="AG83" s="24">
        <f t="shared" si="12"/>
        <v>0</v>
      </c>
      <c r="AH83" s="24">
        <f t="shared" si="12"/>
        <v>0</v>
      </c>
      <c r="AI83" s="24">
        <f t="shared" si="12"/>
        <v>0</v>
      </c>
      <c r="AJ83" s="24">
        <f t="shared" si="12"/>
        <v>0</v>
      </c>
      <c r="AK83" s="24">
        <f t="shared" si="12"/>
        <v>0</v>
      </c>
      <c r="AL83" s="24">
        <f t="shared" si="12"/>
        <v>0</v>
      </c>
    </row>
    <row r="84" ht="32.25" customHeight="1">
      <c r="A84" s="134"/>
      <c r="B84" s="134"/>
      <c r="C84" s="136" t="s">
        <v>78</v>
      </c>
      <c r="D84" s="96">
        <f t="shared" ref="D84:AL84" si="13">COUNTIF(D$3:D$72,"02夜*")</f>
        <v>0</v>
      </c>
      <c r="E84" s="100">
        <f t="shared" si="13"/>
        <v>0</v>
      </c>
      <c r="F84" s="100">
        <f t="shared" si="13"/>
        <v>0</v>
      </c>
      <c r="G84" s="100">
        <f t="shared" si="13"/>
        <v>0</v>
      </c>
      <c r="H84" s="100">
        <f t="shared" si="13"/>
        <v>0</v>
      </c>
      <c r="I84" s="100">
        <f t="shared" si="13"/>
        <v>0</v>
      </c>
      <c r="J84" s="100">
        <f t="shared" si="13"/>
        <v>0</v>
      </c>
      <c r="K84" s="100">
        <f t="shared" si="13"/>
        <v>0</v>
      </c>
      <c r="L84" s="100">
        <f t="shared" si="13"/>
        <v>0</v>
      </c>
      <c r="M84" s="100">
        <f t="shared" si="13"/>
        <v>0</v>
      </c>
      <c r="N84" s="100">
        <f t="shared" si="13"/>
        <v>0</v>
      </c>
      <c r="O84" s="100">
        <f t="shared" si="13"/>
        <v>0</v>
      </c>
      <c r="P84" s="100">
        <f t="shared" si="13"/>
        <v>0</v>
      </c>
      <c r="Q84" s="100">
        <f t="shared" si="13"/>
        <v>0</v>
      </c>
      <c r="R84" s="100">
        <f t="shared" si="13"/>
        <v>0</v>
      </c>
      <c r="S84" s="100">
        <f t="shared" si="13"/>
        <v>0</v>
      </c>
      <c r="T84" s="100">
        <f t="shared" si="13"/>
        <v>0</v>
      </c>
      <c r="U84" s="100">
        <f t="shared" si="13"/>
        <v>0</v>
      </c>
      <c r="V84" s="100">
        <f t="shared" si="13"/>
        <v>0</v>
      </c>
      <c r="W84" s="100">
        <f t="shared" si="13"/>
        <v>0</v>
      </c>
      <c r="X84" s="100">
        <f t="shared" si="13"/>
        <v>0</v>
      </c>
      <c r="Y84" s="100">
        <f t="shared" si="13"/>
        <v>0</v>
      </c>
      <c r="Z84" s="100">
        <f t="shared" si="13"/>
        <v>0</v>
      </c>
      <c r="AA84" s="100">
        <f t="shared" si="13"/>
        <v>0</v>
      </c>
      <c r="AB84" s="100">
        <f t="shared" si="13"/>
        <v>0</v>
      </c>
      <c r="AC84" s="100">
        <f t="shared" si="13"/>
        <v>0</v>
      </c>
      <c r="AD84" s="100">
        <f t="shared" si="13"/>
        <v>0</v>
      </c>
      <c r="AE84" s="100">
        <f t="shared" si="13"/>
        <v>0</v>
      </c>
      <c r="AF84" s="100">
        <f t="shared" si="13"/>
        <v>0</v>
      </c>
      <c r="AG84" s="100">
        <f t="shared" si="13"/>
        <v>0</v>
      </c>
      <c r="AH84" s="100">
        <f t="shared" si="13"/>
        <v>0</v>
      </c>
      <c r="AI84" s="100">
        <f t="shared" si="13"/>
        <v>0</v>
      </c>
      <c r="AJ84" s="100">
        <f t="shared" si="13"/>
        <v>0</v>
      </c>
      <c r="AK84" s="100">
        <f t="shared" si="13"/>
        <v>0</v>
      </c>
      <c r="AL84" s="100">
        <f t="shared" si="13"/>
        <v>0</v>
      </c>
    </row>
    <row r="85" ht="32.25" customHeight="1">
      <c r="A85" s="134"/>
      <c r="B85" s="134"/>
      <c r="C85" s="135" t="s">
        <v>79</v>
      </c>
      <c r="D85" s="21">
        <f t="shared" ref="D85:AL85" si="14">COUNTIF(D$3:D$72,"*03早*")-D86</f>
        <v>0</v>
      </c>
      <c r="E85" s="28">
        <f t="shared" si="14"/>
        <v>0</v>
      </c>
      <c r="F85" s="28">
        <f t="shared" si="14"/>
        <v>0</v>
      </c>
      <c r="G85" s="28">
        <f t="shared" si="14"/>
        <v>0</v>
      </c>
      <c r="H85" s="28">
        <f t="shared" si="14"/>
        <v>0</v>
      </c>
      <c r="I85" s="28">
        <f t="shared" si="14"/>
        <v>0</v>
      </c>
      <c r="J85" s="28">
        <f t="shared" si="14"/>
        <v>0</v>
      </c>
      <c r="K85" s="28">
        <f t="shared" si="14"/>
        <v>0</v>
      </c>
      <c r="L85" s="28">
        <f t="shared" si="14"/>
        <v>0</v>
      </c>
      <c r="M85" s="28">
        <f t="shared" si="14"/>
        <v>0</v>
      </c>
      <c r="N85" s="28">
        <f t="shared" si="14"/>
        <v>0</v>
      </c>
      <c r="O85" s="28">
        <f t="shared" si="14"/>
        <v>0</v>
      </c>
      <c r="P85" s="28">
        <f t="shared" si="14"/>
        <v>0</v>
      </c>
      <c r="Q85" s="28">
        <f t="shared" si="14"/>
        <v>0</v>
      </c>
      <c r="R85" s="28">
        <f t="shared" si="14"/>
        <v>0</v>
      </c>
      <c r="S85" s="28">
        <f t="shared" si="14"/>
        <v>0</v>
      </c>
      <c r="T85" s="28">
        <f t="shared" si="14"/>
        <v>0</v>
      </c>
      <c r="U85" s="28">
        <f t="shared" si="14"/>
        <v>0</v>
      </c>
      <c r="V85" s="28">
        <f t="shared" si="14"/>
        <v>0</v>
      </c>
      <c r="W85" s="28">
        <f t="shared" si="14"/>
        <v>0</v>
      </c>
      <c r="X85" s="28">
        <f t="shared" si="14"/>
        <v>0</v>
      </c>
      <c r="Y85" s="28">
        <f t="shared" si="14"/>
        <v>0</v>
      </c>
      <c r="Z85" s="28">
        <f t="shared" si="14"/>
        <v>0</v>
      </c>
      <c r="AA85" s="28">
        <f t="shared" si="14"/>
        <v>0</v>
      </c>
      <c r="AB85" s="28">
        <f t="shared" si="14"/>
        <v>0</v>
      </c>
      <c r="AC85" s="28">
        <f t="shared" si="14"/>
        <v>0</v>
      </c>
      <c r="AD85" s="28">
        <f t="shared" si="14"/>
        <v>0</v>
      </c>
      <c r="AE85" s="28">
        <f t="shared" si="14"/>
        <v>0</v>
      </c>
      <c r="AF85" s="28">
        <f t="shared" si="14"/>
        <v>0</v>
      </c>
      <c r="AG85" s="28">
        <f t="shared" si="14"/>
        <v>0</v>
      </c>
      <c r="AH85" s="28">
        <f t="shared" si="14"/>
        <v>0</v>
      </c>
      <c r="AI85" s="28">
        <f t="shared" si="14"/>
        <v>0</v>
      </c>
      <c r="AJ85" s="28">
        <f t="shared" si="14"/>
        <v>0</v>
      </c>
      <c r="AK85" s="28">
        <f t="shared" si="14"/>
        <v>0</v>
      </c>
      <c r="AL85" s="28">
        <f t="shared" si="14"/>
        <v>0</v>
      </c>
    </row>
    <row r="86" ht="32.25" customHeight="1">
      <c r="A86" s="134"/>
      <c r="B86" s="134"/>
      <c r="C86" s="135" t="s">
        <v>80</v>
      </c>
      <c r="D86" s="53">
        <f t="shared" ref="D86:AL86" si="15">COUNTIF(D$3:D$72,"*03早A*")</f>
        <v>0</v>
      </c>
      <c r="E86" s="138">
        <f t="shared" si="15"/>
        <v>0</v>
      </c>
      <c r="F86" s="138">
        <f t="shared" si="15"/>
        <v>0</v>
      </c>
      <c r="G86" s="138">
        <f t="shared" si="15"/>
        <v>0</v>
      </c>
      <c r="H86" s="138">
        <f t="shared" si="15"/>
        <v>0</v>
      </c>
      <c r="I86" s="138">
        <f t="shared" si="15"/>
        <v>0</v>
      </c>
      <c r="J86" s="138">
        <f t="shared" si="15"/>
        <v>0</v>
      </c>
      <c r="K86" s="138">
        <f t="shared" si="15"/>
        <v>0</v>
      </c>
      <c r="L86" s="138">
        <f t="shared" si="15"/>
        <v>0</v>
      </c>
      <c r="M86" s="138">
        <f t="shared" si="15"/>
        <v>0</v>
      </c>
      <c r="N86" s="138">
        <f t="shared" si="15"/>
        <v>0</v>
      </c>
      <c r="O86" s="138">
        <f t="shared" si="15"/>
        <v>0</v>
      </c>
      <c r="P86" s="138">
        <f t="shared" si="15"/>
        <v>0</v>
      </c>
      <c r="Q86" s="138">
        <f t="shared" si="15"/>
        <v>0</v>
      </c>
      <c r="R86" s="138">
        <f t="shared" si="15"/>
        <v>0</v>
      </c>
      <c r="S86" s="138">
        <f t="shared" si="15"/>
        <v>0</v>
      </c>
      <c r="T86" s="138">
        <f t="shared" si="15"/>
        <v>0</v>
      </c>
      <c r="U86" s="138">
        <f t="shared" si="15"/>
        <v>0</v>
      </c>
      <c r="V86" s="138">
        <f t="shared" si="15"/>
        <v>0</v>
      </c>
      <c r="W86" s="138">
        <f t="shared" si="15"/>
        <v>0</v>
      </c>
      <c r="X86" s="138">
        <f t="shared" si="15"/>
        <v>0</v>
      </c>
      <c r="Y86" s="138">
        <f t="shared" si="15"/>
        <v>0</v>
      </c>
      <c r="Z86" s="138">
        <f t="shared" si="15"/>
        <v>0</v>
      </c>
      <c r="AA86" s="138">
        <f t="shared" si="15"/>
        <v>0</v>
      </c>
      <c r="AB86" s="138">
        <f t="shared" si="15"/>
        <v>0</v>
      </c>
      <c r="AC86" s="138">
        <f t="shared" si="15"/>
        <v>0</v>
      </c>
      <c r="AD86" s="138">
        <f t="shared" si="15"/>
        <v>0</v>
      </c>
      <c r="AE86" s="138">
        <f t="shared" si="15"/>
        <v>0</v>
      </c>
      <c r="AF86" s="138">
        <f t="shared" si="15"/>
        <v>0</v>
      </c>
      <c r="AG86" s="138">
        <f t="shared" si="15"/>
        <v>0</v>
      </c>
      <c r="AH86" s="138">
        <f t="shared" si="15"/>
        <v>0</v>
      </c>
      <c r="AI86" s="138">
        <f t="shared" si="15"/>
        <v>0</v>
      </c>
      <c r="AJ86" s="138">
        <f t="shared" si="15"/>
        <v>0</v>
      </c>
      <c r="AK86" s="138">
        <f t="shared" si="15"/>
        <v>0</v>
      </c>
      <c r="AL86" s="138">
        <f t="shared" si="15"/>
        <v>0</v>
      </c>
    </row>
    <row r="87" ht="32.25" customHeight="1">
      <c r="A87" s="134"/>
      <c r="B87" s="134"/>
      <c r="C87" s="135" t="s">
        <v>81</v>
      </c>
      <c r="D87" s="40">
        <f t="shared" ref="D87:AL87" si="16">COUNTIF(D$3:D$67,"03中A*")</f>
        <v>0</v>
      </c>
      <c r="E87" s="24">
        <f t="shared" si="16"/>
        <v>0</v>
      </c>
      <c r="F87" s="24">
        <f t="shared" si="16"/>
        <v>0</v>
      </c>
      <c r="G87" s="24">
        <f t="shared" si="16"/>
        <v>0</v>
      </c>
      <c r="H87" s="24">
        <f t="shared" si="16"/>
        <v>0</v>
      </c>
      <c r="I87" s="24">
        <f t="shared" si="16"/>
        <v>0</v>
      </c>
      <c r="J87" s="24">
        <f t="shared" si="16"/>
        <v>0</v>
      </c>
      <c r="K87" s="24">
        <f t="shared" si="16"/>
        <v>0</v>
      </c>
      <c r="L87" s="24">
        <f t="shared" si="16"/>
        <v>0</v>
      </c>
      <c r="M87" s="24">
        <f t="shared" si="16"/>
        <v>0</v>
      </c>
      <c r="N87" s="24">
        <f t="shared" si="16"/>
        <v>0</v>
      </c>
      <c r="O87" s="24">
        <f t="shared" si="16"/>
        <v>0</v>
      </c>
      <c r="P87" s="24">
        <f t="shared" si="16"/>
        <v>0</v>
      </c>
      <c r="Q87" s="24">
        <f t="shared" si="16"/>
        <v>0</v>
      </c>
      <c r="R87" s="24">
        <f t="shared" si="16"/>
        <v>0</v>
      </c>
      <c r="S87" s="24">
        <f t="shared" si="16"/>
        <v>0</v>
      </c>
      <c r="T87" s="24">
        <f t="shared" si="16"/>
        <v>0</v>
      </c>
      <c r="U87" s="24">
        <f t="shared" si="16"/>
        <v>0</v>
      </c>
      <c r="V87" s="24">
        <f t="shared" si="16"/>
        <v>0</v>
      </c>
      <c r="W87" s="24">
        <f t="shared" si="16"/>
        <v>0</v>
      </c>
      <c r="X87" s="24">
        <f t="shared" si="16"/>
        <v>0</v>
      </c>
      <c r="Y87" s="24">
        <f t="shared" si="16"/>
        <v>0</v>
      </c>
      <c r="Z87" s="24">
        <f t="shared" si="16"/>
        <v>0</v>
      </c>
      <c r="AA87" s="24">
        <f t="shared" si="16"/>
        <v>0</v>
      </c>
      <c r="AB87" s="24">
        <f t="shared" si="16"/>
        <v>0</v>
      </c>
      <c r="AC87" s="24">
        <f t="shared" si="16"/>
        <v>0</v>
      </c>
      <c r="AD87" s="24">
        <f t="shared" si="16"/>
        <v>0</v>
      </c>
      <c r="AE87" s="24">
        <f t="shared" si="16"/>
        <v>0</v>
      </c>
      <c r="AF87" s="24">
        <f t="shared" si="16"/>
        <v>0</v>
      </c>
      <c r="AG87" s="24">
        <f t="shared" si="16"/>
        <v>0</v>
      </c>
      <c r="AH87" s="24">
        <f t="shared" si="16"/>
        <v>0</v>
      </c>
      <c r="AI87" s="24">
        <f t="shared" si="16"/>
        <v>0</v>
      </c>
      <c r="AJ87" s="24">
        <f t="shared" si="16"/>
        <v>0</v>
      </c>
      <c r="AK87" s="24">
        <f t="shared" si="16"/>
        <v>0</v>
      </c>
      <c r="AL87" s="24">
        <f t="shared" si="16"/>
        <v>0</v>
      </c>
    </row>
    <row r="88" ht="32.25" customHeight="1">
      <c r="A88" s="134"/>
      <c r="B88" s="134"/>
      <c r="C88" s="135" t="s">
        <v>82</v>
      </c>
      <c r="D88" s="40">
        <f t="shared" ref="D88:AL88" si="17">COUNTIF(D$3:D$72,"*03午*")-D89</f>
        <v>0</v>
      </c>
      <c r="E88" s="24">
        <f t="shared" si="17"/>
        <v>0</v>
      </c>
      <c r="F88" s="24">
        <f t="shared" si="17"/>
        <v>0</v>
      </c>
      <c r="G88" s="24">
        <f t="shared" si="17"/>
        <v>0</v>
      </c>
      <c r="H88" s="24">
        <f t="shared" si="17"/>
        <v>0</v>
      </c>
      <c r="I88" s="24">
        <f t="shared" si="17"/>
        <v>0</v>
      </c>
      <c r="J88" s="24">
        <f t="shared" si="17"/>
        <v>0</v>
      </c>
      <c r="K88" s="24">
        <f t="shared" si="17"/>
        <v>0</v>
      </c>
      <c r="L88" s="24">
        <f t="shared" si="17"/>
        <v>0</v>
      </c>
      <c r="M88" s="24">
        <f t="shared" si="17"/>
        <v>0</v>
      </c>
      <c r="N88" s="24">
        <f t="shared" si="17"/>
        <v>0</v>
      </c>
      <c r="O88" s="24">
        <f t="shared" si="17"/>
        <v>0</v>
      </c>
      <c r="P88" s="24">
        <f t="shared" si="17"/>
        <v>0</v>
      </c>
      <c r="Q88" s="24">
        <f t="shared" si="17"/>
        <v>0</v>
      </c>
      <c r="R88" s="24">
        <f t="shared" si="17"/>
        <v>0</v>
      </c>
      <c r="S88" s="24">
        <f t="shared" si="17"/>
        <v>0</v>
      </c>
      <c r="T88" s="24">
        <f t="shared" si="17"/>
        <v>0</v>
      </c>
      <c r="U88" s="24">
        <f t="shared" si="17"/>
        <v>0</v>
      </c>
      <c r="V88" s="24">
        <f t="shared" si="17"/>
        <v>0</v>
      </c>
      <c r="W88" s="24">
        <f t="shared" si="17"/>
        <v>0</v>
      </c>
      <c r="X88" s="24">
        <f t="shared" si="17"/>
        <v>0</v>
      </c>
      <c r="Y88" s="24">
        <f t="shared" si="17"/>
        <v>0</v>
      </c>
      <c r="Z88" s="24">
        <f t="shared" si="17"/>
        <v>0</v>
      </c>
      <c r="AA88" s="24">
        <f t="shared" si="17"/>
        <v>0</v>
      </c>
      <c r="AB88" s="24">
        <f t="shared" si="17"/>
        <v>0</v>
      </c>
      <c r="AC88" s="24">
        <f t="shared" si="17"/>
        <v>0</v>
      </c>
      <c r="AD88" s="24">
        <f t="shared" si="17"/>
        <v>0</v>
      </c>
      <c r="AE88" s="24">
        <f t="shared" si="17"/>
        <v>0</v>
      </c>
      <c r="AF88" s="24">
        <f t="shared" si="17"/>
        <v>0</v>
      </c>
      <c r="AG88" s="24">
        <f t="shared" si="17"/>
        <v>0</v>
      </c>
      <c r="AH88" s="24">
        <f t="shared" si="17"/>
        <v>0</v>
      </c>
      <c r="AI88" s="24">
        <f t="shared" si="17"/>
        <v>0</v>
      </c>
      <c r="AJ88" s="24">
        <f t="shared" si="17"/>
        <v>0</v>
      </c>
      <c r="AK88" s="24">
        <f t="shared" si="17"/>
        <v>0</v>
      </c>
      <c r="AL88" s="24">
        <f t="shared" si="17"/>
        <v>0</v>
      </c>
    </row>
    <row r="89" ht="32.25" customHeight="1">
      <c r="A89" s="134"/>
      <c r="B89" s="134"/>
      <c r="C89" s="135" t="s">
        <v>83</v>
      </c>
      <c r="D89" s="40">
        <f t="shared" ref="D89:AL89" si="18">COUNTIF(D$3:D$72,"*03午F*")</f>
        <v>0</v>
      </c>
      <c r="E89" s="24">
        <f t="shared" si="18"/>
        <v>0</v>
      </c>
      <c r="F89" s="24">
        <f t="shared" si="18"/>
        <v>0</v>
      </c>
      <c r="G89" s="24">
        <f t="shared" si="18"/>
        <v>0</v>
      </c>
      <c r="H89" s="24">
        <f t="shared" si="18"/>
        <v>0</v>
      </c>
      <c r="I89" s="24">
        <f t="shared" si="18"/>
        <v>0</v>
      </c>
      <c r="J89" s="24">
        <f t="shared" si="18"/>
        <v>0</v>
      </c>
      <c r="K89" s="24">
        <f t="shared" si="18"/>
        <v>0</v>
      </c>
      <c r="L89" s="24">
        <f t="shared" si="18"/>
        <v>0</v>
      </c>
      <c r="M89" s="24">
        <f t="shared" si="18"/>
        <v>0</v>
      </c>
      <c r="N89" s="24">
        <f t="shared" si="18"/>
        <v>0</v>
      </c>
      <c r="O89" s="24">
        <f t="shared" si="18"/>
        <v>0</v>
      </c>
      <c r="P89" s="24">
        <f t="shared" si="18"/>
        <v>0</v>
      </c>
      <c r="Q89" s="24">
        <f t="shared" si="18"/>
        <v>0</v>
      </c>
      <c r="R89" s="24">
        <f t="shared" si="18"/>
        <v>0</v>
      </c>
      <c r="S89" s="24">
        <f t="shared" si="18"/>
        <v>0</v>
      </c>
      <c r="T89" s="24">
        <f t="shared" si="18"/>
        <v>0</v>
      </c>
      <c r="U89" s="24">
        <f t="shared" si="18"/>
        <v>0</v>
      </c>
      <c r="V89" s="24">
        <f t="shared" si="18"/>
        <v>0</v>
      </c>
      <c r="W89" s="24">
        <f t="shared" si="18"/>
        <v>0</v>
      </c>
      <c r="X89" s="24">
        <f t="shared" si="18"/>
        <v>0</v>
      </c>
      <c r="Y89" s="24">
        <f t="shared" si="18"/>
        <v>0</v>
      </c>
      <c r="Z89" s="24">
        <f t="shared" si="18"/>
        <v>0</v>
      </c>
      <c r="AA89" s="24">
        <f t="shared" si="18"/>
        <v>0</v>
      </c>
      <c r="AB89" s="24">
        <f t="shared" si="18"/>
        <v>0</v>
      </c>
      <c r="AC89" s="24">
        <f t="shared" si="18"/>
        <v>0</v>
      </c>
      <c r="AD89" s="24">
        <f t="shared" si="18"/>
        <v>0</v>
      </c>
      <c r="AE89" s="24">
        <f t="shared" si="18"/>
        <v>0</v>
      </c>
      <c r="AF89" s="24">
        <f t="shared" si="18"/>
        <v>0</v>
      </c>
      <c r="AG89" s="24">
        <f t="shared" si="18"/>
        <v>0</v>
      </c>
      <c r="AH89" s="24">
        <f t="shared" si="18"/>
        <v>0</v>
      </c>
      <c r="AI89" s="24">
        <f t="shared" si="18"/>
        <v>0</v>
      </c>
      <c r="AJ89" s="24">
        <f t="shared" si="18"/>
        <v>0</v>
      </c>
      <c r="AK89" s="24">
        <f t="shared" si="18"/>
        <v>0</v>
      </c>
      <c r="AL89" s="24">
        <f t="shared" si="18"/>
        <v>0</v>
      </c>
    </row>
    <row r="90" ht="32.25" customHeight="1">
      <c r="A90" s="134"/>
      <c r="B90" s="134"/>
      <c r="C90" s="136" t="s">
        <v>84</v>
      </c>
      <c r="D90" s="96">
        <f t="shared" ref="D90:AL90" si="19">COUNTIF(D$3:D$72,"03夜")</f>
        <v>0</v>
      </c>
      <c r="E90" s="100">
        <f t="shared" si="19"/>
        <v>0</v>
      </c>
      <c r="F90" s="100">
        <f t="shared" si="19"/>
        <v>0</v>
      </c>
      <c r="G90" s="100">
        <f t="shared" si="19"/>
        <v>0</v>
      </c>
      <c r="H90" s="100">
        <f t="shared" si="19"/>
        <v>0</v>
      </c>
      <c r="I90" s="100">
        <f t="shared" si="19"/>
        <v>0</v>
      </c>
      <c r="J90" s="100">
        <f t="shared" si="19"/>
        <v>0</v>
      </c>
      <c r="K90" s="100">
        <f t="shared" si="19"/>
        <v>0</v>
      </c>
      <c r="L90" s="100">
        <f t="shared" si="19"/>
        <v>0</v>
      </c>
      <c r="M90" s="100">
        <f t="shared" si="19"/>
        <v>0</v>
      </c>
      <c r="N90" s="100">
        <f t="shared" si="19"/>
        <v>0</v>
      </c>
      <c r="O90" s="100">
        <f t="shared" si="19"/>
        <v>0</v>
      </c>
      <c r="P90" s="100">
        <f t="shared" si="19"/>
        <v>0</v>
      </c>
      <c r="Q90" s="100">
        <f t="shared" si="19"/>
        <v>0</v>
      </c>
      <c r="R90" s="100">
        <f t="shared" si="19"/>
        <v>0</v>
      </c>
      <c r="S90" s="100">
        <f t="shared" si="19"/>
        <v>0</v>
      </c>
      <c r="T90" s="100">
        <f t="shared" si="19"/>
        <v>0</v>
      </c>
      <c r="U90" s="100">
        <f t="shared" si="19"/>
        <v>0</v>
      </c>
      <c r="V90" s="100">
        <f t="shared" si="19"/>
        <v>0</v>
      </c>
      <c r="W90" s="100">
        <f t="shared" si="19"/>
        <v>0</v>
      </c>
      <c r="X90" s="100">
        <f t="shared" si="19"/>
        <v>0</v>
      </c>
      <c r="Y90" s="100">
        <f t="shared" si="19"/>
        <v>0</v>
      </c>
      <c r="Z90" s="100">
        <f t="shared" si="19"/>
        <v>0</v>
      </c>
      <c r="AA90" s="100">
        <f t="shared" si="19"/>
        <v>0</v>
      </c>
      <c r="AB90" s="100">
        <f t="shared" si="19"/>
        <v>0</v>
      </c>
      <c r="AC90" s="100">
        <f t="shared" si="19"/>
        <v>0</v>
      </c>
      <c r="AD90" s="100">
        <f t="shared" si="19"/>
        <v>0</v>
      </c>
      <c r="AE90" s="100">
        <f t="shared" si="19"/>
        <v>0</v>
      </c>
      <c r="AF90" s="100">
        <f t="shared" si="19"/>
        <v>0</v>
      </c>
      <c r="AG90" s="100">
        <f t="shared" si="19"/>
        <v>0</v>
      </c>
      <c r="AH90" s="100">
        <f t="shared" si="19"/>
        <v>0</v>
      </c>
      <c r="AI90" s="100">
        <f t="shared" si="19"/>
        <v>0</v>
      </c>
      <c r="AJ90" s="100">
        <f t="shared" si="19"/>
        <v>0</v>
      </c>
      <c r="AK90" s="100">
        <f t="shared" si="19"/>
        <v>0</v>
      </c>
      <c r="AL90" s="100">
        <f t="shared" si="19"/>
        <v>0</v>
      </c>
    </row>
    <row r="91" ht="32.25" customHeight="1">
      <c r="A91" s="134"/>
      <c r="B91" s="134"/>
      <c r="C91" s="135" t="s">
        <v>85</v>
      </c>
      <c r="D91" s="21">
        <f t="shared" ref="D91:AL91" si="20">COUNTIF(D$3:D$72,"*04早*")</f>
        <v>0</v>
      </c>
      <c r="E91" s="28">
        <f t="shared" si="20"/>
        <v>0</v>
      </c>
      <c r="F91" s="28">
        <f t="shared" si="20"/>
        <v>0</v>
      </c>
      <c r="G91" s="28">
        <f t="shared" si="20"/>
        <v>0</v>
      </c>
      <c r="H91" s="28">
        <f t="shared" si="20"/>
        <v>0</v>
      </c>
      <c r="I91" s="28">
        <f t="shared" si="20"/>
        <v>0</v>
      </c>
      <c r="J91" s="28">
        <f t="shared" si="20"/>
        <v>0</v>
      </c>
      <c r="K91" s="28">
        <f t="shared" si="20"/>
        <v>0</v>
      </c>
      <c r="L91" s="28">
        <f t="shared" si="20"/>
        <v>0</v>
      </c>
      <c r="M91" s="28">
        <f t="shared" si="20"/>
        <v>0</v>
      </c>
      <c r="N91" s="28">
        <f t="shared" si="20"/>
        <v>0</v>
      </c>
      <c r="O91" s="28">
        <f t="shared" si="20"/>
        <v>0</v>
      </c>
      <c r="P91" s="28">
        <f t="shared" si="20"/>
        <v>0</v>
      </c>
      <c r="Q91" s="28">
        <f t="shared" si="20"/>
        <v>0</v>
      </c>
      <c r="R91" s="28">
        <f t="shared" si="20"/>
        <v>0</v>
      </c>
      <c r="S91" s="28">
        <f t="shared" si="20"/>
        <v>0</v>
      </c>
      <c r="T91" s="28">
        <f t="shared" si="20"/>
        <v>0</v>
      </c>
      <c r="U91" s="28">
        <f t="shared" si="20"/>
        <v>0</v>
      </c>
      <c r="V91" s="28">
        <f t="shared" si="20"/>
        <v>0</v>
      </c>
      <c r="W91" s="28">
        <f t="shared" si="20"/>
        <v>0</v>
      </c>
      <c r="X91" s="28">
        <f t="shared" si="20"/>
        <v>0</v>
      </c>
      <c r="Y91" s="28">
        <f t="shared" si="20"/>
        <v>0</v>
      </c>
      <c r="Z91" s="28">
        <f t="shared" si="20"/>
        <v>0</v>
      </c>
      <c r="AA91" s="28">
        <f t="shared" si="20"/>
        <v>0</v>
      </c>
      <c r="AB91" s="28">
        <f t="shared" si="20"/>
        <v>0</v>
      </c>
      <c r="AC91" s="28">
        <f t="shared" si="20"/>
        <v>0</v>
      </c>
      <c r="AD91" s="28">
        <f t="shared" si="20"/>
        <v>0</v>
      </c>
      <c r="AE91" s="28">
        <f t="shared" si="20"/>
        <v>0</v>
      </c>
      <c r="AF91" s="28">
        <f t="shared" si="20"/>
        <v>0</v>
      </c>
      <c r="AG91" s="28">
        <f t="shared" si="20"/>
        <v>0</v>
      </c>
      <c r="AH91" s="28">
        <f t="shared" si="20"/>
        <v>0</v>
      </c>
      <c r="AI91" s="28">
        <f t="shared" si="20"/>
        <v>0</v>
      </c>
      <c r="AJ91" s="28">
        <f t="shared" si="20"/>
        <v>0</v>
      </c>
      <c r="AK91" s="28">
        <f t="shared" si="20"/>
        <v>0</v>
      </c>
      <c r="AL91" s="28">
        <f t="shared" si="20"/>
        <v>0</v>
      </c>
    </row>
    <row r="92" ht="32.25" customHeight="1">
      <c r="A92" s="134"/>
      <c r="B92" s="134"/>
      <c r="C92" s="135" t="s">
        <v>86</v>
      </c>
      <c r="D92" s="40">
        <f t="shared" ref="D92:AL92" si="21">COUNTIF(D$3:D$72,"*04中A*")</f>
        <v>0</v>
      </c>
      <c r="E92" s="24">
        <f t="shared" si="21"/>
        <v>0</v>
      </c>
      <c r="F92" s="24">
        <f t="shared" si="21"/>
        <v>0</v>
      </c>
      <c r="G92" s="24">
        <f t="shared" si="21"/>
        <v>0</v>
      </c>
      <c r="H92" s="24">
        <f t="shared" si="21"/>
        <v>0</v>
      </c>
      <c r="I92" s="24">
        <f t="shared" si="21"/>
        <v>0</v>
      </c>
      <c r="J92" s="24">
        <f t="shared" si="21"/>
        <v>0</v>
      </c>
      <c r="K92" s="24">
        <f t="shared" si="21"/>
        <v>0</v>
      </c>
      <c r="L92" s="24">
        <f t="shared" si="21"/>
        <v>0</v>
      </c>
      <c r="M92" s="24">
        <f t="shared" si="21"/>
        <v>0</v>
      </c>
      <c r="N92" s="24">
        <f t="shared" si="21"/>
        <v>0</v>
      </c>
      <c r="O92" s="24">
        <f t="shared" si="21"/>
        <v>0</v>
      </c>
      <c r="P92" s="24">
        <f t="shared" si="21"/>
        <v>0</v>
      </c>
      <c r="Q92" s="24">
        <f t="shared" si="21"/>
        <v>0</v>
      </c>
      <c r="R92" s="24">
        <f t="shared" si="21"/>
        <v>0</v>
      </c>
      <c r="S92" s="24">
        <f t="shared" si="21"/>
        <v>0</v>
      </c>
      <c r="T92" s="24">
        <f t="shared" si="21"/>
        <v>0</v>
      </c>
      <c r="U92" s="24">
        <f t="shared" si="21"/>
        <v>0</v>
      </c>
      <c r="V92" s="24">
        <f t="shared" si="21"/>
        <v>0</v>
      </c>
      <c r="W92" s="24">
        <f t="shared" si="21"/>
        <v>0</v>
      </c>
      <c r="X92" s="24">
        <f t="shared" si="21"/>
        <v>0</v>
      </c>
      <c r="Y92" s="24">
        <f t="shared" si="21"/>
        <v>0</v>
      </c>
      <c r="Z92" s="24">
        <f t="shared" si="21"/>
        <v>0</v>
      </c>
      <c r="AA92" s="24">
        <f t="shared" si="21"/>
        <v>0</v>
      </c>
      <c r="AB92" s="24">
        <f t="shared" si="21"/>
        <v>0</v>
      </c>
      <c r="AC92" s="24">
        <f t="shared" si="21"/>
        <v>0</v>
      </c>
      <c r="AD92" s="24">
        <f t="shared" si="21"/>
        <v>0</v>
      </c>
      <c r="AE92" s="24">
        <f t="shared" si="21"/>
        <v>0</v>
      </c>
      <c r="AF92" s="24">
        <f t="shared" si="21"/>
        <v>0</v>
      </c>
      <c r="AG92" s="24">
        <f t="shared" si="21"/>
        <v>0</v>
      </c>
      <c r="AH92" s="24">
        <f t="shared" si="21"/>
        <v>0</v>
      </c>
      <c r="AI92" s="24">
        <f t="shared" si="21"/>
        <v>0</v>
      </c>
      <c r="AJ92" s="24">
        <f t="shared" si="21"/>
        <v>0</v>
      </c>
      <c r="AK92" s="24">
        <f t="shared" si="21"/>
        <v>0</v>
      </c>
      <c r="AL92" s="24">
        <f t="shared" si="21"/>
        <v>0</v>
      </c>
    </row>
    <row r="93" ht="32.25" customHeight="1">
      <c r="A93" s="134"/>
      <c r="B93" s="134"/>
      <c r="C93" s="135" t="s">
        <v>87</v>
      </c>
      <c r="D93" s="40">
        <f t="shared" ref="D93:AL93" si="22">COUNTIF(D$3:D$67,"*04午*")</f>
        <v>0</v>
      </c>
      <c r="E93" s="24">
        <f t="shared" si="22"/>
        <v>0</v>
      </c>
      <c r="F93" s="24">
        <f t="shared" si="22"/>
        <v>0</v>
      </c>
      <c r="G93" s="24">
        <f t="shared" si="22"/>
        <v>0</v>
      </c>
      <c r="H93" s="24">
        <f t="shared" si="22"/>
        <v>0</v>
      </c>
      <c r="I93" s="24">
        <f t="shared" si="22"/>
        <v>0</v>
      </c>
      <c r="J93" s="24">
        <f t="shared" si="22"/>
        <v>0</v>
      </c>
      <c r="K93" s="24">
        <f t="shared" si="22"/>
        <v>0</v>
      </c>
      <c r="L93" s="24">
        <f t="shared" si="22"/>
        <v>0</v>
      </c>
      <c r="M93" s="24">
        <f t="shared" si="22"/>
        <v>0</v>
      </c>
      <c r="N93" s="24">
        <f t="shared" si="22"/>
        <v>0</v>
      </c>
      <c r="O93" s="24">
        <f t="shared" si="22"/>
        <v>0</v>
      </c>
      <c r="P93" s="24">
        <f t="shared" si="22"/>
        <v>0</v>
      </c>
      <c r="Q93" s="24">
        <f t="shared" si="22"/>
        <v>0</v>
      </c>
      <c r="R93" s="24">
        <f t="shared" si="22"/>
        <v>0</v>
      </c>
      <c r="S93" s="24">
        <f t="shared" si="22"/>
        <v>0</v>
      </c>
      <c r="T93" s="24">
        <f t="shared" si="22"/>
        <v>0</v>
      </c>
      <c r="U93" s="24">
        <f t="shared" si="22"/>
        <v>0</v>
      </c>
      <c r="V93" s="24">
        <f t="shared" si="22"/>
        <v>0</v>
      </c>
      <c r="W93" s="24">
        <f t="shared" si="22"/>
        <v>0</v>
      </c>
      <c r="X93" s="24">
        <f t="shared" si="22"/>
        <v>0</v>
      </c>
      <c r="Y93" s="24">
        <f t="shared" si="22"/>
        <v>0</v>
      </c>
      <c r="Z93" s="24">
        <f t="shared" si="22"/>
        <v>0</v>
      </c>
      <c r="AA93" s="24">
        <f t="shared" si="22"/>
        <v>0</v>
      </c>
      <c r="AB93" s="24">
        <f t="shared" si="22"/>
        <v>0</v>
      </c>
      <c r="AC93" s="24">
        <f t="shared" si="22"/>
        <v>0</v>
      </c>
      <c r="AD93" s="24">
        <f t="shared" si="22"/>
        <v>0</v>
      </c>
      <c r="AE93" s="24">
        <f t="shared" si="22"/>
        <v>0</v>
      </c>
      <c r="AF93" s="24">
        <f t="shared" si="22"/>
        <v>0</v>
      </c>
      <c r="AG93" s="24">
        <f t="shared" si="22"/>
        <v>0</v>
      </c>
      <c r="AH93" s="24">
        <f t="shared" si="22"/>
        <v>0</v>
      </c>
      <c r="AI93" s="24">
        <f t="shared" si="22"/>
        <v>0</v>
      </c>
      <c r="AJ93" s="24">
        <f t="shared" si="22"/>
        <v>0</v>
      </c>
      <c r="AK93" s="24">
        <f t="shared" si="22"/>
        <v>0</v>
      </c>
      <c r="AL93" s="24">
        <f t="shared" si="22"/>
        <v>0</v>
      </c>
    </row>
    <row r="94" ht="32.25" customHeight="1">
      <c r="A94" s="134"/>
      <c r="B94" s="134"/>
      <c r="C94" s="136" t="s">
        <v>88</v>
      </c>
      <c r="D94" s="96">
        <f t="shared" ref="D94:AL94" si="23">COUNTIF(D$3:D$72,"*04夜*")</f>
        <v>0</v>
      </c>
      <c r="E94" s="100">
        <f t="shared" si="23"/>
        <v>0</v>
      </c>
      <c r="F94" s="100">
        <f t="shared" si="23"/>
        <v>0</v>
      </c>
      <c r="G94" s="100">
        <f t="shared" si="23"/>
        <v>0</v>
      </c>
      <c r="H94" s="100">
        <f t="shared" si="23"/>
        <v>0</v>
      </c>
      <c r="I94" s="100">
        <f t="shared" si="23"/>
        <v>0</v>
      </c>
      <c r="J94" s="100">
        <f t="shared" si="23"/>
        <v>0</v>
      </c>
      <c r="K94" s="100">
        <f t="shared" si="23"/>
        <v>0</v>
      </c>
      <c r="L94" s="100">
        <f t="shared" si="23"/>
        <v>0</v>
      </c>
      <c r="M94" s="100">
        <f t="shared" si="23"/>
        <v>0</v>
      </c>
      <c r="N94" s="100">
        <f t="shared" si="23"/>
        <v>0</v>
      </c>
      <c r="O94" s="100">
        <f t="shared" si="23"/>
        <v>0</v>
      </c>
      <c r="P94" s="100">
        <f t="shared" si="23"/>
        <v>0</v>
      </c>
      <c r="Q94" s="100">
        <f t="shared" si="23"/>
        <v>0</v>
      </c>
      <c r="R94" s="100">
        <f t="shared" si="23"/>
        <v>0</v>
      </c>
      <c r="S94" s="100">
        <f t="shared" si="23"/>
        <v>0</v>
      </c>
      <c r="T94" s="100">
        <f t="shared" si="23"/>
        <v>0</v>
      </c>
      <c r="U94" s="100">
        <f t="shared" si="23"/>
        <v>0</v>
      </c>
      <c r="V94" s="100">
        <f t="shared" si="23"/>
        <v>0</v>
      </c>
      <c r="W94" s="100">
        <f t="shared" si="23"/>
        <v>0</v>
      </c>
      <c r="X94" s="100">
        <f t="shared" si="23"/>
        <v>0</v>
      </c>
      <c r="Y94" s="100">
        <f t="shared" si="23"/>
        <v>0</v>
      </c>
      <c r="Z94" s="100">
        <f t="shared" si="23"/>
        <v>0</v>
      </c>
      <c r="AA94" s="100">
        <f t="shared" si="23"/>
        <v>0</v>
      </c>
      <c r="AB94" s="100">
        <f t="shared" si="23"/>
        <v>0</v>
      </c>
      <c r="AC94" s="100">
        <f t="shared" si="23"/>
        <v>0</v>
      </c>
      <c r="AD94" s="100">
        <f t="shared" si="23"/>
        <v>0</v>
      </c>
      <c r="AE94" s="100">
        <f t="shared" si="23"/>
        <v>0</v>
      </c>
      <c r="AF94" s="100">
        <f t="shared" si="23"/>
        <v>0</v>
      </c>
      <c r="AG94" s="100">
        <f t="shared" si="23"/>
        <v>0</v>
      </c>
      <c r="AH94" s="100">
        <f t="shared" si="23"/>
        <v>0</v>
      </c>
      <c r="AI94" s="100">
        <f t="shared" si="23"/>
        <v>0</v>
      </c>
      <c r="AJ94" s="100">
        <f t="shared" si="23"/>
        <v>0</v>
      </c>
      <c r="AK94" s="100">
        <f t="shared" si="23"/>
        <v>0</v>
      </c>
      <c r="AL94" s="100">
        <f t="shared" si="23"/>
        <v>0</v>
      </c>
    </row>
    <row r="95" ht="32.25" customHeight="1">
      <c r="A95" s="134"/>
      <c r="B95" s="134"/>
      <c r="C95" s="135" t="s">
        <v>89</v>
      </c>
      <c r="D95" s="21">
        <f t="shared" ref="D95:AL95" si="24">COUNTIF(D$3:D$72,"05早*")</f>
        <v>0</v>
      </c>
      <c r="E95" s="28">
        <f t="shared" si="24"/>
        <v>0</v>
      </c>
      <c r="F95" s="28">
        <f t="shared" si="24"/>
        <v>0</v>
      </c>
      <c r="G95" s="28">
        <f t="shared" si="24"/>
        <v>0</v>
      </c>
      <c r="H95" s="28">
        <f t="shared" si="24"/>
        <v>0</v>
      </c>
      <c r="I95" s="28">
        <f t="shared" si="24"/>
        <v>0</v>
      </c>
      <c r="J95" s="28">
        <f t="shared" si="24"/>
        <v>0</v>
      </c>
      <c r="K95" s="28">
        <f t="shared" si="24"/>
        <v>0</v>
      </c>
      <c r="L95" s="28">
        <f t="shared" si="24"/>
        <v>0</v>
      </c>
      <c r="M95" s="28">
        <f t="shared" si="24"/>
        <v>0</v>
      </c>
      <c r="N95" s="28">
        <f t="shared" si="24"/>
        <v>0</v>
      </c>
      <c r="O95" s="28">
        <f t="shared" si="24"/>
        <v>0</v>
      </c>
      <c r="P95" s="28">
        <f t="shared" si="24"/>
        <v>0</v>
      </c>
      <c r="Q95" s="28">
        <f t="shared" si="24"/>
        <v>0</v>
      </c>
      <c r="R95" s="28">
        <f t="shared" si="24"/>
        <v>0</v>
      </c>
      <c r="S95" s="28">
        <f t="shared" si="24"/>
        <v>0</v>
      </c>
      <c r="T95" s="28">
        <f t="shared" si="24"/>
        <v>0</v>
      </c>
      <c r="U95" s="28">
        <f t="shared" si="24"/>
        <v>0</v>
      </c>
      <c r="V95" s="28">
        <f t="shared" si="24"/>
        <v>0</v>
      </c>
      <c r="W95" s="28">
        <f t="shared" si="24"/>
        <v>0</v>
      </c>
      <c r="X95" s="28">
        <f t="shared" si="24"/>
        <v>0</v>
      </c>
      <c r="Y95" s="28">
        <f t="shared" si="24"/>
        <v>0</v>
      </c>
      <c r="Z95" s="28">
        <f t="shared" si="24"/>
        <v>0</v>
      </c>
      <c r="AA95" s="28">
        <f t="shared" si="24"/>
        <v>0</v>
      </c>
      <c r="AB95" s="28">
        <f t="shared" si="24"/>
        <v>0</v>
      </c>
      <c r="AC95" s="28">
        <f t="shared" si="24"/>
        <v>0</v>
      </c>
      <c r="AD95" s="28">
        <f t="shared" si="24"/>
        <v>0</v>
      </c>
      <c r="AE95" s="28">
        <f t="shared" si="24"/>
        <v>0</v>
      </c>
      <c r="AF95" s="28">
        <f t="shared" si="24"/>
        <v>0</v>
      </c>
      <c r="AG95" s="28">
        <f t="shared" si="24"/>
        <v>0</v>
      </c>
      <c r="AH95" s="28">
        <f t="shared" si="24"/>
        <v>0</v>
      </c>
      <c r="AI95" s="28">
        <f t="shared" si="24"/>
        <v>0</v>
      </c>
      <c r="AJ95" s="28">
        <f t="shared" si="24"/>
        <v>0</v>
      </c>
      <c r="AK95" s="28">
        <f t="shared" si="24"/>
        <v>0</v>
      </c>
      <c r="AL95" s="28">
        <f t="shared" si="24"/>
        <v>0</v>
      </c>
    </row>
    <row r="96" ht="32.25" customHeight="1">
      <c r="A96" s="134"/>
      <c r="B96" s="134"/>
      <c r="C96" s="135" t="s">
        <v>90</v>
      </c>
      <c r="D96" s="40">
        <f t="shared" ref="D96:AL96" si="25">COUNTIF(D$3:D$72,"05中A*")</f>
        <v>0</v>
      </c>
      <c r="E96" s="24">
        <f t="shared" si="25"/>
        <v>0</v>
      </c>
      <c r="F96" s="24">
        <f t="shared" si="25"/>
        <v>0</v>
      </c>
      <c r="G96" s="24">
        <f t="shared" si="25"/>
        <v>0</v>
      </c>
      <c r="H96" s="24">
        <f t="shared" si="25"/>
        <v>0</v>
      </c>
      <c r="I96" s="24">
        <f t="shared" si="25"/>
        <v>0</v>
      </c>
      <c r="J96" s="24">
        <f t="shared" si="25"/>
        <v>0</v>
      </c>
      <c r="K96" s="24">
        <f t="shared" si="25"/>
        <v>0</v>
      </c>
      <c r="L96" s="24">
        <f t="shared" si="25"/>
        <v>0</v>
      </c>
      <c r="M96" s="24">
        <f t="shared" si="25"/>
        <v>0</v>
      </c>
      <c r="N96" s="24">
        <f t="shared" si="25"/>
        <v>0</v>
      </c>
      <c r="O96" s="24">
        <f t="shared" si="25"/>
        <v>0</v>
      </c>
      <c r="P96" s="24">
        <f t="shared" si="25"/>
        <v>0</v>
      </c>
      <c r="Q96" s="24">
        <f t="shared" si="25"/>
        <v>0</v>
      </c>
      <c r="R96" s="24">
        <f t="shared" si="25"/>
        <v>0</v>
      </c>
      <c r="S96" s="24">
        <f t="shared" si="25"/>
        <v>0</v>
      </c>
      <c r="T96" s="24">
        <f t="shared" si="25"/>
        <v>0</v>
      </c>
      <c r="U96" s="24">
        <f t="shared" si="25"/>
        <v>0</v>
      </c>
      <c r="V96" s="24">
        <f t="shared" si="25"/>
        <v>0</v>
      </c>
      <c r="W96" s="24">
        <f t="shared" si="25"/>
        <v>0</v>
      </c>
      <c r="X96" s="24">
        <f t="shared" si="25"/>
        <v>0</v>
      </c>
      <c r="Y96" s="24">
        <f t="shared" si="25"/>
        <v>0</v>
      </c>
      <c r="Z96" s="24">
        <f t="shared" si="25"/>
        <v>0</v>
      </c>
      <c r="AA96" s="24">
        <f t="shared" si="25"/>
        <v>0</v>
      </c>
      <c r="AB96" s="24">
        <f t="shared" si="25"/>
        <v>0</v>
      </c>
      <c r="AC96" s="24">
        <f t="shared" si="25"/>
        <v>0</v>
      </c>
      <c r="AD96" s="24">
        <f t="shared" si="25"/>
        <v>0</v>
      </c>
      <c r="AE96" s="24">
        <f t="shared" si="25"/>
        <v>0</v>
      </c>
      <c r="AF96" s="24">
        <f t="shared" si="25"/>
        <v>0</v>
      </c>
      <c r="AG96" s="24">
        <f t="shared" si="25"/>
        <v>0</v>
      </c>
      <c r="AH96" s="24">
        <f t="shared" si="25"/>
        <v>0</v>
      </c>
      <c r="AI96" s="24">
        <f t="shared" si="25"/>
        <v>0</v>
      </c>
      <c r="AJ96" s="24">
        <f t="shared" si="25"/>
        <v>0</v>
      </c>
      <c r="AK96" s="24">
        <f t="shared" si="25"/>
        <v>0</v>
      </c>
      <c r="AL96" s="24">
        <f t="shared" si="25"/>
        <v>0</v>
      </c>
    </row>
    <row r="97" ht="32.25" customHeight="1">
      <c r="A97" s="134"/>
      <c r="B97" s="134"/>
      <c r="C97" s="135" t="s">
        <v>91</v>
      </c>
      <c r="D97" s="40">
        <f t="shared" ref="D97:AL97" si="26">COUNTIF(D$3:D$72,"05午*")</f>
        <v>0</v>
      </c>
      <c r="E97" s="24">
        <f t="shared" si="26"/>
        <v>0</v>
      </c>
      <c r="F97" s="24">
        <f t="shared" si="26"/>
        <v>0</v>
      </c>
      <c r="G97" s="24">
        <f t="shared" si="26"/>
        <v>0</v>
      </c>
      <c r="H97" s="24">
        <f t="shared" si="26"/>
        <v>0</v>
      </c>
      <c r="I97" s="24">
        <f t="shared" si="26"/>
        <v>0</v>
      </c>
      <c r="J97" s="24">
        <f t="shared" si="26"/>
        <v>0</v>
      </c>
      <c r="K97" s="24">
        <f t="shared" si="26"/>
        <v>0</v>
      </c>
      <c r="L97" s="24">
        <f t="shared" si="26"/>
        <v>0</v>
      </c>
      <c r="M97" s="24">
        <f t="shared" si="26"/>
        <v>0</v>
      </c>
      <c r="N97" s="24">
        <f t="shared" si="26"/>
        <v>0</v>
      </c>
      <c r="O97" s="24">
        <f t="shared" si="26"/>
        <v>0</v>
      </c>
      <c r="P97" s="24">
        <f t="shared" si="26"/>
        <v>0</v>
      </c>
      <c r="Q97" s="24">
        <f t="shared" si="26"/>
        <v>0</v>
      </c>
      <c r="R97" s="24">
        <f t="shared" si="26"/>
        <v>0</v>
      </c>
      <c r="S97" s="24">
        <f t="shared" si="26"/>
        <v>0</v>
      </c>
      <c r="T97" s="24">
        <f t="shared" si="26"/>
        <v>0</v>
      </c>
      <c r="U97" s="24">
        <f t="shared" si="26"/>
        <v>0</v>
      </c>
      <c r="V97" s="24">
        <f t="shared" si="26"/>
        <v>0</v>
      </c>
      <c r="W97" s="24">
        <f t="shared" si="26"/>
        <v>0</v>
      </c>
      <c r="X97" s="24">
        <f t="shared" si="26"/>
        <v>0</v>
      </c>
      <c r="Y97" s="24">
        <f t="shared" si="26"/>
        <v>0</v>
      </c>
      <c r="Z97" s="24">
        <f t="shared" si="26"/>
        <v>0</v>
      </c>
      <c r="AA97" s="24">
        <f t="shared" si="26"/>
        <v>0</v>
      </c>
      <c r="AB97" s="24">
        <f t="shared" si="26"/>
        <v>0</v>
      </c>
      <c r="AC97" s="24">
        <f t="shared" si="26"/>
        <v>0</v>
      </c>
      <c r="AD97" s="24">
        <f t="shared" si="26"/>
        <v>0</v>
      </c>
      <c r="AE97" s="24">
        <f t="shared" si="26"/>
        <v>0</v>
      </c>
      <c r="AF97" s="24">
        <f t="shared" si="26"/>
        <v>0</v>
      </c>
      <c r="AG97" s="24">
        <f t="shared" si="26"/>
        <v>0</v>
      </c>
      <c r="AH97" s="24">
        <f t="shared" si="26"/>
        <v>0</v>
      </c>
      <c r="AI97" s="24">
        <f t="shared" si="26"/>
        <v>0</v>
      </c>
      <c r="AJ97" s="24">
        <f t="shared" si="26"/>
        <v>0</v>
      </c>
      <c r="AK97" s="24">
        <f t="shared" si="26"/>
        <v>0</v>
      </c>
      <c r="AL97" s="24">
        <f t="shared" si="26"/>
        <v>0</v>
      </c>
    </row>
    <row r="98" ht="32.25" customHeight="1">
      <c r="A98" s="134"/>
      <c r="B98" s="134"/>
      <c r="C98" s="136" t="s">
        <v>92</v>
      </c>
      <c r="D98" s="96">
        <f t="shared" ref="D98:AL98" si="27">COUNTIF(D$3:D$72,"05夜*")</f>
        <v>0</v>
      </c>
      <c r="E98" s="100">
        <f t="shared" si="27"/>
        <v>0</v>
      </c>
      <c r="F98" s="100">
        <f t="shared" si="27"/>
        <v>0</v>
      </c>
      <c r="G98" s="100">
        <f t="shared" si="27"/>
        <v>0</v>
      </c>
      <c r="H98" s="100">
        <f t="shared" si="27"/>
        <v>0</v>
      </c>
      <c r="I98" s="100">
        <f t="shared" si="27"/>
        <v>0</v>
      </c>
      <c r="J98" s="100">
        <f t="shared" si="27"/>
        <v>0</v>
      </c>
      <c r="K98" s="100">
        <f t="shared" si="27"/>
        <v>0</v>
      </c>
      <c r="L98" s="100">
        <f t="shared" si="27"/>
        <v>0</v>
      </c>
      <c r="M98" s="100">
        <f t="shared" si="27"/>
        <v>0</v>
      </c>
      <c r="N98" s="100">
        <f t="shared" si="27"/>
        <v>0</v>
      </c>
      <c r="O98" s="100">
        <f t="shared" si="27"/>
        <v>0</v>
      </c>
      <c r="P98" s="100">
        <f t="shared" si="27"/>
        <v>0</v>
      </c>
      <c r="Q98" s="100">
        <f t="shared" si="27"/>
        <v>0</v>
      </c>
      <c r="R98" s="100">
        <f t="shared" si="27"/>
        <v>0</v>
      </c>
      <c r="S98" s="100">
        <f t="shared" si="27"/>
        <v>0</v>
      </c>
      <c r="T98" s="100">
        <f t="shared" si="27"/>
        <v>0</v>
      </c>
      <c r="U98" s="100">
        <f t="shared" si="27"/>
        <v>0</v>
      </c>
      <c r="V98" s="100">
        <f t="shared" si="27"/>
        <v>0</v>
      </c>
      <c r="W98" s="100">
        <f t="shared" si="27"/>
        <v>0</v>
      </c>
      <c r="X98" s="100">
        <f t="shared" si="27"/>
        <v>0</v>
      </c>
      <c r="Y98" s="100">
        <f t="shared" si="27"/>
        <v>0</v>
      </c>
      <c r="Z98" s="100">
        <f t="shared" si="27"/>
        <v>0</v>
      </c>
      <c r="AA98" s="100">
        <f t="shared" si="27"/>
        <v>0</v>
      </c>
      <c r="AB98" s="100">
        <f t="shared" si="27"/>
        <v>0</v>
      </c>
      <c r="AC98" s="100">
        <f t="shared" si="27"/>
        <v>0</v>
      </c>
      <c r="AD98" s="100">
        <f t="shared" si="27"/>
        <v>0</v>
      </c>
      <c r="AE98" s="100">
        <f t="shared" si="27"/>
        <v>0</v>
      </c>
      <c r="AF98" s="100">
        <f t="shared" si="27"/>
        <v>0</v>
      </c>
      <c r="AG98" s="100">
        <f t="shared" si="27"/>
        <v>0</v>
      </c>
      <c r="AH98" s="100">
        <f t="shared" si="27"/>
        <v>0</v>
      </c>
      <c r="AI98" s="100">
        <f t="shared" si="27"/>
        <v>0</v>
      </c>
      <c r="AJ98" s="100">
        <f t="shared" si="27"/>
        <v>0</v>
      </c>
      <c r="AK98" s="100">
        <f t="shared" si="27"/>
        <v>0</v>
      </c>
      <c r="AL98" s="100">
        <f t="shared" si="27"/>
        <v>0</v>
      </c>
    </row>
    <row r="99" ht="32.25" customHeight="1">
      <c r="A99" s="134"/>
      <c r="B99" s="134"/>
      <c r="C99" s="135" t="s">
        <v>93</v>
      </c>
      <c r="D99" s="21">
        <f t="shared" ref="D99:Z99" si="28">COUNTIF(D$3:D$72,"06早*")</f>
        <v>0</v>
      </c>
      <c r="E99" s="28">
        <f t="shared" si="28"/>
        <v>0</v>
      </c>
      <c r="F99" s="28">
        <f t="shared" si="28"/>
        <v>0</v>
      </c>
      <c r="G99" s="28">
        <f t="shared" si="28"/>
        <v>0</v>
      </c>
      <c r="H99" s="28">
        <f t="shared" si="28"/>
        <v>0</v>
      </c>
      <c r="I99" s="28">
        <f t="shared" si="28"/>
        <v>0</v>
      </c>
      <c r="J99" s="28">
        <f t="shared" si="28"/>
        <v>0</v>
      </c>
      <c r="K99" s="28">
        <f t="shared" si="28"/>
        <v>0</v>
      </c>
      <c r="L99" s="28">
        <f t="shared" si="28"/>
        <v>0</v>
      </c>
      <c r="M99" s="28">
        <f t="shared" si="28"/>
        <v>0</v>
      </c>
      <c r="N99" s="28">
        <f t="shared" si="28"/>
        <v>0</v>
      </c>
      <c r="O99" s="28">
        <f t="shared" si="28"/>
        <v>0</v>
      </c>
      <c r="P99" s="28">
        <f t="shared" si="28"/>
        <v>0</v>
      </c>
      <c r="Q99" s="28">
        <f t="shared" si="28"/>
        <v>0</v>
      </c>
      <c r="R99" s="28">
        <f t="shared" si="28"/>
        <v>0</v>
      </c>
      <c r="S99" s="28">
        <f t="shared" si="28"/>
        <v>0</v>
      </c>
      <c r="T99" s="28">
        <f t="shared" si="28"/>
        <v>0</v>
      </c>
      <c r="U99" s="28">
        <f t="shared" si="28"/>
        <v>0</v>
      </c>
      <c r="V99" s="28">
        <f t="shared" si="28"/>
        <v>0</v>
      </c>
      <c r="W99" s="28">
        <f t="shared" si="28"/>
        <v>0</v>
      </c>
      <c r="X99" s="28">
        <f t="shared" si="28"/>
        <v>0</v>
      </c>
      <c r="Y99" s="28">
        <f t="shared" si="28"/>
        <v>0</v>
      </c>
      <c r="Z99" s="28">
        <f t="shared" si="28"/>
        <v>0</v>
      </c>
      <c r="AA99" s="28">
        <f t="shared" ref="AA99:AL99" si="29">COUNTIF(AA$3:AA$72,"*06早*")</f>
        <v>0</v>
      </c>
      <c r="AB99" s="28">
        <f t="shared" si="29"/>
        <v>0</v>
      </c>
      <c r="AC99" s="28">
        <f t="shared" si="29"/>
        <v>0</v>
      </c>
      <c r="AD99" s="28">
        <f t="shared" si="29"/>
        <v>0</v>
      </c>
      <c r="AE99" s="28">
        <f t="shared" si="29"/>
        <v>0</v>
      </c>
      <c r="AF99" s="28">
        <f t="shared" si="29"/>
        <v>0</v>
      </c>
      <c r="AG99" s="28">
        <f t="shared" si="29"/>
        <v>0</v>
      </c>
      <c r="AH99" s="28">
        <f t="shared" si="29"/>
        <v>0</v>
      </c>
      <c r="AI99" s="28">
        <f t="shared" si="29"/>
        <v>0</v>
      </c>
      <c r="AJ99" s="28">
        <f t="shared" si="29"/>
        <v>0</v>
      </c>
      <c r="AK99" s="28">
        <f t="shared" si="29"/>
        <v>0</v>
      </c>
      <c r="AL99" s="28">
        <f t="shared" si="29"/>
        <v>0</v>
      </c>
    </row>
    <row r="100" ht="32.25" customHeight="1">
      <c r="A100" s="134"/>
      <c r="B100" s="134"/>
      <c r="C100" s="135" t="s">
        <v>94</v>
      </c>
      <c r="D100" s="40">
        <f t="shared" ref="D100:Z100" si="30">COUNTIF(D$3:D$72,"06中A*")</f>
        <v>0</v>
      </c>
      <c r="E100" s="24">
        <f t="shared" si="30"/>
        <v>0</v>
      </c>
      <c r="F100" s="24">
        <f t="shared" si="30"/>
        <v>0</v>
      </c>
      <c r="G100" s="24">
        <f t="shared" si="30"/>
        <v>0</v>
      </c>
      <c r="H100" s="24">
        <f t="shared" si="30"/>
        <v>0</v>
      </c>
      <c r="I100" s="24">
        <f t="shared" si="30"/>
        <v>0</v>
      </c>
      <c r="J100" s="24">
        <f t="shared" si="30"/>
        <v>0</v>
      </c>
      <c r="K100" s="24">
        <f t="shared" si="30"/>
        <v>0</v>
      </c>
      <c r="L100" s="24">
        <f t="shared" si="30"/>
        <v>0</v>
      </c>
      <c r="M100" s="24">
        <f t="shared" si="30"/>
        <v>0</v>
      </c>
      <c r="N100" s="24">
        <f t="shared" si="30"/>
        <v>0</v>
      </c>
      <c r="O100" s="24">
        <f t="shared" si="30"/>
        <v>0</v>
      </c>
      <c r="P100" s="24">
        <f t="shared" si="30"/>
        <v>0</v>
      </c>
      <c r="Q100" s="24">
        <f t="shared" si="30"/>
        <v>0</v>
      </c>
      <c r="R100" s="24">
        <f t="shared" si="30"/>
        <v>0</v>
      </c>
      <c r="S100" s="24">
        <f t="shared" si="30"/>
        <v>0</v>
      </c>
      <c r="T100" s="24">
        <f t="shared" si="30"/>
        <v>0</v>
      </c>
      <c r="U100" s="24">
        <f t="shared" si="30"/>
        <v>0</v>
      </c>
      <c r="V100" s="24">
        <f t="shared" si="30"/>
        <v>0</v>
      </c>
      <c r="W100" s="24">
        <f t="shared" si="30"/>
        <v>0</v>
      </c>
      <c r="X100" s="24">
        <f t="shared" si="30"/>
        <v>0</v>
      </c>
      <c r="Y100" s="24">
        <f t="shared" si="30"/>
        <v>0</v>
      </c>
      <c r="Z100" s="24">
        <f t="shared" si="30"/>
        <v>0</v>
      </c>
      <c r="AA100" s="24">
        <f t="shared" ref="AA100:AL100" si="31">COUNTIF(AA$3:AA$72,"*06中A*")</f>
        <v>0</v>
      </c>
      <c r="AB100" s="24">
        <f t="shared" si="31"/>
        <v>0</v>
      </c>
      <c r="AC100" s="24">
        <f t="shared" si="31"/>
        <v>0</v>
      </c>
      <c r="AD100" s="24">
        <f t="shared" si="31"/>
        <v>0</v>
      </c>
      <c r="AE100" s="24">
        <f t="shared" si="31"/>
        <v>0</v>
      </c>
      <c r="AF100" s="24">
        <f t="shared" si="31"/>
        <v>0</v>
      </c>
      <c r="AG100" s="24">
        <f t="shared" si="31"/>
        <v>0</v>
      </c>
      <c r="AH100" s="24">
        <f t="shared" si="31"/>
        <v>0</v>
      </c>
      <c r="AI100" s="24">
        <f t="shared" si="31"/>
        <v>0</v>
      </c>
      <c r="AJ100" s="24">
        <f t="shared" si="31"/>
        <v>0</v>
      </c>
      <c r="AK100" s="24">
        <f t="shared" si="31"/>
        <v>0</v>
      </c>
      <c r="AL100" s="24">
        <f t="shared" si="31"/>
        <v>0</v>
      </c>
    </row>
    <row r="101" ht="32.25" customHeight="1">
      <c r="A101" s="134"/>
      <c r="B101" s="134"/>
      <c r="C101" s="135" t="s">
        <v>95</v>
      </c>
      <c r="D101" s="40">
        <f t="shared" ref="D101:Z101" si="32">COUNTIF(D$3:D$72,"06午*")</f>
        <v>0</v>
      </c>
      <c r="E101" s="24">
        <f t="shared" si="32"/>
        <v>0</v>
      </c>
      <c r="F101" s="24">
        <f t="shared" si="32"/>
        <v>0</v>
      </c>
      <c r="G101" s="24">
        <f t="shared" si="32"/>
        <v>0</v>
      </c>
      <c r="H101" s="24">
        <f t="shared" si="32"/>
        <v>0</v>
      </c>
      <c r="I101" s="24">
        <f t="shared" si="32"/>
        <v>0</v>
      </c>
      <c r="J101" s="24">
        <f t="shared" si="32"/>
        <v>0</v>
      </c>
      <c r="K101" s="24">
        <f t="shared" si="32"/>
        <v>0</v>
      </c>
      <c r="L101" s="24">
        <f t="shared" si="32"/>
        <v>0</v>
      </c>
      <c r="M101" s="24">
        <f t="shared" si="32"/>
        <v>0</v>
      </c>
      <c r="N101" s="24">
        <f t="shared" si="32"/>
        <v>0</v>
      </c>
      <c r="O101" s="24">
        <f t="shared" si="32"/>
        <v>0</v>
      </c>
      <c r="P101" s="24">
        <f t="shared" si="32"/>
        <v>0</v>
      </c>
      <c r="Q101" s="24">
        <f t="shared" si="32"/>
        <v>0</v>
      </c>
      <c r="R101" s="24">
        <f t="shared" si="32"/>
        <v>0</v>
      </c>
      <c r="S101" s="24">
        <f t="shared" si="32"/>
        <v>0</v>
      </c>
      <c r="T101" s="24">
        <f t="shared" si="32"/>
        <v>0</v>
      </c>
      <c r="U101" s="24">
        <f t="shared" si="32"/>
        <v>0</v>
      </c>
      <c r="V101" s="24">
        <f t="shared" si="32"/>
        <v>0</v>
      </c>
      <c r="W101" s="24">
        <f t="shared" si="32"/>
        <v>0</v>
      </c>
      <c r="X101" s="24">
        <f t="shared" si="32"/>
        <v>0</v>
      </c>
      <c r="Y101" s="24">
        <f t="shared" si="32"/>
        <v>0</v>
      </c>
      <c r="Z101" s="24">
        <f t="shared" si="32"/>
        <v>0</v>
      </c>
      <c r="AA101" s="24">
        <f t="shared" ref="AA101:AL101" si="33">COUNTIF(AA$3:AA$72,"*06午*")</f>
        <v>0</v>
      </c>
      <c r="AB101" s="24">
        <f t="shared" si="33"/>
        <v>0</v>
      </c>
      <c r="AC101" s="24">
        <f t="shared" si="33"/>
        <v>0</v>
      </c>
      <c r="AD101" s="24">
        <f t="shared" si="33"/>
        <v>0</v>
      </c>
      <c r="AE101" s="24">
        <f t="shared" si="33"/>
        <v>0</v>
      </c>
      <c r="AF101" s="24">
        <f t="shared" si="33"/>
        <v>0</v>
      </c>
      <c r="AG101" s="24">
        <f t="shared" si="33"/>
        <v>0</v>
      </c>
      <c r="AH101" s="24">
        <f t="shared" si="33"/>
        <v>0</v>
      </c>
      <c r="AI101" s="24">
        <f t="shared" si="33"/>
        <v>0</v>
      </c>
      <c r="AJ101" s="24">
        <f t="shared" si="33"/>
        <v>0</v>
      </c>
      <c r="AK101" s="24">
        <f t="shared" si="33"/>
        <v>0</v>
      </c>
      <c r="AL101" s="24">
        <f t="shared" si="33"/>
        <v>0</v>
      </c>
    </row>
    <row r="102" ht="36.0" customHeight="1">
      <c r="A102" s="134"/>
      <c r="B102" s="134"/>
      <c r="C102" s="136" t="s">
        <v>96</v>
      </c>
      <c r="D102" s="96">
        <f t="shared" ref="D102:Z102" si="34">COUNTIF(D$3:D$72,"06夜*")</f>
        <v>0</v>
      </c>
      <c r="E102" s="100">
        <f t="shared" si="34"/>
        <v>0</v>
      </c>
      <c r="F102" s="100">
        <f t="shared" si="34"/>
        <v>0</v>
      </c>
      <c r="G102" s="100">
        <f t="shared" si="34"/>
        <v>0</v>
      </c>
      <c r="H102" s="100">
        <f t="shared" si="34"/>
        <v>0</v>
      </c>
      <c r="I102" s="100">
        <f t="shared" si="34"/>
        <v>0</v>
      </c>
      <c r="J102" s="100">
        <f t="shared" si="34"/>
        <v>0</v>
      </c>
      <c r="K102" s="100">
        <f t="shared" si="34"/>
        <v>0</v>
      </c>
      <c r="L102" s="100">
        <f t="shared" si="34"/>
        <v>0</v>
      </c>
      <c r="M102" s="100">
        <f t="shared" si="34"/>
        <v>0</v>
      </c>
      <c r="N102" s="100">
        <f t="shared" si="34"/>
        <v>0</v>
      </c>
      <c r="O102" s="100">
        <f t="shared" si="34"/>
        <v>0</v>
      </c>
      <c r="P102" s="100">
        <f t="shared" si="34"/>
        <v>0</v>
      </c>
      <c r="Q102" s="100">
        <f t="shared" si="34"/>
        <v>0</v>
      </c>
      <c r="R102" s="100">
        <f t="shared" si="34"/>
        <v>0</v>
      </c>
      <c r="S102" s="100">
        <f t="shared" si="34"/>
        <v>0</v>
      </c>
      <c r="T102" s="100">
        <f t="shared" si="34"/>
        <v>0</v>
      </c>
      <c r="U102" s="100">
        <f t="shared" si="34"/>
        <v>0</v>
      </c>
      <c r="V102" s="100">
        <f t="shared" si="34"/>
        <v>0</v>
      </c>
      <c r="W102" s="100">
        <f t="shared" si="34"/>
        <v>0</v>
      </c>
      <c r="X102" s="100">
        <f t="shared" si="34"/>
        <v>0</v>
      </c>
      <c r="Y102" s="100">
        <f t="shared" si="34"/>
        <v>0</v>
      </c>
      <c r="Z102" s="100">
        <f t="shared" si="34"/>
        <v>0</v>
      </c>
      <c r="AA102" s="100">
        <f t="shared" ref="AA102:AL102" si="35">COUNTIF(AA$3:AA$72,"*06夜*")</f>
        <v>0</v>
      </c>
      <c r="AB102" s="100">
        <f t="shared" si="35"/>
        <v>0</v>
      </c>
      <c r="AC102" s="100">
        <f t="shared" si="35"/>
        <v>0</v>
      </c>
      <c r="AD102" s="100">
        <f t="shared" si="35"/>
        <v>0</v>
      </c>
      <c r="AE102" s="100">
        <f t="shared" si="35"/>
        <v>0</v>
      </c>
      <c r="AF102" s="100">
        <f t="shared" si="35"/>
        <v>0</v>
      </c>
      <c r="AG102" s="100">
        <f t="shared" si="35"/>
        <v>0</v>
      </c>
      <c r="AH102" s="100">
        <f t="shared" si="35"/>
        <v>0</v>
      </c>
      <c r="AI102" s="100">
        <f t="shared" si="35"/>
        <v>0</v>
      </c>
      <c r="AJ102" s="100">
        <f t="shared" si="35"/>
        <v>0</v>
      </c>
      <c r="AK102" s="100">
        <f t="shared" si="35"/>
        <v>0</v>
      </c>
      <c r="AL102" s="100">
        <f t="shared" si="35"/>
        <v>0</v>
      </c>
    </row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AL$72"/>
  <mergeCells count="1">
    <mergeCell ref="B77:B80"/>
  </mergeCells>
  <conditionalFormatting sqref="D74:AL75 D86:AL86 D89:AL89">
    <cfRule type="cellIs" dxfId="0" priority="1" operator="notEqual">
      <formula>1</formula>
    </cfRule>
  </conditionalFormatting>
  <conditionalFormatting sqref="D76:AL76 D84:AL84 D90:AL90 D94:AL94 D98:AL98 D102:AL102">
    <cfRule type="cellIs" dxfId="1" priority="2" operator="notEqual">
      <formula>1</formula>
    </cfRule>
  </conditionalFormatting>
  <conditionalFormatting sqref="D77:AL77 D79:AL79">
    <cfRule type="cellIs" dxfId="0" priority="3" operator="equal">
      <formula>4</formula>
    </cfRule>
  </conditionalFormatting>
  <conditionalFormatting sqref="D77:AL77 D79:AL79">
    <cfRule type="cellIs" dxfId="2" priority="4" operator="greaterThan">
      <formula>5</formula>
    </cfRule>
  </conditionalFormatting>
  <conditionalFormatting sqref="D77:AL77 D79:AL79">
    <cfRule type="cellIs" dxfId="1" priority="5" operator="lessThan">
      <formula>4</formula>
    </cfRule>
  </conditionalFormatting>
  <conditionalFormatting sqref="D78:AL78 D82:AL82 D87:AL87 D92:AL92 D96:AL96 D100:AL100">
    <cfRule type="cellIs" dxfId="3" priority="6" operator="notEqual">
      <formula>0</formula>
    </cfRule>
  </conditionalFormatting>
  <conditionalFormatting sqref="D81:AL81 D83:AL83 D85:AL85 D88:AL88 D91:AL91 D93:AL93 D95:AL95 D97:AL97 D99:AL99 D101:AL101">
    <cfRule type="cellIs" dxfId="0" priority="7" operator="lessThan">
      <formula>1</formula>
    </cfRule>
  </conditionalFormatting>
  <conditionalFormatting sqref="D81:AL81 D83:AL83 D85:AL85 D88:AL88 D91:AL91 D93:AL93 D95:AL95 D97:AL97 D99:AL99 D101:AL101">
    <cfRule type="cellIs" dxfId="0" priority="8" operator="notEqual">
      <formula>2</formula>
    </cfRule>
  </conditionalFormatting>
  <printOptions/>
  <pageMargins bottom="0.75" footer="0.0" header="0.0" left="0.25" right="0.25" top="0.75"/>
  <pageSetup paperSize="8" orientation="landscape"/>
  <headerFooter>
    <oddHeader>&amp;C桃園捷運公司 運務處站務中心 112年1月員工輪值表(北段)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22"/>
    <col customWidth="1" min="2" max="3" width="16.0"/>
    <col customWidth="1" min="4" max="33" width="10.44"/>
    <col customWidth="1" min="34" max="34" width="11.11"/>
    <col customWidth="1" min="35" max="38" width="12.0"/>
  </cols>
  <sheetData>
    <row r="1" ht="63.75" customHeight="1">
      <c r="A1" s="139"/>
      <c r="B1" s="113" t="s">
        <v>0</v>
      </c>
      <c r="C1" s="113" t="s">
        <v>61</v>
      </c>
      <c r="D1" s="116">
        <f>DATE('工作表1'!C1,'工作表1'!H1,1)</f>
        <v>45870</v>
      </c>
      <c r="E1" s="116">
        <f>IFERROR(IF(MONTH(D1+1)='工作表1'!$H$1,D1+1,""),"")</f>
        <v>45871</v>
      </c>
      <c r="F1" s="116">
        <f>IFERROR(IF(MONTH(E1+1)='工作表1'!$H$1,E1+1,""),"")</f>
        <v>45872</v>
      </c>
      <c r="G1" s="116">
        <f>IFERROR(IF(MONTH(F1+1)='工作表1'!$H$1,F1+1,""),"")</f>
        <v>45873</v>
      </c>
      <c r="H1" s="116">
        <f>IFERROR(IF(MONTH(G1+1)='工作表1'!$H$1,G1+1,""),"")</f>
        <v>45874</v>
      </c>
      <c r="I1" s="116">
        <f>IFERROR(IF(MONTH(H1+1)='工作表1'!$H$1,H1+1,""),"")</f>
        <v>45875</v>
      </c>
      <c r="J1" s="116">
        <f>IFERROR(IF(MONTH(I1+1)='工作表1'!$H$1,I1+1,""),"")</f>
        <v>45876</v>
      </c>
      <c r="K1" s="116">
        <f>IFERROR(IF(MONTH(J1+1)='工作表1'!$H$1,J1+1,""),"")</f>
        <v>45877</v>
      </c>
      <c r="L1" s="116">
        <f>IFERROR(IF(MONTH(K1+1)='工作表1'!$H$1,K1+1,""),"")</f>
        <v>45878</v>
      </c>
      <c r="M1" s="116">
        <f>IFERROR(IF(MONTH(L1+1)='工作表1'!$H$1,L1+1,""),"")</f>
        <v>45879</v>
      </c>
      <c r="N1" s="116">
        <f>IFERROR(IF(MONTH(M1+1)='工作表1'!$H$1,M1+1,""),"")</f>
        <v>45880</v>
      </c>
      <c r="O1" s="116">
        <f>IFERROR(IF(MONTH(N1+1)='工作表1'!$H$1,N1+1,""),"")</f>
        <v>45881</v>
      </c>
      <c r="P1" s="116">
        <f>IFERROR(IF(MONTH(O1+1)='工作表1'!$H$1,O1+1,""),"")</f>
        <v>45882</v>
      </c>
      <c r="Q1" s="116">
        <f>IFERROR(IF(MONTH(P1+1)='工作表1'!$H$1,P1+1,""),"")</f>
        <v>45883</v>
      </c>
      <c r="R1" s="116">
        <f>IFERROR(IF(MONTH(Q1+1)='工作表1'!$H$1,Q1+1,""),"")</f>
        <v>45884</v>
      </c>
      <c r="S1" s="116">
        <f>IFERROR(IF(MONTH(R1+1)='工作表1'!$H$1,R1+1,""),"")</f>
        <v>45885</v>
      </c>
      <c r="T1" s="116">
        <f>IFERROR(IF(MONTH(S1+1)='工作表1'!$H$1,S1+1,""),"")</f>
        <v>45886</v>
      </c>
      <c r="U1" s="116">
        <f>IFERROR(IF(MONTH(T1+1)='工作表1'!$H$1,T1+1,""),"")</f>
        <v>45887</v>
      </c>
      <c r="V1" s="116">
        <f>IFERROR(IF(MONTH(U1+1)='工作表1'!$H$1,U1+1,""),"")</f>
        <v>45888</v>
      </c>
      <c r="W1" s="116">
        <f>IFERROR(IF(MONTH(V1+1)='工作表1'!$H$1,V1+1,""),"")</f>
        <v>45889</v>
      </c>
      <c r="X1" s="116">
        <f>IFERROR(IF(MONTH(W1+1)='工作表1'!$H$1,W1+1,""),"")</f>
        <v>45890</v>
      </c>
      <c r="Y1" s="116">
        <f>IFERROR(IF(MONTH(X1+1)='工作表1'!$H$1,X1+1,""),"")</f>
        <v>45891</v>
      </c>
      <c r="Z1" s="116">
        <f>IFERROR(IF(MONTH(Y1+1)='工作表1'!$H$1,Y1+1,""),"")</f>
        <v>45892</v>
      </c>
      <c r="AA1" s="116">
        <f>IFERROR(IF(MONTH(Z1+1)='工作表1'!$H$1,Z1+1,""),"")</f>
        <v>45893</v>
      </c>
      <c r="AB1" s="116">
        <f>IFERROR(IF(MONTH(AA1+1)='工作表1'!$H$1,AA1+1,""),"")</f>
        <v>45894</v>
      </c>
      <c r="AC1" s="116">
        <f>IFERROR(IF(MONTH(AB1+1)='工作表1'!$H$1,AB1+1,""),"")</f>
        <v>45895</v>
      </c>
      <c r="AD1" s="116">
        <f>IFERROR(IF(MONTH(AC1+1)='工作表1'!$H$1,AC1+1,""),"")</f>
        <v>45896</v>
      </c>
      <c r="AE1" s="116">
        <f>IFERROR(IF(MONTH(AD1+1)='工作表1'!$H$1,AD1+1,""),"")</f>
        <v>45897</v>
      </c>
      <c r="AF1" s="116">
        <f>IFERROR(IF(MONTH(AE1+1)='工作表1'!$H$1,AE1+1,""),"")</f>
        <v>45898</v>
      </c>
      <c r="AG1" s="116">
        <f>IFERROR(IF(MONTH(AF1+1)='工作表1'!$H$1,AF1+1,""),"")</f>
        <v>45899</v>
      </c>
      <c r="AH1" s="116">
        <v>45566.0</v>
      </c>
      <c r="AI1" s="116">
        <v>45567.0</v>
      </c>
      <c r="AJ1" s="116">
        <v>45568.0</v>
      </c>
      <c r="AK1" s="116">
        <v>45569.0</v>
      </c>
      <c r="AL1" s="116">
        <v>45570.0</v>
      </c>
    </row>
    <row r="2" ht="43.5" customHeight="1">
      <c r="A2" s="140"/>
      <c r="B2" s="118"/>
      <c r="C2" s="118"/>
      <c r="D2" s="121">
        <f t="shared" ref="D2:AL2" si="1">IFERROR(IF(WEEKDAY(D1,2)=7,"日",WEEKDAY(D1,2)),"")</f>
        <v>5</v>
      </c>
      <c r="E2" s="121">
        <f t="shared" si="1"/>
        <v>6</v>
      </c>
      <c r="F2" s="121" t="str">
        <f t="shared" si="1"/>
        <v>日</v>
      </c>
      <c r="G2" s="121">
        <f t="shared" si="1"/>
        <v>1</v>
      </c>
      <c r="H2" s="121">
        <f t="shared" si="1"/>
        <v>2</v>
      </c>
      <c r="I2" s="121">
        <f t="shared" si="1"/>
        <v>3</v>
      </c>
      <c r="J2" s="121">
        <f t="shared" si="1"/>
        <v>4</v>
      </c>
      <c r="K2" s="121">
        <f t="shared" si="1"/>
        <v>5</v>
      </c>
      <c r="L2" s="121">
        <f t="shared" si="1"/>
        <v>6</v>
      </c>
      <c r="M2" s="121" t="str">
        <f t="shared" si="1"/>
        <v>日</v>
      </c>
      <c r="N2" s="121">
        <f t="shared" si="1"/>
        <v>1</v>
      </c>
      <c r="O2" s="121">
        <f t="shared" si="1"/>
        <v>2</v>
      </c>
      <c r="P2" s="121">
        <f t="shared" si="1"/>
        <v>3</v>
      </c>
      <c r="Q2" s="121">
        <f t="shared" si="1"/>
        <v>4</v>
      </c>
      <c r="R2" s="121">
        <f t="shared" si="1"/>
        <v>5</v>
      </c>
      <c r="S2" s="121">
        <f t="shared" si="1"/>
        <v>6</v>
      </c>
      <c r="T2" s="121" t="str">
        <f t="shared" si="1"/>
        <v>日</v>
      </c>
      <c r="U2" s="121">
        <f t="shared" si="1"/>
        <v>1</v>
      </c>
      <c r="V2" s="121">
        <f t="shared" si="1"/>
        <v>2</v>
      </c>
      <c r="W2" s="121">
        <f t="shared" si="1"/>
        <v>3</v>
      </c>
      <c r="X2" s="121">
        <f t="shared" si="1"/>
        <v>4</v>
      </c>
      <c r="Y2" s="121">
        <f t="shared" si="1"/>
        <v>5</v>
      </c>
      <c r="Z2" s="121">
        <f t="shared" si="1"/>
        <v>6</v>
      </c>
      <c r="AA2" s="121" t="str">
        <f t="shared" si="1"/>
        <v>日</v>
      </c>
      <c r="AB2" s="121">
        <f t="shared" si="1"/>
        <v>1</v>
      </c>
      <c r="AC2" s="121">
        <f t="shared" si="1"/>
        <v>2</v>
      </c>
      <c r="AD2" s="121">
        <f t="shared" si="1"/>
        <v>3</v>
      </c>
      <c r="AE2" s="121">
        <f t="shared" si="1"/>
        <v>4</v>
      </c>
      <c r="AF2" s="121">
        <f t="shared" si="1"/>
        <v>5</v>
      </c>
      <c r="AG2" s="121">
        <f t="shared" si="1"/>
        <v>6</v>
      </c>
      <c r="AH2" s="121">
        <f t="shared" si="1"/>
        <v>2</v>
      </c>
      <c r="AI2" s="121">
        <f t="shared" si="1"/>
        <v>3</v>
      </c>
      <c r="AJ2" s="121">
        <f t="shared" si="1"/>
        <v>4</v>
      </c>
      <c r="AK2" s="121">
        <f t="shared" si="1"/>
        <v>5</v>
      </c>
      <c r="AL2" s="121">
        <f t="shared" si="1"/>
        <v>6</v>
      </c>
    </row>
    <row r="3" ht="39.75" customHeight="1">
      <c r="A3" s="2" t="s">
        <v>62</v>
      </c>
      <c r="B3" s="24" t="str">
        <f>北段!#REF!</f>
        <v>#ERROR!</v>
      </c>
      <c r="C3" s="24" t="str">
        <f>VLOOKUP(B3,'北段'!B:C,2,FALSE)</f>
        <v>#ERROR!</v>
      </c>
      <c r="D3" s="24" t="str">
        <f>VLOOKUP('北段 (人資版)'!D3,'工作表1'!$A$3:$B$74,2,FALSE)</f>
        <v>#ERROR!</v>
      </c>
      <c r="E3" s="24" t="str">
        <f>VLOOKUP('北段 (人資版)'!E3,'工作表1'!$A$3:$B$74,2,FALSE)</f>
        <v>#ERROR!</v>
      </c>
      <c r="F3" s="24" t="str">
        <f>VLOOKUP('北段 (人資版)'!F3,'工作表1'!$A$3:$B$74,2,FALSE)</f>
        <v>#ERROR!</v>
      </c>
      <c r="G3" s="24" t="str">
        <f>VLOOKUP('北段 (人資版)'!G3,'工作表1'!$A$3:$B$74,2,FALSE)</f>
        <v>#ERROR!</v>
      </c>
      <c r="H3" s="24" t="str">
        <f>VLOOKUP('北段 (人資版)'!H3,'工作表1'!$A$3:$B$74,2,FALSE)</f>
        <v>#ERROR!</v>
      </c>
      <c r="I3" s="24" t="str">
        <f>VLOOKUP('北段 (人資版)'!I3,'工作表1'!$A$3:$B$74,2,FALSE)</f>
        <v>#ERROR!</v>
      </c>
      <c r="J3" s="24" t="str">
        <f>VLOOKUP('北段 (人資版)'!J3,'工作表1'!$A$3:$B$74,2,FALSE)</f>
        <v>#ERROR!</v>
      </c>
      <c r="K3" s="24" t="str">
        <f>VLOOKUP('北段 (人資版)'!K3,'工作表1'!$A$3:$B$74,2,FALSE)</f>
        <v>#ERROR!</v>
      </c>
      <c r="L3" s="24" t="str">
        <f>VLOOKUP('北段 (人資版)'!L3,'工作表1'!$A$3:$B$74,2,FALSE)</f>
        <v>#ERROR!</v>
      </c>
      <c r="M3" s="24" t="str">
        <f>VLOOKUP('北段 (人資版)'!M3,'工作表1'!$A$3:$B$74,2,FALSE)</f>
        <v>#ERROR!</v>
      </c>
      <c r="N3" s="24" t="str">
        <f>VLOOKUP('北段 (人資版)'!N3,'工作表1'!$A$3:$B$74,2,FALSE)</f>
        <v>#ERROR!</v>
      </c>
      <c r="O3" s="24" t="str">
        <f>VLOOKUP('北段 (人資版)'!O3,'工作表1'!$A$3:$B$74,2,FALSE)</f>
        <v>#ERROR!</v>
      </c>
      <c r="P3" s="24" t="str">
        <f>VLOOKUP('北段 (人資版)'!P3,'工作表1'!$A$3:$B$74,2,FALSE)</f>
        <v>#ERROR!</v>
      </c>
      <c r="Q3" s="24" t="str">
        <f>VLOOKUP('北段 (人資版)'!Q3,'工作表1'!$A$3:$B$74,2,FALSE)</f>
        <v>#ERROR!</v>
      </c>
      <c r="R3" s="24" t="str">
        <f>VLOOKUP('北段 (人資版)'!R3,'工作表1'!$A$3:$B$74,2,FALSE)</f>
        <v>#ERROR!</v>
      </c>
      <c r="S3" s="24" t="str">
        <f>VLOOKUP('北段 (人資版)'!S3,'工作表1'!$A$3:$B$74,2,FALSE)</f>
        <v>#ERROR!</v>
      </c>
      <c r="T3" s="24" t="str">
        <f>VLOOKUP('北段 (人資版)'!T3,'工作表1'!$A$3:$B$74,2,FALSE)</f>
        <v>#ERROR!</v>
      </c>
      <c r="U3" s="24" t="str">
        <f>VLOOKUP('北段 (人資版)'!U3,'工作表1'!$A$3:$B$74,2,FALSE)</f>
        <v>#ERROR!</v>
      </c>
      <c r="V3" s="24" t="str">
        <f>VLOOKUP('北段 (人資版)'!V3,'工作表1'!$A$3:$B$74,2,FALSE)</f>
        <v>#ERROR!</v>
      </c>
      <c r="W3" s="24" t="str">
        <f>VLOOKUP('北段 (人資版)'!W3,'工作表1'!$A$3:$B$74,2,FALSE)</f>
        <v>#ERROR!</v>
      </c>
      <c r="X3" s="24" t="str">
        <f>VLOOKUP('北段 (人資版)'!X3,'工作表1'!$A$3:$B$74,2,FALSE)</f>
        <v>#ERROR!</v>
      </c>
      <c r="Y3" s="24" t="str">
        <f>VLOOKUP('北段 (人資版)'!Y3,'工作表1'!$A$3:$B$74,2,FALSE)</f>
        <v>#ERROR!</v>
      </c>
      <c r="Z3" s="24" t="str">
        <f>VLOOKUP('北段 (人資版)'!Z3,'工作表1'!$A$3:$B$74,2,FALSE)</f>
        <v>#ERROR!</v>
      </c>
      <c r="AA3" s="24" t="str">
        <f>VLOOKUP('北段 (人資版)'!AA3,'工作表1'!$A$3:$B$74,2,FALSE)</f>
        <v>#ERROR!</v>
      </c>
      <c r="AB3" s="24" t="str">
        <f>VLOOKUP('北段 (人資版)'!AB3,'工作表1'!$A$3:$B$74,2,FALSE)</f>
        <v>#ERROR!</v>
      </c>
      <c r="AC3" s="24" t="str">
        <f>VLOOKUP('北段 (人資版)'!AC3,'工作表1'!$A$3:$B$74,2,FALSE)</f>
        <v>#ERROR!</v>
      </c>
      <c r="AD3" s="24" t="str">
        <f>VLOOKUP('北段 (人資版)'!AD3,'工作表1'!$A$3:$B$74,2,FALSE)</f>
        <v>#ERROR!</v>
      </c>
      <c r="AE3" s="24" t="str">
        <f>VLOOKUP('北段 (人資版)'!AE3,'工作表1'!$A$3:$B$74,2,FALSE)</f>
        <v>#ERROR!</v>
      </c>
      <c r="AF3" s="24" t="str">
        <f>VLOOKUP('北段 (人資版)'!AF3,'工作表1'!$A$3:$B$74,2,FALSE)</f>
        <v>#ERROR!</v>
      </c>
      <c r="AG3" s="24" t="str">
        <f>VLOOKUP('北段 (人資版)'!AG3,'工作表1'!$A$3:$B$74,2,FALSE)</f>
        <v>#ERROR!</v>
      </c>
      <c r="AH3" s="24" t="str">
        <f>VLOOKUP('北段 (人資版)'!AH3,'工作表1'!$A$3:$B$74,2,FALSE)</f>
        <v>#ERROR!</v>
      </c>
      <c r="AI3" s="24" t="str">
        <f>VLOOKUP('北段 (人資版)'!AI3,'工作表1'!$A$3:$B$74,2,FALSE)</f>
        <v>#ERROR!</v>
      </c>
      <c r="AJ3" s="24" t="str">
        <f>VLOOKUP('北段 (人資版)'!AJ3,'工作表1'!$A$3:$B$74,2,FALSE)</f>
        <v>#ERROR!</v>
      </c>
      <c r="AK3" s="24" t="str">
        <f>VLOOKUP('北段 (人資版)'!AK3,'工作表1'!$A$3:$B$74,2,FALSE)</f>
        <v>#ERROR!</v>
      </c>
      <c r="AL3" s="24" t="str">
        <f>VLOOKUP('北段 (人資版)'!AL3,'工作表1'!$A$3:$B$74,2,FALSE)</f>
        <v>#ERROR!</v>
      </c>
    </row>
    <row r="4" ht="39.75" customHeight="1">
      <c r="A4" s="7"/>
      <c r="B4" s="24" t="str">
        <f>北段!#REF!</f>
        <v>#ERROR!</v>
      </c>
      <c r="C4" s="24" t="str">
        <f>VLOOKUP(B4,'北段'!B:C,2,FALSE)</f>
        <v>#ERROR!</v>
      </c>
      <c r="D4" s="24" t="str">
        <f>VLOOKUP('北段 (人資版)'!D4,'工作表1'!$A$3:$B$74,2,FALSE)</f>
        <v>#ERROR!</v>
      </c>
      <c r="E4" s="24" t="str">
        <f>VLOOKUP('北段 (人資版)'!E4,'工作表1'!$A$3:$B$74,2,FALSE)</f>
        <v>#ERROR!</v>
      </c>
      <c r="F4" s="24" t="str">
        <f>VLOOKUP('北段 (人資版)'!F4,'工作表1'!$A$3:$B$74,2,FALSE)</f>
        <v>#ERROR!</v>
      </c>
      <c r="G4" s="24" t="str">
        <f>VLOOKUP('北段 (人資版)'!G4,'工作表1'!$A$3:$B$74,2,FALSE)</f>
        <v>#ERROR!</v>
      </c>
      <c r="H4" s="24" t="str">
        <f>VLOOKUP('北段 (人資版)'!H4,'工作表1'!$A$3:$B$74,2,FALSE)</f>
        <v>#ERROR!</v>
      </c>
      <c r="I4" s="24" t="str">
        <f>VLOOKUP('北段 (人資版)'!I4,'工作表1'!$A$3:$B$74,2,FALSE)</f>
        <v>#ERROR!</v>
      </c>
      <c r="J4" s="24" t="str">
        <f>VLOOKUP('北段 (人資版)'!J4,'工作表1'!$A$3:$B$74,2,FALSE)</f>
        <v>#ERROR!</v>
      </c>
      <c r="K4" s="24" t="str">
        <f>VLOOKUP('北段 (人資版)'!K4,'工作表1'!$A$3:$B$74,2,FALSE)</f>
        <v>#ERROR!</v>
      </c>
      <c r="L4" s="24" t="str">
        <f>VLOOKUP('北段 (人資版)'!L4,'工作表1'!$A$3:$B$74,2,FALSE)</f>
        <v>#ERROR!</v>
      </c>
      <c r="M4" s="24" t="str">
        <f>VLOOKUP('北段 (人資版)'!M4,'工作表1'!$A$3:$B$74,2,FALSE)</f>
        <v>#ERROR!</v>
      </c>
      <c r="N4" s="24" t="str">
        <f>VLOOKUP('北段 (人資版)'!N4,'工作表1'!$A$3:$B$74,2,FALSE)</f>
        <v>#ERROR!</v>
      </c>
      <c r="O4" s="24" t="str">
        <f>VLOOKUP('北段 (人資版)'!O4,'工作表1'!$A$3:$B$74,2,FALSE)</f>
        <v>#ERROR!</v>
      </c>
      <c r="P4" s="24" t="str">
        <f>VLOOKUP('北段 (人資版)'!P4,'工作表1'!$A$3:$B$74,2,FALSE)</f>
        <v>#ERROR!</v>
      </c>
      <c r="Q4" s="24" t="str">
        <f>VLOOKUP('北段 (人資版)'!Q4,'工作表1'!$A$3:$B$74,2,FALSE)</f>
        <v>#ERROR!</v>
      </c>
      <c r="R4" s="24" t="str">
        <f>VLOOKUP('北段 (人資版)'!R4,'工作表1'!$A$3:$B$74,2,FALSE)</f>
        <v>#ERROR!</v>
      </c>
      <c r="S4" s="24" t="str">
        <f>VLOOKUP('北段 (人資版)'!S4,'工作表1'!$A$3:$B$74,2,FALSE)</f>
        <v>#ERROR!</v>
      </c>
      <c r="T4" s="24" t="str">
        <f>VLOOKUP('北段 (人資版)'!T4,'工作表1'!$A$3:$B$74,2,FALSE)</f>
        <v>#ERROR!</v>
      </c>
      <c r="U4" s="24" t="str">
        <f>VLOOKUP('北段 (人資版)'!U4,'工作表1'!$A$3:$B$74,2,FALSE)</f>
        <v>#ERROR!</v>
      </c>
      <c r="V4" s="24" t="str">
        <f>VLOOKUP('北段 (人資版)'!V4,'工作表1'!$A$3:$B$74,2,FALSE)</f>
        <v>#ERROR!</v>
      </c>
      <c r="W4" s="24" t="str">
        <f>VLOOKUP('北段 (人資版)'!W4,'工作表1'!$A$3:$B$74,2,FALSE)</f>
        <v>#ERROR!</v>
      </c>
      <c r="X4" s="24" t="str">
        <f>VLOOKUP('北段 (人資版)'!X4,'工作表1'!$A$3:$B$74,2,FALSE)</f>
        <v>#ERROR!</v>
      </c>
      <c r="Y4" s="24" t="str">
        <f>VLOOKUP('北段 (人資版)'!Y4,'工作表1'!$A$3:$B$74,2,FALSE)</f>
        <v>#ERROR!</v>
      </c>
      <c r="Z4" s="24" t="str">
        <f>VLOOKUP('北段 (人資版)'!Z4,'工作表1'!$A$3:$B$74,2,FALSE)</f>
        <v>#ERROR!</v>
      </c>
      <c r="AA4" s="24" t="str">
        <f>VLOOKUP('北段 (人資版)'!AA4,'工作表1'!$A$3:$B$74,2,FALSE)</f>
        <v>#ERROR!</v>
      </c>
      <c r="AB4" s="24" t="str">
        <f>VLOOKUP('北段 (人資版)'!AB4,'工作表1'!$A$3:$B$74,2,FALSE)</f>
        <v>#ERROR!</v>
      </c>
      <c r="AC4" s="24" t="str">
        <f>VLOOKUP('北段 (人資版)'!AC4,'工作表1'!$A$3:$B$74,2,FALSE)</f>
        <v>#ERROR!</v>
      </c>
      <c r="AD4" s="24" t="str">
        <f>VLOOKUP('北段 (人資版)'!AD4,'工作表1'!$A$3:$B$74,2,FALSE)</f>
        <v>#ERROR!</v>
      </c>
      <c r="AE4" s="24" t="str">
        <f>VLOOKUP('北段 (人資版)'!AE4,'工作表1'!$A$3:$B$74,2,FALSE)</f>
        <v>#ERROR!</v>
      </c>
      <c r="AF4" s="24" t="str">
        <f>VLOOKUP('北段 (人資版)'!AF4,'工作表1'!$A$3:$B$74,2,FALSE)</f>
        <v>#ERROR!</v>
      </c>
      <c r="AG4" s="24" t="str">
        <f>VLOOKUP('北段 (人資版)'!AG4,'工作表1'!$A$3:$B$74,2,FALSE)</f>
        <v>#ERROR!</v>
      </c>
      <c r="AH4" s="24" t="str">
        <f>VLOOKUP('北段 (人資版)'!AH4,'工作表1'!$A$3:$B$74,2,FALSE)</f>
        <v>#ERROR!</v>
      </c>
      <c r="AI4" s="24" t="str">
        <f>VLOOKUP('北段 (人資版)'!AI4,'工作表1'!$A$3:$B$74,2,FALSE)</f>
        <v>#ERROR!</v>
      </c>
      <c r="AJ4" s="24" t="str">
        <f>VLOOKUP('北段 (人資版)'!AJ4,'工作表1'!$A$3:$B$74,2,FALSE)</f>
        <v>#ERROR!</v>
      </c>
      <c r="AK4" s="24" t="str">
        <f>VLOOKUP('北段 (人資版)'!AK4,'工作表1'!$A$3:$B$74,2,FALSE)</f>
        <v>#ERROR!</v>
      </c>
      <c r="AL4" s="24" t="str">
        <f>VLOOKUP('北段 (人資版)'!AL4,'工作表1'!$A$3:$B$74,2,FALSE)</f>
        <v>#ERROR!</v>
      </c>
    </row>
    <row r="5" ht="39.75" customHeight="1">
      <c r="A5" s="7"/>
      <c r="B5" s="24" t="str">
        <f>北段!#REF!</f>
        <v>#ERROR!</v>
      </c>
      <c r="C5" s="24" t="str">
        <f>VLOOKUP(B5,'北段'!B:C,2,FALSE)</f>
        <v>#ERROR!</v>
      </c>
      <c r="D5" s="24" t="str">
        <f>VLOOKUP('北段 (人資版)'!D5,'工作表1'!$A$3:$B$74,2,FALSE)</f>
        <v>#ERROR!</v>
      </c>
      <c r="E5" s="24" t="str">
        <f>VLOOKUP('北段 (人資版)'!E5,'工作表1'!$A$3:$B$74,2,FALSE)</f>
        <v>#ERROR!</v>
      </c>
      <c r="F5" s="24" t="str">
        <f>VLOOKUP('北段 (人資版)'!F5,'工作表1'!$A$3:$B$74,2,FALSE)</f>
        <v>#ERROR!</v>
      </c>
      <c r="G5" s="24" t="str">
        <f>VLOOKUP('北段 (人資版)'!G5,'工作表1'!$A$3:$B$74,2,FALSE)</f>
        <v>#ERROR!</v>
      </c>
      <c r="H5" s="24" t="str">
        <f>VLOOKUP('北段 (人資版)'!H5,'工作表1'!$A$3:$B$74,2,FALSE)</f>
        <v>#ERROR!</v>
      </c>
      <c r="I5" s="24" t="str">
        <f>VLOOKUP('北段 (人資版)'!I5,'工作表1'!$A$3:$B$74,2,FALSE)</f>
        <v>#ERROR!</v>
      </c>
      <c r="J5" s="24" t="str">
        <f>VLOOKUP('北段 (人資版)'!J5,'工作表1'!$A$3:$B$74,2,FALSE)</f>
        <v>#ERROR!</v>
      </c>
      <c r="K5" s="24" t="str">
        <f>VLOOKUP('北段 (人資版)'!K5,'工作表1'!$A$3:$B$74,2,FALSE)</f>
        <v>#ERROR!</v>
      </c>
      <c r="L5" s="24" t="str">
        <f>VLOOKUP('北段 (人資版)'!L5,'工作表1'!$A$3:$B$74,2,FALSE)</f>
        <v>#ERROR!</v>
      </c>
      <c r="M5" s="24" t="str">
        <f>VLOOKUP('北段 (人資版)'!M5,'工作表1'!$A$3:$B$74,2,FALSE)</f>
        <v>#ERROR!</v>
      </c>
      <c r="N5" s="24" t="str">
        <f>VLOOKUP('北段 (人資版)'!N5,'工作表1'!$A$3:$B$74,2,FALSE)</f>
        <v>#ERROR!</v>
      </c>
      <c r="O5" s="24" t="str">
        <f>VLOOKUP('北段 (人資版)'!O5,'工作表1'!$A$3:$B$74,2,FALSE)</f>
        <v>#ERROR!</v>
      </c>
      <c r="P5" s="24" t="str">
        <f>VLOOKUP('北段 (人資版)'!P5,'工作表1'!$A$3:$B$74,2,FALSE)</f>
        <v>#ERROR!</v>
      </c>
      <c r="Q5" s="24" t="str">
        <f>VLOOKUP('北段 (人資版)'!Q5,'工作表1'!$A$3:$B$74,2,FALSE)</f>
        <v>#ERROR!</v>
      </c>
      <c r="R5" s="24" t="str">
        <f>VLOOKUP('北段 (人資版)'!R5,'工作表1'!$A$3:$B$74,2,FALSE)</f>
        <v>#ERROR!</v>
      </c>
      <c r="S5" s="24" t="str">
        <f>VLOOKUP('北段 (人資版)'!S5,'工作表1'!$A$3:$B$74,2,FALSE)</f>
        <v>#ERROR!</v>
      </c>
      <c r="T5" s="24" t="str">
        <f>VLOOKUP('北段 (人資版)'!T5,'工作表1'!$A$3:$B$74,2,FALSE)</f>
        <v>#ERROR!</v>
      </c>
      <c r="U5" s="24" t="str">
        <f>VLOOKUP('北段 (人資版)'!U5,'工作表1'!$A$3:$B$74,2,FALSE)</f>
        <v>#ERROR!</v>
      </c>
      <c r="V5" s="24" t="str">
        <f>VLOOKUP('北段 (人資版)'!V5,'工作表1'!$A$3:$B$74,2,FALSE)</f>
        <v>#ERROR!</v>
      </c>
      <c r="W5" s="24" t="str">
        <f>VLOOKUP('北段 (人資版)'!W5,'工作表1'!$A$3:$B$74,2,FALSE)</f>
        <v>#ERROR!</v>
      </c>
      <c r="X5" s="24" t="str">
        <f>VLOOKUP('北段 (人資版)'!X5,'工作表1'!$A$3:$B$74,2,FALSE)</f>
        <v>#ERROR!</v>
      </c>
      <c r="Y5" s="24" t="str">
        <f>VLOOKUP('北段 (人資版)'!Y5,'工作表1'!$A$3:$B$74,2,FALSE)</f>
        <v>#ERROR!</v>
      </c>
      <c r="Z5" s="24" t="str">
        <f>VLOOKUP('北段 (人資版)'!Z5,'工作表1'!$A$3:$B$74,2,FALSE)</f>
        <v>#ERROR!</v>
      </c>
      <c r="AA5" s="24" t="str">
        <f>VLOOKUP('北段 (人資版)'!AA5,'工作表1'!$A$3:$B$74,2,FALSE)</f>
        <v>#ERROR!</v>
      </c>
      <c r="AB5" s="24" t="str">
        <f>VLOOKUP('北段 (人資版)'!AB5,'工作表1'!$A$3:$B$74,2,FALSE)</f>
        <v>#ERROR!</v>
      </c>
      <c r="AC5" s="24" t="str">
        <f>VLOOKUP('北段 (人資版)'!AC5,'工作表1'!$A$3:$B$74,2,FALSE)</f>
        <v>#ERROR!</v>
      </c>
      <c r="AD5" s="24" t="str">
        <f>VLOOKUP('北段 (人資版)'!AD5,'工作表1'!$A$3:$B$74,2,FALSE)</f>
        <v>#ERROR!</v>
      </c>
      <c r="AE5" s="24" t="str">
        <f>VLOOKUP('北段 (人資版)'!AE5,'工作表1'!$A$3:$B$74,2,FALSE)</f>
        <v>#ERROR!</v>
      </c>
      <c r="AF5" s="24" t="str">
        <f>VLOOKUP('北段 (人資版)'!AF5,'工作表1'!$A$3:$B$74,2,FALSE)</f>
        <v>#ERROR!</v>
      </c>
      <c r="AG5" s="24" t="str">
        <f>VLOOKUP('北段 (人資版)'!AG5,'工作表1'!$A$3:$B$74,2,FALSE)</f>
        <v>#ERROR!</v>
      </c>
      <c r="AH5" s="24" t="str">
        <f>VLOOKUP('北段 (人資版)'!AH5,'工作表1'!$A$3:$B$74,2,FALSE)</f>
        <v>#ERROR!</v>
      </c>
      <c r="AI5" s="24" t="str">
        <f>VLOOKUP('北段 (人資版)'!AI5,'工作表1'!$A$3:$B$74,2,FALSE)</f>
        <v>#ERROR!</v>
      </c>
      <c r="AJ5" s="24" t="str">
        <f>VLOOKUP('北段 (人資版)'!AJ5,'工作表1'!$A$3:$B$74,2,FALSE)</f>
        <v>#ERROR!</v>
      </c>
      <c r="AK5" s="24" t="str">
        <f>VLOOKUP('北段 (人資版)'!AK5,'工作表1'!$A$3:$B$74,2,FALSE)</f>
        <v>#ERROR!</v>
      </c>
      <c r="AL5" s="24" t="str">
        <f>VLOOKUP('北段 (人資版)'!AL5,'工作表1'!$A$3:$B$74,2,FALSE)</f>
        <v>#ERROR!</v>
      </c>
    </row>
    <row r="6" ht="39.75" customHeight="1">
      <c r="A6" s="7"/>
      <c r="B6" s="24" t="str">
        <f>北段!#REF!</f>
        <v>#ERROR!</v>
      </c>
      <c r="C6" s="24" t="str">
        <f>VLOOKUP(B6,'北段'!B:C,2,FALSE)</f>
        <v>#ERROR!</v>
      </c>
      <c r="D6" s="24" t="str">
        <f>VLOOKUP('北段 (人資版)'!D6,'工作表1'!$A$3:$B$74,2,FALSE)</f>
        <v>#ERROR!</v>
      </c>
      <c r="E6" s="24" t="str">
        <f>VLOOKUP('北段 (人資版)'!E6,'工作表1'!$A$3:$B$74,2,FALSE)</f>
        <v>#ERROR!</v>
      </c>
      <c r="F6" s="24" t="str">
        <f>VLOOKUP('北段 (人資版)'!F6,'工作表1'!$A$3:$B$74,2,FALSE)</f>
        <v>#ERROR!</v>
      </c>
      <c r="G6" s="24" t="str">
        <f>VLOOKUP('北段 (人資版)'!G6,'工作表1'!$A$3:$B$74,2,FALSE)</f>
        <v>#ERROR!</v>
      </c>
      <c r="H6" s="24" t="str">
        <f>VLOOKUP('北段 (人資版)'!H6,'工作表1'!$A$3:$B$74,2,FALSE)</f>
        <v>#ERROR!</v>
      </c>
      <c r="I6" s="24" t="str">
        <f>VLOOKUP('北段 (人資版)'!I6,'工作表1'!$A$3:$B$74,2,FALSE)</f>
        <v>#ERROR!</v>
      </c>
      <c r="J6" s="24" t="str">
        <f>VLOOKUP('北段 (人資版)'!J6,'工作表1'!$A$3:$B$74,2,FALSE)</f>
        <v>#ERROR!</v>
      </c>
      <c r="K6" s="24" t="str">
        <f>VLOOKUP('北段 (人資版)'!K6,'工作表1'!$A$3:$B$74,2,FALSE)</f>
        <v>#ERROR!</v>
      </c>
      <c r="L6" s="24" t="str">
        <f>VLOOKUP('北段 (人資版)'!L6,'工作表1'!$A$3:$B$74,2,FALSE)</f>
        <v>#ERROR!</v>
      </c>
      <c r="M6" s="24" t="str">
        <f>VLOOKUP('北段 (人資版)'!M6,'工作表1'!$A$3:$B$74,2,FALSE)</f>
        <v>#ERROR!</v>
      </c>
      <c r="N6" s="24" t="str">
        <f>VLOOKUP('北段 (人資版)'!N6,'工作表1'!$A$3:$B$74,2,FALSE)</f>
        <v>#ERROR!</v>
      </c>
      <c r="O6" s="24" t="str">
        <f>VLOOKUP('北段 (人資版)'!O6,'工作表1'!$A$3:$B$74,2,FALSE)</f>
        <v>#ERROR!</v>
      </c>
      <c r="P6" s="24" t="str">
        <f>VLOOKUP('北段 (人資版)'!P6,'工作表1'!$A$3:$B$74,2,FALSE)</f>
        <v>#ERROR!</v>
      </c>
      <c r="Q6" s="24" t="str">
        <f>VLOOKUP('北段 (人資版)'!Q6,'工作表1'!$A$3:$B$74,2,FALSE)</f>
        <v>#ERROR!</v>
      </c>
      <c r="R6" s="24" t="str">
        <f>VLOOKUP('北段 (人資版)'!R6,'工作表1'!$A$3:$B$74,2,FALSE)</f>
        <v>#ERROR!</v>
      </c>
      <c r="S6" s="24" t="str">
        <f>VLOOKUP('北段 (人資版)'!S6,'工作表1'!$A$3:$B$74,2,FALSE)</f>
        <v>#ERROR!</v>
      </c>
      <c r="T6" s="24" t="str">
        <f>VLOOKUP('北段 (人資版)'!T6,'工作表1'!$A$3:$B$74,2,FALSE)</f>
        <v>#ERROR!</v>
      </c>
      <c r="U6" s="24" t="str">
        <f>VLOOKUP('北段 (人資版)'!U6,'工作表1'!$A$3:$B$74,2,FALSE)</f>
        <v>#ERROR!</v>
      </c>
      <c r="V6" s="24" t="str">
        <f>VLOOKUP('北段 (人資版)'!V6,'工作表1'!$A$3:$B$74,2,FALSE)</f>
        <v>#ERROR!</v>
      </c>
      <c r="W6" s="24" t="str">
        <f>VLOOKUP('北段 (人資版)'!W6,'工作表1'!$A$3:$B$74,2,FALSE)</f>
        <v>#ERROR!</v>
      </c>
      <c r="X6" s="24" t="str">
        <f>VLOOKUP('北段 (人資版)'!X6,'工作表1'!$A$3:$B$74,2,FALSE)</f>
        <v>#ERROR!</v>
      </c>
      <c r="Y6" s="24" t="str">
        <f>VLOOKUP('北段 (人資版)'!Y6,'工作表1'!$A$3:$B$74,2,FALSE)</f>
        <v>#ERROR!</v>
      </c>
      <c r="Z6" s="24" t="str">
        <f>VLOOKUP('北段 (人資版)'!Z6,'工作表1'!$A$3:$B$74,2,FALSE)</f>
        <v>#ERROR!</v>
      </c>
      <c r="AA6" s="24" t="str">
        <f>VLOOKUP('北段 (人資版)'!AA6,'工作表1'!$A$3:$B$74,2,FALSE)</f>
        <v>#ERROR!</v>
      </c>
      <c r="AB6" s="24" t="str">
        <f>VLOOKUP('北段 (人資版)'!AB6,'工作表1'!$A$3:$B$74,2,FALSE)</f>
        <v>#ERROR!</v>
      </c>
      <c r="AC6" s="24" t="str">
        <f>VLOOKUP('北段 (人資版)'!AC6,'工作表1'!$A$3:$B$74,2,FALSE)</f>
        <v>#ERROR!</v>
      </c>
      <c r="AD6" s="24" t="str">
        <f>VLOOKUP('北段 (人資版)'!AD6,'工作表1'!$A$3:$B$74,2,FALSE)</f>
        <v>#ERROR!</v>
      </c>
      <c r="AE6" s="24" t="str">
        <f>VLOOKUP('北段 (人資版)'!AE6,'工作表1'!$A$3:$B$74,2,FALSE)</f>
        <v>#ERROR!</v>
      </c>
      <c r="AF6" s="24" t="str">
        <f>VLOOKUP('北段 (人資版)'!AF6,'工作表1'!$A$3:$B$74,2,FALSE)</f>
        <v>#ERROR!</v>
      </c>
      <c r="AG6" s="24" t="str">
        <f>VLOOKUP('北段 (人資版)'!AG6,'工作表1'!$A$3:$B$74,2,FALSE)</f>
        <v>#ERROR!</v>
      </c>
      <c r="AH6" s="24" t="str">
        <f>VLOOKUP('北段 (人資版)'!AH6,'工作表1'!$A$3:$B$74,2,FALSE)</f>
        <v>#ERROR!</v>
      </c>
      <c r="AI6" s="24" t="str">
        <f>VLOOKUP('北段 (人資版)'!AI6,'工作表1'!$A$3:$B$74,2,FALSE)</f>
        <v>#ERROR!</v>
      </c>
      <c r="AJ6" s="24" t="str">
        <f>VLOOKUP('北段 (人資版)'!AJ6,'工作表1'!$A$3:$B$74,2,FALSE)</f>
        <v>#ERROR!</v>
      </c>
      <c r="AK6" s="24" t="str">
        <f>VLOOKUP('北段 (人資版)'!AK6,'工作表1'!$A$3:$B$74,2,FALSE)</f>
        <v>#ERROR!</v>
      </c>
      <c r="AL6" s="24" t="str">
        <f>VLOOKUP('北段 (人資版)'!AL6,'工作表1'!$A$3:$B$74,2,FALSE)</f>
        <v>#ERROR!</v>
      </c>
    </row>
    <row r="7" ht="39.75" customHeight="1">
      <c r="A7" s="7"/>
      <c r="B7" s="24" t="str">
        <f>北段!#REF!</f>
        <v>#ERROR!</v>
      </c>
      <c r="C7" s="24" t="str">
        <f>VLOOKUP(B7,'北段'!B:C,2,FALSE)</f>
        <v>#ERROR!</v>
      </c>
      <c r="D7" s="24" t="str">
        <f>VLOOKUP('北段 (人資版)'!D7,'工作表1'!$A$3:$B$74,2,FALSE)</f>
        <v>#ERROR!</v>
      </c>
      <c r="E7" s="24" t="str">
        <f>VLOOKUP('北段 (人資版)'!E7,'工作表1'!$A$3:$B$74,2,FALSE)</f>
        <v>#ERROR!</v>
      </c>
      <c r="F7" s="24" t="str">
        <f>VLOOKUP('北段 (人資版)'!F7,'工作表1'!$A$3:$B$74,2,FALSE)</f>
        <v>#ERROR!</v>
      </c>
      <c r="G7" s="24" t="str">
        <f>VLOOKUP('北段 (人資版)'!G7,'工作表1'!$A$3:$B$74,2,FALSE)</f>
        <v>#ERROR!</v>
      </c>
      <c r="H7" s="24" t="str">
        <f>VLOOKUP('北段 (人資版)'!H7,'工作表1'!$A$3:$B$74,2,FALSE)</f>
        <v>#ERROR!</v>
      </c>
      <c r="I7" s="24" t="str">
        <f>VLOOKUP('北段 (人資版)'!I7,'工作表1'!$A$3:$B$74,2,FALSE)</f>
        <v>#ERROR!</v>
      </c>
      <c r="J7" s="24" t="str">
        <f>VLOOKUP('北段 (人資版)'!J7,'工作表1'!$A$3:$B$74,2,FALSE)</f>
        <v>#ERROR!</v>
      </c>
      <c r="K7" s="24" t="str">
        <f>VLOOKUP('北段 (人資版)'!K7,'工作表1'!$A$3:$B$74,2,FALSE)</f>
        <v>#ERROR!</v>
      </c>
      <c r="L7" s="24" t="str">
        <f>VLOOKUP('北段 (人資版)'!L7,'工作表1'!$A$3:$B$74,2,FALSE)</f>
        <v>#ERROR!</v>
      </c>
      <c r="M7" s="24" t="str">
        <f>VLOOKUP('北段 (人資版)'!M7,'工作表1'!$A$3:$B$74,2,FALSE)</f>
        <v>#ERROR!</v>
      </c>
      <c r="N7" s="24" t="str">
        <f>VLOOKUP('北段 (人資版)'!N7,'工作表1'!$A$3:$B$74,2,FALSE)</f>
        <v>#ERROR!</v>
      </c>
      <c r="O7" s="24" t="str">
        <f>VLOOKUP('北段 (人資版)'!O7,'工作表1'!$A$3:$B$74,2,FALSE)</f>
        <v>#ERROR!</v>
      </c>
      <c r="P7" s="24" t="str">
        <f>VLOOKUP('北段 (人資版)'!P7,'工作表1'!$A$3:$B$74,2,FALSE)</f>
        <v>#ERROR!</v>
      </c>
      <c r="Q7" s="24" t="str">
        <f>VLOOKUP('北段 (人資版)'!Q7,'工作表1'!$A$3:$B$74,2,FALSE)</f>
        <v>#ERROR!</v>
      </c>
      <c r="R7" s="24" t="str">
        <f>VLOOKUP('北段 (人資版)'!R7,'工作表1'!$A$3:$B$74,2,FALSE)</f>
        <v>#ERROR!</v>
      </c>
      <c r="S7" s="24" t="str">
        <f>VLOOKUP('北段 (人資版)'!S7,'工作表1'!$A$3:$B$74,2,FALSE)</f>
        <v>#ERROR!</v>
      </c>
      <c r="T7" s="24" t="str">
        <f>VLOOKUP('北段 (人資版)'!T7,'工作表1'!$A$3:$B$74,2,FALSE)</f>
        <v>#ERROR!</v>
      </c>
      <c r="U7" s="24" t="str">
        <f>VLOOKUP('北段 (人資版)'!U7,'工作表1'!$A$3:$B$74,2,FALSE)</f>
        <v>#ERROR!</v>
      </c>
      <c r="V7" s="24" t="str">
        <f>VLOOKUP('北段 (人資版)'!V7,'工作表1'!$A$3:$B$74,2,FALSE)</f>
        <v>#ERROR!</v>
      </c>
      <c r="W7" s="24" t="str">
        <f>VLOOKUP('北段 (人資版)'!W7,'工作表1'!$A$3:$B$74,2,FALSE)</f>
        <v>#ERROR!</v>
      </c>
      <c r="X7" s="24" t="str">
        <f>VLOOKUP('北段 (人資版)'!X7,'工作表1'!$A$3:$B$74,2,FALSE)</f>
        <v>#ERROR!</v>
      </c>
      <c r="Y7" s="24" t="str">
        <f>VLOOKUP('北段 (人資版)'!Y7,'工作表1'!$A$3:$B$74,2,FALSE)</f>
        <v>#ERROR!</v>
      </c>
      <c r="Z7" s="24" t="str">
        <f>VLOOKUP('北段 (人資版)'!Z7,'工作表1'!$A$3:$B$74,2,FALSE)</f>
        <v>#ERROR!</v>
      </c>
      <c r="AA7" s="24" t="str">
        <f>VLOOKUP('北段 (人資版)'!AA7,'工作表1'!$A$3:$B$74,2,FALSE)</f>
        <v>#ERROR!</v>
      </c>
      <c r="AB7" s="24" t="str">
        <f>VLOOKUP('北段 (人資版)'!AB7,'工作表1'!$A$3:$B$74,2,FALSE)</f>
        <v>#ERROR!</v>
      </c>
      <c r="AC7" s="24" t="str">
        <f>VLOOKUP('北段 (人資版)'!AC7,'工作表1'!$A$3:$B$74,2,FALSE)</f>
        <v>#ERROR!</v>
      </c>
      <c r="AD7" s="24" t="str">
        <f>VLOOKUP('北段 (人資版)'!AD7,'工作表1'!$A$3:$B$74,2,FALSE)</f>
        <v>#ERROR!</v>
      </c>
      <c r="AE7" s="24" t="str">
        <f>VLOOKUP('北段 (人資版)'!AE7,'工作表1'!$A$3:$B$74,2,FALSE)</f>
        <v>#ERROR!</v>
      </c>
      <c r="AF7" s="24" t="str">
        <f>VLOOKUP('北段 (人資版)'!AF7,'工作表1'!$A$3:$B$74,2,FALSE)</f>
        <v>#ERROR!</v>
      </c>
      <c r="AG7" s="24" t="str">
        <f>VLOOKUP('北段 (人資版)'!AG7,'工作表1'!$A$3:$B$74,2,FALSE)</f>
        <v>#ERROR!</v>
      </c>
      <c r="AH7" s="24" t="str">
        <f>VLOOKUP('北段 (人資版)'!AH7,'工作表1'!$A$3:$B$74,2,FALSE)</f>
        <v>#ERROR!</v>
      </c>
      <c r="AI7" s="24" t="str">
        <f>VLOOKUP('北段 (人資版)'!AI7,'工作表1'!$A$3:$B$74,2,FALSE)</f>
        <v>#ERROR!</v>
      </c>
      <c r="AJ7" s="24" t="str">
        <f>VLOOKUP('北段 (人資版)'!AJ7,'工作表1'!$A$3:$B$74,2,FALSE)</f>
        <v>#ERROR!</v>
      </c>
      <c r="AK7" s="24" t="str">
        <f>VLOOKUP('北段 (人資版)'!AK7,'工作表1'!$A$3:$B$74,2,FALSE)</f>
        <v>#ERROR!</v>
      </c>
      <c r="AL7" s="24" t="str">
        <f>VLOOKUP('北段 (人資版)'!AL7,'工作表1'!$A$3:$B$74,2,FALSE)</f>
        <v>#ERROR!</v>
      </c>
    </row>
    <row r="8" ht="39.75" customHeight="1">
      <c r="A8" s="7"/>
      <c r="B8" s="24" t="str">
        <f>北段!#REF!</f>
        <v>#ERROR!</v>
      </c>
      <c r="C8" s="24" t="str">
        <f>VLOOKUP(B8,'北段'!B:C,2,FALSE)</f>
        <v>#ERROR!</v>
      </c>
      <c r="D8" s="24" t="str">
        <f>VLOOKUP('北段 (人資版)'!D8,'工作表1'!$A$3:$B$74,2,FALSE)</f>
        <v>#ERROR!</v>
      </c>
      <c r="E8" s="24" t="str">
        <f>VLOOKUP('北段 (人資版)'!E8,'工作表1'!$A$3:$B$74,2,FALSE)</f>
        <v>#ERROR!</v>
      </c>
      <c r="F8" s="24" t="str">
        <f>VLOOKUP('北段 (人資版)'!F8,'工作表1'!$A$3:$B$74,2,FALSE)</f>
        <v>#ERROR!</v>
      </c>
      <c r="G8" s="24" t="str">
        <f>VLOOKUP('北段 (人資版)'!G8,'工作表1'!$A$3:$B$74,2,FALSE)</f>
        <v>#ERROR!</v>
      </c>
      <c r="H8" s="24" t="str">
        <f>VLOOKUP('北段 (人資版)'!H8,'工作表1'!$A$3:$B$74,2,FALSE)</f>
        <v>#ERROR!</v>
      </c>
      <c r="I8" s="24" t="str">
        <f>VLOOKUP('北段 (人資版)'!I8,'工作表1'!$A$3:$B$74,2,FALSE)</f>
        <v>#ERROR!</v>
      </c>
      <c r="J8" s="24" t="str">
        <f>VLOOKUP('北段 (人資版)'!J8,'工作表1'!$A$3:$B$74,2,FALSE)</f>
        <v>#ERROR!</v>
      </c>
      <c r="K8" s="24" t="str">
        <f>VLOOKUP('北段 (人資版)'!K8,'工作表1'!$A$3:$B$74,2,FALSE)</f>
        <v>#ERROR!</v>
      </c>
      <c r="L8" s="24" t="str">
        <f>VLOOKUP('北段 (人資版)'!L8,'工作表1'!$A$3:$B$74,2,FALSE)</f>
        <v>#ERROR!</v>
      </c>
      <c r="M8" s="24" t="str">
        <f>VLOOKUP('北段 (人資版)'!M8,'工作表1'!$A$3:$B$74,2,FALSE)</f>
        <v>#ERROR!</v>
      </c>
      <c r="N8" s="24" t="str">
        <f>VLOOKUP('北段 (人資版)'!N8,'工作表1'!$A$3:$B$74,2,FALSE)</f>
        <v>#ERROR!</v>
      </c>
      <c r="O8" s="24" t="str">
        <f>VLOOKUP('北段 (人資版)'!O8,'工作表1'!$A$3:$B$74,2,FALSE)</f>
        <v>#ERROR!</v>
      </c>
      <c r="P8" s="24" t="str">
        <f>VLOOKUP('北段 (人資版)'!P8,'工作表1'!$A$3:$B$74,2,FALSE)</f>
        <v>#ERROR!</v>
      </c>
      <c r="Q8" s="24" t="str">
        <f>VLOOKUP('北段 (人資版)'!Q8,'工作表1'!$A$3:$B$74,2,FALSE)</f>
        <v>#ERROR!</v>
      </c>
      <c r="R8" s="24" t="str">
        <f>VLOOKUP('北段 (人資版)'!R8,'工作表1'!$A$3:$B$74,2,FALSE)</f>
        <v>#ERROR!</v>
      </c>
      <c r="S8" s="24" t="str">
        <f>VLOOKUP('北段 (人資版)'!S8,'工作表1'!$A$3:$B$74,2,FALSE)</f>
        <v>#ERROR!</v>
      </c>
      <c r="T8" s="24" t="str">
        <f>VLOOKUP('北段 (人資版)'!T8,'工作表1'!$A$3:$B$74,2,FALSE)</f>
        <v>#ERROR!</v>
      </c>
      <c r="U8" s="24" t="str">
        <f>VLOOKUP('北段 (人資版)'!U8,'工作表1'!$A$3:$B$74,2,FALSE)</f>
        <v>#ERROR!</v>
      </c>
      <c r="V8" s="24" t="str">
        <f>VLOOKUP('北段 (人資版)'!V8,'工作表1'!$A$3:$B$74,2,FALSE)</f>
        <v>#ERROR!</v>
      </c>
      <c r="W8" s="24" t="str">
        <f>VLOOKUP('北段 (人資版)'!W8,'工作表1'!$A$3:$B$74,2,FALSE)</f>
        <v>#ERROR!</v>
      </c>
      <c r="X8" s="24" t="str">
        <f>VLOOKUP('北段 (人資版)'!X8,'工作表1'!$A$3:$B$74,2,FALSE)</f>
        <v>#ERROR!</v>
      </c>
      <c r="Y8" s="24" t="str">
        <f>VLOOKUP('北段 (人資版)'!Y8,'工作表1'!$A$3:$B$74,2,FALSE)</f>
        <v>#ERROR!</v>
      </c>
      <c r="Z8" s="24" t="str">
        <f>VLOOKUP('北段 (人資版)'!Z8,'工作表1'!$A$3:$B$74,2,FALSE)</f>
        <v>#ERROR!</v>
      </c>
      <c r="AA8" s="24" t="str">
        <f>VLOOKUP('北段 (人資版)'!AA8,'工作表1'!$A$3:$B$74,2,FALSE)</f>
        <v>#ERROR!</v>
      </c>
      <c r="AB8" s="24" t="str">
        <f>VLOOKUP('北段 (人資版)'!AB8,'工作表1'!$A$3:$B$74,2,FALSE)</f>
        <v>#ERROR!</v>
      </c>
      <c r="AC8" s="24" t="str">
        <f>VLOOKUP('北段 (人資版)'!AC8,'工作表1'!$A$3:$B$74,2,FALSE)</f>
        <v>#ERROR!</v>
      </c>
      <c r="AD8" s="24" t="str">
        <f>VLOOKUP('北段 (人資版)'!AD8,'工作表1'!$A$3:$B$74,2,FALSE)</f>
        <v>#ERROR!</v>
      </c>
      <c r="AE8" s="24" t="str">
        <f>VLOOKUP('北段 (人資版)'!AE8,'工作表1'!$A$3:$B$74,2,FALSE)</f>
        <v>#ERROR!</v>
      </c>
      <c r="AF8" s="24" t="str">
        <f>VLOOKUP('北段 (人資版)'!AF8,'工作表1'!$A$3:$B$74,2,FALSE)</f>
        <v>#ERROR!</v>
      </c>
      <c r="AG8" s="24" t="str">
        <f>VLOOKUP('北段 (人資版)'!AG8,'工作表1'!$A$3:$B$74,2,FALSE)</f>
        <v>#ERROR!</v>
      </c>
      <c r="AH8" s="24" t="str">
        <f>VLOOKUP('北段 (人資版)'!AH8,'工作表1'!$A$3:$B$74,2,FALSE)</f>
        <v>#ERROR!</v>
      </c>
      <c r="AI8" s="24" t="str">
        <f>VLOOKUP('北段 (人資版)'!AI8,'工作表1'!$A$3:$B$74,2,FALSE)</f>
        <v>#ERROR!</v>
      </c>
      <c r="AJ8" s="24" t="str">
        <f>VLOOKUP('北段 (人資版)'!AJ8,'工作表1'!$A$3:$B$74,2,FALSE)</f>
        <v>#ERROR!</v>
      </c>
      <c r="AK8" s="24" t="str">
        <f>VLOOKUP('北段 (人資版)'!AK8,'工作表1'!$A$3:$B$74,2,FALSE)</f>
        <v>#ERROR!</v>
      </c>
      <c r="AL8" s="24" t="str">
        <f>VLOOKUP('北段 (人資版)'!AL8,'工作表1'!$A$3:$B$74,2,FALSE)</f>
        <v>#ERROR!</v>
      </c>
    </row>
    <row r="9" ht="39.0" customHeight="1">
      <c r="A9" s="7"/>
      <c r="B9" s="24" t="str">
        <f>北段!#REF!</f>
        <v>#ERROR!</v>
      </c>
      <c r="C9" s="24" t="str">
        <f>VLOOKUP(B9,'北段'!B:C,2,FALSE)</f>
        <v>#ERROR!</v>
      </c>
      <c r="D9" s="24" t="str">
        <f>VLOOKUP('北段 (人資版)'!D9,'工作表1'!$A$3:$B$74,2,FALSE)</f>
        <v>#ERROR!</v>
      </c>
      <c r="E9" s="24" t="str">
        <f>VLOOKUP('北段 (人資版)'!E9,'工作表1'!$A$3:$B$74,2,FALSE)</f>
        <v>#ERROR!</v>
      </c>
      <c r="F9" s="24" t="str">
        <f>VLOOKUP('北段 (人資版)'!F9,'工作表1'!$A$3:$B$74,2,FALSE)</f>
        <v>#ERROR!</v>
      </c>
      <c r="G9" s="24" t="str">
        <f>VLOOKUP('北段 (人資版)'!G9,'工作表1'!$A$3:$B$74,2,FALSE)</f>
        <v>#ERROR!</v>
      </c>
      <c r="H9" s="24" t="str">
        <f>VLOOKUP('北段 (人資版)'!H9,'工作表1'!$A$3:$B$74,2,FALSE)</f>
        <v>#ERROR!</v>
      </c>
      <c r="I9" s="24" t="str">
        <f>VLOOKUP('北段 (人資版)'!I9,'工作表1'!$A$3:$B$74,2,FALSE)</f>
        <v>#ERROR!</v>
      </c>
      <c r="J9" s="24" t="str">
        <f>VLOOKUP('北段 (人資版)'!J9,'工作表1'!$A$3:$B$74,2,FALSE)</f>
        <v>#ERROR!</v>
      </c>
      <c r="K9" s="24" t="str">
        <f>VLOOKUP('北段 (人資版)'!K9,'工作表1'!$A$3:$B$74,2,FALSE)</f>
        <v>#ERROR!</v>
      </c>
      <c r="L9" s="24" t="str">
        <f>VLOOKUP('北段 (人資版)'!L9,'工作表1'!$A$3:$B$74,2,FALSE)</f>
        <v>#ERROR!</v>
      </c>
      <c r="M9" s="24" t="str">
        <f>VLOOKUP('北段 (人資版)'!M9,'工作表1'!$A$3:$B$74,2,FALSE)</f>
        <v>#ERROR!</v>
      </c>
      <c r="N9" s="24" t="str">
        <f>VLOOKUP('北段 (人資版)'!N9,'工作表1'!$A$3:$B$74,2,FALSE)</f>
        <v>#ERROR!</v>
      </c>
      <c r="O9" s="24" t="str">
        <f>VLOOKUP('北段 (人資版)'!O9,'工作表1'!$A$3:$B$74,2,FALSE)</f>
        <v>#ERROR!</v>
      </c>
      <c r="P9" s="24" t="str">
        <f>VLOOKUP('北段 (人資版)'!P9,'工作表1'!$A$3:$B$74,2,FALSE)</f>
        <v>#ERROR!</v>
      </c>
      <c r="Q9" s="24" t="str">
        <f>VLOOKUP('北段 (人資版)'!Q9,'工作表1'!$A$3:$B$74,2,FALSE)</f>
        <v>#ERROR!</v>
      </c>
      <c r="R9" s="24" t="str">
        <f>VLOOKUP('北段 (人資版)'!R9,'工作表1'!$A$3:$B$74,2,FALSE)</f>
        <v>#ERROR!</v>
      </c>
      <c r="S9" s="24" t="str">
        <f>VLOOKUP('北段 (人資版)'!S9,'工作表1'!$A$3:$B$74,2,FALSE)</f>
        <v>#ERROR!</v>
      </c>
      <c r="T9" s="24" t="str">
        <f>VLOOKUP('北段 (人資版)'!T9,'工作表1'!$A$3:$B$74,2,FALSE)</f>
        <v>#ERROR!</v>
      </c>
      <c r="U9" s="24" t="str">
        <f>VLOOKUP('北段 (人資版)'!U9,'工作表1'!$A$3:$B$74,2,FALSE)</f>
        <v>#ERROR!</v>
      </c>
      <c r="V9" s="24" t="str">
        <f>VLOOKUP('北段 (人資版)'!V9,'工作表1'!$A$3:$B$74,2,FALSE)</f>
        <v>#ERROR!</v>
      </c>
      <c r="W9" s="24" t="str">
        <f>VLOOKUP('北段 (人資版)'!W9,'工作表1'!$A$3:$B$74,2,FALSE)</f>
        <v>#ERROR!</v>
      </c>
      <c r="X9" s="24" t="str">
        <f>VLOOKUP('北段 (人資版)'!X9,'工作表1'!$A$3:$B$74,2,FALSE)</f>
        <v>#ERROR!</v>
      </c>
      <c r="Y9" s="24" t="str">
        <f>VLOOKUP('北段 (人資版)'!Y9,'工作表1'!$A$3:$B$74,2,FALSE)</f>
        <v>#ERROR!</v>
      </c>
      <c r="Z9" s="24" t="str">
        <f>VLOOKUP('北段 (人資版)'!Z9,'工作表1'!$A$3:$B$74,2,FALSE)</f>
        <v>#ERROR!</v>
      </c>
      <c r="AA9" s="24" t="str">
        <f>VLOOKUP('北段 (人資版)'!AA9,'工作表1'!$A$3:$B$74,2,FALSE)</f>
        <v>#ERROR!</v>
      </c>
      <c r="AB9" s="24" t="str">
        <f>VLOOKUP('北段 (人資版)'!AB9,'工作表1'!$A$3:$B$74,2,FALSE)</f>
        <v>#ERROR!</v>
      </c>
      <c r="AC9" s="24" t="str">
        <f>VLOOKUP('北段 (人資版)'!AC9,'工作表1'!$A$3:$B$74,2,FALSE)</f>
        <v>#ERROR!</v>
      </c>
      <c r="AD9" s="24" t="str">
        <f>VLOOKUP('北段 (人資版)'!AD9,'工作表1'!$A$3:$B$74,2,FALSE)</f>
        <v>#ERROR!</v>
      </c>
      <c r="AE9" s="24" t="str">
        <f>VLOOKUP('北段 (人資版)'!AE9,'工作表1'!$A$3:$B$74,2,FALSE)</f>
        <v>#ERROR!</v>
      </c>
      <c r="AF9" s="24" t="str">
        <f>VLOOKUP('北段 (人資版)'!AF9,'工作表1'!$A$3:$B$74,2,FALSE)</f>
        <v>#ERROR!</v>
      </c>
      <c r="AG9" s="24" t="str">
        <f>VLOOKUP('北段 (人資版)'!AG9,'工作表1'!$A$3:$B$74,2,FALSE)</f>
        <v>#ERROR!</v>
      </c>
      <c r="AH9" s="24" t="str">
        <f>VLOOKUP('北段 (人資版)'!AH9,'工作表1'!$A$3:$B$74,2,FALSE)</f>
        <v>#ERROR!</v>
      </c>
      <c r="AI9" s="24" t="str">
        <f>VLOOKUP('北段 (人資版)'!AI9,'工作表1'!$A$3:$B$74,2,FALSE)</f>
        <v>#ERROR!</v>
      </c>
      <c r="AJ9" s="24" t="str">
        <f>VLOOKUP('北段 (人資版)'!AJ9,'工作表1'!$A$3:$B$74,2,FALSE)</f>
        <v>#ERROR!</v>
      </c>
      <c r="AK9" s="24" t="str">
        <f>VLOOKUP('北段 (人資版)'!AK9,'工作表1'!$A$3:$B$74,2,FALSE)</f>
        <v>#ERROR!</v>
      </c>
      <c r="AL9" s="24" t="str">
        <f>VLOOKUP('北段 (人資版)'!AL9,'工作表1'!$A$3:$B$74,2,FALSE)</f>
        <v>#ERROR!</v>
      </c>
    </row>
    <row r="10" ht="39.0" customHeight="1">
      <c r="A10" s="7"/>
      <c r="B10" s="24" t="str">
        <f>北段!#REF!</f>
        <v>#ERROR!</v>
      </c>
      <c r="C10" s="24" t="str">
        <f>VLOOKUP(B10,'北段'!B:C,2,FALSE)</f>
        <v>#ERROR!</v>
      </c>
      <c r="D10" s="24" t="str">
        <f>VLOOKUP('北段 (人資版)'!D10,'工作表1'!$A$3:$B$74,2,FALSE)</f>
        <v>#ERROR!</v>
      </c>
      <c r="E10" s="24" t="str">
        <f>VLOOKUP('北段 (人資版)'!E10,'工作表1'!$A$3:$B$74,2,FALSE)</f>
        <v>#ERROR!</v>
      </c>
      <c r="F10" s="24" t="str">
        <f>VLOOKUP('北段 (人資版)'!F10,'工作表1'!$A$3:$B$74,2,FALSE)</f>
        <v>#ERROR!</v>
      </c>
      <c r="G10" s="24" t="str">
        <f>VLOOKUP('北段 (人資版)'!G10,'工作表1'!$A$3:$B$74,2,FALSE)</f>
        <v>#ERROR!</v>
      </c>
      <c r="H10" s="24" t="str">
        <f>VLOOKUP('北段 (人資版)'!H10,'工作表1'!$A$3:$B$74,2,FALSE)</f>
        <v>#ERROR!</v>
      </c>
      <c r="I10" s="24" t="str">
        <f>VLOOKUP('北段 (人資版)'!I10,'工作表1'!$A$3:$B$74,2,FALSE)</f>
        <v>#ERROR!</v>
      </c>
      <c r="J10" s="24" t="str">
        <f>VLOOKUP('北段 (人資版)'!J10,'工作表1'!$A$3:$B$74,2,FALSE)</f>
        <v>#ERROR!</v>
      </c>
      <c r="K10" s="24" t="str">
        <f>VLOOKUP('北段 (人資版)'!K10,'工作表1'!$A$3:$B$74,2,FALSE)</f>
        <v>#ERROR!</v>
      </c>
      <c r="L10" s="24" t="str">
        <f>VLOOKUP('北段 (人資版)'!L10,'工作表1'!$A$3:$B$74,2,FALSE)</f>
        <v>#ERROR!</v>
      </c>
      <c r="M10" s="24" t="str">
        <f>VLOOKUP('北段 (人資版)'!M10,'工作表1'!$A$3:$B$74,2,FALSE)</f>
        <v>#ERROR!</v>
      </c>
      <c r="N10" s="24" t="str">
        <f>VLOOKUP('北段 (人資版)'!N10,'工作表1'!$A$3:$B$74,2,FALSE)</f>
        <v>#ERROR!</v>
      </c>
      <c r="O10" s="24" t="str">
        <f>VLOOKUP('北段 (人資版)'!O10,'工作表1'!$A$3:$B$74,2,FALSE)</f>
        <v>#ERROR!</v>
      </c>
      <c r="P10" s="24" t="str">
        <f>VLOOKUP('北段 (人資版)'!P10,'工作表1'!$A$3:$B$74,2,FALSE)</f>
        <v>#ERROR!</v>
      </c>
      <c r="Q10" s="24" t="str">
        <f>VLOOKUP('北段 (人資版)'!Q10,'工作表1'!$A$3:$B$74,2,FALSE)</f>
        <v>#ERROR!</v>
      </c>
      <c r="R10" s="24" t="str">
        <f>VLOOKUP('北段 (人資版)'!R10,'工作表1'!$A$3:$B$74,2,FALSE)</f>
        <v>#ERROR!</v>
      </c>
      <c r="S10" s="24" t="str">
        <f>VLOOKUP('北段 (人資版)'!S10,'工作表1'!$A$3:$B$74,2,FALSE)</f>
        <v>#ERROR!</v>
      </c>
      <c r="T10" s="24" t="str">
        <f>VLOOKUP('北段 (人資版)'!T10,'工作表1'!$A$3:$B$74,2,FALSE)</f>
        <v>#ERROR!</v>
      </c>
      <c r="U10" s="24" t="str">
        <f>VLOOKUP('北段 (人資版)'!U10,'工作表1'!$A$3:$B$74,2,FALSE)</f>
        <v>#ERROR!</v>
      </c>
      <c r="V10" s="24" t="str">
        <f>VLOOKUP('北段 (人資版)'!V10,'工作表1'!$A$3:$B$74,2,FALSE)</f>
        <v>#ERROR!</v>
      </c>
      <c r="W10" s="24" t="str">
        <f>VLOOKUP('北段 (人資版)'!W10,'工作表1'!$A$3:$B$74,2,FALSE)</f>
        <v>#ERROR!</v>
      </c>
      <c r="X10" s="24" t="str">
        <f>VLOOKUP('北段 (人資版)'!X10,'工作表1'!$A$3:$B$74,2,FALSE)</f>
        <v>#ERROR!</v>
      </c>
      <c r="Y10" s="24" t="str">
        <f>VLOOKUP('北段 (人資版)'!Y10,'工作表1'!$A$3:$B$74,2,FALSE)</f>
        <v>#ERROR!</v>
      </c>
      <c r="Z10" s="24" t="str">
        <f>VLOOKUP('北段 (人資版)'!Z10,'工作表1'!$A$3:$B$74,2,FALSE)</f>
        <v>#ERROR!</v>
      </c>
      <c r="AA10" s="24" t="str">
        <f>VLOOKUP('北段 (人資版)'!AA10,'工作表1'!$A$3:$B$74,2,FALSE)</f>
        <v>#ERROR!</v>
      </c>
      <c r="AB10" s="24" t="str">
        <f>VLOOKUP('北段 (人資版)'!AB10,'工作表1'!$A$3:$B$74,2,FALSE)</f>
        <v>#ERROR!</v>
      </c>
      <c r="AC10" s="24" t="str">
        <f>VLOOKUP('北段 (人資版)'!AC10,'工作表1'!$A$3:$B$74,2,FALSE)</f>
        <v>#ERROR!</v>
      </c>
      <c r="AD10" s="24" t="str">
        <f>VLOOKUP('北段 (人資版)'!AD10,'工作表1'!$A$3:$B$74,2,FALSE)</f>
        <v>#ERROR!</v>
      </c>
      <c r="AE10" s="24" t="str">
        <f>VLOOKUP('北段 (人資版)'!AE10,'工作表1'!$A$3:$B$74,2,FALSE)</f>
        <v>#ERROR!</v>
      </c>
      <c r="AF10" s="24" t="str">
        <f>VLOOKUP('北段 (人資版)'!AF10,'工作表1'!$A$3:$B$74,2,FALSE)</f>
        <v>#ERROR!</v>
      </c>
      <c r="AG10" s="24" t="str">
        <f>VLOOKUP('北段 (人資版)'!AG10,'工作表1'!$A$3:$B$74,2,FALSE)</f>
        <v>#ERROR!</v>
      </c>
      <c r="AH10" s="24" t="str">
        <f>VLOOKUP('北段 (人資版)'!AH10,'工作表1'!$A$3:$B$74,2,FALSE)</f>
        <v>#ERROR!</v>
      </c>
      <c r="AI10" s="24" t="str">
        <f>VLOOKUP('北段 (人資版)'!AI10,'工作表1'!$A$3:$B$74,2,FALSE)</f>
        <v>#ERROR!</v>
      </c>
      <c r="AJ10" s="24" t="str">
        <f>VLOOKUP('北段 (人資版)'!AJ10,'工作表1'!$A$3:$B$74,2,FALSE)</f>
        <v>#ERROR!</v>
      </c>
      <c r="AK10" s="24" t="str">
        <f>VLOOKUP('北段 (人資版)'!AK10,'工作表1'!$A$3:$B$74,2,FALSE)</f>
        <v>#ERROR!</v>
      </c>
      <c r="AL10" s="24" t="str">
        <f>VLOOKUP('北段 (人資版)'!AL10,'工作表1'!$A$3:$B$74,2,FALSE)</f>
        <v>#ERROR!</v>
      </c>
    </row>
    <row r="11" ht="39.0" customHeight="1">
      <c r="A11" s="7"/>
      <c r="B11" s="24" t="str">
        <f>北段!#REF!</f>
        <v>#ERROR!</v>
      </c>
      <c r="C11" s="24" t="str">
        <f>VLOOKUP(B11,'北段'!B:C,2,FALSE)</f>
        <v>#ERROR!</v>
      </c>
      <c r="D11" s="24" t="str">
        <f>VLOOKUP('北段 (人資版)'!D11,'工作表1'!$A$3:$B$74,2,FALSE)</f>
        <v>#ERROR!</v>
      </c>
      <c r="E11" s="24" t="str">
        <f>VLOOKUP('北段 (人資版)'!E11,'工作表1'!$A$3:$B$74,2,FALSE)</f>
        <v>#ERROR!</v>
      </c>
      <c r="F11" s="24" t="str">
        <f>VLOOKUP('北段 (人資版)'!F11,'工作表1'!$A$3:$B$74,2,FALSE)</f>
        <v>#ERROR!</v>
      </c>
      <c r="G11" s="24" t="str">
        <f>VLOOKUP('北段 (人資版)'!G11,'工作表1'!$A$3:$B$74,2,FALSE)</f>
        <v>#ERROR!</v>
      </c>
      <c r="H11" s="24" t="str">
        <f>VLOOKUP('北段 (人資版)'!H11,'工作表1'!$A$3:$B$74,2,FALSE)</f>
        <v>#ERROR!</v>
      </c>
      <c r="I11" s="24" t="str">
        <f>VLOOKUP('北段 (人資版)'!I11,'工作表1'!$A$3:$B$74,2,FALSE)</f>
        <v>#ERROR!</v>
      </c>
      <c r="J11" s="24" t="str">
        <f>VLOOKUP('北段 (人資版)'!J11,'工作表1'!$A$3:$B$74,2,FALSE)</f>
        <v>#ERROR!</v>
      </c>
      <c r="K11" s="24" t="str">
        <f>VLOOKUP('北段 (人資版)'!K11,'工作表1'!$A$3:$B$74,2,FALSE)</f>
        <v>#ERROR!</v>
      </c>
      <c r="L11" s="24" t="str">
        <f>VLOOKUP('北段 (人資版)'!L11,'工作表1'!$A$3:$B$74,2,FALSE)</f>
        <v>#ERROR!</v>
      </c>
      <c r="M11" s="24" t="str">
        <f>VLOOKUP('北段 (人資版)'!M11,'工作表1'!$A$3:$B$74,2,FALSE)</f>
        <v>#ERROR!</v>
      </c>
      <c r="N11" s="24" t="str">
        <f>VLOOKUP('北段 (人資版)'!N11,'工作表1'!$A$3:$B$74,2,FALSE)</f>
        <v>#ERROR!</v>
      </c>
      <c r="O11" s="24" t="str">
        <f>VLOOKUP('北段 (人資版)'!O11,'工作表1'!$A$3:$B$74,2,FALSE)</f>
        <v>#ERROR!</v>
      </c>
      <c r="P11" s="24" t="str">
        <f>VLOOKUP('北段 (人資版)'!P11,'工作表1'!$A$3:$B$74,2,FALSE)</f>
        <v>#ERROR!</v>
      </c>
      <c r="Q11" s="24" t="str">
        <f>VLOOKUP('北段 (人資版)'!Q11,'工作表1'!$A$3:$B$74,2,FALSE)</f>
        <v>#ERROR!</v>
      </c>
      <c r="R11" s="24" t="str">
        <f>VLOOKUP('北段 (人資版)'!R11,'工作表1'!$A$3:$B$74,2,FALSE)</f>
        <v>#ERROR!</v>
      </c>
      <c r="S11" s="24" t="str">
        <f>VLOOKUP('北段 (人資版)'!S11,'工作表1'!$A$3:$B$74,2,FALSE)</f>
        <v>#ERROR!</v>
      </c>
      <c r="T11" s="24" t="str">
        <f>VLOOKUP('北段 (人資版)'!T11,'工作表1'!$A$3:$B$74,2,FALSE)</f>
        <v>#ERROR!</v>
      </c>
      <c r="U11" s="24" t="str">
        <f>VLOOKUP('北段 (人資版)'!U11,'工作表1'!$A$3:$B$74,2,FALSE)</f>
        <v>#ERROR!</v>
      </c>
      <c r="V11" s="24" t="str">
        <f>VLOOKUP('北段 (人資版)'!V11,'工作表1'!$A$3:$B$74,2,FALSE)</f>
        <v>#ERROR!</v>
      </c>
      <c r="W11" s="24" t="str">
        <f>VLOOKUP('北段 (人資版)'!W11,'工作表1'!$A$3:$B$74,2,FALSE)</f>
        <v>#ERROR!</v>
      </c>
      <c r="X11" s="24" t="str">
        <f>VLOOKUP('北段 (人資版)'!X11,'工作表1'!$A$3:$B$74,2,FALSE)</f>
        <v>#ERROR!</v>
      </c>
      <c r="Y11" s="24" t="str">
        <f>VLOOKUP('北段 (人資版)'!Y11,'工作表1'!$A$3:$B$74,2,FALSE)</f>
        <v>#ERROR!</v>
      </c>
      <c r="Z11" s="24" t="str">
        <f>VLOOKUP('北段 (人資版)'!Z11,'工作表1'!$A$3:$B$74,2,FALSE)</f>
        <v>#ERROR!</v>
      </c>
      <c r="AA11" s="24" t="str">
        <f>VLOOKUP('北段 (人資版)'!AA11,'工作表1'!$A$3:$B$74,2,FALSE)</f>
        <v>#ERROR!</v>
      </c>
      <c r="AB11" s="24" t="str">
        <f>VLOOKUP('北段 (人資版)'!AB11,'工作表1'!$A$3:$B$74,2,FALSE)</f>
        <v>#ERROR!</v>
      </c>
      <c r="AC11" s="24" t="str">
        <f>VLOOKUP('北段 (人資版)'!AC11,'工作表1'!$A$3:$B$74,2,FALSE)</f>
        <v>#ERROR!</v>
      </c>
      <c r="AD11" s="24" t="str">
        <f>VLOOKUP('北段 (人資版)'!AD11,'工作表1'!$A$3:$B$74,2,FALSE)</f>
        <v>#ERROR!</v>
      </c>
      <c r="AE11" s="24" t="str">
        <f>VLOOKUP('北段 (人資版)'!AE11,'工作表1'!$A$3:$B$74,2,FALSE)</f>
        <v>#ERROR!</v>
      </c>
      <c r="AF11" s="24" t="str">
        <f>VLOOKUP('北段 (人資版)'!AF11,'工作表1'!$A$3:$B$74,2,FALSE)</f>
        <v>#ERROR!</v>
      </c>
      <c r="AG11" s="24" t="str">
        <f>VLOOKUP('北段 (人資版)'!AG11,'工作表1'!$A$3:$B$74,2,FALSE)</f>
        <v>#ERROR!</v>
      </c>
      <c r="AH11" s="24" t="str">
        <f>VLOOKUP('北段 (人資版)'!AH11,'工作表1'!$A$3:$B$74,2,FALSE)</f>
        <v>#ERROR!</v>
      </c>
      <c r="AI11" s="24" t="str">
        <f>VLOOKUP('北段 (人資版)'!AI11,'工作表1'!$A$3:$B$74,2,FALSE)</f>
        <v>#ERROR!</v>
      </c>
      <c r="AJ11" s="24" t="str">
        <f>VLOOKUP('北段 (人資版)'!AJ11,'工作表1'!$A$3:$B$74,2,FALSE)</f>
        <v>#ERROR!</v>
      </c>
      <c r="AK11" s="24" t="str">
        <f>VLOOKUP('北段 (人資版)'!AK11,'工作表1'!$A$3:$B$74,2,FALSE)</f>
        <v>#ERROR!</v>
      </c>
      <c r="AL11" s="24" t="str">
        <f>VLOOKUP('北段 (人資版)'!AL11,'工作表1'!$A$3:$B$74,2,FALSE)</f>
        <v>#ERROR!</v>
      </c>
    </row>
    <row r="12" ht="39.75" customHeight="1">
      <c r="A12" s="141"/>
      <c r="B12" s="24" t="str">
        <f>北段!#REF!</f>
        <v>#ERROR!</v>
      </c>
      <c r="C12" s="24" t="str">
        <f>VLOOKUP(B12,'北段'!B:C,2,FALSE)</f>
        <v>#ERROR!</v>
      </c>
      <c r="D12" s="24" t="str">
        <f>VLOOKUP('北段 (人資版)'!D12,'工作表1'!$A$3:$B$74,2,FALSE)</f>
        <v>#ERROR!</v>
      </c>
      <c r="E12" s="24" t="str">
        <f>VLOOKUP('北段 (人資版)'!E12,'工作表1'!$A$3:$B$74,2,FALSE)</f>
        <v>#ERROR!</v>
      </c>
      <c r="F12" s="24" t="str">
        <f>VLOOKUP('北段 (人資版)'!F12,'工作表1'!$A$3:$B$74,2,FALSE)</f>
        <v>#ERROR!</v>
      </c>
      <c r="G12" s="24" t="str">
        <f>VLOOKUP('北段 (人資版)'!G12,'工作表1'!$A$3:$B$74,2,FALSE)</f>
        <v>#ERROR!</v>
      </c>
      <c r="H12" s="24" t="str">
        <f>VLOOKUP('北段 (人資版)'!H12,'工作表1'!$A$3:$B$74,2,FALSE)</f>
        <v>#ERROR!</v>
      </c>
      <c r="I12" s="24" t="str">
        <f>VLOOKUP('北段 (人資版)'!I12,'工作表1'!$A$3:$B$74,2,FALSE)</f>
        <v>#ERROR!</v>
      </c>
      <c r="J12" s="24" t="str">
        <f>VLOOKUP('北段 (人資版)'!J12,'工作表1'!$A$3:$B$74,2,FALSE)</f>
        <v>#ERROR!</v>
      </c>
      <c r="K12" s="24" t="str">
        <f>VLOOKUP('北段 (人資版)'!K12,'工作表1'!$A$3:$B$74,2,FALSE)</f>
        <v>#ERROR!</v>
      </c>
      <c r="L12" s="24" t="str">
        <f>VLOOKUP('北段 (人資版)'!L12,'工作表1'!$A$3:$B$74,2,FALSE)</f>
        <v>#ERROR!</v>
      </c>
      <c r="M12" s="24" t="str">
        <f>VLOOKUP('北段 (人資版)'!M12,'工作表1'!$A$3:$B$74,2,FALSE)</f>
        <v>#ERROR!</v>
      </c>
      <c r="N12" s="24" t="str">
        <f>VLOOKUP('北段 (人資版)'!N12,'工作表1'!$A$3:$B$74,2,FALSE)</f>
        <v>#ERROR!</v>
      </c>
      <c r="O12" s="24" t="str">
        <f>VLOOKUP('北段 (人資版)'!O12,'工作表1'!$A$3:$B$74,2,FALSE)</f>
        <v>#ERROR!</v>
      </c>
      <c r="P12" s="24" t="str">
        <f>VLOOKUP('北段 (人資版)'!P12,'工作表1'!$A$3:$B$74,2,FALSE)</f>
        <v>#ERROR!</v>
      </c>
      <c r="Q12" s="24" t="str">
        <f>VLOOKUP('北段 (人資版)'!Q12,'工作表1'!$A$3:$B$74,2,FALSE)</f>
        <v>#ERROR!</v>
      </c>
      <c r="R12" s="24" t="str">
        <f>VLOOKUP('北段 (人資版)'!R12,'工作表1'!$A$3:$B$74,2,FALSE)</f>
        <v>#ERROR!</v>
      </c>
      <c r="S12" s="24" t="str">
        <f>VLOOKUP('北段 (人資版)'!S12,'工作表1'!$A$3:$B$74,2,FALSE)</f>
        <v>#ERROR!</v>
      </c>
      <c r="T12" s="24" t="str">
        <f>VLOOKUP('北段 (人資版)'!T12,'工作表1'!$A$3:$B$74,2,FALSE)</f>
        <v>#ERROR!</v>
      </c>
      <c r="U12" s="24" t="str">
        <f>VLOOKUP('北段 (人資版)'!U12,'工作表1'!$A$3:$B$74,2,FALSE)</f>
        <v>#ERROR!</v>
      </c>
      <c r="V12" s="24" t="str">
        <f>VLOOKUP('北段 (人資版)'!V12,'工作表1'!$A$3:$B$74,2,FALSE)</f>
        <v>#ERROR!</v>
      </c>
      <c r="W12" s="24" t="str">
        <f>VLOOKUP('北段 (人資版)'!W12,'工作表1'!$A$3:$B$74,2,FALSE)</f>
        <v>#ERROR!</v>
      </c>
      <c r="X12" s="24" t="str">
        <f>VLOOKUP('北段 (人資版)'!X12,'工作表1'!$A$3:$B$74,2,FALSE)</f>
        <v>#ERROR!</v>
      </c>
      <c r="Y12" s="24" t="str">
        <f>VLOOKUP('北段 (人資版)'!Y12,'工作表1'!$A$3:$B$74,2,FALSE)</f>
        <v>#ERROR!</v>
      </c>
      <c r="Z12" s="24" t="str">
        <f>VLOOKUP('北段 (人資版)'!Z12,'工作表1'!$A$3:$B$74,2,FALSE)</f>
        <v>#ERROR!</v>
      </c>
      <c r="AA12" s="24" t="str">
        <f>VLOOKUP('北段 (人資版)'!AA12,'工作表1'!$A$3:$B$74,2,FALSE)</f>
        <v>#ERROR!</v>
      </c>
      <c r="AB12" s="24" t="str">
        <f>VLOOKUP('北段 (人資版)'!AB12,'工作表1'!$A$3:$B$74,2,FALSE)</f>
        <v>#ERROR!</v>
      </c>
      <c r="AC12" s="24" t="str">
        <f>VLOOKUP('北段 (人資版)'!AC12,'工作表1'!$A$3:$B$74,2,FALSE)</f>
        <v>#ERROR!</v>
      </c>
      <c r="AD12" s="24" t="str">
        <f>VLOOKUP('北段 (人資版)'!AD12,'工作表1'!$A$3:$B$74,2,FALSE)</f>
        <v>#ERROR!</v>
      </c>
      <c r="AE12" s="24" t="str">
        <f>VLOOKUP('北段 (人資版)'!AE12,'工作表1'!$A$3:$B$74,2,FALSE)</f>
        <v>#ERROR!</v>
      </c>
      <c r="AF12" s="24" t="str">
        <f>VLOOKUP('北段 (人資版)'!AF12,'工作表1'!$A$3:$B$74,2,FALSE)</f>
        <v>#ERROR!</v>
      </c>
      <c r="AG12" s="24" t="str">
        <f>VLOOKUP('北段 (人資版)'!AG12,'工作表1'!$A$3:$B$74,2,FALSE)</f>
        <v>#ERROR!</v>
      </c>
      <c r="AH12" s="24" t="str">
        <f>VLOOKUP('北段 (人資版)'!AH12,'工作表1'!$A$3:$B$74,2,FALSE)</f>
        <v>#ERROR!</v>
      </c>
      <c r="AI12" s="24" t="str">
        <f>VLOOKUP('北段 (人資版)'!AI12,'工作表1'!$A$3:$B$74,2,FALSE)</f>
        <v>#ERROR!</v>
      </c>
      <c r="AJ12" s="24" t="str">
        <f>VLOOKUP('北段 (人資版)'!AJ12,'工作表1'!$A$3:$B$74,2,FALSE)</f>
        <v>#ERROR!</v>
      </c>
      <c r="AK12" s="24" t="str">
        <f>VLOOKUP('北段 (人資版)'!AK12,'工作表1'!$A$3:$B$74,2,FALSE)</f>
        <v>#ERROR!</v>
      </c>
      <c r="AL12" s="24" t="str">
        <f>VLOOKUP('北段 (人資版)'!AL12,'工作表1'!$A$3:$B$74,2,FALSE)</f>
        <v>#ERROR!</v>
      </c>
    </row>
    <row r="13" ht="39.75" customHeight="1">
      <c r="A13" s="142" t="s">
        <v>3</v>
      </c>
      <c r="B13" s="24" t="str">
        <f>'北段'!B3</f>
        <v>T00509</v>
      </c>
      <c r="C13" s="24" t="str">
        <f>VLOOKUP(B13,'北段'!B:C,2,FALSE)</f>
        <v>郭秋儀</v>
      </c>
      <c r="D13" s="24">
        <f>VLOOKUP('北段 (人資版)'!D13,'工作表1'!$A$3:$B$74,2,FALSE)</f>
        <v>92</v>
      </c>
      <c r="E13" s="24">
        <f>VLOOKUP('北段 (人資版)'!E13,'工作表1'!$A$3:$B$74,2,FALSE)</f>
        <v>70</v>
      </c>
      <c r="F13" s="24">
        <f>VLOOKUP('北段 (人資版)'!F13,'工作表1'!$A$3:$B$74,2,FALSE)</f>
        <v>70</v>
      </c>
      <c r="G13" s="24">
        <f>VLOOKUP('北段 (人資版)'!G13,'工作表1'!$A$3:$B$74,2,FALSE)</f>
        <v>70</v>
      </c>
      <c r="H13" s="24">
        <f>VLOOKUP('北段 (人資版)'!H13,'工作表1'!$A$3:$B$74,2,FALSE)</f>
        <v>92</v>
      </c>
      <c r="I13" s="24">
        <f>VLOOKUP('北段 (人資版)'!I13,'工作表1'!$A$3:$B$74,2,FALSE)</f>
        <v>92</v>
      </c>
      <c r="J13" s="24">
        <f>VLOOKUP('北段 (人資版)'!J13,'工作表1'!$A$3:$B$74,2,FALSE)</f>
        <v>70</v>
      </c>
      <c r="K13" s="24">
        <f>VLOOKUP('北段 (人資版)'!K13,'工作表1'!$A$3:$B$74,2,FALSE)</f>
        <v>70</v>
      </c>
      <c r="L13" s="24">
        <f>VLOOKUP('北段 (人資版)'!L13,'工作表1'!$A$3:$B$74,2,FALSE)</f>
        <v>70</v>
      </c>
      <c r="M13" s="24">
        <f>VLOOKUP('北段 (人資版)'!M13,'工作表1'!$A$3:$B$74,2,FALSE)</f>
        <v>92</v>
      </c>
      <c r="N13" s="24">
        <f>VLOOKUP('北段 (人資版)'!N13,'工作表1'!$A$3:$B$74,2,FALSE)</f>
        <v>91</v>
      </c>
      <c r="O13" s="24">
        <f>VLOOKUP('北段 (人資版)'!O13,'工作表1'!$A$3:$B$74,2,FALSE)</f>
        <v>38</v>
      </c>
      <c r="P13" s="24">
        <f>VLOOKUP('北段 (人資版)'!P13,'工作表1'!$A$3:$B$74,2,FALSE)</f>
        <v>38</v>
      </c>
      <c r="Q13" s="24">
        <f>VLOOKUP('北段 (人資版)'!Q13,'工作表1'!$A$3:$B$74,2,FALSE)</f>
        <v>70</v>
      </c>
      <c r="R13" s="24">
        <f>VLOOKUP('北段 (人資版)'!R13,'工作表1'!$A$3:$B$74,2,FALSE)</f>
        <v>70</v>
      </c>
      <c r="S13" s="24">
        <f>VLOOKUP('北段 (人資版)'!S13,'工作表1'!$A$3:$B$74,2,FALSE)</f>
        <v>91</v>
      </c>
      <c r="T13" s="24">
        <f>VLOOKUP('北段 (人資版)'!T13,'工作表1'!$A$3:$B$74,2,FALSE)</f>
        <v>90</v>
      </c>
      <c r="U13" s="24">
        <f>VLOOKUP('北段 (人資版)'!U13,'工作表1'!$A$3:$B$74,2,FALSE)</f>
        <v>92</v>
      </c>
      <c r="V13" s="24">
        <f>VLOOKUP('北段 (人資版)'!V13,'工作表1'!$A$3:$B$74,2,FALSE)</f>
        <v>92</v>
      </c>
      <c r="W13" s="24">
        <f>VLOOKUP('北段 (人資版)'!W13,'工作表1'!$A$3:$B$74,2,FALSE)</f>
        <v>38</v>
      </c>
      <c r="X13" s="24">
        <f>VLOOKUP('北段 (人資版)'!X13,'工作表1'!$A$3:$B$74,2,FALSE)</f>
        <v>38</v>
      </c>
      <c r="Y13" s="24">
        <f>VLOOKUP('北段 (人資版)'!Y13,'工作表1'!$A$3:$B$74,2,FALSE)</f>
        <v>38</v>
      </c>
      <c r="Z13" s="24">
        <f>VLOOKUP('北段 (人資版)'!Z13,'工作表1'!$A$3:$B$74,2,FALSE)</f>
        <v>66</v>
      </c>
      <c r="AA13" s="24">
        <f>VLOOKUP('北段 (人資版)'!AA13,'工作表1'!$A$3:$B$74,2,FALSE)</f>
        <v>92</v>
      </c>
      <c r="AB13" s="24">
        <f>VLOOKUP('北段 (人資版)'!AB13,'工作表1'!$A$3:$B$74,2,FALSE)</f>
        <v>91</v>
      </c>
      <c r="AC13" s="24" t="str">
        <f>VLOOKUP('北段 (人資版)'!AC13,'工作表1'!$A$3:$B$74,2,FALSE)</f>
        <v>07</v>
      </c>
      <c r="AD13" s="24" t="str">
        <f>VLOOKUP('北段 (人資版)'!AD13,'工作表1'!$A$3:$B$74,2,FALSE)</f>
        <v>07</v>
      </c>
      <c r="AE13" s="24">
        <f>VLOOKUP('北段 (人資版)'!AE13,'工作表1'!$A$3:$B$74,2,FALSE)</f>
        <v>66</v>
      </c>
      <c r="AF13" s="24">
        <f>VLOOKUP('北段 (人資版)'!AF13,'工作表1'!$A$3:$B$74,2,FALSE)</f>
        <v>66</v>
      </c>
      <c r="AG13" s="24">
        <f>VLOOKUP('北段 (人資版)'!AG13,'工作表1'!$A$3:$B$74,2,FALSE)</f>
        <v>91</v>
      </c>
      <c r="AH13" s="24" t="str">
        <f>VLOOKUP('北段 (人資版)'!AH13,'工作表1'!$A$3:$B$74,2,FALSE)</f>
        <v>#ERROR!</v>
      </c>
      <c r="AI13" s="24" t="str">
        <f>VLOOKUP('北段 (人資版)'!AI13,'工作表1'!$A$3:$B$74,2,FALSE)</f>
        <v>#ERROR!</v>
      </c>
      <c r="AJ13" s="24" t="str">
        <f>VLOOKUP('北段 (人資版)'!AJ13,'工作表1'!$A$3:$B$74,2,FALSE)</f>
        <v>#ERROR!</v>
      </c>
      <c r="AK13" s="24" t="str">
        <f>VLOOKUP('北段 (人資版)'!AK13,'工作表1'!$A$3:$B$74,2,FALSE)</f>
        <v>#ERROR!</v>
      </c>
      <c r="AL13" s="24" t="str">
        <f>VLOOKUP('北段 (人資版)'!AL13,'工作表1'!$A$3:$B$74,2,FALSE)</f>
        <v>#ERROR!</v>
      </c>
    </row>
    <row r="14" ht="39.75" customHeight="1">
      <c r="A14" s="143"/>
      <c r="B14" s="24" t="str">
        <f>'北段'!B4</f>
        <v>T01028</v>
      </c>
      <c r="C14" s="24" t="str">
        <f>VLOOKUP(B14,'北段'!B:C,2,FALSE)</f>
        <v>林金緗</v>
      </c>
      <c r="D14" s="24" t="str">
        <f>VLOOKUP('北段 (人資版)'!D14,'工作表1'!$A$3:$B$74,2,FALSE)</f>
        <v>#N/A</v>
      </c>
      <c r="E14" s="24">
        <f>VLOOKUP('北段 (人資版)'!E14,'工作表1'!$A$3:$B$74,2,FALSE)</f>
        <v>91</v>
      </c>
      <c r="F14" s="24">
        <f>VLOOKUP('北段 (人資版)'!F14,'工作表1'!$A$3:$B$74,2,FALSE)</f>
        <v>92</v>
      </c>
      <c r="G14" s="24" t="str">
        <f>VLOOKUP('北段 (人資版)'!G14,'工作表1'!$A$3:$B$74,2,FALSE)</f>
        <v>07</v>
      </c>
      <c r="H14" s="24">
        <f>VLOOKUP('北段 (人資版)'!H14,'工作表1'!$A$3:$B$74,2,FALSE)</f>
        <v>66</v>
      </c>
      <c r="I14" s="24" t="str">
        <f>VLOOKUP('北段 (人資版)'!I14,'工作表1'!$A$3:$B$74,2,FALSE)</f>
        <v>#N/A</v>
      </c>
      <c r="J14" s="24">
        <f>VLOOKUP('北段 (人資版)'!J14,'工作表1'!$A$3:$B$74,2,FALSE)</f>
        <v>91</v>
      </c>
      <c r="K14" s="24">
        <f>VLOOKUP('北段 (人資版)'!K14,'工作表1'!$A$3:$B$74,2,FALSE)</f>
        <v>92</v>
      </c>
      <c r="L14" s="24" t="str">
        <f>VLOOKUP('北段 (人資版)'!L14,'工作表1'!$A$3:$B$74,2,FALSE)</f>
        <v>07</v>
      </c>
      <c r="M14" s="24">
        <f>VLOOKUP('北段 (人資版)'!M14,'工作表1'!$A$3:$B$74,2,FALSE)</f>
        <v>66</v>
      </c>
      <c r="N14" s="24">
        <f>VLOOKUP('北段 (人資版)'!N14,'工作表1'!$A$3:$B$74,2,FALSE)</f>
        <v>66</v>
      </c>
      <c r="O14" s="24">
        <f>VLOOKUP('北段 (人資版)'!O14,'工作表1'!$A$3:$B$74,2,FALSE)</f>
        <v>70</v>
      </c>
      <c r="P14" s="24">
        <f>VLOOKUP('北段 (人資版)'!P14,'工作表1'!$A$3:$B$74,2,FALSE)</f>
        <v>70</v>
      </c>
      <c r="Q14" s="24">
        <f>VLOOKUP('北段 (人資版)'!Q14,'工作表1'!$A$3:$B$74,2,FALSE)</f>
        <v>70</v>
      </c>
      <c r="R14" s="24">
        <f>VLOOKUP('北段 (人資版)'!R14,'工作表1'!$A$3:$B$74,2,FALSE)</f>
        <v>92</v>
      </c>
      <c r="S14" s="24">
        <f>VLOOKUP('北段 (人資版)'!S14,'工作表1'!$A$3:$B$74,2,FALSE)</f>
        <v>91</v>
      </c>
      <c r="T14" s="24">
        <f>VLOOKUP('北段 (人資版)'!T14,'工作表1'!$A$3:$B$74,2,FALSE)</f>
        <v>66</v>
      </c>
      <c r="U14" s="24">
        <f>VLOOKUP('北段 (人資版)'!U14,'工作表1'!$A$3:$B$74,2,FALSE)</f>
        <v>66</v>
      </c>
      <c r="V14" s="24">
        <f>VLOOKUP('北段 (人資版)'!V14,'工作表1'!$A$3:$B$74,2,FALSE)</f>
        <v>66</v>
      </c>
      <c r="W14" s="24">
        <f>VLOOKUP('北段 (人資版)'!W14,'工作表1'!$A$3:$B$74,2,FALSE)</f>
        <v>66</v>
      </c>
      <c r="X14" s="24">
        <f>VLOOKUP('北段 (人資版)'!X14,'工作表1'!$A$3:$B$74,2,FALSE)</f>
        <v>91</v>
      </c>
      <c r="Y14" s="24">
        <f>VLOOKUP('北段 (人資版)'!Y14,'工作表1'!$A$3:$B$74,2,FALSE)</f>
        <v>66</v>
      </c>
      <c r="Z14" s="24">
        <f>VLOOKUP('北段 (人資版)'!Z14,'工作表1'!$A$3:$B$74,2,FALSE)</f>
        <v>66</v>
      </c>
      <c r="AA14" s="24">
        <f>VLOOKUP('北段 (人資版)'!AA14,'工作表1'!$A$3:$B$74,2,FALSE)</f>
        <v>92</v>
      </c>
      <c r="AB14" s="24">
        <f>VLOOKUP('北段 (人資版)'!AB14,'工作表1'!$A$3:$B$74,2,FALSE)</f>
        <v>66</v>
      </c>
      <c r="AC14" s="24">
        <f>VLOOKUP('北段 (人資版)'!AC14,'工作表1'!$A$3:$B$74,2,FALSE)</f>
        <v>66</v>
      </c>
      <c r="AD14" s="24">
        <f>VLOOKUP('北段 (人資版)'!AD14,'工作表1'!$A$3:$B$74,2,FALSE)</f>
        <v>92</v>
      </c>
      <c r="AE14" s="24">
        <f>VLOOKUP('北段 (人資版)'!AE14,'工作表1'!$A$3:$B$74,2,FALSE)</f>
        <v>38</v>
      </c>
      <c r="AF14" s="24">
        <f>VLOOKUP('北段 (人資版)'!AF14,'工作表1'!$A$3:$B$74,2,FALSE)</f>
        <v>38</v>
      </c>
      <c r="AG14" s="24">
        <f>VLOOKUP('北段 (人資版)'!AG14,'工作表1'!$A$3:$B$74,2,FALSE)</f>
        <v>66</v>
      </c>
      <c r="AH14" s="24" t="str">
        <f>VLOOKUP('北段 (人資版)'!AH14,'工作表1'!$A$3:$B$74,2,FALSE)</f>
        <v>#ERROR!</v>
      </c>
      <c r="AI14" s="24" t="str">
        <f>VLOOKUP('北段 (人資版)'!AI14,'工作表1'!$A$3:$B$74,2,FALSE)</f>
        <v>#ERROR!</v>
      </c>
      <c r="AJ14" s="24" t="str">
        <f>VLOOKUP('北段 (人資版)'!AJ14,'工作表1'!$A$3:$B$74,2,FALSE)</f>
        <v>#ERROR!</v>
      </c>
      <c r="AK14" s="24" t="str">
        <f>VLOOKUP('北段 (人資版)'!AK14,'工作表1'!$A$3:$B$74,2,FALSE)</f>
        <v>#ERROR!</v>
      </c>
      <c r="AL14" s="24" t="str">
        <f>VLOOKUP('北段 (人資版)'!AL14,'工作表1'!$A$3:$B$74,2,FALSE)</f>
        <v>#ERROR!</v>
      </c>
    </row>
    <row r="15" ht="39.0" customHeight="1">
      <c r="A15" s="143"/>
      <c r="B15" s="24" t="str">
        <f>北段!#REF!</f>
        <v>#ERROR!</v>
      </c>
      <c r="C15" s="24" t="str">
        <f>VLOOKUP(B15,'北段'!B:C,2,FALSE)</f>
        <v>#ERROR!</v>
      </c>
      <c r="D15" s="24" t="str">
        <f>VLOOKUP('北段 (人資版)'!D15,'工作表1'!$A$3:$B$74,2,FALSE)</f>
        <v>#ERROR!</v>
      </c>
      <c r="E15" s="24" t="str">
        <f>VLOOKUP('北段 (人資版)'!E15,'工作表1'!$A$3:$B$74,2,FALSE)</f>
        <v>#ERROR!</v>
      </c>
      <c r="F15" s="24" t="str">
        <f>VLOOKUP('北段 (人資版)'!F15,'工作表1'!$A$3:$B$74,2,FALSE)</f>
        <v>#ERROR!</v>
      </c>
      <c r="G15" s="24" t="str">
        <f>VLOOKUP('北段 (人資版)'!G15,'工作表1'!$A$3:$B$74,2,FALSE)</f>
        <v>#ERROR!</v>
      </c>
      <c r="H15" s="24" t="str">
        <f>VLOOKUP('北段 (人資版)'!H15,'工作表1'!$A$3:$B$74,2,FALSE)</f>
        <v>#ERROR!</v>
      </c>
      <c r="I15" s="24" t="str">
        <f>VLOOKUP('北段 (人資版)'!I15,'工作表1'!$A$3:$B$74,2,FALSE)</f>
        <v>#ERROR!</v>
      </c>
      <c r="J15" s="24" t="str">
        <f>VLOOKUP('北段 (人資版)'!J15,'工作表1'!$A$3:$B$74,2,FALSE)</f>
        <v>#ERROR!</v>
      </c>
      <c r="K15" s="24" t="str">
        <f>VLOOKUP('北段 (人資版)'!K15,'工作表1'!$A$3:$B$74,2,FALSE)</f>
        <v>#ERROR!</v>
      </c>
      <c r="L15" s="24" t="str">
        <f>VLOOKUP('北段 (人資版)'!L15,'工作表1'!$A$3:$B$74,2,FALSE)</f>
        <v>#ERROR!</v>
      </c>
      <c r="M15" s="24" t="str">
        <f>VLOOKUP('北段 (人資版)'!M15,'工作表1'!$A$3:$B$74,2,FALSE)</f>
        <v>#ERROR!</v>
      </c>
      <c r="N15" s="24" t="str">
        <f>VLOOKUP('北段 (人資版)'!N15,'工作表1'!$A$3:$B$74,2,FALSE)</f>
        <v>#ERROR!</v>
      </c>
      <c r="O15" s="24" t="str">
        <f>VLOOKUP('北段 (人資版)'!O15,'工作表1'!$A$3:$B$74,2,FALSE)</f>
        <v>#ERROR!</v>
      </c>
      <c r="P15" s="24" t="str">
        <f>VLOOKUP('北段 (人資版)'!P15,'工作表1'!$A$3:$B$74,2,FALSE)</f>
        <v>#ERROR!</v>
      </c>
      <c r="Q15" s="24" t="str">
        <f>VLOOKUP('北段 (人資版)'!Q15,'工作表1'!$A$3:$B$74,2,FALSE)</f>
        <v>#ERROR!</v>
      </c>
      <c r="R15" s="24" t="str">
        <f>VLOOKUP('北段 (人資版)'!R15,'工作表1'!$A$3:$B$74,2,FALSE)</f>
        <v>#ERROR!</v>
      </c>
      <c r="S15" s="24" t="str">
        <f>VLOOKUP('北段 (人資版)'!S15,'工作表1'!$A$3:$B$74,2,FALSE)</f>
        <v>#ERROR!</v>
      </c>
      <c r="T15" s="24" t="str">
        <f>VLOOKUP('北段 (人資版)'!T15,'工作表1'!$A$3:$B$74,2,FALSE)</f>
        <v>#ERROR!</v>
      </c>
      <c r="U15" s="24" t="str">
        <f>VLOOKUP('北段 (人資版)'!U15,'工作表1'!$A$3:$B$74,2,FALSE)</f>
        <v>#ERROR!</v>
      </c>
      <c r="V15" s="24" t="str">
        <f>VLOOKUP('北段 (人資版)'!V15,'工作表1'!$A$3:$B$74,2,FALSE)</f>
        <v>#ERROR!</v>
      </c>
      <c r="W15" s="24" t="str">
        <f>VLOOKUP('北段 (人資版)'!W15,'工作表1'!$A$3:$B$74,2,FALSE)</f>
        <v>#ERROR!</v>
      </c>
      <c r="X15" s="24" t="str">
        <f>VLOOKUP('北段 (人資版)'!X15,'工作表1'!$A$3:$B$74,2,FALSE)</f>
        <v>#ERROR!</v>
      </c>
      <c r="Y15" s="24" t="str">
        <f>VLOOKUP('北段 (人資版)'!Y15,'工作表1'!$A$3:$B$74,2,FALSE)</f>
        <v>#ERROR!</v>
      </c>
      <c r="Z15" s="24" t="str">
        <f>VLOOKUP('北段 (人資版)'!Z15,'工作表1'!$A$3:$B$74,2,FALSE)</f>
        <v>#ERROR!</v>
      </c>
      <c r="AA15" s="24" t="str">
        <f>VLOOKUP('北段 (人資版)'!AA15,'工作表1'!$A$3:$B$74,2,FALSE)</f>
        <v>#ERROR!</v>
      </c>
      <c r="AB15" s="24" t="str">
        <f>VLOOKUP('北段 (人資版)'!AB15,'工作表1'!$A$3:$B$74,2,FALSE)</f>
        <v>#ERROR!</v>
      </c>
      <c r="AC15" s="24" t="str">
        <f>VLOOKUP('北段 (人資版)'!AC15,'工作表1'!$A$3:$B$74,2,FALSE)</f>
        <v>#ERROR!</v>
      </c>
      <c r="AD15" s="24" t="str">
        <f>VLOOKUP('北段 (人資版)'!AD15,'工作表1'!$A$3:$B$74,2,FALSE)</f>
        <v>#ERROR!</v>
      </c>
      <c r="AE15" s="24" t="str">
        <f>VLOOKUP('北段 (人資版)'!AE15,'工作表1'!$A$3:$B$74,2,FALSE)</f>
        <v>#ERROR!</v>
      </c>
      <c r="AF15" s="24" t="str">
        <f>VLOOKUP('北段 (人資版)'!AF15,'工作表1'!$A$3:$B$74,2,FALSE)</f>
        <v>#ERROR!</v>
      </c>
      <c r="AG15" s="24" t="str">
        <f>VLOOKUP('北段 (人資版)'!AG15,'工作表1'!$A$3:$B$74,2,FALSE)</f>
        <v>#ERROR!</v>
      </c>
      <c r="AH15" s="24" t="str">
        <f>VLOOKUP('北段 (人資版)'!AH15,'工作表1'!$A$3:$B$74,2,FALSE)</f>
        <v>#ERROR!</v>
      </c>
      <c r="AI15" s="24" t="str">
        <f>VLOOKUP('北段 (人資版)'!AI15,'工作表1'!$A$3:$B$74,2,FALSE)</f>
        <v>#ERROR!</v>
      </c>
      <c r="AJ15" s="24" t="str">
        <f>VLOOKUP('北段 (人資版)'!AJ15,'工作表1'!$A$3:$B$74,2,FALSE)</f>
        <v>#ERROR!</v>
      </c>
      <c r="AK15" s="24" t="str">
        <f>VLOOKUP('北段 (人資版)'!AK15,'工作表1'!$A$3:$B$74,2,FALSE)</f>
        <v>#ERROR!</v>
      </c>
      <c r="AL15" s="24" t="str">
        <f>VLOOKUP('北段 (人資版)'!AL15,'工作表1'!$A$3:$B$74,2,FALSE)</f>
        <v>#ERROR!</v>
      </c>
    </row>
    <row r="16" ht="39.75" customHeight="1">
      <c r="A16" s="143"/>
      <c r="B16" s="24" t="str">
        <f>'北段'!B6</f>
        <v>T01734</v>
      </c>
      <c r="C16" s="24" t="str">
        <f>VLOOKUP(B16,'北段'!B:C,2,FALSE)</f>
        <v>黃冠銘</v>
      </c>
      <c r="D16" s="24" t="str">
        <f>VLOOKUP('北段 (人資版)'!D16,'工作表1'!$A$3:$B$74,2,FALSE)</f>
        <v>#N/A</v>
      </c>
      <c r="E16" s="24">
        <f>VLOOKUP('北段 (人資版)'!E16,'工作表1'!$A$3:$B$74,2,FALSE)</f>
        <v>91</v>
      </c>
      <c r="F16" s="24">
        <f>VLOOKUP('北段 (人資版)'!F16,'工作表1'!$A$3:$B$74,2,FALSE)</f>
        <v>70</v>
      </c>
      <c r="G16" s="24">
        <f>VLOOKUP('北段 (人資版)'!G16,'工作表1'!$A$3:$B$74,2,FALSE)</f>
        <v>70</v>
      </c>
      <c r="H16" s="24">
        <f>VLOOKUP('北段 (人資版)'!H16,'工作表1'!$A$3:$B$74,2,FALSE)</f>
        <v>70</v>
      </c>
      <c r="I16" s="24" t="str">
        <f>VLOOKUP('北段 (人資版)'!I16,'工作表1'!$A$3:$B$74,2,FALSE)</f>
        <v>#N/A</v>
      </c>
      <c r="J16" s="24">
        <f>VLOOKUP('北段 (人資版)'!J16,'工作表1'!$A$3:$B$74,2,FALSE)</f>
        <v>91</v>
      </c>
      <c r="K16" s="24">
        <f>VLOOKUP('北段 (人資版)'!K16,'工作表1'!$A$3:$B$74,2,FALSE)</f>
        <v>70</v>
      </c>
      <c r="L16" s="24">
        <f>VLOOKUP('北段 (人資版)'!L16,'工作表1'!$A$3:$B$74,2,FALSE)</f>
        <v>70</v>
      </c>
      <c r="M16" s="24">
        <f>VLOOKUP('北段 (人資版)'!M16,'工作表1'!$A$3:$B$74,2,FALSE)</f>
        <v>70</v>
      </c>
      <c r="N16" s="24">
        <f>VLOOKUP('北段 (人資版)'!N16,'工作表1'!$A$3:$B$74,2,FALSE)</f>
        <v>70</v>
      </c>
      <c r="O16" s="24">
        <f>VLOOKUP('北段 (人資版)'!O16,'工作表1'!$A$3:$B$74,2,FALSE)</f>
        <v>92</v>
      </c>
      <c r="P16" s="24">
        <f>VLOOKUP('北段 (人資版)'!P16,'工作表1'!$A$3:$B$74,2,FALSE)</f>
        <v>92</v>
      </c>
      <c r="Q16" s="24">
        <f>VLOOKUP('北段 (人資版)'!Q16,'工作表1'!$A$3:$B$74,2,FALSE)</f>
        <v>91</v>
      </c>
      <c r="R16" s="24">
        <f>VLOOKUP('北段 (人資版)'!R16,'工作表1'!$A$3:$B$74,2,FALSE)</f>
        <v>66</v>
      </c>
      <c r="S16" s="24">
        <f>VLOOKUP('北段 (人資版)'!S16,'工作表1'!$A$3:$B$74,2,FALSE)</f>
        <v>66</v>
      </c>
      <c r="T16" s="24">
        <f>VLOOKUP('北段 (人資版)'!T16,'工作表1'!$A$3:$B$74,2,FALSE)</f>
        <v>92</v>
      </c>
      <c r="U16" s="24">
        <f>VLOOKUP('北段 (人資版)'!U16,'工作表1'!$A$3:$B$74,2,FALSE)</f>
        <v>38</v>
      </c>
      <c r="V16" s="24">
        <f>VLOOKUP('北段 (人資版)'!V16,'工作表1'!$A$3:$B$74,2,FALSE)</f>
        <v>38</v>
      </c>
      <c r="W16" s="24">
        <f>VLOOKUP('北段 (人資版)'!W16,'工作表1'!$A$3:$B$74,2,FALSE)</f>
        <v>38</v>
      </c>
      <c r="X16" s="24">
        <f>VLOOKUP('北段 (人資版)'!X16,'工作表1'!$A$3:$B$74,2,FALSE)</f>
        <v>38</v>
      </c>
      <c r="Y16" s="24">
        <f>VLOOKUP('北段 (人資版)'!Y16,'工作表1'!$A$3:$B$74,2,FALSE)</f>
        <v>38</v>
      </c>
      <c r="Z16" s="24">
        <f>VLOOKUP('北段 (人資版)'!Z16,'工作表1'!$A$3:$B$74,2,FALSE)</f>
        <v>91</v>
      </c>
      <c r="AA16" s="24">
        <f>VLOOKUP('北段 (人資版)'!AA16,'工作表1'!$A$3:$B$74,2,FALSE)</f>
        <v>92</v>
      </c>
      <c r="AB16" s="24">
        <f>VLOOKUP('北段 (人資版)'!AB16,'工作表1'!$A$3:$B$74,2,FALSE)</f>
        <v>38</v>
      </c>
      <c r="AC16" s="24">
        <f>VLOOKUP('北段 (人資版)'!AC16,'工作表1'!$A$3:$B$74,2,FALSE)</f>
        <v>38</v>
      </c>
      <c r="AD16" s="24">
        <f>VLOOKUP('北段 (人資版)'!AD16,'工作表1'!$A$3:$B$74,2,FALSE)</f>
        <v>38</v>
      </c>
      <c r="AE16" s="24">
        <f>VLOOKUP('北段 (人資版)'!AE16,'工作表1'!$A$3:$B$74,2,FALSE)</f>
        <v>38</v>
      </c>
      <c r="AF16" s="24">
        <f>VLOOKUP('北段 (人資版)'!AF16,'工作表1'!$A$3:$B$74,2,FALSE)</f>
        <v>91</v>
      </c>
      <c r="AG16" s="24">
        <f>VLOOKUP('北段 (人資版)'!AG16,'工作表1'!$A$3:$B$74,2,FALSE)</f>
        <v>38</v>
      </c>
      <c r="AH16" s="24" t="str">
        <f>VLOOKUP('北段 (人資版)'!AH16,'工作表1'!$A$3:$B$74,2,FALSE)</f>
        <v>#ERROR!</v>
      </c>
      <c r="AI16" s="24" t="str">
        <f>VLOOKUP('北段 (人資版)'!AI16,'工作表1'!$A$3:$B$74,2,FALSE)</f>
        <v>#ERROR!</v>
      </c>
      <c r="AJ16" s="24" t="str">
        <f>VLOOKUP('北段 (人資版)'!AJ16,'工作表1'!$A$3:$B$74,2,FALSE)</f>
        <v>#ERROR!</v>
      </c>
      <c r="AK16" s="24" t="str">
        <f>VLOOKUP('北段 (人資版)'!AK16,'工作表1'!$A$3:$B$74,2,FALSE)</f>
        <v>#ERROR!</v>
      </c>
      <c r="AL16" s="24" t="str">
        <f>VLOOKUP('北段 (人資版)'!AL16,'工作表1'!$A$3:$B$74,2,FALSE)</f>
        <v>#ERROR!</v>
      </c>
    </row>
    <row r="17" ht="39.0" customHeight="1">
      <c r="A17" s="143"/>
      <c r="B17" s="24" t="str">
        <f>'北段'!B7</f>
        <v>T02287</v>
      </c>
      <c r="C17" s="24" t="str">
        <f>VLOOKUP(B17,'北段'!B:C,2,FALSE)</f>
        <v>林江玉</v>
      </c>
      <c r="D17" s="24" t="str">
        <f>VLOOKUP('北段 (人資版)'!D17,'工作表1'!$A$3:$B$74,2,FALSE)</f>
        <v>#N/A</v>
      </c>
      <c r="E17" s="24">
        <f>VLOOKUP('北段 (人資版)'!E17,'工作表1'!$A$3:$B$74,2,FALSE)</f>
        <v>91</v>
      </c>
      <c r="F17" s="24">
        <f>VLOOKUP('北段 (人資版)'!F17,'工作表1'!$A$3:$B$74,2,FALSE)</f>
        <v>38</v>
      </c>
      <c r="G17" s="24">
        <f>VLOOKUP('北段 (人資版)'!G17,'工作表1'!$A$3:$B$74,2,FALSE)</f>
        <v>38</v>
      </c>
      <c r="H17" s="24">
        <f>VLOOKUP('北段 (人資版)'!H17,'工作表1'!$A$3:$B$74,2,FALSE)</f>
        <v>38</v>
      </c>
      <c r="I17" s="24" t="str">
        <f>VLOOKUP('北段 (人資版)'!I17,'工作表1'!$A$3:$B$74,2,FALSE)</f>
        <v>#N/A</v>
      </c>
      <c r="J17" s="24">
        <f>VLOOKUP('北段 (人資版)'!J17,'工作表1'!$A$3:$B$74,2,FALSE)</f>
        <v>91</v>
      </c>
      <c r="K17" s="24">
        <f>VLOOKUP('北段 (人資版)'!K17,'工作表1'!$A$3:$B$74,2,FALSE)</f>
        <v>38</v>
      </c>
      <c r="L17" s="24">
        <f>VLOOKUP('北段 (人資版)'!L17,'工作表1'!$A$3:$B$74,2,FALSE)</f>
        <v>38</v>
      </c>
      <c r="M17" s="24">
        <f>VLOOKUP('北段 (人資版)'!M17,'工作表1'!$A$3:$B$74,2,FALSE)</f>
        <v>38</v>
      </c>
      <c r="N17" s="24">
        <f>VLOOKUP('北段 (人資版)'!N17,'工作表1'!$A$3:$B$74,2,FALSE)</f>
        <v>38</v>
      </c>
      <c r="O17" s="24">
        <f>VLOOKUP('北段 (人資版)'!O17,'工作表1'!$A$3:$B$74,2,FALSE)</f>
        <v>92</v>
      </c>
      <c r="P17" s="24">
        <f>VLOOKUP('北段 (人資版)'!P17,'工作表1'!$A$3:$B$74,2,FALSE)</f>
        <v>92</v>
      </c>
      <c r="Q17" s="24">
        <f>VLOOKUP('北段 (人資版)'!Q17,'工作表1'!$A$3:$B$74,2,FALSE)</f>
        <v>38</v>
      </c>
      <c r="R17" s="24">
        <f>VLOOKUP('北段 (人資版)'!R17,'工作表1'!$A$3:$B$74,2,FALSE)</f>
        <v>38</v>
      </c>
      <c r="S17" s="24">
        <f>VLOOKUP('北段 (人資版)'!S17,'工作表1'!$A$3:$B$74,2,FALSE)</f>
        <v>38</v>
      </c>
      <c r="T17" s="24">
        <f>VLOOKUP('北段 (人資版)'!T17,'工作表1'!$A$3:$B$74,2,FALSE)</f>
        <v>38</v>
      </c>
      <c r="U17" s="24">
        <f>VLOOKUP('北段 (人資版)'!U17,'工作表1'!$A$3:$B$74,2,FALSE)</f>
        <v>38</v>
      </c>
      <c r="V17" s="24">
        <f>VLOOKUP('北段 (人資版)'!V17,'工作表1'!$A$3:$B$74,2,FALSE)</f>
        <v>91</v>
      </c>
      <c r="W17" s="24" t="str">
        <f>VLOOKUP('北段 (人資版)'!W17,'工作表1'!$A$3:$B$74,2,FALSE)</f>
        <v>07</v>
      </c>
      <c r="X17" s="24">
        <f>VLOOKUP('北段 (人資版)'!X17,'工作表1'!$A$3:$B$74,2,FALSE)</f>
        <v>91</v>
      </c>
      <c r="Y17" s="24">
        <f>VLOOKUP('北段 (人資版)'!Y17,'工作表1'!$A$3:$B$74,2,FALSE)</f>
        <v>92</v>
      </c>
      <c r="Z17" s="24">
        <f>VLOOKUP('北段 (人資版)'!Z17,'工作表1'!$A$3:$B$74,2,FALSE)</f>
        <v>70</v>
      </c>
      <c r="AA17" s="24">
        <f>VLOOKUP('北段 (人資版)'!AA17,'工作表1'!$A$3:$B$74,2,FALSE)</f>
        <v>70</v>
      </c>
      <c r="AB17" s="24">
        <f>VLOOKUP('北段 (人資版)'!AB17,'工作表1'!$A$3:$B$74,2,FALSE)</f>
        <v>70</v>
      </c>
      <c r="AC17" s="24">
        <f>VLOOKUP('北段 (人資版)'!AC17,'工作表1'!$A$3:$B$74,2,FALSE)</f>
        <v>70</v>
      </c>
      <c r="AD17" s="24">
        <f>VLOOKUP('北段 (人資版)'!AD17,'工作表1'!$A$3:$B$74,2,FALSE)</f>
        <v>70</v>
      </c>
      <c r="AE17" s="24">
        <f>VLOOKUP('北段 (人資版)'!AE17,'工作表1'!$A$3:$B$74,2,FALSE)</f>
        <v>91</v>
      </c>
      <c r="AF17" s="24">
        <f>VLOOKUP('北段 (人資版)'!AF17,'工作表1'!$A$3:$B$74,2,FALSE)</f>
        <v>90</v>
      </c>
      <c r="AG17" s="24" t="str">
        <f>VLOOKUP('北段 (人資版)'!AG17,'工作表1'!$A$3:$B$74,2,FALSE)</f>
        <v>07</v>
      </c>
      <c r="AH17" s="24" t="str">
        <f>VLOOKUP('北段 (人資版)'!AH17,'工作表1'!$A$3:$B$74,2,FALSE)</f>
        <v>#ERROR!</v>
      </c>
      <c r="AI17" s="24" t="str">
        <f>VLOOKUP('北段 (人資版)'!AI17,'工作表1'!$A$3:$B$74,2,FALSE)</f>
        <v>#ERROR!</v>
      </c>
      <c r="AJ17" s="24" t="str">
        <f>VLOOKUP('北段 (人資版)'!AJ17,'工作表1'!$A$3:$B$74,2,FALSE)</f>
        <v>#ERROR!</v>
      </c>
      <c r="AK17" s="24" t="str">
        <f>VLOOKUP('北段 (人資版)'!AK17,'工作表1'!$A$3:$B$74,2,FALSE)</f>
        <v>#ERROR!</v>
      </c>
      <c r="AL17" s="24" t="str">
        <f>VLOOKUP('北段 (人資版)'!AL17,'工作表1'!$A$3:$B$74,2,FALSE)</f>
        <v>#ERROR!</v>
      </c>
    </row>
    <row r="18" ht="39.0" customHeight="1">
      <c r="A18" s="143"/>
      <c r="B18" s="24" t="str">
        <f>'北段'!B8</f>
        <v>T02359</v>
      </c>
      <c r="C18" s="24" t="str">
        <f>VLOOKUP(B18,'北段'!B:C,2,FALSE)</f>
        <v>陳佳婷</v>
      </c>
      <c r="D18" s="24">
        <f>VLOOKUP('北段 (人資版)'!D18,'工作表1'!$A$3:$B$74,2,FALSE)</f>
        <v>92</v>
      </c>
      <c r="E18" s="24">
        <f>VLOOKUP('北段 (人資版)'!E18,'工作表1'!$A$3:$B$74,2,FALSE)</f>
        <v>38</v>
      </c>
      <c r="F18" s="24">
        <f>VLOOKUP('北段 (人資版)'!F18,'工作表1'!$A$3:$B$74,2,FALSE)</f>
        <v>38</v>
      </c>
      <c r="G18" s="24">
        <f>VLOOKUP('北段 (人資版)'!G18,'工作表1'!$A$3:$B$74,2,FALSE)</f>
        <v>66</v>
      </c>
      <c r="H18" s="24">
        <f>VLOOKUP('北段 (人資版)'!H18,'工作表1'!$A$3:$B$74,2,FALSE)</f>
        <v>91</v>
      </c>
      <c r="I18" s="24">
        <f>VLOOKUP('北段 (人資版)'!I18,'工作表1'!$A$3:$B$74,2,FALSE)</f>
        <v>92</v>
      </c>
      <c r="J18" s="24">
        <f>VLOOKUP('北段 (人資版)'!J18,'工作表1'!$A$3:$B$74,2,FALSE)</f>
        <v>38</v>
      </c>
      <c r="K18" s="24">
        <f>VLOOKUP('北段 (人資版)'!K18,'工作表1'!$A$3:$B$74,2,FALSE)</f>
        <v>38</v>
      </c>
      <c r="L18" s="24">
        <f>VLOOKUP('北段 (人資版)'!L18,'工作表1'!$A$3:$B$74,2,FALSE)</f>
        <v>66</v>
      </c>
      <c r="M18" s="24">
        <f>VLOOKUP('北段 (人資版)'!M18,'工作表1'!$A$3:$B$74,2,FALSE)</f>
        <v>91</v>
      </c>
      <c r="N18" s="24">
        <f>VLOOKUP('北段 (人資版)'!N18,'工作表1'!$A$3:$B$74,2,FALSE)</f>
        <v>92</v>
      </c>
      <c r="O18" s="24">
        <f>VLOOKUP('北段 (人資版)'!O18,'工作表1'!$A$3:$B$74,2,FALSE)</f>
        <v>66</v>
      </c>
      <c r="P18" s="24">
        <f>VLOOKUP('北段 (人資版)'!P18,'工作表1'!$A$3:$B$74,2,FALSE)</f>
        <v>66</v>
      </c>
      <c r="Q18" s="24" t="str">
        <f>VLOOKUP('北段 (人資版)'!Q18,'工作表1'!$A$3:$B$74,2,FALSE)</f>
        <v>07</v>
      </c>
      <c r="R18" s="24" t="str">
        <f>VLOOKUP('北段 (人資版)'!R18,'工作表1'!$A$3:$B$74,2,FALSE)</f>
        <v>07</v>
      </c>
      <c r="S18" s="24">
        <f>VLOOKUP('北段 (人資版)'!S18,'工作表1'!$A$3:$B$74,2,FALSE)</f>
        <v>91</v>
      </c>
      <c r="T18" s="24">
        <f>VLOOKUP('北段 (人資版)'!T18,'工作表1'!$A$3:$B$74,2,FALSE)</f>
        <v>38</v>
      </c>
      <c r="U18" s="24">
        <f>VLOOKUP('北段 (人資版)'!U18,'工作表1'!$A$3:$B$74,2,FALSE)</f>
        <v>38</v>
      </c>
      <c r="V18" s="24">
        <f>VLOOKUP('北段 (人資版)'!V18,'工作表1'!$A$3:$B$74,2,FALSE)</f>
        <v>38</v>
      </c>
      <c r="W18" s="24">
        <f>VLOOKUP('北段 (人資版)'!W18,'工作表1'!$A$3:$B$74,2,FALSE)</f>
        <v>38</v>
      </c>
      <c r="X18" s="24">
        <f>VLOOKUP('北段 (人資版)'!X18,'工作表1'!$A$3:$B$74,2,FALSE)</f>
        <v>38</v>
      </c>
      <c r="Y18" s="24">
        <f>VLOOKUP('北段 (人資版)'!Y18,'工作表1'!$A$3:$B$74,2,FALSE)</f>
        <v>92</v>
      </c>
      <c r="Z18" s="24">
        <f>VLOOKUP('北段 (人資版)'!Z18,'工作表1'!$A$3:$B$74,2,FALSE)</f>
        <v>38</v>
      </c>
      <c r="AA18" s="24">
        <f>VLOOKUP('北段 (人資版)'!AA18,'工作表1'!$A$3:$B$74,2,FALSE)</f>
        <v>38</v>
      </c>
      <c r="AB18" s="24">
        <f>VLOOKUP('北段 (人資版)'!AB18,'工作表1'!$A$3:$B$74,2,FALSE)</f>
        <v>70</v>
      </c>
      <c r="AC18" s="24">
        <f>VLOOKUP('北段 (人資版)'!AC18,'工作表1'!$A$3:$B$74,2,FALSE)</f>
        <v>70</v>
      </c>
      <c r="AD18" s="24">
        <f>VLOOKUP('北段 (人資版)'!AD18,'工作表1'!$A$3:$B$74,2,FALSE)</f>
        <v>91</v>
      </c>
      <c r="AE18" s="24">
        <f>VLOOKUP('北段 (人資版)'!AE18,'工作表1'!$A$3:$B$74,2,FALSE)</f>
        <v>91</v>
      </c>
      <c r="AF18" s="24">
        <f>VLOOKUP('北段 (人資版)'!AF18,'工作表1'!$A$3:$B$74,2,FALSE)</f>
        <v>92</v>
      </c>
      <c r="AG18" s="24">
        <f>VLOOKUP('北段 (人資版)'!AG18,'工作表1'!$A$3:$B$74,2,FALSE)</f>
        <v>38</v>
      </c>
      <c r="AH18" s="24" t="str">
        <f>VLOOKUP('北段 (人資版)'!AH18,'工作表1'!$A$3:$B$74,2,FALSE)</f>
        <v>#ERROR!</v>
      </c>
      <c r="AI18" s="24" t="str">
        <f>VLOOKUP('北段 (人資版)'!AI18,'工作表1'!$A$3:$B$74,2,FALSE)</f>
        <v>#ERROR!</v>
      </c>
      <c r="AJ18" s="24" t="str">
        <f>VLOOKUP('北段 (人資版)'!AJ18,'工作表1'!$A$3:$B$74,2,FALSE)</f>
        <v>#ERROR!</v>
      </c>
      <c r="AK18" s="24" t="str">
        <f>VLOOKUP('北段 (人資版)'!AK18,'工作表1'!$A$3:$B$74,2,FALSE)</f>
        <v>#ERROR!</v>
      </c>
      <c r="AL18" s="24" t="str">
        <f>VLOOKUP('北段 (人資版)'!AL18,'工作表1'!$A$3:$B$74,2,FALSE)</f>
        <v>#ERROR!</v>
      </c>
    </row>
    <row r="19" ht="39.0" customHeight="1">
      <c r="A19" s="143"/>
      <c r="B19" s="24" t="str">
        <f>'北段'!B9</f>
        <v>T02363</v>
      </c>
      <c r="C19" s="24" t="str">
        <f>VLOOKUP(B19,'北段'!B:C,2,FALSE)</f>
        <v>林孟錡</v>
      </c>
      <c r="D19" s="24" t="str">
        <f>VLOOKUP('北段 (人資版)'!D19,'工作表1'!$A$3:$B$74,2,FALSE)</f>
        <v>#N/A</v>
      </c>
      <c r="E19" s="24">
        <f>VLOOKUP('北段 (人資版)'!E19,'工作表1'!$A$3:$B$74,2,FALSE)</f>
        <v>70</v>
      </c>
      <c r="F19" s="24">
        <f>VLOOKUP('北段 (人資版)'!F19,'工作表1'!$A$3:$B$74,2,FALSE)</f>
        <v>92</v>
      </c>
      <c r="G19" s="24">
        <f>VLOOKUP('北段 (人資版)'!G19,'工作表1'!$A$3:$B$74,2,FALSE)</f>
        <v>91</v>
      </c>
      <c r="H19" s="24">
        <f>VLOOKUP('北段 (人資版)'!H19,'工作表1'!$A$3:$B$74,2,FALSE)</f>
        <v>70</v>
      </c>
      <c r="I19" s="24" t="str">
        <f>VLOOKUP('北段 (人資版)'!I19,'工作表1'!$A$3:$B$74,2,FALSE)</f>
        <v>#N/A</v>
      </c>
      <c r="J19" s="24">
        <f>VLOOKUP('北段 (人資版)'!J19,'工作表1'!$A$3:$B$74,2,FALSE)</f>
        <v>70</v>
      </c>
      <c r="K19" s="24">
        <f>VLOOKUP('北段 (人資版)'!K19,'工作表1'!$A$3:$B$74,2,FALSE)</f>
        <v>92</v>
      </c>
      <c r="L19" s="24">
        <f>VLOOKUP('北段 (人資版)'!L19,'工作表1'!$A$3:$B$74,2,FALSE)</f>
        <v>91</v>
      </c>
      <c r="M19" s="24">
        <f>VLOOKUP('北段 (人資版)'!M19,'工作表1'!$A$3:$B$74,2,FALSE)</f>
        <v>70</v>
      </c>
      <c r="N19" s="24">
        <f>VLOOKUP('北段 (人資版)'!N19,'工作表1'!$A$3:$B$74,2,FALSE)</f>
        <v>70</v>
      </c>
      <c r="O19" s="24">
        <f>VLOOKUP('北段 (人資版)'!O19,'工作表1'!$A$3:$B$74,2,FALSE)</f>
        <v>70</v>
      </c>
      <c r="P19" s="24">
        <f>VLOOKUP('北段 (人資版)'!P19,'工作表1'!$A$3:$B$74,2,FALSE)</f>
        <v>70</v>
      </c>
      <c r="Q19" s="24">
        <f>VLOOKUP('北段 (人資版)'!Q19,'工作表1'!$A$3:$B$74,2,FALSE)</f>
        <v>92</v>
      </c>
      <c r="R19" s="24">
        <f>VLOOKUP('北段 (人資版)'!R19,'工作表1'!$A$3:$B$74,2,FALSE)</f>
        <v>92</v>
      </c>
      <c r="S19" s="24">
        <f>VLOOKUP('北段 (人資版)'!S19,'工作表1'!$A$3:$B$74,2,FALSE)</f>
        <v>70</v>
      </c>
      <c r="T19" s="24">
        <f>VLOOKUP('北段 (人資版)'!T19,'工作表1'!$A$3:$B$74,2,FALSE)</f>
        <v>70</v>
      </c>
      <c r="U19" s="24">
        <f>VLOOKUP('北段 (人資版)'!U19,'工作表1'!$A$3:$B$74,2,FALSE)</f>
        <v>70</v>
      </c>
      <c r="V19" s="24">
        <f>VLOOKUP('北段 (人資版)'!V19,'工作表1'!$A$3:$B$74,2,FALSE)</f>
        <v>91</v>
      </c>
      <c r="W19" s="24">
        <f>VLOOKUP('北段 (人資版)'!W19,'工作表1'!$A$3:$B$74,2,FALSE)</f>
        <v>92</v>
      </c>
      <c r="X19" s="24">
        <f>VLOOKUP('北段 (人資版)'!X19,'工作表1'!$A$3:$B$74,2,FALSE)</f>
        <v>70</v>
      </c>
      <c r="Y19" s="24">
        <f>VLOOKUP('北段 (人資版)'!Y19,'工作表1'!$A$3:$B$74,2,FALSE)</f>
        <v>70</v>
      </c>
      <c r="Z19" s="24">
        <f>VLOOKUP('北段 (人資版)'!Z19,'工作表1'!$A$3:$B$74,2,FALSE)</f>
        <v>70</v>
      </c>
      <c r="AA19" s="24">
        <f>VLOOKUP('北段 (人資版)'!AA19,'工作表1'!$A$3:$B$74,2,FALSE)</f>
        <v>70</v>
      </c>
      <c r="AB19" s="24">
        <f>VLOOKUP('北段 (人資版)'!AB19,'工作表1'!$A$3:$B$74,2,FALSE)</f>
        <v>91</v>
      </c>
      <c r="AC19" s="24">
        <f>VLOOKUP('北段 (人資版)'!AC19,'工作表1'!$A$3:$B$74,2,FALSE)</f>
        <v>90</v>
      </c>
      <c r="AD19" s="24">
        <f>VLOOKUP('北段 (人資版)'!AD19,'工作表1'!$A$3:$B$74,2,FALSE)</f>
        <v>70</v>
      </c>
      <c r="AE19" s="24">
        <f>VLOOKUP('北段 (人資版)'!AE19,'工作表1'!$A$3:$B$74,2,FALSE)</f>
        <v>70</v>
      </c>
      <c r="AF19" s="24">
        <f>VLOOKUP('北段 (人資版)'!AF19,'工作表1'!$A$3:$B$74,2,FALSE)</f>
        <v>70</v>
      </c>
      <c r="AG19" s="24">
        <f>VLOOKUP('北段 (人資版)'!AG19,'工作表1'!$A$3:$B$74,2,FALSE)</f>
        <v>70</v>
      </c>
      <c r="AH19" s="24" t="str">
        <f>VLOOKUP('北段 (人資版)'!AH19,'工作表1'!$A$3:$B$74,2,FALSE)</f>
        <v>#ERROR!</v>
      </c>
      <c r="AI19" s="24" t="str">
        <f>VLOOKUP('北段 (人資版)'!AI19,'工作表1'!$A$3:$B$74,2,FALSE)</f>
        <v>#ERROR!</v>
      </c>
      <c r="AJ19" s="24" t="str">
        <f>VLOOKUP('北段 (人資版)'!AJ19,'工作表1'!$A$3:$B$74,2,FALSE)</f>
        <v>#ERROR!</v>
      </c>
      <c r="AK19" s="24" t="str">
        <f>VLOOKUP('北段 (人資版)'!AK19,'工作表1'!$A$3:$B$74,2,FALSE)</f>
        <v>#ERROR!</v>
      </c>
      <c r="AL19" s="24" t="str">
        <f>VLOOKUP('北段 (人資版)'!AL19,'工作表1'!$A$3:$B$74,2,FALSE)</f>
        <v>#ERROR!</v>
      </c>
    </row>
    <row r="20" ht="39.0" customHeight="1">
      <c r="A20" s="143"/>
      <c r="B20" s="24" t="str">
        <f>北段!#REF!</f>
        <v>#ERROR!</v>
      </c>
      <c r="C20" s="24" t="str">
        <f>VLOOKUP(B20,'北段'!B:C,2,FALSE)</f>
        <v>#ERROR!</v>
      </c>
      <c r="D20" s="24" t="str">
        <f>VLOOKUP('北段 (人資版)'!D20,'工作表1'!$A$3:$B$74,2,FALSE)</f>
        <v>#ERROR!</v>
      </c>
      <c r="E20" s="24" t="str">
        <f>VLOOKUP('北段 (人資版)'!E20,'工作表1'!$A$3:$B$74,2,FALSE)</f>
        <v>#ERROR!</v>
      </c>
      <c r="F20" s="24" t="str">
        <f>VLOOKUP('北段 (人資版)'!F20,'工作表1'!$A$3:$B$74,2,FALSE)</f>
        <v>#ERROR!</v>
      </c>
      <c r="G20" s="24" t="str">
        <f>VLOOKUP('北段 (人資版)'!G20,'工作表1'!$A$3:$B$74,2,FALSE)</f>
        <v>#ERROR!</v>
      </c>
      <c r="H20" s="24" t="str">
        <f>VLOOKUP('北段 (人資版)'!H20,'工作表1'!$A$3:$B$74,2,FALSE)</f>
        <v>#ERROR!</v>
      </c>
      <c r="I20" s="24" t="str">
        <f>VLOOKUP('北段 (人資版)'!I20,'工作表1'!$A$3:$B$74,2,FALSE)</f>
        <v>#ERROR!</v>
      </c>
      <c r="J20" s="24" t="str">
        <f>VLOOKUP('北段 (人資版)'!J20,'工作表1'!$A$3:$B$74,2,FALSE)</f>
        <v>#ERROR!</v>
      </c>
      <c r="K20" s="24" t="str">
        <f>VLOOKUP('北段 (人資版)'!K20,'工作表1'!$A$3:$B$74,2,FALSE)</f>
        <v>#ERROR!</v>
      </c>
      <c r="L20" s="24" t="str">
        <f>VLOOKUP('北段 (人資版)'!L20,'工作表1'!$A$3:$B$74,2,FALSE)</f>
        <v>#ERROR!</v>
      </c>
      <c r="M20" s="24" t="str">
        <f>VLOOKUP('北段 (人資版)'!M20,'工作表1'!$A$3:$B$74,2,FALSE)</f>
        <v>#ERROR!</v>
      </c>
      <c r="N20" s="24" t="str">
        <f>VLOOKUP('北段 (人資版)'!N20,'工作表1'!$A$3:$B$74,2,FALSE)</f>
        <v>#ERROR!</v>
      </c>
      <c r="O20" s="24" t="str">
        <f>VLOOKUP('北段 (人資版)'!O20,'工作表1'!$A$3:$B$74,2,FALSE)</f>
        <v>#ERROR!</v>
      </c>
      <c r="P20" s="24" t="str">
        <f>VLOOKUP('北段 (人資版)'!P20,'工作表1'!$A$3:$B$74,2,FALSE)</f>
        <v>#ERROR!</v>
      </c>
      <c r="Q20" s="24" t="str">
        <f>VLOOKUP('北段 (人資版)'!Q20,'工作表1'!$A$3:$B$74,2,FALSE)</f>
        <v>#ERROR!</v>
      </c>
      <c r="R20" s="24" t="str">
        <f>VLOOKUP('北段 (人資版)'!R20,'工作表1'!$A$3:$B$74,2,FALSE)</f>
        <v>#ERROR!</v>
      </c>
      <c r="S20" s="24" t="str">
        <f>VLOOKUP('北段 (人資版)'!S20,'工作表1'!$A$3:$B$74,2,FALSE)</f>
        <v>#ERROR!</v>
      </c>
      <c r="T20" s="24" t="str">
        <f>VLOOKUP('北段 (人資版)'!T20,'工作表1'!$A$3:$B$74,2,FALSE)</f>
        <v>#ERROR!</v>
      </c>
      <c r="U20" s="24" t="str">
        <f>VLOOKUP('北段 (人資版)'!U20,'工作表1'!$A$3:$B$74,2,FALSE)</f>
        <v>#ERROR!</v>
      </c>
      <c r="V20" s="24" t="str">
        <f>VLOOKUP('北段 (人資版)'!V20,'工作表1'!$A$3:$B$74,2,FALSE)</f>
        <v>#ERROR!</v>
      </c>
      <c r="W20" s="24" t="str">
        <f>VLOOKUP('北段 (人資版)'!W20,'工作表1'!$A$3:$B$74,2,FALSE)</f>
        <v>#ERROR!</v>
      </c>
      <c r="X20" s="24" t="str">
        <f>VLOOKUP('北段 (人資版)'!X20,'工作表1'!$A$3:$B$74,2,FALSE)</f>
        <v>#ERROR!</v>
      </c>
      <c r="Y20" s="24" t="str">
        <f>VLOOKUP('北段 (人資版)'!Y20,'工作表1'!$A$3:$B$74,2,FALSE)</f>
        <v>#ERROR!</v>
      </c>
      <c r="Z20" s="24" t="str">
        <f>VLOOKUP('北段 (人資版)'!Z20,'工作表1'!$A$3:$B$74,2,FALSE)</f>
        <v>#ERROR!</v>
      </c>
      <c r="AA20" s="24" t="str">
        <f>VLOOKUP('北段 (人資版)'!AA20,'工作表1'!$A$3:$B$74,2,FALSE)</f>
        <v>#ERROR!</v>
      </c>
      <c r="AB20" s="24" t="str">
        <f>VLOOKUP('北段 (人資版)'!AB20,'工作表1'!$A$3:$B$74,2,FALSE)</f>
        <v>#ERROR!</v>
      </c>
      <c r="AC20" s="24" t="str">
        <f>VLOOKUP('北段 (人資版)'!AC20,'工作表1'!$A$3:$B$74,2,FALSE)</f>
        <v>#ERROR!</v>
      </c>
      <c r="AD20" s="24" t="str">
        <f>VLOOKUP('北段 (人資版)'!AD20,'工作表1'!$A$3:$B$74,2,FALSE)</f>
        <v>#ERROR!</v>
      </c>
      <c r="AE20" s="24" t="str">
        <f>VLOOKUP('北段 (人資版)'!AE20,'工作表1'!$A$3:$B$74,2,FALSE)</f>
        <v>#ERROR!</v>
      </c>
      <c r="AF20" s="24" t="str">
        <f>VLOOKUP('北段 (人資版)'!AF20,'工作表1'!$A$3:$B$74,2,FALSE)</f>
        <v>#ERROR!</v>
      </c>
      <c r="AG20" s="24" t="str">
        <f>VLOOKUP('北段 (人資版)'!AG20,'工作表1'!$A$3:$B$74,2,FALSE)</f>
        <v>#ERROR!</v>
      </c>
      <c r="AH20" s="24" t="str">
        <f>VLOOKUP('北段 (人資版)'!AH20,'工作表1'!$A$3:$B$74,2,FALSE)</f>
        <v>#ERROR!</v>
      </c>
      <c r="AI20" s="24" t="str">
        <f>VLOOKUP('北段 (人資版)'!AI20,'工作表1'!$A$3:$B$74,2,FALSE)</f>
        <v>#ERROR!</v>
      </c>
      <c r="AJ20" s="24" t="str">
        <f>VLOOKUP('北段 (人資版)'!AJ20,'工作表1'!$A$3:$B$74,2,FALSE)</f>
        <v>#ERROR!</v>
      </c>
      <c r="AK20" s="24" t="str">
        <f>VLOOKUP('北段 (人資版)'!AK20,'工作表1'!$A$3:$B$74,2,FALSE)</f>
        <v>#ERROR!</v>
      </c>
      <c r="AL20" s="24" t="str">
        <f>VLOOKUP('北段 (人資版)'!AL20,'工作表1'!$A$3:$B$74,2,FALSE)</f>
        <v>#ERROR!</v>
      </c>
    </row>
    <row r="21" ht="39.0" customHeight="1">
      <c r="A21" s="143"/>
      <c r="B21" s="24" t="str">
        <f>'北段'!B11</f>
        <v>T02505</v>
      </c>
      <c r="C21" s="24" t="str">
        <f>VLOOKUP(B21,'北段'!B:C,2,FALSE)</f>
        <v>李慧盺</v>
      </c>
      <c r="D21" s="24" t="str">
        <f>VLOOKUP('北段 (人資版)'!D22,'工作表1'!$A$3:$B$74,2,FALSE)</f>
        <v>#N/A</v>
      </c>
      <c r="E21" s="24">
        <f>VLOOKUP('北段 (人資版)'!E22,'工作表1'!$A$3:$B$74,2,FALSE)</f>
        <v>66</v>
      </c>
      <c r="F21" s="24">
        <f>VLOOKUP('北段 (人資版)'!F22,'工作表1'!$A$3:$B$74,2,FALSE)</f>
        <v>66</v>
      </c>
      <c r="G21" s="24">
        <f>VLOOKUP('北段 (人資版)'!G22,'工作表1'!$A$3:$B$74,2,FALSE)</f>
        <v>91</v>
      </c>
      <c r="H21" s="24">
        <f>VLOOKUP('北段 (人資版)'!H22,'工作表1'!$A$3:$B$74,2,FALSE)</f>
        <v>92</v>
      </c>
      <c r="I21" s="24">
        <f>VLOOKUP('北段 (人資版)'!I22,'工作表1'!$A$3:$B$74,2,FALSE)</f>
        <v>91</v>
      </c>
      <c r="J21" s="24">
        <f>VLOOKUP('北段 (人資版)'!J22,'工作表1'!$A$3:$B$74,2,FALSE)</f>
        <v>38</v>
      </c>
      <c r="K21" s="24">
        <f>VLOOKUP('北段 (人資版)'!K22,'工作表1'!$A$3:$B$74,2,FALSE)</f>
        <v>66</v>
      </c>
      <c r="L21" s="24">
        <f>VLOOKUP('北段 (人資版)'!L22,'工作表1'!$A$3:$B$74,2,FALSE)</f>
        <v>91</v>
      </c>
      <c r="M21" s="24">
        <f>VLOOKUP('北段 (人資版)'!M22,'工作表1'!$A$3:$B$74,2,FALSE)</f>
        <v>92</v>
      </c>
      <c r="N21" s="24" t="str">
        <f>VLOOKUP('北段 (人資版)'!N22,'工作表1'!$A$3:$B$74,2,FALSE)</f>
        <v>07</v>
      </c>
      <c r="O21" s="24" t="str">
        <f>VLOOKUP('北段 (人資版)'!O22,'工作表1'!$A$3:$B$74,2,FALSE)</f>
        <v>07</v>
      </c>
      <c r="P21" s="24" t="str">
        <f>VLOOKUP('北段 (人資版)'!P22,'工作表1'!$A$3:$B$74,2,FALSE)</f>
        <v>07</v>
      </c>
      <c r="Q21" s="24" t="str">
        <f>VLOOKUP('北段 (人資版)'!Q22,'工作表1'!$A$3:$B$74,2,FALSE)</f>
        <v>07</v>
      </c>
      <c r="R21" s="24">
        <f>VLOOKUP('北段 (人資版)'!R22,'工作表1'!$A$3:$B$74,2,FALSE)</f>
        <v>90</v>
      </c>
      <c r="S21" s="24">
        <f>VLOOKUP('北段 (人資版)'!S22,'工作表1'!$A$3:$B$74,2,FALSE)</f>
        <v>91</v>
      </c>
      <c r="T21" s="24">
        <f>VLOOKUP('北段 (人資版)'!T22,'工作表1'!$A$3:$B$74,2,FALSE)</f>
        <v>66</v>
      </c>
      <c r="U21" s="24">
        <f>VLOOKUP('北段 (人資版)'!U22,'工作表1'!$A$3:$B$74,2,FALSE)</f>
        <v>66</v>
      </c>
      <c r="V21" s="24">
        <f>VLOOKUP('北段 (人資版)'!V22,'工作表1'!$A$3:$B$74,2,FALSE)</f>
        <v>70</v>
      </c>
      <c r="W21" s="24">
        <f>VLOOKUP('北段 (人資版)'!W22,'工作表1'!$A$3:$B$74,2,FALSE)</f>
        <v>70</v>
      </c>
      <c r="X21" s="24">
        <f>VLOOKUP('北段 (人資版)'!X22,'工作表1'!$A$3:$B$74,2,FALSE)</f>
        <v>91</v>
      </c>
      <c r="Y21" s="24">
        <f>VLOOKUP('北段 (人資版)'!Y22,'工作表1'!$A$3:$B$74,2,FALSE)</f>
        <v>92</v>
      </c>
      <c r="Z21" s="24">
        <f>VLOOKUP('北段 (人資版)'!Z22,'工作表1'!$A$3:$B$74,2,FALSE)</f>
        <v>66</v>
      </c>
      <c r="AA21" s="24">
        <f>VLOOKUP('北段 (人資版)'!AA22,'工作表1'!$A$3:$B$74,2,FALSE)</f>
        <v>66</v>
      </c>
      <c r="AB21" s="24">
        <f>VLOOKUP('北段 (人資版)'!AB22,'工作表1'!$A$3:$B$74,2,FALSE)</f>
        <v>66</v>
      </c>
      <c r="AC21" s="24">
        <f>VLOOKUP('北段 (人資版)'!AC22,'工作表1'!$A$3:$B$74,2,FALSE)</f>
        <v>92</v>
      </c>
      <c r="AD21" s="24">
        <f>VLOOKUP('北段 (人資版)'!AD22,'工作表1'!$A$3:$B$74,2,FALSE)</f>
        <v>66</v>
      </c>
      <c r="AE21" s="24">
        <f>VLOOKUP('北段 (人資版)'!AE22,'工作表1'!$A$3:$B$74,2,FALSE)</f>
        <v>70</v>
      </c>
      <c r="AF21" s="24">
        <f>VLOOKUP('北段 (人資版)'!AF22,'工作表1'!$A$3:$B$74,2,FALSE)</f>
        <v>70</v>
      </c>
      <c r="AG21" s="24">
        <f>VLOOKUP('北段 (人資版)'!AG22,'工作表1'!$A$3:$B$74,2,FALSE)</f>
        <v>70</v>
      </c>
      <c r="AH21" s="24" t="str">
        <f>VLOOKUP('北段 (人資版)'!AH22,'工作表1'!$A$3:$B$74,2,FALSE)</f>
        <v>#ERROR!</v>
      </c>
      <c r="AI21" s="24" t="str">
        <f>VLOOKUP('北段 (人資版)'!AI22,'工作表1'!$A$3:$B$74,2,FALSE)</f>
        <v>#ERROR!</v>
      </c>
      <c r="AJ21" s="24" t="str">
        <f>VLOOKUP('北段 (人資版)'!AJ22,'工作表1'!$A$3:$B$74,2,FALSE)</f>
        <v>#ERROR!</v>
      </c>
      <c r="AK21" s="24" t="str">
        <f>VLOOKUP('北段 (人資版)'!AK22,'工作表1'!$A$3:$B$74,2,FALSE)</f>
        <v>#ERROR!</v>
      </c>
      <c r="AL21" s="24" t="str">
        <f>VLOOKUP('北段 (人資版)'!AL22,'工作表1'!$A$3:$B$74,2,FALSE)</f>
        <v>#ERROR!</v>
      </c>
    </row>
    <row r="22" ht="39.75" customHeight="1">
      <c r="A22" s="143"/>
      <c r="B22" s="24" t="str">
        <f>'北段'!B17</f>
        <v>T02222</v>
      </c>
      <c r="C22" s="24" t="str">
        <f>VLOOKUP(B22,'北段'!B:C,2,FALSE)</f>
        <v>𡍼文妤</v>
      </c>
      <c r="D22" s="24">
        <f>VLOOKUP('北段 (人資版)'!D23,'工作表1'!$A$3:$B$74,2,FALSE)</f>
        <v>91</v>
      </c>
      <c r="E22" s="24">
        <f>VLOOKUP('北段 (人資版)'!E23,'工作表1'!$A$3:$B$74,2,FALSE)</f>
        <v>38</v>
      </c>
      <c r="F22" s="24">
        <f>VLOOKUP('北段 (人資版)'!F23,'工作表1'!$A$3:$B$74,2,FALSE)</f>
        <v>66</v>
      </c>
      <c r="G22" s="24">
        <f>VLOOKUP('北段 (人資版)'!G23,'工作表1'!$A$3:$B$74,2,FALSE)</f>
        <v>91</v>
      </c>
      <c r="H22" s="24">
        <f>VLOOKUP('北段 (人資版)'!H23,'工作表1'!$A$3:$B$74,2,FALSE)</f>
        <v>92</v>
      </c>
      <c r="I22" s="24">
        <f>VLOOKUP('北段 (人資版)'!I23,'工作表1'!$A$3:$B$74,2,FALSE)</f>
        <v>91</v>
      </c>
      <c r="J22" s="24">
        <f>VLOOKUP('北段 (人資版)'!J23,'工作表1'!$A$3:$B$74,2,FALSE)</f>
        <v>66</v>
      </c>
      <c r="K22" s="24">
        <f>VLOOKUP('北段 (人資版)'!K23,'工作表1'!$A$3:$B$74,2,FALSE)</f>
        <v>66</v>
      </c>
      <c r="L22" s="24">
        <f>VLOOKUP('北段 (人資版)'!L23,'工作表1'!$A$3:$B$74,2,FALSE)</f>
        <v>66</v>
      </c>
      <c r="M22" s="24">
        <f>VLOOKUP('北段 (人資版)'!M23,'工作表1'!$A$3:$B$74,2,FALSE)</f>
        <v>66</v>
      </c>
      <c r="N22" s="24">
        <f>VLOOKUP('北段 (人資版)'!N23,'工作表1'!$A$3:$B$74,2,FALSE)</f>
        <v>91</v>
      </c>
      <c r="O22" s="24">
        <f>VLOOKUP('北段 (人資版)'!O23,'工作表1'!$A$3:$B$74,2,FALSE)</f>
        <v>38</v>
      </c>
      <c r="P22" s="24">
        <f>VLOOKUP('北段 (人資版)'!P23,'工作表1'!$A$3:$B$74,2,FALSE)</f>
        <v>38</v>
      </c>
      <c r="Q22" s="24">
        <f>VLOOKUP('北段 (人資版)'!Q23,'工作表1'!$A$3:$B$74,2,FALSE)</f>
        <v>38</v>
      </c>
      <c r="R22" s="24">
        <f>VLOOKUP('北段 (人資版)'!R23,'工作表1'!$A$3:$B$74,2,FALSE)</f>
        <v>38</v>
      </c>
      <c r="S22" s="24">
        <f>VLOOKUP('北段 (人資版)'!S23,'工作表1'!$A$3:$B$74,2,FALSE)</f>
        <v>91</v>
      </c>
      <c r="T22" s="24">
        <f>VLOOKUP('北段 (人資版)'!T23,'工作表1'!$A$3:$B$74,2,FALSE)</f>
        <v>92</v>
      </c>
      <c r="U22" s="24" t="str">
        <f>VLOOKUP('北段 (人資版)'!U23,'工作表1'!$A$3:$B$74,2,FALSE)</f>
        <v>07</v>
      </c>
      <c r="V22" s="24" t="str">
        <f>VLOOKUP('北段 (人資版)'!V23,'工作表1'!$A$3:$B$74,2,FALSE)</f>
        <v>07</v>
      </c>
      <c r="W22" s="24" t="str">
        <f>VLOOKUP('北段 (人資版)'!W23,'工作表1'!$A$3:$B$74,2,FALSE)</f>
        <v>07</v>
      </c>
      <c r="X22" s="24">
        <f>VLOOKUP('北段 (人資版)'!X23,'工作表1'!$A$3:$B$74,2,FALSE)</f>
        <v>91</v>
      </c>
      <c r="Y22" s="24">
        <f>VLOOKUP('北段 (人資版)'!Y23,'工作表1'!$A$3:$B$74,2,FALSE)</f>
        <v>38</v>
      </c>
      <c r="Z22" s="24">
        <f>VLOOKUP('北段 (人資版)'!Z23,'工作表1'!$A$3:$B$74,2,FALSE)</f>
        <v>38</v>
      </c>
      <c r="AA22" s="24">
        <f>VLOOKUP('北段 (人資版)'!AA23,'工作表1'!$A$3:$B$74,2,FALSE)</f>
        <v>38</v>
      </c>
      <c r="AB22" s="24">
        <f>VLOOKUP('北段 (人資版)'!AB23,'工作表1'!$A$3:$B$74,2,FALSE)</f>
        <v>38</v>
      </c>
      <c r="AC22" s="24">
        <f>VLOOKUP('北段 (人資版)'!AC23,'工作表1'!$A$3:$B$74,2,FALSE)</f>
        <v>92</v>
      </c>
      <c r="AD22" s="24">
        <f>VLOOKUP('北段 (人資版)'!AD23,'工作表1'!$A$3:$B$74,2,FALSE)</f>
        <v>92</v>
      </c>
      <c r="AE22" s="24">
        <f>VLOOKUP('北段 (人資版)'!AE23,'工作表1'!$A$3:$B$74,2,FALSE)</f>
        <v>38</v>
      </c>
      <c r="AF22" s="24">
        <f>VLOOKUP('北段 (人資版)'!AF23,'工作表1'!$A$3:$B$74,2,FALSE)</f>
        <v>38</v>
      </c>
      <c r="AG22" s="24">
        <f>VLOOKUP('北段 (人資版)'!AG23,'工作表1'!$A$3:$B$74,2,FALSE)</f>
        <v>38</v>
      </c>
      <c r="AH22" s="24" t="str">
        <f>VLOOKUP('北段 (人資版)'!AH23,'工作表1'!$A$3:$B$74,2,FALSE)</f>
        <v>#ERROR!</v>
      </c>
      <c r="AI22" s="24" t="str">
        <f>VLOOKUP('北段 (人資版)'!AI23,'工作表1'!$A$3:$B$74,2,FALSE)</f>
        <v>#ERROR!</v>
      </c>
      <c r="AJ22" s="24" t="str">
        <f>VLOOKUP('北段 (人資版)'!AJ23,'工作表1'!$A$3:$B$74,2,FALSE)</f>
        <v>#ERROR!</v>
      </c>
      <c r="AK22" s="24" t="str">
        <f>VLOOKUP('北段 (人資版)'!AK23,'工作表1'!$A$3:$B$74,2,FALSE)</f>
        <v>#ERROR!</v>
      </c>
      <c r="AL22" s="24" t="str">
        <f>VLOOKUP('北段 (人資版)'!AL23,'工作表1'!$A$3:$B$74,2,FALSE)</f>
        <v>#ERROR!</v>
      </c>
    </row>
    <row r="23" ht="39.0" customHeight="1">
      <c r="A23" s="143"/>
      <c r="B23" s="24" t="str">
        <f>北段!#REF!</f>
        <v>#ERROR!</v>
      </c>
      <c r="C23" s="24" t="str">
        <f>VLOOKUP(B23,'北段'!B:C,2,FALSE)</f>
        <v>#ERROR!</v>
      </c>
      <c r="D23" s="24" t="str">
        <f>VLOOKUP('北段 (人資版)'!#REF!,工作表1!$A$3:$B$74,2,FALSE)</f>
        <v>#ERROR!</v>
      </c>
      <c r="E23" s="24" t="str">
        <f>VLOOKUP('北段 (人資版)'!#REF!,工作表1!$A$3:$B$74,2,FALSE)</f>
        <v>#ERROR!</v>
      </c>
      <c r="F23" s="24" t="str">
        <f>VLOOKUP('北段 (人資版)'!#REF!,工作表1!$A$3:$B$74,2,FALSE)</f>
        <v>#ERROR!</v>
      </c>
      <c r="G23" s="24" t="str">
        <f>VLOOKUP('北段 (人資版)'!#REF!,工作表1!$A$3:$B$74,2,FALSE)</f>
        <v>#ERROR!</v>
      </c>
      <c r="H23" s="24" t="str">
        <f>VLOOKUP('北段 (人資版)'!#REF!,工作表1!$A$3:$B$74,2,FALSE)</f>
        <v>#ERROR!</v>
      </c>
      <c r="I23" s="24" t="str">
        <f>VLOOKUP('北段 (人資版)'!#REF!,工作表1!$A$3:$B$74,2,FALSE)</f>
        <v>#ERROR!</v>
      </c>
      <c r="J23" s="24" t="str">
        <f>VLOOKUP('北段 (人資版)'!#REF!,工作表1!$A$3:$B$74,2,FALSE)</f>
        <v>#ERROR!</v>
      </c>
      <c r="K23" s="24" t="str">
        <f>VLOOKUP('北段 (人資版)'!#REF!,工作表1!$A$3:$B$74,2,FALSE)</f>
        <v>#ERROR!</v>
      </c>
      <c r="L23" s="24" t="str">
        <f>VLOOKUP('北段 (人資版)'!#REF!,工作表1!$A$3:$B$74,2,FALSE)</f>
        <v>#ERROR!</v>
      </c>
      <c r="M23" s="24" t="str">
        <f>VLOOKUP('北段 (人資版)'!#REF!,工作表1!$A$3:$B$74,2,FALSE)</f>
        <v>#ERROR!</v>
      </c>
      <c r="N23" s="24" t="str">
        <f>VLOOKUP('北段 (人資版)'!#REF!,工作表1!$A$3:$B$74,2,FALSE)</f>
        <v>#ERROR!</v>
      </c>
      <c r="O23" s="24" t="str">
        <f>VLOOKUP('北段 (人資版)'!#REF!,工作表1!$A$3:$B$74,2,FALSE)</f>
        <v>#ERROR!</v>
      </c>
      <c r="P23" s="24" t="str">
        <f>VLOOKUP('北段 (人資版)'!#REF!,工作表1!$A$3:$B$74,2,FALSE)</f>
        <v>#ERROR!</v>
      </c>
      <c r="Q23" s="24" t="str">
        <f>VLOOKUP('北段 (人資版)'!#REF!,工作表1!$A$3:$B$74,2,FALSE)</f>
        <v>#ERROR!</v>
      </c>
      <c r="R23" s="24" t="str">
        <f>VLOOKUP('北段 (人資版)'!#REF!,工作表1!$A$3:$B$74,2,FALSE)</f>
        <v>#ERROR!</v>
      </c>
      <c r="S23" s="24" t="str">
        <f>VLOOKUP('北段 (人資版)'!#REF!,工作表1!$A$3:$B$74,2,FALSE)</f>
        <v>#ERROR!</v>
      </c>
      <c r="T23" s="24" t="str">
        <f>VLOOKUP('北段 (人資版)'!#REF!,工作表1!$A$3:$B$74,2,FALSE)</f>
        <v>#ERROR!</v>
      </c>
      <c r="U23" s="24" t="str">
        <f>VLOOKUP('北段 (人資版)'!#REF!,工作表1!$A$3:$B$74,2,FALSE)</f>
        <v>#ERROR!</v>
      </c>
      <c r="V23" s="24" t="str">
        <f>VLOOKUP('北段 (人資版)'!#REF!,工作表1!$A$3:$B$74,2,FALSE)</f>
        <v>#ERROR!</v>
      </c>
      <c r="W23" s="24" t="str">
        <f>VLOOKUP('北段 (人資版)'!#REF!,工作表1!$A$3:$B$74,2,FALSE)</f>
        <v>#ERROR!</v>
      </c>
      <c r="X23" s="24" t="str">
        <f>VLOOKUP('北段 (人資版)'!#REF!,工作表1!$A$3:$B$74,2,FALSE)</f>
        <v>#ERROR!</v>
      </c>
      <c r="Y23" s="24" t="str">
        <f>VLOOKUP('北段 (人資版)'!#REF!,工作表1!$A$3:$B$74,2,FALSE)</f>
        <v>#ERROR!</v>
      </c>
      <c r="Z23" s="24" t="str">
        <f>VLOOKUP('北段 (人資版)'!#REF!,工作表1!$A$3:$B$74,2,FALSE)</f>
        <v>#ERROR!</v>
      </c>
      <c r="AA23" s="24" t="str">
        <f>VLOOKUP('北段 (人資版)'!#REF!,工作表1!$A$3:$B$74,2,FALSE)</f>
        <v>#ERROR!</v>
      </c>
      <c r="AB23" s="24" t="str">
        <f>VLOOKUP('北段 (人資版)'!#REF!,工作表1!$A$3:$B$74,2,FALSE)</f>
        <v>#ERROR!</v>
      </c>
      <c r="AC23" s="24" t="str">
        <f>VLOOKUP('北段 (人資版)'!#REF!,工作表1!$A$3:$B$74,2,FALSE)</f>
        <v>#ERROR!</v>
      </c>
      <c r="AD23" s="24" t="str">
        <f>VLOOKUP('北段 (人資版)'!#REF!,工作表1!$A$3:$B$74,2,FALSE)</f>
        <v>#ERROR!</v>
      </c>
      <c r="AE23" s="24" t="str">
        <f>VLOOKUP('北段 (人資版)'!#REF!,工作表1!$A$3:$B$74,2,FALSE)</f>
        <v>#ERROR!</v>
      </c>
      <c r="AF23" s="24" t="str">
        <f>VLOOKUP('北段 (人資版)'!#REF!,工作表1!$A$3:$B$74,2,FALSE)</f>
        <v>#ERROR!</v>
      </c>
      <c r="AG23" s="24" t="str">
        <f>VLOOKUP('北段 (人資版)'!#REF!,工作表1!$A$3:$B$74,2,FALSE)</f>
        <v>#ERROR!</v>
      </c>
      <c r="AH23" s="24" t="str">
        <f>VLOOKUP('北段 (人資版)'!#REF!,工作表1!$A$3:$B$74,2,FALSE)</f>
        <v>#ERROR!</v>
      </c>
      <c r="AI23" s="24" t="str">
        <f>VLOOKUP('北段 (人資版)'!#REF!,工作表1!$A$3:$B$74,2,FALSE)</f>
        <v>#ERROR!</v>
      </c>
      <c r="AJ23" s="24" t="str">
        <f>VLOOKUP('北段 (人資版)'!#REF!,工作表1!$A$3:$B$74,2,FALSE)</f>
        <v>#ERROR!</v>
      </c>
      <c r="AK23" s="24" t="str">
        <f>VLOOKUP('北段 (人資版)'!#REF!,工作表1!$A$3:$B$74,2,FALSE)</f>
        <v>#ERROR!</v>
      </c>
      <c r="AL23" s="24" t="str">
        <f>VLOOKUP('北段 (人資版)'!#REF!,工作表1!$A$3:$B$74,2,FALSE)</f>
        <v>#ERROR!</v>
      </c>
    </row>
    <row r="24" ht="39.0" customHeight="1">
      <c r="A24" s="143"/>
      <c r="B24" s="24" t="str">
        <f>'北段'!B18</f>
        <v>T02233</v>
      </c>
      <c r="C24" s="24" t="str">
        <f>VLOOKUP(B24,'北段'!B:C,2,FALSE)</f>
        <v>簡悅如</v>
      </c>
      <c r="D24" s="24">
        <f>VLOOKUP('北段 (人資版)'!D24,'工作表1'!$A$3:$B$74,2,FALSE)</f>
        <v>91</v>
      </c>
      <c r="E24" s="24">
        <f>VLOOKUP('北段 (人資版)'!E24,'工作表1'!$A$3:$B$74,2,FALSE)</f>
        <v>91</v>
      </c>
      <c r="F24" s="24">
        <f>VLOOKUP('北段 (人資版)'!F24,'工作表1'!$A$3:$B$74,2,FALSE)</f>
        <v>38</v>
      </c>
      <c r="G24" s="24">
        <f>VLOOKUP('北段 (人資版)'!G24,'工作表1'!$A$3:$B$74,2,FALSE)</f>
        <v>66</v>
      </c>
      <c r="H24" s="24">
        <f>VLOOKUP('北段 (人資版)'!H24,'工作表1'!$A$3:$B$74,2,FALSE)</f>
        <v>66</v>
      </c>
      <c r="I24" s="24">
        <f>VLOOKUP('北段 (人資版)'!I24,'工作表1'!$A$3:$B$74,2,FALSE)</f>
        <v>91</v>
      </c>
      <c r="J24" s="24">
        <f>VLOOKUP('北段 (人資版)'!J24,'工作表1'!$A$3:$B$74,2,FALSE)</f>
        <v>91</v>
      </c>
      <c r="K24" s="24">
        <f>VLOOKUP('北段 (人資版)'!K24,'工作表1'!$A$3:$B$74,2,FALSE)</f>
        <v>38</v>
      </c>
      <c r="L24" s="24">
        <f>VLOOKUP('北段 (人資版)'!L24,'工作表1'!$A$3:$B$74,2,FALSE)</f>
        <v>66</v>
      </c>
      <c r="M24" s="24">
        <f>VLOOKUP('北段 (人資版)'!M24,'工作表1'!$A$3:$B$74,2,FALSE)</f>
        <v>66</v>
      </c>
      <c r="N24" s="24">
        <f>VLOOKUP('北段 (人資版)'!N24,'工作表1'!$A$3:$B$74,2,FALSE)</f>
        <v>92</v>
      </c>
      <c r="O24" s="24">
        <f>VLOOKUP('北段 (人資版)'!O24,'工作表1'!$A$3:$B$74,2,FALSE)</f>
        <v>38</v>
      </c>
      <c r="P24" s="24">
        <f>VLOOKUP('北段 (人資版)'!P24,'工作表1'!$A$3:$B$74,2,FALSE)</f>
        <v>38</v>
      </c>
      <c r="Q24" s="24" t="str">
        <f>VLOOKUP('北段 (人資版)'!Q24,'工作表1'!$A$3:$B$74,2,FALSE)</f>
        <v>07</v>
      </c>
      <c r="R24" s="24">
        <f>VLOOKUP('北段 (人資版)'!R24,'工作表1'!$A$3:$B$74,2,FALSE)</f>
        <v>66</v>
      </c>
      <c r="S24" s="24">
        <f>VLOOKUP('北段 (人資版)'!S24,'工作表1'!$A$3:$B$74,2,FALSE)</f>
        <v>66</v>
      </c>
      <c r="T24" s="24">
        <f>VLOOKUP('北段 (人資版)'!T24,'工作表1'!$A$3:$B$74,2,FALSE)</f>
        <v>91</v>
      </c>
      <c r="U24" s="24">
        <f>VLOOKUP('北段 (人資版)'!U24,'工作表1'!$A$3:$B$74,2,FALSE)</f>
        <v>92</v>
      </c>
      <c r="V24" s="24">
        <f>VLOOKUP('北段 (人資版)'!V24,'工作表1'!$A$3:$B$74,2,FALSE)</f>
        <v>38</v>
      </c>
      <c r="W24" s="24">
        <f>VLOOKUP('北段 (人資版)'!W24,'工作表1'!$A$3:$B$74,2,FALSE)</f>
        <v>38</v>
      </c>
      <c r="X24" s="24">
        <f>VLOOKUP('北段 (人資版)'!X24,'工作表1'!$A$3:$B$74,2,FALSE)</f>
        <v>38</v>
      </c>
      <c r="Y24" s="24">
        <f>VLOOKUP('北段 (人資版)'!Y24,'工作表1'!$A$3:$B$74,2,FALSE)</f>
        <v>91</v>
      </c>
      <c r="Z24" s="24" t="str">
        <f>VLOOKUP('北段 (人資版)'!Z24,'工作表1'!$A$3:$B$74,2,FALSE)</f>
        <v>07</v>
      </c>
      <c r="AA24" s="24">
        <f>VLOOKUP('北段 (人資版)'!AA24,'工作表1'!$A$3:$B$74,2,FALSE)</f>
        <v>92</v>
      </c>
      <c r="AB24" s="24">
        <f>VLOOKUP('北段 (人資版)'!AB24,'工作表1'!$A$3:$B$74,2,FALSE)</f>
        <v>38</v>
      </c>
      <c r="AC24" s="24">
        <f>VLOOKUP('北段 (人資版)'!AC24,'工作表1'!$A$3:$B$74,2,FALSE)</f>
        <v>38</v>
      </c>
      <c r="AD24" s="24">
        <f>VLOOKUP('北段 (人資版)'!AD24,'工作表1'!$A$3:$B$74,2,FALSE)</f>
        <v>38</v>
      </c>
      <c r="AE24" s="24">
        <f>VLOOKUP('北段 (人資版)'!AE24,'工作表1'!$A$3:$B$74,2,FALSE)</f>
        <v>90</v>
      </c>
      <c r="AF24" s="24">
        <f>VLOOKUP('北段 (人資版)'!AF24,'工作表1'!$A$3:$B$74,2,FALSE)</f>
        <v>38</v>
      </c>
      <c r="AG24" s="24">
        <f>VLOOKUP('北段 (人資版)'!AG24,'工作表1'!$A$3:$B$74,2,FALSE)</f>
        <v>38</v>
      </c>
      <c r="AH24" s="24" t="str">
        <f>VLOOKUP('北段 (人資版)'!AH24,'工作表1'!$A$3:$B$74,2,FALSE)</f>
        <v>#ERROR!</v>
      </c>
      <c r="AI24" s="24" t="str">
        <f>VLOOKUP('北段 (人資版)'!AI24,'工作表1'!$A$3:$B$74,2,FALSE)</f>
        <v>#ERROR!</v>
      </c>
      <c r="AJ24" s="24" t="str">
        <f>VLOOKUP('北段 (人資版)'!AJ24,'工作表1'!$A$3:$B$74,2,FALSE)</f>
        <v>#ERROR!</v>
      </c>
      <c r="AK24" s="24" t="str">
        <f>VLOOKUP('北段 (人資版)'!AK24,'工作表1'!$A$3:$B$74,2,FALSE)</f>
        <v>#ERROR!</v>
      </c>
      <c r="AL24" s="24" t="str">
        <f>VLOOKUP('北段 (人資版)'!AL24,'工作表1'!$A$3:$B$74,2,FALSE)</f>
        <v>#ERROR!</v>
      </c>
    </row>
    <row r="25" ht="39.75" customHeight="1">
      <c r="A25" s="143"/>
      <c r="B25" s="24" t="str">
        <f>'北段'!B19</f>
        <v>T02498</v>
      </c>
      <c r="C25" s="24" t="str">
        <f>VLOOKUP(B25,'北段'!B:C,2,FALSE)</f>
        <v>張芯瑜</v>
      </c>
      <c r="D25" s="24" t="str">
        <f>VLOOKUP('北段 (人資版)'!D25,'工作表1'!$A$3:$B$74,2,FALSE)</f>
        <v>#N/A</v>
      </c>
      <c r="E25" s="24">
        <f>VLOOKUP('北段 (人資版)'!E25,'工作表1'!$A$3:$B$74,2,FALSE)</f>
        <v>66</v>
      </c>
      <c r="F25" s="24">
        <f>VLOOKUP('北段 (人資版)'!F25,'工作表1'!$A$3:$B$74,2,FALSE)</f>
        <v>66</v>
      </c>
      <c r="G25" s="24">
        <f>VLOOKUP('北段 (人資版)'!G25,'工作表1'!$A$3:$B$74,2,FALSE)</f>
        <v>92</v>
      </c>
      <c r="H25" s="24">
        <f>VLOOKUP('北段 (人資版)'!H25,'工作表1'!$A$3:$B$74,2,FALSE)</f>
        <v>90</v>
      </c>
      <c r="I25" s="24" t="str">
        <f>VLOOKUP('北段 (人資版)'!I25,'工作表1'!$A$3:$B$74,2,FALSE)</f>
        <v>#N/A</v>
      </c>
      <c r="J25" s="24">
        <f>VLOOKUP('北段 (人資版)'!J25,'工作表1'!$A$3:$B$74,2,FALSE)</f>
        <v>66</v>
      </c>
      <c r="K25" s="24">
        <f>VLOOKUP('北段 (人資版)'!K25,'工作表1'!$A$3:$B$74,2,FALSE)</f>
        <v>66</v>
      </c>
      <c r="L25" s="24">
        <f>VLOOKUP('北段 (人資版)'!L25,'工作表1'!$A$3:$B$74,2,FALSE)</f>
        <v>92</v>
      </c>
      <c r="M25" s="24">
        <f>VLOOKUP('北段 (人資版)'!M25,'工作表1'!$A$3:$B$74,2,FALSE)</f>
        <v>90</v>
      </c>
      <c r="N25" s="24">
        <f>VLOOKUP('北段 (人資版)'!N25,'工作表1'!$A$3:$B$74,2,FALSE)</f>
        <v>66</v>
      </c>
      <c r="O25" s="24">
        <f>VLOOKUP('北段 (人資版)'!O25,'工作表1'!$A$3:$B$74,2,FALSE)</f>
        <v>66</v>
      </c>
      <c r="P25" s="24">
        <f>VLOOKUP('北段 (人資版)'!P25,'工作表1'!$A$3:$B$74,2,FALSE)</f>
        <v>91</v>
      </c>
      <c r="Q25" s="24">
        <f>VLOOKUP('北段 (人資版)'!Q25,'工作表1'!$A$3:$B$74,2,FALSE)</f>
        <v>38</v>
      </c>
      <c r="R25" s="24">
        <f>VLOOKUP('北段 (人資版)'!R25,'工作表1'!$A$3:$B$74,2,FALSE)</f>
        <v>38</v>
      </c>
      <c r="S25" s="24">
        <f>VLOOKUP('北段 (人資版)'!S25,'工作表1'!$A$3:$B$74,2,FALSE)</f>
        <v>38</v>
      </c>
      <c r="T25" s="24">
        <f>VLOOKUP('北段 (人資版)'!T25,'工作表1'!$A$3:$B$74,2,FALSE)</f>
        <v>38</v>
      </c>
      <c r="U25" s="24">
        <f>VLOOKUP('北段 (人資版)'!U25,'工作表1'!$A$3:$B$74,2,FALSE)</f>
        <v>92</v>
      </c>
      <c r="V25" s="24">
        <f>VLOOKUP('北段 (人資版)'!V25,'工作表1'!$A$3:$B$74,2,FALSE)</f>
        <v>91</v>
      </c>
      <c r="W25" s="24">
        <f>VLOOKUP('北段 (人資版)'!W25,'工作表1'!$A$3:$B$74,2,FALSE)</f>
        <v>66</v>
      </c>
      <c r="X25" s="24">
        <f>VLOOKUP('北段 (人資版)'!X25,'工作表1'!$A$3:$B$74,2,FALSE)</f>
        <v>66</v>
      </c>
      <c r="Y25" s="24">
        <f>VLOOKUP('北段 (人資版)'!Y25,'工作表1'!$A$3:$B$74,2,FALSE)</f>
        <v>66</v>
      </c>
      <c r="Z25" s="24">
        <f>VLOOKUP('北段 (人資版)'!Z25,'工作表1'!$A$3:$B$74,2,FALSE)</f>
        <v>66</v>
      </c>
      <c r="AA25" s="24">
        <f>VLOOKUP('北段 (人資版)'!AA25,'工作表1'!$A$3:$B$74,2,FALSE)</f>
        <v>66</v>
      </c>
      <c r="AB25" s="24">
        <f>VLOOKUP('北段 (人資版)'!AB25,'工作表1'!$A$3:$B$74,2,FALSE)</f>
        <v>92</v>
      </c>
      <c r="AC25" s="24">
        <f>VLOOKUP('北段 (人資版)'!AC25,'工作表1'!$A$3:$B$74,2,FALSE)</f>
        <v>91</v>
      </c>
      <c r="AD25" s="24">
        <f>VLOOKUP('北段 (人資版)'!AD25,'工作表1'!$A$3:$B$74,2,FALSE)</f>
        <v>66</v>
      </c>
      <c r="AE25" s="24" t="str">
        <f>VLOOKUP('北段 (人資版)'!AE25,'工作表1'!$A$3:$B$74,2,FALSE)</f>
        <v>07</v>
      </c>
      <c r="AF25" s="24">
        <f>VLOOKUP('北段 (人資版)'!AF25,'工作表1'!$A$3:$B$74,2,FALSE)</f>
        <v>66</v>
      </c>
      <c r="AG25" s="24">
        <f>VLOOKUP('北段 (人資版)'!AG25,'工作表1'!$A$3:$B$74,2,FALSE)</f>
        <v>66</v>
      </c>
      <c r="AH25" s="24" t="str">
        <f>VLOOKUP('北段 (人資版)'!AH25,'工作表1'!$A$3:$B$74,2,FALSE)</f>
        <v>#ERROR!</v>
      </c>
      <c r="AI25" s="24" t="str">
        <f>VLOOKUP('北段 (人資版)'!AI25,'工作表1'!$A$3:$B$74,2,FALSE)</f>
        <v>#ERROR!</v>
      </c>
      <c r="AJ25" s="24" t="str">
        <f>VLOOKUP('北段 (人資版)'!AJ25,'工作表1'!$A$3:$B$74,2,FALSE)</f>
        <v>#ERROR!</v>
      </c>
      <c r="AK25" s="24" t="str">
        <f>VLOOKUP('北段 (人資版)'!AK25,'工作表1'!$A$3:$B$74,2,FALSE)</f>
        <v>#ERROR!</v>
      </c>
      <c r="AL25" s="24" t="str">
        <f>VLOOKUP('北段 (人資版)'!AL25,'工作表1'!$A$3:$B$74,2,FALSE)</f>
        <v>#ERROR!</v>
      </c>
    </row>
    <row r="26" ht="39.75" customHeight="1">
      <c r="A26" s="143"/>
      <c r="B26" s="24" t="str">
        <f>'北段'!B20</f>
        <v>T02612</v>
      </c>
      <c r="C26" s="24" t="str">
        <f>VLOOKUP(B26,'北段'!B:C,2,FALSE)</f>
        <v>蕭曉琦</v>
      </c>
      <c r="D26" s="24" t="str">
        <f>VLOOKUP('北段 (人資版)'!D26,'工作表1'!$A$3:$B$74,2,FALSE)</f>
        <v>#N/A</v>
      </c>
      <c r="E26" s="24">
        <f>VLOOKUP('北段 (人資版)'!E26,'工作表1'!$A$3:$B$74,2,FALSE)</f>
        <v>91</v>
      </c>
      <c r="F26" s="24">
        <f>VLOOKUP('北段 (人資版)'!F26,'工作表1'!$A$3:$B$74,2,FALSE)</f>
        <v>38</v>
      </c>
      <c r="G26" s="24">
        <f>VLOOKUP('北段 (人資版)'!G26,'工作表1'!$A$3:$B$74,2,FALSE)</f>
        <v>38</v>
      </c>
      <c r="H26" s="24">
        <f>VLOOKUP('北段 (人資版)'!H26,'工作表1'!$A$3:$B$74,2,FALSE)</f>
        <v>90</v>
      </c>
      <c r="I26" s="24" t="str">
        <f>VLOOKUP('北段 (人資版)'!I26,'工作表1'!$A$3:$B$74,2,FALSE)</f>
        <v>#N/A</v>
      </c>
      <c r="J26" s="24">
        <f>VLOOKUP('北段 (人資版)'!J26,'工作表1'!$A$3:$B$74,2,FALSE)</f>
        <v>91</v>
      </c>
      <c r="K26" s="24">
        <f>VLOOKUP('北段 (人資版)'!K26,'工作表1'!$A$3:$B$74,2,FALSE)</f>
        <v>38</v>
      </c>
      <c r="L26" s="24">
        <f>VLOOKUP('北段 (人資版)'!L26,'工作表1'!$A$3:$B$74,2,FALSE)</f>
        <v>38</v>
      </c>
      <c r="M26" s="24">
        <f>VLOOKUP('北段 (人資版)'!M26,'工作表1'!$A$3:$B$74,2,FALSE)</f>
        <v>90</v>
      </c>
      <c r="N26" s="24">
        <f>VLOOKUP('北段 (人資版)'!N26,'工作表1'!$A$3:$B$74,2,FALSE)</f>
        <v>38</v>
      </c>
      <c r="O26" s="24">
        <f>VLOOKUP('北段 (人資版)'!O26,'工作表1'!$A$3:$B$74,2,FALSE)</f>
        <v>38</v>
      </c>
      <c r="P26" s="24">
        <f>VLOOKUP('北段 (人資版)'!P26,'工作表1'!$A$3:$B$74,2,FALSE)</f>
        <v>38</v>
      </c>
      <c r="Q26" s="24">
        <f>VLOOKUP('北段 (人資版)'!Q26,'工作表1'!$A$3:$B$74,2,FALSE)</f>
        <v>91</v>
      </c>
      <c r="R26" s="24">
        <f>VLOOKUP('北段 (人資版)'!R26,'工作表1'!$A$3:$B$74,2,FALSE)</f>
        <v>38</v>
      </c>
      <c r="S26" s="24">
        <f>VLOOKUP('北段 (人資版)'!S26,'工作表1'!$A$3:$B$74,2,FALSE)</f>
        <v>38</v>
      </c>
      <c r="T26" s="24">
        <f>VLOOKUP('北段 (人資版)'!T26,'工作表1'!$A$3:$B$74,2,FALSE)</f>
        <v>92</v>
      </c>
      <c r="U26" s="24">
        <f>VLOOKUP('北段 (人資版)'!U26,'工作表1'!$A$3:$B$74,2,FALSE)</f>
        <v>38</v>
      </c>
      <c r="V26" s="24">
        <f>VLOOKUP('北段 (人資版)'!V26,'工作表1'!$A$3:$B$74,2,FALSE)</f>
        <v>66</v>
      </c>
      <c r="W26" s="24">
        <f>VLOOKUP('北段 (人資版)'!W26,'工作表1'!$A$3:$B$74,2,FALSE)</f>
        <v>92</v>
      </c>
      <c r="X26" s="24">
        <f>VLOOKUP('北段 (人資版)'!X26,'工作表1'!$A$3:$B$74,2,FALSE)</f>
        <v>66</v>
      </c>
      <c r="Y26" s="24">
        <f>VLOOKUP('北段 (人資版)'!Y26,'工作表1'!$A$3:$B$74,2,FALSE)</f>
        <v>66</v>
      </c>
      <c r="Z26" s="24">
        <f>VLOOKUP('北段 (人資版)'!Z26,'工作表1'!$A$3:$B$74,2,FALSE)</f>
        <v>91</v>
      </c>
      <c r="AA26" s="24">
        <f>VLOOKUP('北段 (人資版)'!AA26,'工作表1'!$A$3:$B$74,2,FALSE)</f>
        <v>38</v>
      </c>
      <c r="AB26" s="24">
        <f>VLOOKUP('北段 (人資版)'!AB26,'工作表1'!$A$3:$B$74,2,FALSE)</f>
        <v>38</v>
      </c>
      <c r="AC26" s="24">
        <f>VLOOKUP('北段 (人資版)'!AC26,'工作表1'!$A$3:$B$74,2,FALSE)</f>
        <v>38</v>
      </c>
      <c r="AD26" s="24">
        <f>VLOOKUP('北段 (人資版)'!AD26,'工作表1'!$A$3:$B$74,2,FALSE)</f>
        <v>38</v>
      </c>
      <c r="AE26" s="24">
        <f>VLOOKUP('北段 (人資版)'!AE26,'工作表1'!$A$3:$B$74,2,FALSE)</f>
        <v>91</v>
      </c>
      <c r="AF26" s="24">
        <f>VLOOKUP('北段 (人資版)'!AF26,'工作表1'!$A$3:$B$74,2,FALSE)</f>
        <v>38</v>
      </c>
      <c r="AG26" s="24">
        <f>VLOOKUP('北段 (人資版)'!AG26,'工作表1'!$A$3:$B$74,2,FALSE)</f>
        <v>38</v>
      </c>
      <c r="AH26" s="24" t="str">
        <f>VLOOKUP('北段 (人資版)'!AH26,'工作表1'!$A$3:$B$74,2,FALSE)</f>
        <v>#ERROR!</v>
      </c>
      <c r="AI26" s="24" t="str">
        <f>VLOOKUP('北段 (人資版)'!AI26,'工作表1'!$A$3:$B$74,2,FALSE)</f>
        <v>#ERROR!</v>
      </c>
      <c r="AJ26" s="24" t="str">
        <f>VLOOKUP('北段 (人資版)'!AJ26,'工作表1'!$A$3:$B$74,2,FALSE)</f>
        <v>#ERROR!</v>
      </c>
      <c r="AK26" s="24" t="str">
        <f>VLOOKUP('北段 (人資版)'!AK26,'工作表1'!$A$3:$B$74,2,FALSE)</f>
        <v>#ERROR!</v>
      </c>
      <c r="AL26" s="24" t="str">
        <f>VLOOKUP('北段 (人資版)'!AL26,'工作表1'!$A$3:$B$74,2,FALSE)</f>
        <v>#ERROR!</v>
      </c>
    </row>
    <row r="27" ht="39.75" customHeight="1">
      <c r="A27" s="143"/>
      <c r="B27" s="24" t="str">
        <f>'北段'!B21</f>
        <v>T02613</v>
      </c>
      <c r="C27" s="24" t="str">
        <f>VLOOKUP(B27,'北段'!B:C,2,FALSE)</f>
        <v>張雅荃</v>
      </c>
      <c r="D27" s="24" t="str">
        <f>VLOOKUP('北段 (人資版)'!D27,'工作表1'!$A$3:$B$74,2,FALSE)</f>
        <v>#N/A</v>
      </c>
      <c r="E27" s="24">
        <f>VLOOKUP('北段 (人資版)'!E27,'工作表1'!$A$3:$B$74,2,FALSE)</f>
        <v>66</v>
      </c>
      <c r="F27" s="24">
        <f>VLOOKUP('北段 (人資版)'!F27,'工作表1'!$A$3:$B$74,2,FALSE)</f>
        <v>66</v>
      </c>
      <c r="G27" s="24">
        <f>VLOOKUP('北段 (人資版)'!G27,'工作表1'!$A$3:$B$74,2,FALSE)</f>
        <v>66</v>
      </c>
      <c r="H27" s="24">
        <f>VLOOKUP('北段 (人資版)'!H27,'工作表1'!$A$3:$B$74,2,FALSE)</f>
        <v>92</v>
      </c>
      <c r="I27" s="24" t="str">
        <f>VLOOKUP('北段 (人資版)'!I27,'工作表1'!$A$3:$B$74,2,FALSE)</f>
        <v>#N/A</v>
      </c>
      <c r="J27" s="24">
        <f>VLOOKUP('北段 (人資版)'!J27,'工作表1'!$A$3:$B$74,2,FALSE)</f>
        <v>66</v>
      </c>
      <c r="K27" s="24">
        <f>VLOOKUP('北段 (人資版)'!K27,'工作表1'!$A$3:$B$74,2,FALSE)</f>
        <v>66</v>
      </c>
      <c r="L27" s="24">
        <f>VLOOKUP('北段 (人資版)'!L27,'工作表1'!$A$3:$B$74,2,FALSE)</f>
        <v>66</v>
      </c>
      <c r="M27" s="24">
        <f>VLOOKUP('北段 (人資版)'!M27,'工作表1'!$A$3:$B$74,2,FALSE)</f>
        <v>92</v>
      </c>
      <c r="N27" s="24">
        <f>VLOOKUP('北段 (人資版)'!N27,'工作表1'!$A$3:$B$74,2,FALSE)</f>
        <v>66</v>
      </c>
      <c r="O27" s="24">
        <f>VLOOKUP('北段 (人資版)'!O27,'工作表1'!$A$3:$B$74,2,FALSE)</f>
        <v>66</v>
      </c>
      <c r="P27" s="24">
        <f>VLOOKUP('北段 (人資版)'!P27,'工作表1'!$A$3:$B$74,2,FALSE)</f>
        <v>91</v>
      </c>
      <c r="Q27" s="24">
        <f>VLOOKUP('北段 (人資版)'!Q27,'工作表1'!$A$3:$B$74,2,FALSE)</f>
        <v>90</v>
      </c>
      <c r="R27" s="24">
        <f>VLOOKUP('北段 (人資版)'!R27,'工作表1'!$A$3:$B$74,2,FALSE)</f>
        <v>66</v>
      </c>
      <c r="S27" s="24">
        <f>VLOOKUP('北段 (人資版)'!S27,'工作表1'!$A$3:$B$74,2,FALSE)</f>
        <v>66</v>
      </c>
      <c r="T27" s="24">
        <f>VLOOKUP('北段 (人資版)'!T27,'工作表1'!$A$3:$B$74,2,FALSE)</f>
        <v>91</v>
      </c>
      <c r="U27" s="24">
        <f>VLOOKUP('北段 (人資版)'!U27,'工作表1'!$A$3:$B$74,2,FALSE)</f>
        <v>66</v>
      </c>
      <c r="V27" s="24">
        <f>VLOOKUP('北段 (人資版)'!V27,'工作表1'!$A$3:$B$74,2,FALSE)</f>
        <v>66</v>
      </c>
      <c r="W27" s="24">
        <f>VLOOKUP('北段 (人資版)'!W27,'工作表1'!$A$3:$B$74,2,FALSE)</f>
        <v>66</v>
      </c>
      <c r="X27" s="24">
        <f>VLOOKUP('北段 (人資版)'!X27,'工作表1'!$A$3:$B$74,2,FALSE)</f>
        <v>66</v>
      </c>
      <c r="Y27" s="24">
        <f>VLOOKUP('北段 (人資版)'!Y27,'工作表1'!$A$3:$B$74,2,FALSE)</f>
        <v>91</v>
      </c>
      <c r="Z27" s="24">
        <f>VLOOKUP('北段 (人資版)'!Z27,'工作表1'!$A$3:$B$74,2,FALSE)</f>
        <v>92</v>
      </c>
      <c r="AA27" s="24">
        <f>VLOOKUP('北段 (人資版)'!AA27,'工作表1'!$A$3:$B$74,2,FALSE)</f>
        <v>66</v>
      </c>
      <c r="AB27" s="24">
        <f>VLOOKUP('北段 (人資版)'!AB27,'工作表1'!$A$3:$B$74,2,FALSE)</f>
        <v>66</v>
      </c>
      <c r="AC27" s="24">
        <f>VLOOKUP('北段 (人資版)'!AC27,'工作表1'!$A$3:$B$74,2,FALSE)</f>
        <v>92</v>
      </c>
      <c r="AD27" s="24">
        <f>VLOOKUP('北段 (人資版)'!AD27,'工作表1'!$A$3:$B$74,2,FALSE)</f>
        <v>66</v>
      </c>
      <c r="AE27" s="24">
        <f>VLOOKUP('北段 (人資版)'!AE27,'工作表1'!$A$3:$B$74,2,FALSE)</f>
        <v>66</v>
      </c>
      <c r="AF27" s="24" t="str">
        <f>VLOOKUP('北段 (人資版)'!AF27,'工作表1'!$A$3:$B$74,2,FALSE)</f>
        <v>07</v>
      </c>
      <c r="AG27" s="24">
        <f>VLOOKUP('北段 (人資版)'!AG27,'工作表1'!$A$3:$B$74,2,FALSE)</f>
        <v>91</v>
      </c>
      <c r="AH27" s="24" t="str">
        <f>VLOOKUP('北段 (人資版)'!AH27,'工作表1'!$A$3:$B$74,2,FALSE)</f>
        <v>#ERROR!</v>
      </c>
      <c r="AI27" s="24" t="str">
        <f>VLOOKUP('北段 (人資版)'!AI27,'工作表1'!$A$3:$B$74,2,FALSE)</f>
        <v>#ERROR!</v>
      </c>
      <c r="AJ27" s="24" t="str">
        <f>VLOOKUP('北段 (人資版)'!AJ27,'工作表1'!$A$3:$B$74,2,FALSE)</f>
        <v>#ERROR!</v>
      </c>
      <c r="AK27" s="24" t="str">
        <f>VLOOKUP('北段 (人資版)'!AK27,'工作表1'!$A$3:$B$74,2,FALSE)</f>
        <v>#ERROR!</v>
      </c>
      <c r="AL27" s="24" t="str">
        <f>VLOOKUP('北段 (人資版)'!AL27,'工作表1'!$A$3:$B$74,2,FALSE)</f>
        <v>#ERROR!</v>
      </c>
    </row>
    <row r="28" ht="39.75" customHeight="1">
      <c r="A28" s="143"/>
      <c r="B28" s="24" t="str">
        <f>北段!#REF!</f>
        <v>#ERROR!</v>
      </c>
      <c r="C28" s="24" t="str">
        <f>VLOOKUP(B28,'北段'!B:C,2,FALSE)</f>
        <v>#ERROR!</v>
      </c>
      <c r="D28" s="24" t="str">
        <f>VLOOKUP('北段 (人資版)'!D28,'工作表1'!$A$3:$B$74,2,FALSE)</f>
        <v>#ERROR!</v>
      </c>
      <c r="E28" s="24" t="str">
        <f>VLOOKUP('北段 (人資版)'!E28,'工作表1'!$A$3:$B$74,2,FALSE)</f>
        <v>#ERROR!</v>
      </c>
      <c r="F28" s="24" t="str">
        <f>VLOOKUP('北段 (人資版)'!F28,'工作表1'!$A$3:$B$74,2,FALSE)</f>
        <v>#ERROR!</v>
      </c>
      <c r="G28" s="24" t="str">
        <f>VLOOKUP('北段 (人資版)'!G28,'工作表1'!$A$3:$B$74,2,FALSE)</f>
        <v>#ERROR!</v>
      </c>
      <c r="H28" s="24" t="str">
        <f>VLOOKUP('北段 (人資版)'!H28,'工作表1'!$A$3:$B$74,2,FALSE)</f>
        <v>#ERROR!</v>
      </c>
      <c r="I28" s="24" t="str">
        <f>VLOOKUP('北段 (人資版)'!I28,'工作表1'!$A$3:$B$74,2,FALSE)</f>
        <v>#ERROR!</v>
      </c>
      <c r="J28" s="24" t="str">
        <f>VLOOKUP('北段 (人資版)'!J28,'工作表1'!$A$3:$B$74,2,FALSE)</f>
        <v>#ERROR!</v>
      </c>
      <c r="K28" s="24" t="str">
        <f>VLOOKUP('北段 (人資版)'!K28,'工作表1'!$A$3:$B$74,2,FALSE)</f>
        <v>#ERROR!</v>
      </c>
      <c r="L28" s="24" t="str">
        <f>VLOOKUP('北段 (人資版)'!L28,'工作表1'!$A$3:$B$74,2,FALSE)</f>
        <v>#ERROR!</v>
      </c>
      <c r="M28" s="24" t="str">
        <f>VLOOKUP('北段 (人資版)'!M28,'工作表1'!$A$3:$B$74,2,FALSE)</f>
        <v>#ERROR!</v>
      </c>
      <c r="N28" s="24" t="str">
        <f>VLOOKUP('北段 (人資版)'!N28,'工作表1'!$A$3:$B$74,2,FALSE)</f>
        <v>#ERROR!</v>
      </c>
      <c r="O28" s="24" t="str">
        <f>VLOOKUP('北段 (人資版)'!O28,'工作表1'!$A$3:$B$74,2,FALSE)</f>
        <v>#ERROR!</v>
      </c>
      <c r="P28" s="24" t="str">
        <f>VLOOKUP('北段 (人資版)'!P28,'工作表1'!$A$3:$B$74,2,FALSE)</f>
        <v>#ERROR!</v>
      </c>
      <c r="Q28" s="24" t="str">
        <f>VLOOKUP('北段 (人資版)'!Q28,'工作表1'!$A$3:$B$74,2,FALSE)</f>
        <v>#ERROR!</v>
      </c>
      <c r="R28" s="24" t="str">
        <f>VLOOKUP('北段 (人資版)'!R28,'工作表1'!$A$3:$B$74,2,FALSE)</f>
        <v>#ERROR!</v>
      </c>
      <c r="S28" s="24" t="str">
        <f>VLOOKUP('北段 (人資版)'!S28,'工作表1'!$A$3:$B$74,2,FALSE)</f>
        <v>#ERROR!</v>
      </c>
      <c r="T28" s="24" t="str">
        <f>VLOOKUP('北段 (人資版)'!T28,'工作表1'!$A$3:$B$74,2,FALSE)</f>
        <v>#ERROR!</v>
      </c>
      <c r="U28" s="24" t="str">
        <f>VLOOKUP('北段 (人資版)'!U28,'工作表1'!$A$3:$B$74,2,FALSE)</f>
        <v>#ERROR!</v>
      </c>
      <c r="V28" s="24" t="str">
        <f>VLOOKUP('北段 (人資版)'!V28,'工作表1'!$A$3:$B$74,2,FALSE)</f>
        <v>#ERROR!</v>
      </c>
      <c r="W28" s="24" t="str">
        <f>VLOOKUP('北段 (人資版)'!W28,'工作表1'!$A$3:$B$74,2,FALSE)</f>
        <v>#ERROR!</v>
      </c>
      <c r="X28" s="24" t="str">
        <f>VLOOKUP('北段 (人資版)'!X28,'工作表1'!$A$3:$B$74,2,FALSE)</f>
        <v>#ERROR!</v>
      </c>
      <c r="Y28" s="24" t="str">
        <f>VLOOKUP('北段 (人資版)'!Y28,'工作表1'!$A$3:$B$74,2,FALSE)</f>
        <v>#ERROR!</v>
      </c>
      <c r="Z28" s="24" t="str">
        <f>VLOOKUP('北段 (人資版)'!Z28,'工作表1'!$A$3:$B$74,2,FALSE)</f>
        <v>#ERROR!</v>
      </c>
      <c r="AA28" s="24" t="str">
        <f>VLOOKUP('北段 (人資版)'!AA28,'工作表1'!$A$3:$B$74,2,FALSE)</f>
        <v>#ERROR!</v>
      </c>
      <c r="AB28" s="24" t="str">
        <f>VLOOKUP('北段 (人資版)'!AB28,'工作表1'!$A$3:$B$74,2,FALSE)</f>
        <v>#ERROR!</v>
      </c>
      <c r="AC28" s="24" t="str">
        <f>VLOOKUP('北段 (人資版)'!AC28,'工作表1'!$A$3:$B$74,2,FALSE)</f>
        <v>#ERROR!</v>
      </c>
      <c r="AD28" s="24" t="str">
        <f>VLOOKUP('北段 (人資版)'!AD28,'工作表1'!$A$3:$B$74,2,FALSE)</f>
        <v>#ERROR!</v>
      </c>
      <c r="AE28" s="24" t="str">
        <f>VLOOKUP('北段 (人資版)'!AE28,'工作表1'!$A$3:$B$74,2,FALSE)</f>
        <v>#ERROR!</v>
      </c>
      <c r="AF28" s="24" t="str">
        <f>VLOOKUP('北段 (人資版)'!AF28,'工作表1'!$A$3:$B$74,2,FALSE)</f>
        <v>#ERROR!</v>
      </c>
      <c r="AG28" s="24" t="str">
        <f>VLOOKUP('北段 (人資版)'!AG28,'工作表1'!$A$3:$B$74,2,FALSE)</f>
        <v>#ERROR!</v>
      </c>
      <c r="AH28" s="24" t="str">
        <f>VLOOKUP('北段 (人資版)'!AH28,'工作表1'!$A$3:$B$74,2,FALSE)</f>
        <v>#ERROR!</v>
      </c>
      <c r="AI28" s="24" t="str">
        <f>VLOOKUP('北段 (人資版)'!AI28,'工作表1'!$A$3:$B$74,2,FALSE)</f>
        <v>#ERROR!</v>
      </c>
      <c r="AJ28" s="24" t="str">
        <f>VLOOKUP('北段 (人資版)'!AJ28,'工作表1'!$A$3:$B$74,2,FALSE)</f>
        <v>#ERROR!</v>
      </c>
      <c r="AK28" s="24" t="str">
        <f>VLOOKUP('北段 (人資版)'!AK28,'工作表1'!$A$3:$B$74,2,FALSE)</f>
        <v>#ERROR!</v>
      </c>
      <c r="AL28" s="24" t="str">
        <f>VLOOKUP('北段 (人資版)'!AL28,'工作表1'!$A$3:$B$74,2,FALSE)</f>
        <v>#ERROR!</v>
      </c>
    </row>
    <row r="29" ht="39.75" customHeight="1">
      <c r="A29" s="143"/>
      <c r="B29" s="24" t="str">
        <f>北段!#REF!</f>
        <v>#ERROR!</v>
      </c>
      <c r="C29" s="24" t="str">
        <f>VLOOKUP(B29,'北段'!B:C,2,FALSE)</f>
        <v>#ERROR!</v>
      </c>
      <c r="D29" s="24" t="str">
        <f>VLOOKUP('北段 (人資版)'!D29,'工作表1'!$A$3:$B$74,2,FALSE)</f>
        <v>#ERROR!</v>
      </c>
      <c r="E29" s="24" t="str">
        <f>VLOOKUP('北段 (人資版)'!E29,'工作表1'!$A$3:$B$74,2,FALSE)</f>
        <v>#ERROR!</v>
      </c>
      <c r="F29" s="24" t="str">
        <f>VLOOKUP('北段 (人資版)'!F29,'工作表1'!$A$3:$B$74,2,FALSE)</f>
        <v>#ERROR!</v>
      </c>
      <c r="G29" s="24" t="str">
        <f>VLOOKUP('北段 (人資版)'!G29,'工作表1'!$A$3:$B$74,2,FALSE)</f>
        <v>#ERROR!</v>
      </c>
      <c r="H29" s="24" t="str">
        <f>VLOOKUP('北段 (人資版)'!H29,'工作表1'!$A$3:$B$74,2,FALSE)</f>
        <v>#ERROR!</v>
      </c>
      <c r="I29" s="24" t="str">
        <f>VLOOKUP('北段 (人資版)'!I29,'工作表1'!$A$3:$B$74,2,FALSE)</f>
        <v>#ERROR!</v>
      </c>
      <c r="J29" s="24" t="str">
        <f>VLOOKUP('北段 (人資版)'!J29,'工作表1'!$A$3:$B$74,2,FALSE)</f>
        <v>#ERROR!</v>
      </c>
      <c r="K29" s="24" t="str">
        <f>VLOOKUP('北段 (人資版)'!K29,'工作表1'!$A$3:$B$74,2,FALSE)</f>
        <v>#ERROR!</v>
      </c>
      <c r="L29" s="24" t="str">
        <f>VLOOKUP('北段 (人資版)'!L29,'工作表1'!$A$3:$B$74,2,FALSE)</f>
        <v>#ERROR!</v>
      </c>
      <c r="M29" s="24" t="str">
        <f>VLOOKUP('北段 (人資版)'!M29,'工作表1'!$A$3:$B$74,2,FALSE)</f>
        <v>#ERROR!</v>
      </c>
      <c r="N29" s="24" t="str">
        <f>VLOOKUP('北段 (人資版)'!N29,'工作表1'!$A$3:$B$74,2,FALSE)</f>
        <v>#ERROR!</v>
      </c>
      <c r="O29" s="24" t="str">
        <f>VLOOKUP('北段 (人資版)'!O29,'工作表1'!$A$3:$B$74,2,FALSE)</f>
        <v>#ERROR!</v>
      </c>
      <c r="P29" s="24" t="str">
        <f>VLOOKUP('北段 (人資版)'!P29,'工作表1'!$A$3:$B$74,2,FALSE)</f>
        <v>#ERROR!</v>
      </c>
      <c r="Q29" s="24" t="str">
        <f>VLOOKUP('北段 (人資版)'!Q29,'工作表1'!$A$3:$B$74,2,FALSE)</f>
        <v>#ERROR!</v>
      </c>
      <c r="R29" s="24" t="str">
        <f>VLOOKUP('北段 (人資版)'!R29,'工作表1'!$A$3:$B$74,2,FALSE)</f>
        <v>#ERROR!</v>
      </c>
      <c r="S29" s="24" t="str">
        <f>VLOOKUP('北段 (人資版)'!S29,'工作表1'!$A$3:$B$74,2,FALSE)</f>
        <v>#ERROR!</v>
      </c>
      <c r="T29" s="24" t="str">
        <f>VLOOKUP('北段 (人資版)'!T29,'工作表1'!$A$3:$B$74,2,FALSE)</f>
        <v>#ERROR!</v>
      </c>
      <c r="U29" s="24" t="str">
        <f>VLOOKUP('北段 (人資版)'!U29,'工作表1'!$A$3:$B$74,2,FALSE)</f>
        <v>#ERROR!</v>
      </c>
      <c r="V29" s="24" t="str">
        <f>VLOOKUP('北段 (人資版)'!V29,'工作表1'!$A$3:$B$74,2,FALSE)</f>
        <v>#ERROR!</v>
      </c>
      <c r="W29" s="24" t="str">
        <f>VLOOKUP('北段 (人資版)'!W29,'工作表1'!$A$3:$B$74,2,FALSE)</f>
        <v>#ERROR!</v>
      </c>
      <c r="X29" s="24" t="str">
        <f>VLOOKUP('北段 (人資版)'!X29,'工作表1'!$A$3:$B$74,2,FALSE)</f>
        <v>#ERROR!</v>
      </c>
      <c r="Y29" s="24" t="str">
        <f>VLOOKUP('北段 (人資版)'!Y29,'工作表1'!$A$3:$B$74,2,FALSE)</f>
        <v>#ERROR!</v>
      </c>
      <c r="Z29" s="24" t="str">
        <f>VLOOKUP('北段 (人資版)'!Z29,'工作表1'!$A$3:$B$74,2,FALSE)</f>
        <v>#ERROR!</v>
      </c>
      <c r="AA29" s="24" t="str">
        <f>VLOOKUP('北段 (人資版)'!AA29,'工作表1'!$A$3:$B$74,2,FALSE)</f>
        <v>#ERROR!</v>
      </c>
      <c r="AB29" s="24" t="str">
        <f>VLOOKUP('北段 (人資版)'!AB29,'工作表1'!$A$3:$B$74,2,FALSE)</f>
        <v>#ERROR!</v>
      </c>
      <c r="AC29" s="24" t="str">
        <f>VLOOKUP('北段 (人資版)'!AC29,'工作表1'!$A$3:$B$74,2,FALSE)</f>
        <v>#ERROR!</v>
      </c>
      <c r="AD29" s="24" t="str">
        <f>VLOOKUP('北段 (人資版)'!AD29,'工作表1'!$A$3:$B$74,2,FALSE)</f>
        <v>#ERROR!</v>
      </c>
      <c r="AE29" s="24" t="str">
        <f>VLOOKUP('北段 (人資版)'!AE29,'工作表1'!$A$3:$B$74,2,FALSE)</f>
        <v>#ERROR!</v>
      </c>
      <c r="AF29" s="24" t="str">
        <f>VLOOKUP('北段 (人資版)'!AF29,'工作表1'!$A$3:$B$74,2,FALSE)</f>
        <v>#ERROR!</v>
      </c>
      <c r="AG29" s="24" t="str">
        <f>VLOOKUP('北段 (人資版)'!AG29,'工作表1'!$A$3:$B$74,2,FALSE)</f>
        <v>#ERROR!</v>
      </c>
      <c r="AH29" s="24" t="str">
        <f>VLOOKUP('北段 (人資版)'!AH29,'工作表1'!$A$3:$B$74,2,FALSE)</f>
        <v>#ERROR!</v>
      </c>
      <c r="AI29" s="24" t="str">
        <f>VLOOKUP('北段 (人資版)'!AI29,'工作表1'!$A$3:$B$74,2,FALSE)</f>
        <v>#ERROR!</v>
      </c>
      <c r="AJ29" s="24" t="str">
        <f>VLOOKUP('北段 (人資版)'!AJ29,'工作表1'!$A$3:$B$74,2,FALSE)</f>
        <v>#ERROR!</v>
      </c>
      <c r="AK29" s="24" t="str">
        <f>VLOOKUP('北段 (人資版)'!AK29,'工作表1'!$A$3:$B$74,2,FALSE)</f>
        <v>#ERROR!</v>
      </c>
      <c r="AL29" s="24" t="str">
        <f>VLOOKUP('北段 (人資版)'!AL29,'工作表1'!$A$3:$B$74,2,FALSE)</f>
        <v>#ERROR!</v>
      </c>
    </row>
    <row r="30" ht="39.75" customHeight="1">
      <c r="A30" s="143"/>
      <c r="B30" s="24" t="str">
        <f>北段!#REF!</f>
        <v>#ERROR!</v>
      </c>
      <c r="C30" s="24" t="str">
        <f>VLOOKUP(B30,'北段'!B:C,2,FALSE)</f>
        <v>#ERROR!</v>
      </c>
      <c r="D30" s="24" t="str">
        <f>VLOOKUP('北段 (人資版)'!D30,'工作表1'!$A$3:$B$74,2,FALSE)</f>
        <v>#ERROR!</v>
      </c>
      <c r="E30" s="24" t="str">
        <f>VLOOKUP('北段 (人資版)'!E30,'工作表1'!$A$3:$B$74,2,FALSE)</f>
        <v>#ERROR!</v>
      </c>
      <c r="F30" s="24" t="str">
        <f>VLOOKUP('北段 (人資版)'!F30,'工作表1'!$A$3:$B$74,2,FALSE)</f>
        <v>#ERROR!</v>
      </c>
      <c r="G30" s="24" t="str">
        <f>VLOOKUP('北段 (人資版)'!G30,'工作表1'!$A$3:$B$74,2,FALSE)</f>
        <v>#ERROR!</v>
      </c>
      <c r="H30" s="24" t="str">
        <f>VLOOKUP('北段 (人資版)'!H30,'工作表1'!$A$3:$B$74,2,FALSE)</f>
        <v>#ERROR!</v>
      </c>
      <c r="I30" s="24" t="str">
        <f>VLOOKUP('北段 (人資版)'!I30,'工作表1'!$A$3:$B$74,2,FALSE)</f>
        <v>#ERROR!</v>
      </c>
      <c r="J30" s="24" t="str">
        <f>VLOOKUP('北段 (人資版)'!J30,'工作表1'!$A$3:$B$74,2,FALSE)</f>
        <v>#ERROR!</v>
      </c>
      <c r="K30" s="24" t="str">
        <f>VLOOKUP('北段 (人資版)'!K30,'工作表1'!$A$3:$B$74,2,FALSE)</f>
        <v>#ERROR!</v>
      </c>
      <c r="L30" s="24" t="str">
        <f>VLOOKUP('北段 (人資版)'!L30,'工作表1'!$A$3:$B$74,2,FALSE)</f>
        <v>#ERROR!</v>
      </c>
      <c r="M30" s="24" t="str">
        <f>VLOOKUP('北段 (人資版)'!M30,'工作表1'!$A$3:$B$74,2,FALSE)</f>
        <v>#ERROR!</v>
      </c>
      <c r="N30" s="24" t="str">
        <f>VLOOKUP('北段 (人資版)'!N30,'工作表1'!$A$3:$B$74,2,FALSE)</f>
        <v>#ERROR!</v>
      </c>
      <c r="O30" s="24" t="str">
        <f>VLOOKUP('北段 (人資版)'!O30,'工作表1'!$A$3:$B$74,2,FALSE)</f>
        <v>#ERROR!</v>
      </c>
      <c r="P30" s="24" t="str">
        <f>VLOOKUP('北段 (人資版)'!P30,'工作表1'!$A$3:$B$74,2,FALSE)</f>
        <v>#ERROR!</v>
      </c>
      <c r="Q30" s="24" t="str">
        <f>VLOOKUP('北段 (人資版)'!Q30,'工作表1'!$A$3:$B$74,2,FALSE)</f>
        <v>#ERROR!</v>
      </c>
      <c r="R30" s="24" t="str">
        <f>VLOOKUP('北段 (人資版)'!R30,'工作表1'!$A$3:$B$74,2,FALSE)</f>
        <v>#ERROR!</v>
      </c>
      <c r="S30" s="24" t="str">
        <f>VLOOKUP('北段 (人資版)'!S30,'工作表1'!$A$3:$B$74,2,FALSE)</f>
        <v>#ERROR!</v>
      </c>
      <c r="T30" s="24" t="str">
        <f>VLOOKUP('北段 (人資版)'!T30,'工作表1'!$A$3:$B$74,2,FALSE)</f>
        <v>#ERROR!</v>
      </c>
      <c r="U30" s="24" t="str">
        <f>VLOOKUP('北段 (人資版)'!U30,'工作表1'!$A$3:$B$74,2,FALSE)</f>
        <v>#ERROR!</v>
      </c>
      <c r="V30" s="24" t="str">
        <f>VLOOKUP('北段 (人資版)'!V30,'工作表1'!$A$3:$B$74,2,FALSE)</f>
        <v>#ERROR!</v>
      </c>
      <c r="W30" s="24" t="str">
        <f>VLOOKUP('北段 (人資版)'!W30,'工作表1'!$A$3:$B$74,2,FALSE)</f>
        <v>#ERROR!</v>
      </c>
      <c r="X30" s="24" t="str">
        <f>VLOOKUP('北段 (人資版)'!X30,'工作表1'!$A$3:$B$74,2,FALSE)</f>
        <v>#ERROR!</v>
      </c>
      <c r="Y30" s="24" t="str">
        <f>VLOOKUP('北段 (人資版)'!Y30,'工作表1'!$A$3:$B$74,2,FALSE)</f>
        <v>#ERROR!</v>
      </c>
      <c r="Z30" s="24" t="str">
        <f>VLOOKUP('北段 (人資版)'!Z30,'工作表1'!$A$3:$B$74,2,FALSE)</f>
        <v>#ERROR!</v>
      </c>
      <c r="AA30" s="24" t="str">
        <f>VLOOKUP('北段 (人資版)'!AA30,'工作表1'!$A$3:$B$74,2,FALSE)</f>
        <v>#ERROR!</v>
      </c>
      <c r="AB30" s="24" t="str">
        <f>VLOOKUP('北段 (人資版)'!AB30,'工作表1'!$A$3:$B$74,2,FALSE)</f>
        <v>#ERROR!</v>
      </c>
      <c r="AC30" s="24" t="str">
        <f>VLOOKUP('北段 (人資版)'!AC30,'工作表1'!$A$3:$B$74,2,FALSE)</f>
        <v>#ERROR!</v>
      </c>
      <c r="AD30" s="24" t="str">
        <f>VLOOKUP('北段 (人資版)'!AD30,'工作表1'!$A$3:$B$74,2,FALSE)</f>
        <v>#ERROR!</v>
      </c>
      <c r="AE30" s="24" t="str">
        <f>VLOOKUP('北段 (人資版)'!AE30,'工作表1'!$A$3:$B$74,2,FALSE)</f>
        <v>#ERROR!</v>
      </c>
      <c r="AF30" s="24" t="str">
        <f>VLOOKUP('北段 (人資版)'!AF30,'工作表1'!$A$3:$B$74,2,FALSE)</f>
        <v>#ERROR!</v>
      </c>
      <c r="AG30" s="24" t="str">
        <f>VLOOKUP('北段 (人資版)'!AG30,'工作表1'!$A$3:$B$74,2,FALSE)</f>
        <v>#ERROR!</v>
      </c>
      <c r="AH30" s="24" t="str">
        <f>VLOOKUP('北段 (人資版)'!AH30,'工作表1'!$A$3:$B$74,2,FALSE)</f>
        <v>#ERROR!</v>
      </c>
      <c r="AI30" s="24" t="str">
        <f>VLOOKUP('北段 (人資版)'!AI30,'工作表1'!$A$3:$B$74,2,FALSE)</f>
        <v>#ERROR!</v>
      </c>
      <c r="AJ30" s="24" t="str">
        <f>VLOOKUP('北段 (人資版)'!AJ30,'工作表1'!$A$3:$B$74,2,FALSE)</f>
        <v>#ERROR!</v>
      </c>
      <c r="AK30" s="24" t="str">
        <f>VLOOKUP('北段 (人資版)'!AK30,'工作表1'!$A$3:$B$74,2,FALSE)</f>
        <v>#ERROR!</v>
      </c>
      <c r="AL30" s="24" t="str">
        <f>VLOOKUP('北段 (人資版)'!AL30,'工作表1'!$A$3:$B$74,2,FALSE)</f>
        <v>#ERROR!</v>
      </c>
    </row>
    <row r="31" ht="39.75" customHeight="1">
      <c r="A31" s="144"/>
      <c r="B31" s="24" t="str">
        <f>北段!#REF!</f>
        <v>#ERROR!</v>
      </c>
      <c r="C31" s="24" t="str">
        <f>VLOOKUP(B31,'北段'!B:C,2,FALSE)</f>
        <v>#ERROR!</v>
      </c>
      <c r="D31" s="24" t="str">
        <f>VLOOKUP('北段 (人資版)'!D31,'工作表1'!$A$3:$B$74,2,FALSE)</f>
        <v>#ERROR!</v>
      </c>
      <c r="E31" s="24" t="str">
        <f>VLOOKUP('北段 (人資版)'!E31,'工作表1'!$A$3:$B$74,2,FALSE)</f>
        <v>#ERROR!</v>
      </c>
      <c r="F31" s="24" t="str">
        <f>VLOOKUP('北段 (人資版)'!F31,'工作表1'!$A$3:$B$74,2,FALSE)</f>
        <v>#ERROR!</v>
      </c>
      <c r="G31" s="24" t="str">
        <f>VLOOKUP('北段 (人資版)'!G31,'工作表1'!$A$3:$B$74,2,FALSE)</f>
        <v>#ERROR!</v>
      </c>
      <c r="H31" s="24" t="str">
        <f>VLOOKUP('北段 (人資版)'!H31,'工作表1'!$A$3:$B$74,2,FALSE)</f>
        <v>#ERROR!</v>
      </c>
      <c r="I31" s="24" t="str">
        <f>VLOOKUP('北段 (人資版)'!I31,'工作表1'!$A$3:$B$74,2,FALSE)</f>
        <v>#ERROR!</v>
      </c>
      <c r="J31" s="24" t="str">
        <f>VLOOKUP('北段 (人資版)'!J31,'工作表1'!$A$3:$B$74,2,FALSE)</f>
        <v>#ERROR!</v>
      </c>
      <c r="K31" s="24" t="str">
        <f>VLOOKUP('北段 (人資版)'!K31,'工作表1'!$A$3:$B$74,2,FALSE)</f>
        <v>#ERROR!</v>
      </c>
      <c r="L31" s="24" t="str">
        <f>VLOOKUP('北段 (人資版)'!L31,'工作表1'!$A$3:$B$74,2,FALSE)</f>
        <v>#ERROR!</v>
      </c>
      <c r="M31" s="24" t="str">
        <f>VLOOKUP('北段 (人資版)'!M31,'工作表1'!$A$3:$B$74,2,FALSE)</f>
        <v>#ERROR!</v>
      </c>
      <c r="N31" s="24" t="str">
        <f>VLOOKUP('北段 (人資版)'!N31,'工作表1'!$A$3:$B$74,2,FALSE)</f>
        <v>#ERROR!</v>
      </c>
      <c r="O31" s="24" t="str">
        <f>VLOOKUP('北段 (人資版)'!O31,'工作表1'!$A$3:$B$74,2,FALSE)</f>
        <v>#ERROR!</v>
      </c>
      <c r="P31" s="24" t="str">
        <f>VLOOKUP('北段 (人資版)'!P31,'工作表1'!$A$3:$B$74,2,FALSE)</f>
        <v>#ERROR!</v>
      </c>
      <c r="Q31" s="24" t="str">
        <f>VLOOKUP('北段 (人資版)'!Q31,'工作表1'!$A$3:$B$74,2,FALSE)</f>
        <v>#ERROR!</v>
      </c>
      <c r="R31" s="24" t="str">
        <f>VLOOKUP('北段 (人資版)'!R31,'工作表1'!$A$3:$B$74,2,FALSE)</f>
        <v>#ERROR!</v>
      </c>
      <c r="S31" s="24" t="str">
        <f>VLOOKUP('北段 (人資版)'!S31,'工作表1'!$A$3:$B$74,2,FALSE)</f>
        <v>#ERROR!</v>
      </c>
      <c r="T31" s="24" t="str">
        <f>VLOOKUP('北段 (人資版)'!T31,'工作表1'!$A$3:$B$74,2,FALSE)</f>
        <v>#ERROR!</v>
      </c>
      <c r="U31" s="24" t="str">
        <f>VLOOKUP('北段 (人資版)'!U31,'工作表1'!$A$3:$B$74,2,FALSE)</f>
        <v>#ERROR!</v>
      </c>
      <c r="V31" s="24" t="str">
        <f>VLOOKUP('北段 (人資版)'!V31,'工作表1'!$A$3:$B$74,2,FALSE)</f>
        <v>#ERROR!</v>
      </c>
      <c r="W31" s="24" t="str">
        <f>VLOOKUP('北段 (人資版)'!W31,'工作表1'!$A$3:$B$74,2,FALSE)</f>
        <v>#ERROR!</v>
      </c>
      <c r="X31" s="24" t="str">
        <f>VLOOKUP('北段 (人資版)'!X31,'工作表1'!$A$3:$B$74,2,FALSE)</f>
        <v>#ERROR!</v>
      </c>
      <c r="Y31" s="24" t="str">
        <f>VLOOKUP('北段 (人資版)'!Y31,'工作表1'!$A$3:$B$74,2,FALSE)</f>
        <v>#ERROR!</v>
      </c>
      <c r="Z31" s="24" t="str">
        <f>VLOOKUP('北段 (人資版)'!Z31,'工作表1'!$A$3:$B$74,2,FALSE)</f>
        <v>#ERROR!</v>
      </c>
      <c r="AA31" s="24" t="str">
        <f>VLOOKUP('北段 (人資版)'!AA31,'工作表1'!$A$3:$B$74,2,FALSE)</f>
        <v>#ERROR!</v>
      </c>
      <c r="AB31" s="24" t="str">
        <f>VLOOKUP('北段 (人資版)'!AB31,'工作表1'!$A$3:$B$74,2,FALSE)</f>
        <v>#ERROR!</v>
      </c>
      <c r="AC31" s="24" t="str">
        <f>VLOOKUP('北段 (人資版)'!AC31,'工作表1'!$A$3:$B$74,2,FALSE)</f>
        <v>#ERROR!</v>
      </c>
      <c r="AD31" s="24" t="str">
        <f>VLOOKUP('北段 (人資版)'!AD31,'工作表1'!$A$3:$B$74,2,FALSE)</f>
        <v>#ERROR!</v>
      </c>
      <c r="AE31" s="24" t="str">
        <f>VLOOKUP('北段 (人資版)'!AE31,'工作表1'!$A$3:$B$74,2,FALSE)</f>
        <v>#ERROR!</v>
      </c>
      <c r="AF31" s="24" t="str">
        <f>VLOOKUP('北段 (人資版)'!AF31,'工作表1'!$A$3:$B$74,2,FALSE)</f>
        <v>#ERROR!</v>
      </c>
      <c r="AG31" s="24" t="str">
        <f>VLOOKUP('北段 (人資版)'!AG31,'工作表1'!$A$3:$B$74,2,FALSE)</f>
        <v>#ERROR!</v>
      </c>
      <c r="AH31" s="24" t="str">
        <f>VLOOKUP('北段 (人資版)'!AH31,'工作表1'!$A$3:$B$74,2,FALSE)</f>
        <v>#ERROR!</v>
      </c>
      <c r="AI31" s="24" t="str">
        <f>VLOOKUP('北段 (人資版)'!AI31,'工作表1'!$A$3:$B$74,2,FALSE)</f>
        <v>#ERROR!</v>
      </c>
      <c r="AJ31" s="24" t="str">
        <f>VLOOKUP('北段 (人資版)'!AJ31,'工作表1'!$A$3:$B$74,2,FALSE)</f>
        <v>#ERROR!</v>
      </c>
      <c r="AK31" s="24" t="str">
        <f>VLOOKUP('北段 (人資版)'!AK31,'工作表1'!$A$3:$B$74,2,FALSE)</f>
        <v>#ERROR!</v>
      </c>
      <c r="AL31" s="24" t="str">
        <f>VLOOKUP('北段 (人資版)'!AL31,'工作表1'!$A$3:$B$74,2,FALSE)</f>
        <v>#ERROR!</v>
      </c>
    </row>
    <row r="32" ht="39.75" customHeight="1">
      <c r="A32" s="142" t="s">
        <v>63</v>
      </c>
      <c r="B32" s="24" t="str">
        <f>北段!#REF!</f>
        <v>#ERROR!</v>
      </c>
      <c r="C32" s="24" t="str">
        <f>VLOOKUP(B32,'北段'!B:C,2,FALSE)</f>
        <v>#ERROR!</v>
      </c>
      <c r="D32" s="24" t="str">
        <f>VLOOKUP('北段 (人資版)'!D32,'工作表1'!$A$3:$B$74,2,FALSE)</f>
        <v>#ERROR!</v>
      </c>
      <c r="E32" s="24" t="str">
        <f>VLOOKUP('北段 (人資版)'!E32,'工作表1'!$A$3:$B$74,2,FALSE)</f>
        <v>#ERROR!</v>
      </c>
      <c r="F32" s="24" t="str">
        <f>VLOOKUP('北段 (人資版)'!F32,'工作表1'!$A$3:$B$74,2,FALSE)</f>
        <v>#ERROR!</v>
      </c>
      <c r="G32" s="24" t="str">
        <f>VLOOKUP('北段 (人資版)'!G32,'工作表1'!$A$3:$B$74,2,FALSE)</f>
        <v>#ERROR!</v>
      </c>
      <c r="H32" s="24" t="str">
        <f>VLOOKUP('北段 (人資版)'!H32,'工作表1'!$A$3:$B$74,2,FALSE)</f>
        <v>#ERROR!</v>
      </c>
      <c r="I32" s="24" t="str">
        <f>VLOOKUP('北段 (人資版)'!I32,'工作表1'!$A$3:$B$74,2,FALSE)</f>
        <v>#ERROR!</v>
      </c>
      <c r="J32" s="24" t="str">
        <f>VLOOKUP('北段 (人資版)'!J32,'工作表1'!$A$3:$B$74,2,FALSE)</f>
        <v>#ERROR!</v>
      </c>
      <c r="K32" s="24" t="str">
        <f>VLOOKUP('北段 (人資版)'!K32,'工作表1'!$A$3:$B$74,2,FALSE)</f>
        <v>#ERROR!</v>
      </c>
      <c r="L32" s="24" t="str">
        <f>VLOOKUP('北段 (人資版)'!L32,'工作表1'!$A$3:$B$74,2,FALSE)</f>
        <v>#ERROR!</v>
      </c>
      <c r="M32" s="24" t="str">
        <f>VLOOKUP('北段 (人資版)'!M32,'工作表1'!$A$3:$B$74,2,FALSE)</f>
        <v>#ERROR!</v>
      </c>
      <c r="N32" s="24" t="str">
        <f>VLOOKUP('北段 (人資版)'!N32,'工作表1'!$A$3:$B$74,2,FALSE)</f>
        <v>#ERROR!</v>
      </c>
      <c r="O32" s="24" t="str">
        <f>VLOOKUP('北段 (人資版)'!O32,'工作表1'!$A$3:$B$74,2,FALSE)</f>
        <v>#ERROR!</v>
      </c>
      <c r="P32" s="24" t="str">
        <f>VLOOKUP('北段 (人資版)'!P32,'工作表1'!$A$3:$B$74,2,FALSE)</f>
        <v>#ERROR!</v>
      </c>
      <c r="Q32" s="24" t="str">
        <f>VLOOKUP('北段 (人資版)'!Q32,'工作表1'!$A$3:$B$74,2,FALSE)</f>
        <v>#ERROR!</v>
      </c>
      <c r="R32" s="24" t="str">
        <f>VLOOKUP('北段 (人資版)'!R32,'工作表1'!$A$3:$B$74,2,FALSE)</f>
        <v>#ERROR!</v>
      </c>
      <c r="S32" s="24" t="str">
        <f>VLOOKUP('北段 (人資版)'!S32,'工作表1'!$A$3:$B$74,2,FALSE)</f>
        <v>#ERROR!</v>
      </c>
      <c r="T32" s="24" t="str">
        <f>VLOOKUP('北段 (人資版)'!T32,'工作表1'!$A$3:$B$74,2,FALSE)</f>
        <v>#ERROR!</v>
      </c>
      <c r="U32" s="24" t="str">
        <f>VLOOKUP('北段 (人資版)'!U32,'工作表1'!$A$3:$B$74,2,FALSE)</f>
        <v>#ERROR!</v>
      </c>
      <c r="V32" s="24" t="str">
        <f>VLOOKUP('北段 (人資版)'!V32,'工作表1'!$A$3:$B$74,2,FALSE)</f>
        <v>#ERROR!</v>
      </c>
      <c r="W32" s="24" t="str">
        <f>VLOOKUP('北段 (人資版)'!W32,'工作表1'!$A$3:$B$74,2,FALSE)</f>
        <v>#ERROR!</v>
      </c>
      <c r="X32" s="24" t="str">
        <f>VLOOKUP('北段 (人資版)'!X32,'工作表1'!$A$3:$B$74,2,FALSE)</f>
        <v>#ERROR!</v>
      </c>
      <c r="Y32" s="24" t="str">
        <f>VLOOKUP('北段 (人資版)'!Y32,'工作表1'!$A$3:$B$74,2,FALSE)</f>
        <v>#ERROR!</v>
      </c>
      <c r="Z32" s="24" t="str">
        <f>VLOOKUP('北段 (人資版)'!Z32,'工作表1'!$A$3:$B$74,2,FALSE)</f>
        <v>#ERROR!</v>
      </c>
      <c r="AA32" s="24" t="str">
        <f>VLOOKUP('北段 (人資版)'!AA32,'工作表1'!$A$3:$B$74,2,FALSE)</f>
        <v>#ERROR!</v>
      </c>
      <c r="AB32" s="24" t="str">
        <f>VLOOKUP('北段 (人資版)'!AB32,'工作表1'!$A$3:$B$74,2,FALSE)</f>
        <v>#ERROR!</v>
      </c>
      <c r="AC32" s="24" t="str">
        <f>VLOOKUP('北段 (人資版)'!AC32,'工作表1'!$A$3:$B$74,2,FALSE)</f>
        <v>#ERROR!</v>
      </c>
      <c r="AD32" s="24" t="str">
        <f>VLOOKUP('北段 (人資版)'!AD32,'工作表1'!$A$3:$B$74,2,FALSE)</f>
        <v>#ERROR!</v>
      </c>
      <c r="AE32" s="24" t="str">
        <f>VLOOKUP('北段 (人資版)'!AE32,'工作表1'!$A$3:$B$74,2,FALSE)</f>
        <v>#ERROR!</v>
      </c>
      <c r="AF32" s="24" t="str">
        <f>VLOOKUP('北段 (人資版)'!AF32,'工作表1'!$A$3:$B$74,2,FALSE)</f>
        <v>#ERROR!</v>
      </c>
      <c r="AG32" s="24" t="str">
        <f>VLOOKUP('北段 (人資版)'!AG32,'工作表1'!$A$3:$B$74,2,FALSE)</f>
        <v>#ERROR!</v>
      </c>
      <c r="AH32" s="24" t="str">
        <f>VLOOKUP('北段 (人資版)'!AH32,'工作表1'!$A$3:$B$74,2,FALSE)</f>
        <v>#ERROR!</v>
      </c>
      <c r="AI32" s="24" t="str">
        <f>VLOOKUP('北段 (人資版)'!AI32,'工作表1'!$A$3:$B$74,2,FALSE)</f>
        <v>#ERROR!</v>
      </c>
      <c r="AJ32" s="24" t="str">
        <f>VLOOKUP('北段 (人資版)'!AJ32,'工作表1'!$A$3:$B$74,2,FALSE)</f>
        <v>#ERROR!</v>
      </c>
      <c r="AK32" s="24" t="str">
        <f>VLOOKUP('北段 (人資版)'!AK32,'工作表1'!$A$3:$B$74,2,FALSE)</f>
        <v>#ERROR!</v>
      </c>
      <c r="AL32" s="24" t="str">
        <f>VLOOKUP('北段 (人資版)'!AL32,'工作表1'!$A$3:$B$74,2,FALSE)</f>
        <v>#ERROR!</v>
      </c>
    </row>
    <row r="33" ht="39.75" customHeight="1">
      <c r="A33" s="143"/>
      <c r="B33" s="24" t="str">
        <f>北段!#REF!</f>
        <v>#ERROR!</v>
      </c>
      <c r="C33" s="24" t="str">
        <f>VLOOKUP(B33,'北段'!B:C,2,FALSE)</f>
        <v>#ERROR!</v>
      </c>
      <c r="D33" s="24" t="str">
        <f>VLOOKUP('北段 (人資版)'!D33,'工作表1'!$A$3:$B$74,2,FALSE)</f>
        <v>#ERROR!</v>
      </c>
      <c r="E33" s="24" t="str">
        <f>VLOOKUP('北段 (人資版)'!E33,'工作表1'!$A$3:$B$74,2,FALSE)</f>
        <v>#ERROR!</v>
      </c>
      <c r="F33" s="24" t="str">
        <f>VLOOKUP('北段 (人資版)'!F33,'工作表1'!$A$3:$B$74,2,FALSE)</f>
        <v>#ERROR!</v>
      </c>
      <c r="G33" s="24" t="str">
        <f>VLOOKUP('北段 (人資版)'!G33,'工作表1'!$A$3:$B$74,2,FALSE)</f>
        <v>#ERROR!</v>
      </c>
      <c r="H33" s="24" t="str">
        <f>VLOOKUP('北段 (人資版)'!H33,'工作表1'!$A$3:$B$74,2,FALSE)</f>
        <v>#ERROR!</v>
      </c>
      <c r="I33" s="24" t="str">
        <f>VLOOKUP('北段 (人資版)'!I33,'工作表1'!$A$3:$B$74,2,FALSE)</f>
        <v>#ERROR!</v>
      </c>
      <c r="J33" s="24" t="str">
        <f>VLOOKUP('北段 (人資版)'!J33,'工作表1'!$A$3:$B$74,2,FALSE)</f>
        <v>#ERROR!</v>
      </c>
      <c r="K33" s="24" t="str">
        <f>VLOOKUP('北段 (人資版)'!K33,'工作表1'!$A$3:$B$74,2,FALSE)</f>
        <v>#ERROR!</v>
      </c>
      <c r="L33" s="24" t="str">
        <f>VLOOKUP('北段 (人資版)'!L33,'工作表1'!$A$3:$B$74,2,FALSE)</f>
        <v>#ERROR!</v>
      </c>
      <c r="M33" s="24" t="str">
        <f>VLOOKUP('北段 (人資版)'!M33,'工作表1'!$A$3:$B$74,2,FALSE)</f>
        <v>#ERROR!</v>
      </c>
      <c r="N33" s="24" t="str">
        <f>VLOOKUP('北段 (人資版)'!N33,'工作表1'!$A$3:$B$74,2,FALSE)</f>
        <v>#ERROR!</v>
      </c>
      <c r="O33" s="24" t="str">
        <f>VLOOKUP('北段 (人資版)'!O33,'工作表1'!$A$3:$B$74,2,FALSE)</f>
        <v>#ERROR!</v>
      </c>
      <c r="P33" s="24" t="str">
        <f>VLOOKUP('北段 (人資版)'!P33,'工作表1'!$A$3:$B$74,2,FALSE)</f>
        <v>#ERROR!</v>
      </c>
      <c r="Q33" s="24" t="str">
        <f>VLOOKUP('北段 (人資版)'!Q33,'工作表1'!$A$3:$B$74,2,FALSE)</f>
        <v>#ERROR!</v>
      </c>
      <c r="R33" s="24" t="str">
        <f>VLOOKUP('北段 (人資版)'!R33,'工作表1'!$A$3:$B$74,2,FALSE)</f>
        <v>#ERROR!</v>
      </c>
      <c r="S33" s="24" t="str">
        <f>VLOOKUP('北段 (人資版)'!S33,'工作表1'!$A$3:$B$74,2,FALSE)</f>
        <v>#ERROR!</v>
      </c>
      <c r="T33" s="24" t="str">
        <f>VLOOKUP('北段 (人資版)'!T33,'工作表1'!$A$3:$B$74,2,FALSE)</f>
        <v>#ERROR!</v>
      </c>
      <c r="U33" s="24" t="str">
        <f>VLOOKUP('北段 (人資版)'!U33,'工作表1'!$A$3:$B$74,2,FALSE)</f>
        <v>#ERROR!</v>
      </c>
      <c r="V33" s="24" t="str">
        <f>VLOOKUP('北段 (人資版)'!V33,'工作表1'!$A$3:$B$74,2,FALSE)</f>
        <v>#ERROR!</v>
      </c>
      <c r="W33" s="24" t="str">
        <f>VLOOKUP('北段 (人資版)'!W33,'工作表1'!$A$3:$B$74,2,FALSE)</f>
        <v>#ERROR!</v>
      </c>
      <c r="X33" s="24" t="str">
        <f>VLOOKUP('北段 (人資版)'!X33,'工作表1'!$A$3:$B$74,2,FALSE)</f>
        <v>#ERROR!</v>
      </c>
      <c r="Y33" s="24" t="str">
        <f>VLOOKUP('北段 (人資版)'!Y33,'工作表1'!$A$3:$B$74,2,FALSE)</f>
        <v>#ERROR!</v>
      </c>
      <c r="Z33" s="24" t="str">
        <f>VLOOKUP('北段 (人資版)'!Z33,'工作表1'!$A$3:$B$74,2,FALSE)</f>
        <v>#ERROR!</v>
      </c>
      <c r="AA33" s="24" t="str">
        <f>VLOOKUP('北段 (人資版)'!AA33,'工作表1'!$A$3:$B$74,2,FALSE)</f>
        <v>#ERROR!</v>
      </c>
      <c r="AB33" s="24" t="str">
        <f>VLOOKUP('北段 (人資版)'!AB33,'工作表1'!$A$3:$B$74,2,FALSE)</f>
        <v>#ERROR!</v>
      </c>
      <c r="AC33" s="24" t="str">
        <f>VLOOKUP('北段 (人資版)'!AC33,'工作表1'!$A$3:$B$74,2,FALSE)</f>
        <v>#ERROR!</v>
      </c>
      <c r="AD33" s="24" t="str">
        <f>VLOOKUP('北段 (人資版)'!AD33,'工作表1'!$A$3:$B$74,2,FALSE)</f>
        <v>#ERROR!</v>
      </c>
      <c r="AE33" s="24" t="str">
        <f>VLOOKUP('北段 (人資版)'!AE33,'工作表1'!$A$3:$B$74,2,FALSE)</f>
        <v>#ERROR!</v>
      </c>
      <c r="AF33" s="24" t="str">
        <f>VLOOKUP('北段 (人資版)'!AF33,'工作表1'!$A$3:$B$74,2,FALSE)</f>
        <v>#ERROR!</v>
      </c>
      <c r="AG33" s="24" t="str">
        <f>VLOOKUP('北段 (人資版)'!AG33,'工作表1'!$A$3:$B$74,2,FALSE)</f>
        <v>#ERROR!</v>
      </c>
      <c r="AH33" s="24" t="str">
        <f>VLOOKUP('北段 (人資版)'!AH33,'工作表1'!$A$3:$B$74,2,FALSE)</f>
        <v>#ERROR!</v>
      </c>
      <c r="AI33" s="24" t="str">
        <f>VLOOKUP('北段 (人資版)'!AI33,'工作表1'!$A$3:$B$74,2,FALSE)</f>
        <v>#ERROR!</v>
      </c>
      <c r="AJ33" s="24" t="str">
        <f>VLOOKUP('北段 (人資版)'!AJ33,'工作表1'!$A$3:$B$74,2,FALSE)</f>
        <v>#ERROR!</v>
      </c>
      <c r="AK33" s="24" t="str">
        <f>VLOOKUP('北段 (人資版)'!AK33,'工作表1'!$A$3:$B$74,2,FALSE)</f>
        <v>#ERROR!</v>
      </c>
      <c r="AL33" s="24" t="str">
        <f>VLOOKUP('北段 (人資版)'!AL33,'工作表1'!$A$3:$B$74,2,FALSE)</f>
        <v>#ERROR!</v>
      </c>
    </row>
    <row r="34" ht="39.75" customHeight="1">
      <c r="A34" s="143"/>
      <c r="B34" s="24" t="str">
        <f>北段!#REF!</f>
        <v>#ERROR!</v>
      </c>
      <c r="C34" s="24" t="str">
        <f>VLOOKUP(B34,'北段'!B:C,2,FALSE)</f>
        <v>#ERROR!</v>
      </c>
      <c r="D34" s="24" t="str">
        <f>VLOOKUP('北段 (人資版)'!D34,'工作表1'!$A$3:$B$74,2,FALSE)</f>
        <v>#ERROR!</v>
      </c>
      <c r="E34" s="24" t="str">
        <f>VLOOKUP('北段 (人資版)'!E34,'工作表1'!$A$3:$B$74,2,FALSE)</f>
        <v>#ERROR!</v>
      </c>
      <c r="F34" s="24" t="str">
        <f>VLOOKUP('北段 (人資版)'!F34,'工作表1'!$A$3:$B$74,2,FALSE)</f>
        <v>#ERROR!</v>
      </c>
      <c r="G34" s="24" t="str">
        <f>VLOOKUP('北段 (人資版)'!G34,'工作表1'!$A$3:$B$74,2,FALSE)</f>
        <v>#ERROR!</v>
      </c>
      <c r="H34" s="24" t="str">
        <f>VLOOKUP('北段 (人資版)'!H34,'工作表1'!$A$3:$B$74,2,FALSE)</f>
        <v>#ERROR!</v>
      </c>
      <c r="I34" s="24" t="str">
        <f>VLOOKUP('北段 (人資版)'!I34,'工作表1'!$A$3:$B$74,2,FALSE)</f>
        <v>#ERROR!</v>
      </c>
      <c r="J34" s="24" t="str">
        <f>VLOOKUP('北段 (人資版)'!J34,'工作表1'!$A$3:$B$74,2,FALSE)</f>
        <v>#ERROR!</v>
      </c>
      <c r="K34" s="24" t="str">
        <f>VLOOKUP('北段 (人資版)'!K34,'工作表1'!$A$3:$B$74,2,FALSE)</f>
        <v>#ERROR!</v>
      </c>
      <c r="L34" s="24" t="str">
        <f>VLOOKUP('北段 (人資版)'!L34,'工作表1'!$A$3:$B$74,2,FALSE)</f>
        <v>#ERROR!</v>
      </c>
      <c r="M34" s="24" t="str">
        <f>VLOOKUP('北段 (人資版)'!M34,'工作表1'!$A$3:$B$74,2,FALSE)</f>
        <v>#ERROR!</v>
      </c>
      <c r="N34" s="24" t="str">
        <f>VLOOKUP('北段 (人資版)'!N34,'工作表1'!$A$3:$B$74,2,FALSE)</f>
        <v>#ERROR!</v>
      </c>
      <c r="O34" s="24" t="str">
        <f>VLOOKUP('北段 (人資版)'!O34,'工作表1'!$A$3:$B$74,2,FALSE)</f>
        <v>#ERROR!</v>
      </c>
      <c r="P34" s="24" t="str">
        <f>VLOOKUP('北段 (人資版)'!P34,'工作表1'!$A$3:$B$74,2,FALSE)</f>
        <v>#ERROR!</v>
      </c>
      <c r="Q34" s="24" t="str">
        <f>VLOOKUP('北段 (人資版)'!Q34,'工作表1'!$A$3:$B$74,2,FALSE)</f>
        <v>#ERROR!</v>
      </c>
      <c r="R34" s="24" t="str">
        <f>VLOOKUP('北段 (人資版)'!R34,'工作表1'!$A$3:$B$74,2,FALSE)</f>
        <v>#ERROR!</v>
      </c>
      <c r="S34" s="24" t="str">
        <f>VLOOKUP('北段 (人資版)'!S34,'工作表1'!$A$3:$B$74,2,FALSE)</f>
        <v>#ERROR!</v>
      </c>
      <c r="T34" s="24" t="str">
        <f>VLOOKUP('北段 (人資版)'!T34,'工作表1'!$A$3:$B$74,2,FALSE)</f>
        <v>#ERROR!</v>
      </c>
      <c r="U34" s="24" t="str">
        <f>VLOOKUP('北段 (人資版)'!U34,'工作表1'!$A$3:$B$74,2,FALSE)</f>
        <v>#ERROR!</v>
      </c>
      <c r="V34" s="24" t="str">
        <f>VLOOKUP('北段 (人資版)'!V34,'工作表1'!$A$3:$B$74,2,FALSE)</f>
        <v>#ERROR!</v>
      </c>
      <c r="W34" s="24" t="str">
        <f>VLOOKUP('北段 (人資版)'!W34,'工作表1'!$A$3:$B$74,2,FALSE)</f>
        <v>#ERROR!</v>
      </c>
      <c r="X34" s="24" t="str">
        <f>VLOOKUP('北段 (人資版)'!X34,'工作表1'!$A$3:$B$74,2,FALSE)</f>
        <v>#ERROR!</v>
      </c>
      <c r="Y34" s="24" t="str">
        <f>VLOOKUP('北段 (人資版)'!Y34,'工作表1'!$A$3:$B$74,2,FALSE)</f>
        <v>#ERROR!</v>
      </c>
      <c r="Z34" s="24" t="str">
        <f>VLOOKUP('北段 (人資版)'!Z34,'工作表1'!$A$3:$B$74,2,FALSE)</f>
        <v>#ERROR!</v>
      </c>
      <c r="AA34" s="24" t="str">
        <f>VLOOKUP('北段 (人資版)'!AA34,'工作表1'!$A$3:$B$74,2,FALSE)</f>
        <v>#ERROR!</v>
      </c>
      <c r="AB34" s="24" t="str">
        <f>VLOOKUP('北段 (人資版)'!AB34,'工作表1'!$A$3:$B$74,2,FALSE)</f>
        <v>#ERROR!</v>
      </c>
      <c r="AC34" s="24" t="str">
        <f>VLOOKUP('北段 (人資版)'!AC34,'工作表1'!$A$3:$B$74,2,FALSE)</f>
        <v>#ERROR!</v>
      </c>
      <c r="AD34" s="24" t="str">
        <f>VLOOKUP('北段 (人資版)'!AD34,'工作表1'!$A$3:$B$74,2,FALSE)</f>
        <v>#ERROR!</v>
      </c>
      <c r="AE34" s="24" t="str">
        <f>VLOOKUP('北段 (人資版)'!AE34,'工作表1'!$A$3:$B$74,2,FALSE)</f>
        <v>#ERROR!</v>
      </c>
      <c r="AF34" s="24" t="str">
        <f>VLOOKUP('北段 (人資版)'!AF34,'工作表1'!$A$3:$B$74,2,FALSE)</f>
        <v>#ERROR!</v>
      </c>
      <c r="AG34" s="24" t="str">
        <f>VLOOKUP('北段 (人資版)'!AG34,'工作表1'!$A$3:$B$74,2,FALSE)</f>
        <v>#ERROR!</v>
      </c>
      <c r="AH34" s="24" t="str">
        <f>VLOOKUP('北段 (人資版)'!AH34,'工作表1'!$A$3:$B$74,2,FALSE)</f>
        <v>#ERROR!</v>
      </c>
      <c r="AI34" s="24" t="str">
        <f>VLOOKUP('北段 (人資版)'!AI34,'工作表1'!$A$3:$B$74,2,FALSE)</f>
        <v>#ERROR!</v>
      </c>
      <c r="AJ34" s="24" t="str">
        <f>VLOOKUP('北段 (人資版)'!AJ34,'工作表1'!$A$3:$B$74,2,FALSE)</f>
        <v>#ERROR!</v>
      </c>
      <c r="AK34" s="24" t="str">
        <f>VLOOKUP('北段 (人資版)'!AK34,'工作表1'!$A$3:$B$74,2,FALSE)</f>
        <v>#ERROR!</v>
      </c>
      <c r="AL34" s="24" t="str">
        <f>VLOOKUP('北段 (人資版)'!AL34,'工作表1'!$A$3:$B$74,2,FALSE)</f>
        <v>#ERROR!</v>
      </c>
    </row>
    <row r="35" ht="39.75" customHeight="1">
      <c r="A35" s="143"/>
      <c r="B35" s="24" t="str">
        <f>北段!#REF!</f>
        <v>#ERROR!</v>
      </c>
      <c r="C35" s="24" t="str">
        <f>VLOOKUP(B35,'北段'!B:C,2,FALSE)</f>
        <v>#ERROR!</v>
      </c>
      <c r="D35" s="24" t="str">
        <f>VLOOKUP('北段 (人資版)'!D36,'工作表1'!$A$3:$B$74,2,FALSE)</f>
        <v>#ERROR!</v>
      </c>
      <c r="E35" s="24" t="str">
        <f>VLOOKUP('北段 (人資版)'!E36,'工作表1'!$A$3:$B$74,2,FALSE)</f>
        <v>#ERROR!</v>
      </c>
      <c r="F35" s="24" t="str">
        <f>VLOOKUP('北段 (人資版)'!F36,'工作表1'!$A$3:$B$74,2,FALSE)</f>
        <v>#ERROR!</v>
      </c>
      <c r="G35" s="24" t="str">
        <f>VLOOKUP('北段 (人資版)'!G36,'工作表1'!$A$3:$B$74,2,FALSE)</f>
        <v>#ERROR!</v>
      </c>
      <c r="H35" s="24" t="str">
        <f>VLOOKUP('北段 (人資版)'!H36,'工作表1'!$A$3:$B$74,2,FALSE)</f>
        <v>#ERROR!</v>
      </c>
      <c r="I35" s="24" t="str">
        <f>VLOOKUP('北段 (人資版)'!I36,'工作表1'!$A$3:$B$74,2,FALSE)</f>
        <v>#ERROR!</v>
      </c>
      <c r="J35" s="24" t="str">
        <f>VLOOKUP('北段 (人資版)'!J36,'工作表1'!$A$3:$B$74,2,FALSE)</f>
        <v>#ERROR!</v>
      </c>
      <c r="K35" s="24" t="str">
        <f>VLOOKUP('北段 (人資版)'!K36,'工作表1'!$A$3:$B$74,2,FALSE)</f>
        <v>#ERROR!</v>
      </c>
      <c r="L35" s="24" t="str">
        <f>VLOOKUP('北段 (人資版)'!L36,'工作表1'!$A$3:$B$74,2,FALSE)</f>
        <v>#ERROR!</v>
      </c>
      <c r="M35" s="24" t="str">
        <f>VLOOKUP('北段 (人資版)'!M36,'工作表1'!$A$3:$B$74,2,FALSE)</f>
        <v>#ERROR!</v>
      </c>
      <c r="N35" s="24" t="str">
        <f>VLOOKUP('北段 (人資版)'!N36,'工作表1'!$A$3:$B$74,2,FALSE)</f>
        <v>#ERROR!</v>
      </c>
      <c r="O35" s="24" t="str">
        <f>VLOOKUP('北段 (人資版)'!O36,'工作表1'!$A$3:$B$74,2,FALSE)</f>
        <v>#ERROR!</v>
      </c>
      <c r="P35" s="24" t="str">
        <f>VLOOKUP('北段 (人資版)'!P36,'工作表1'!$A$3:$B$74,2,FALSE)</f>
        <v>#ERROR!</v>
      </c>
      <c r="Q35" s="24" t="str">
        <f>VLOOKUP('北段 (人資版)'!Q36,'工作表1'!$A$3:$B$74,2,FALSE)</f>
        <v>#ERROR!</v>
      </c>
      <c r="R35" s="24" t="str">
        <f>VLOOKUP('北段 (人資版)'!R36,'工作表1'!$A$3:$B$74,2,FALSE)</f>
        <v>#ERROR!</v>
      </c>
      <c r="S35" s="24" t="str">
        <f>VLOOKUP('北段 (人資版)'!S36,'工作表1'!$A$3:$B$74,2,FALSE)</f>
        <v>#ERROR!</v>
      </c>
      <c r="T35" s="24" t="str">
        <f>VLOOKUP('北段 (人資版)'!T36,'工作表1'!$A$3:$B$74,2,FALSE)</f>
        <v>#ERROR!</v>
      </c>
      <c r="U35" s="24" t="str">
        <f>VLOOKUP('北段 (人資版)'!U36,'工作表1'!$A$3:$B$74,2,FALSE)</f>
        <v>#ERROR!</v>
      </c>
      <c r="V35" s="24" t="str">
        <f>VLOOKUP('北段 (人資版)'!V36,'工作表1'!$A$3:$B$74,2,FALSE)</f>
        <v>#ERROR!</v>
      </c>
      <c r="W35" s="24" t="str">
        <f>VLOOKUP('北段 (人資版)'!W36,'工作表1'!$A$3:$B$74,2,FALSE)</f>
        <v>#ERROR!</v>
      </c>
      <c r="X35" s="24" t="str">
        <f>VLOOKUP('北段 (人資版)'!X36,'工作表1'!$A$3:$B$74,2,FALSE)</f>
        <v>#ERROR!</v>
      </c>
      <c r="Y35" s="24" t="str">
        <f>VLOOKUP('北段 (人資版)'!Y36,'工作表1'!$A$3:$B$74,2,FALSE)</f>
        <v>#ERROR!</v>
      </c>
      <c r="Z35" s="24" t="str">
        <f>VLOOKUP('北段 (人資版)'!Z36,'工作表1'!$A$3:$B$74,2,FALSE)</f>
        <v>#ERROR!</v>
      </c>
      <c r="AA35" s="24" t="str">
        <f>VLOOKUP('北段 (人資版)'!AA36,'工作表1'!$A$3:$B$74,2,FALSE)</f>
        <v>#ERROR!</v>
      </c>
      <c r="AB35" s="24" t="str">
        <f>VLOOKUP('北段 (人資版)'!AB36,'工作表1'!$A$3:$B$74,2,FALSE)</f>
        <v>#ERROR!</v>
      </c>
      <c r="AC35" s="24" t="str">
        <f>VLOOKUP('北段 (人資版)'!AC36,'工作表1'!$A$3:$B$74,2,FALSE)</f>
        <v>#ERROR!</v>
      </c>
      <c r="AD35" s="24" t="str">
        <f>VLOOKUP('北段 (人資版)'!AD36,'工作表1'!$A$3:$B$74,2,FALSE)</f>
        <v>#ERROR!</v>
      </c>
      <c r="AE35" s="24" t="str">
        <f>VLOOKUP('北段 (人資版)'!AE36,'工作表1'!$A$3:$B$74,2,FALSE)</f>
        <v>#ERROR!</v>
      </c>
      <c r="AF35" s="24" t="str">
        <f>VLOOKUP('北段 (人資版)'!AF36,'工作表1'!$A$3:$B$74,2,FALSE)</f>
        <v>#ERROR!</v>
      </c>
      <c r="AG35" s="24" t="str">
        <f>VLOOKUP('北段 (人資版)'!AG36,'工作表1'!$A$3:$B$74,2,FALSE)</f>
        <v>#ERROR!</v>
      </c>
      <c r="AH35" s="24" t="str">
        <f>VLOOKUP('北段 (人資版)'!AH36,'工作表1'!$A$3:$B$74,2,FALSE)</f>
        <v>#ERROR!</v>
      </c>
      <c r="AI35" s="24" t="str">
        <f>VLOOKUP('北段 (人資版)'!AI36,'工作表1'!$A$3:$B$74,2,FALSE)</f>
        <v>#ERROR!</v>
      </c>
      <c r="AJ35" s="24" t="str">
        <f>VLOOKUP('北段 (人資版)'!AJ36,'工作表1'!$A$3:$B$74,2,FALSE)</f>
        <v>#ERROR!</v>
      </c>
      <c r="AK35" s="24" t="str">
        <f>VLOOKUP('北段 (人資版)'!AK36,'工作表1'!$A$3:$B$74,2,FALSE)</f>
        <v>#ERROR!</v>
      </c>
      <c r="AL35" s="24" t="str">
        <f>VLOOKUP('北段 (人資版)'!AL36,'工作表1'!$A$3:$B$74,2,FALSE)</f>
        <v>#ERROR!</v>
      </c>
    </row>
    <row r="36" ht="39.75" customHeight="1">
      <c r="A36" s="143"/>
      <c r="B36" s="24" t="str">
        <f>北段!#REF!</f>
        <v>#ERROR!</v>
      </c>
      <c r="C36" s="24" t="str">
        <f>VLOOKUP(B36,'北段'!B:C,2,FALSE)</f>
        <v>#ERROR!</v>
      </c>
      <c r="D36" s="24" t="str">
        <f>VLOOKUP('北段 (人資版)'!D37,'工作表1'!$A$3:$B$74,2,FALSE)</f>
        <v>#ERROR!</v>
      </c>
      <c r="E36" s="24" t="str">
        <f>VLOOKUP('北段 (人資版)'!E37,'工作表1'!$A$3:$B$74,2,FALSE)</f>
        <v>#ERROR!</v>
      </c>
      <c r="F36" s="24" t="str">
        <f>VLOOKUP('北段 (人資版)'!F37,'工作表1'!$A$3:$B$74,2,FALSE)</f>
        <v>#ERROR!</v>
      </c>
      <c r="G36" s="24" t="str">
        <f>VLOOKUP('北段 (人資版)'!G37,'工作表1'!$A$3:$B$74,2,FALSE)</f>
        <v>#ERROR!</v>
      </c>
      <c r="H36" s="24" t="str">
        <f>VLOOKUP('北段 (人資版)'!H37,'工作表1'!$A$3:$B$74,2,FALSE)</f>
        <v>#ERROR!</v>
      </c>
      <c r="I36" s="24" t="str">
        <f>VLOOKUP('北段 (人資版)'!I37,'工作表1'!$A$3:$B$74,2,FALSE)</f>
        <v>#ERROR!</v>
      </c>
      <c r="J36" s="24" t="str">
        <f>VLOOKUP('北段 (人資版)'!J37,'工作表1'!$A$3:$B$74,2,FALSE)</f>
        <v>#ERROR!</v>
      </c>
      <c r="K36" s="24" t="str">
        <f>VLOOKUP('北段 (人資版)'!K37,'工作表1'!$A$3:$B$74,2,FALSE)</f>
        <v>#ERROR!</v>
      </c>
      <c r="L36" s="24" t="str">
        <f>VLOOKUP('北段 (人資版)'!L37,'工作表1'!$A$3:$B$74,2,FALSE)</f>
        <v>#ERROR!</v>
      </c>
      <c r="M36" s="24" t="str">
        <f>VLOOKUP('北段 (人資版)'!M37,'工作表1'!$A$3:$B$74,2,FALSE)</f>
        <v>#ERROR!</v>
      </c>
      <c r="N36" s="24" t="str">
        <f>VLOOKUP('北段 (人資版)'!N37,'工作表1'!$A$3:$B$74,2,FALSE)</f>
        <v>#ERROR!</v>
      </c>
      <c r="O36" s="24" t="str">
        <f>VLOOKUP('北段 (人資版)'!O37,'工作表1'!$A$3:$B$74,2,FALSE)</f>
        <v>#ERROR!</v>
      </c>
      <c r="P36" s="24" t="str">
        <f>VLOOKUP('北段 (人資版)'!P37,'工作表1'!$A$3:$B$74,2,FALSE)</f>
        <v>#ERROR!</v>
      </c>
      <c r="Q36" s="24" t="str">
        <f>VLOOKUP('北段 (人資版)'!Q37,'工作表1'!$A$3:$B$74,2,FALSE)</f>
        <v>#ERROR!</v>
      </c>
      <c r="R36" s="24" t="str">
        <f>VLOOKUP('北段 (人資版)'!R37,'工作表1'!$A$3:$B$74,2,FALSE)</f>
        <v>#ERROR!</v>
      </c>
      <c r="S36" s="24" t="str">
        <f>VLOOKUP('北段 (人資版)'!S37,'工作表1'!$A$3:$B$74,2,FALSE)</f>
        <v>#ERROR!</v>
      </c>
      <c r="T36" s="24" t="str">
        <f>VLOOKUP('北段 (人資版)'!T37,'工作表1'!$A$3:$B$74,2,FALSE)</f>
        <v>#ERROR!</v>
      </c>
      <c r="U36" s="24" t="str">
        <f>VLOOKUP('北段 (人資版)'!U37,'工作表1'!$A$3:$B$74,2,FALSE)</f>
        <v>#ERROR!</v>
      </c>
      <c r="V36" s="24" t="str">
        <f>VLOOKUP('北段 (人資版)'!V37,'工作表1'!$A$3:$B$74,2,FALSE)</f>
        <v>#ERROR!</v>
      </c>
      <c r="W36" s="24" t="str">
        <f>VLOOKUP('北段 (人資版)'!W37,'工作表1'!$A$3:$B$74,2,FALSE)</f>
        <v>#ERROR!</v>
      </c>
      <c r="X36" s="24" t="str">
        <f>VLOOKUP('北段 (人資版)'!X37,'工作表1'!$A$3:$B$74,2,FALSE)</f>
        <v>#ERROR!</v>
      </c>
      <c r="Y36" s="24" t="str">
        <f>VLOOKUP('北段 (人資版)'!Y37,'工作表1'!$A$3:$B$74,2,FALSE)</f>
        <v>#ERROR!</v>
      </c>
      <c r="Z36" s="24" t="str">
        <f>VLOOKUP('北段 (人資版)'!Z37,'工作表1'!$A$3:$B$74,2,FALSE)</f>
        <v>#ERROR!</v>
      </c>
      <c r="AA36" s="24" t="str">
        <f>VLOOKUP('北段 (人資版)'!AA37,'工作表1'!$A$3:$B$74,2,FALSE)</f>
        <v>#ERROR!</v>
      </c>
      <c r="AB36" s="24" t="str">
        <f>VLOOKUP('北段 (人資版)'!AB37,'工作表1'!$A$3:$B$74,2,FALSE)</f>
        <v>#ERROR!</v>
      </c>
      <c r="AC36" s="24" t="str">
        <f>VLOOKUP('北段 (人資版)'!AC37,'工作表1'!$A$3:$B$74,2,FALSE)</f>
        <v>#ERROR!</v>
      </c>
      <c r="AD36" s="24" t="str">
        <f>VLOOKUP('北段 (人資版)'!AD37,'工作表1'!$A$3:$B$74,2,FALSE)</f>
        <v>#ERROR!</v>
      </c>
      <c r="AE36" s="24" t="str">
        <f>VLOOKUP('北段 (人資版)'!AE37,'工作表1'!$A$3:$B$74,2,FALSE)</f>
        <v>#ERROR!</v>
      </c>
      <c r="AF36" s="24" t="str">
        <f>VLOOKUP('北段 (人資版)'!AF37,'工作表1'!$A$3:$B$74,2,FALSE)</f>
        <v>#ERROR!</v>
      </c>
      <c r="AG36" s="24" t="str">
        <f>VLOOKUP('北段 (人資版)'!AG37,'工作表1'!$A$3:$B$74,2,FALSE)</f>
        <v>#ERROR!</v>
      </c>
      <c r="AH36" s="24" t="str">
        <f>VLOOKUP('北段 (人資版)'!AH37,'工作表1'!$A$3:$B$74,2,FALSE)</f>
        <v>#ERROR!</v>
      </c>
      <c r="AI36" s="24" t="str">
        <f>VLOOKUP('北段 (人資版)'!AI37,'工作表1'!$A$3:$B$74,2,FALSE)</f>
        <v>#ERROR!</v>
      </c>
      <c r="AJ36" s="24" t="str">
        <f>VLOOKUP('北段 (人資版)'!AJ37,'工作表1'!$A$3:$B$74,2,FALSE)</f>
        <v>#ERROR!</v>
      </c>
      <c r="AK36" s="24" t="str">
        <f>VLOOKUP('北段 (人資版)'!AK37,'工作表1'!$A$3:$B$74,2,FALSE)</f>
        <v>#ERROR!</v>
      </c>
      <c r="AL36" s="24" t="str">
        <f>VLOOKUP('北段 (人資版)'!AL37,'工作表1'!$A$3:$B$74,2,FALSE)</f>
        <v>#ERROR!</v>
      </c>
    </row>
    <row r="37" ht="39.75" customHeight="1">
      <c r="A37" s="143"/>
      <c r="B37" s="24" t="str">
        <f>北段!#REF!</f>
        <v>#ERROR!</v>
      </c>
      <c r="C37" s="24" t="str">
        <f>VLOOKUP(B37,'北段'!B:C,2,FALSE)</f>
        <v>#ERROR!</v>
      </c>
      <c r="D37" s="24" t="str">
        <f>VLOOKUP('北段 (人資版)'!D38,'工作表1'!$A$3:$B$74,2,FALSE)</f>
        <v>#ERROR!</v>
      </c>
      <c r="E37" s="24" t="str">
        <f>VLOOKUP('北段 (人資版)'!E38,'工作表1'!$A$3:$B$74,2,FALSE)</f>
        <v>#ERROR!</v>
      </c>
      <c r="F37" s="24" t="str">
        <f>VLOOKUP('北段 (人資版)'!F38,'工作表1'!$A$3:$B$74,2,FALSE)</f>
        <v>#ERROR!</v>
      </c>
      <c r="G37" s="24" t="str">
        <f>VLOOKUP('北段 (人資版)'!G38,'工作表1'!$A$3:$B$74,2,FALSE)</f>
        <v>#ERROR!</v>
      </c>
      <c r="H37" s="24" t="str">
        <f>VLOOKUP('北段 (人資版)'!H38,'工作表1'!$A$3:$B$74,2,FALSE)</f>
        <v>#ERROR!</v>
      </c>
      <c r="I37" s="24" t="str">
        <f>VLOOKUP('北段 (人資版)'!I38,'工作表1'!$A$3:$B$74,2,FALSE)</f>
        <v>#ERROR!</v>
      </c>
      <c r="J37" s="24" t="str">
        <f>VLOOKUP('北段 (人資版)'!J38,'工作表1'!$A$3:$B$74,2,FALSE)</f>
        <v>#ERROR!</v>
      </c>
      <c r="K37" s="24" t="str">
        <f>VLOOKUP('北段 (人資版)'!K38,'工作表1'!$A$3:$B$74,2,FALSE)</f>
        <v>#ERROR!</v>
      </c>
      <c r="L37" s="24" t="str">
        <f>VLOOKUP('北段 (人資版)'!L38,'工作表1'!$A$3:$B$74,2,FALSE)</f>
        <v>#ERROR!</v>
      </c>
      <c r="M37" s="24" t="str">
        <f>VLOOKUP('北段 (人資版)'!M38,'工作表1'!$A$3:$B$74,2,FALSE)</f>
        <v>#ERROR!</v>
      </c>
      <c r="N37" s="24" t="str">
        <f>VLOOKUP('北段 (人資版)'!N38,'工作表1'!$A$3:$B$74,2,FALSE)</f>
        <v>#ERROR!</v>
      </c>
      <c r="O37" s="24" t="str">
        <f>VLOOKUP('北段 (人資版)'!O38,'工作表1'!$A$3:$B$74,2,FALSE)</f>
        <v>#ERROR!</v>
      </c>
      <c r="P37" s="24" t="str">
        <f>VLOOKUP('北段 (人資版)'!P38,'工作表1'!$A$3:$B$74,2,FALSE)</f>
        <v>#ERROR!</v>
      </c>
      <c r="Q37" s="24" t="str">
        <f>VLOOKUP('北段 (人資版)'!Q38,'工作表1'!$A$3:$B$74,2,FALSE)</f>
        <v>#ERROR!</v>
      </c>
      <c r="R37" s="24" t="str">
        <f>VLOOKUP('北段 (人資版)'!R38,'工作表1'!$A$3:$B$74,2,FALSE)</f>
        <v>#ERROR!</v>
      </c>
      <c r="S37" s="24" t="str">
        <f>VLOOKUP('北段 (人資版)'!S38,'工作表1'!$A$3:$B$74,2,FALSE)</f>
        <v>#ERROR!</v>
      </c>
      <c r="T37" s="24" t="str">
        <f>VLOOKUP('北段 (人資版)'!T38,'工作表1'!$A$3:$B$74,2,FALSE)</f>
        <v>#ERROR!</v>
      </c>
      <c r="U37" s="24" t="str">
        <f>VLOOKUP('北段 (人資版)'!U38,'工作表1'!$A$3:$B$74,2,FALSE)</f>
        <v>#ERROR!</v>
      </c>
      <c r="V37" s="24" t="str">
        <f>VLOOKUP('北段 (人資版)'!V38,'工作表1'!$A$3:$B$74,2,FALSE)</f>
        <v>#ERROR!</v>
      </c>
      <c r="W37" s="24" t="str">
        <f>VLOOKUP('北段 (人資版)'!W38,'工作表1'!$A$3:$B$74,2,FALSE)</f>
        <v>#ERROR!</v>
      </c>
      <c r="X37" s="24" t="str">
        <f>VLOOKUP('北段 (人資版)'!X38,'工作表1'!$A$3:$B$74,2,FALSE)</f>
        <v>#ERROR!</v>
      </c>
      <c r="Y37" s="24" t="str">
        <f>VLOOKUP('北段 (人資版)'!Y38,'工作表1'!$A$3:$B$74,2,FALSE)</f>
        <v>#ERROR!</v>
      </c>
      <c r="Z37" s="24" t="str">
        <f>VLOOKUP('北段 (人資版)'!Z38,'工作表1'!$A$3:$B$74,2,FALSE)</f>
        <v>#ERROR!</v>
      </c>
      <c r="AA37" s="24" t="str">
        <f>VLOOKUP('北段 (人資版)'!AA38,'工作表1'!$A$3:$B$74,2,FALSE)</f>
        <v>#ERROR!</v>
      </c>
      <c r="AB37" s="24" t="str">
        <f>VLOOKUP('北段 (人資版)'!AB38,'工作表1'!$A$3:$B$74,2,FALSE)</f>
        <v>#ERROR!</v>
      </c>
      <c r="AC37" s="24" t="str">
        <f>VLOOKUP('北段 (人資版)'!AC38,'工作表1'!$A$3:$B$74,2,FALSE)</f>
        <v>#ERROR!</v>
      </c>
      <c r="AD37" s="24" t="str">
        <f>VLOOKUP('北段 (人資版)'!AD38,'工作表1'!$A$3:$B$74,2,FALSE)</f>
        <v>#ERROR!</v>
      </c>
      <c r="AE37" s="24" t="str">
        <f>VLOOKUP('北段 (人資版)'!AE38,'工作表1'!$A$3:$B$74,2,FALSE)</f>
        <v>#ERROR!</v>
      </c>
      <c r="AF37" s="24" t="str">
        <f>VLOOKUP('北段 (人資版)'!AF38,'工作表1'!$A$3:$B$74,2,FALSE)</f>
        <v>#ERROR!</v>
      </c>
      <c r="AG37" s="24" t="str">
        <f>VLOOKUP('北段 (人資版)'!AG38,'工作表1'!$A$3:$B$74,2,FALSE)</f>
        <v>#ERROR!</v>
      </c>
      <c r="AH37" s="24" t="str">
        <f>VLOOKUP('北段 (人資版)'!AH38,'工作表1'!$A$3:$B$74,2,FALSE)</f>
        <v>#ERROR!</v>
      </c>
      <c r="AI37" s="24" t="str">
        <f>VLOOKUP('北段 (人資版)'!AI38,'工作表1'!$A$3:$B$74,2,FALSE)</f>
        <v>#ERROR!</v>
      </c>
      <c r="AJ37" s="24" t="str">
        <f>VLOOKUP('北段 (人資版)'!AJ38,'工作表1'!$A$3:$B$74,2,FALSE)</f>
        <v>#ERROR!</v>
      </c>
      <c r="AK37" s="24" t="str">
        <f>VLOOKUP('北段 (人資版)'!AK38,'工作表1'!$A$3:$B$74,2,FALSE)</f>
        <v>#ERROR!</v>
      </c>
      <c r="AL37" s="24" t="str">
        <f>VLOOKUP('北段 (人資版)'!AL38,'工作表1'!$A$3:$B$74,2,FALSE)</f>
        <v>#ERROR!</v>
      </c>
    </row>
    <row r="38" ht="39.75" customHeight="1">
      <c r="A38" s="143"/>
      <c r="B38" s="24" t="str">
        <f>北段!#REF!</f>
        <v>#ERROR!</v>
      </c>
      <c r="C38" s="24" t="str">
        <f>VLOOKUP(B38,'北段'!B:C,2,FALSE)</f>
        <v>#ERROR!</v>
      </c>
      <c r="D38" s="24" t="str">
        <f>VLOOKUP('北段 (人資版)'!D39,'工作表1'!$A$3:$B$74,2,FALSE)</f>
        <v>#ERROR!</v>
      </c>
      <c r="E38" s="24" t="str">
        <f>VLOOKUP('北段 (人資版)'!E39,'工作表1'!$A$3:$B$74,2,FALSE)</f>
        <v>#ERROR!</v>
      </c>
      <c r="F38" s="24" t="str">
        <f>VLOOKUP('北段 (人資版)'!F39,'工作表1'!$A$3:$B$74,2,FALSE)</f>
        <v>#ERROR!</v>
      </c>
      <c r="G38" s="24" t="str">
        <f>VLOOKUP('北段 (人資版)'!G39,'工作表1'!$A$3:$B$74,2,FALSE)</f>
        <v>#ERROR!</v>
      </c>
      <c r="H38" s="24" t="str">
        <f>VLOOKUP('北段 (人資版)'!H39,'工作表1'!$A$3:$B$74,2,FALSE)</f>
        <v>#ERROR!</v>
      </c>
      <c r="I38" s="24" t="str">
        <f>VLOOKUP('北段 (人資版)'!I39,'工作表1'!$A$3:$B$74,2,FALSE)</f>
        <v>#ERROR!</v>
      </c>
      <c r="J38" s="24" t="str">
        <f>VLOOKUP('北段 (人資版)'!J39,'工作表1'!$A$3:$B$74,2,FALSE)</f>
        <v>#ERROR!</v>
      </c>
      <c r="K38" s="24" t="str">
        <f>VLOOKUP('北段 (人資版)'!K39,'工作表1'!$A$3:$B$74,2,FALSE)</f>
        <v>#ERROR!</v>
      </c>
      <c r="L38" s="24" t="str">
        <f>VLOOKUP('北段 (人資版)'!L39,'工作表1'!$A$3:$B$74,2,FALSE)</f>
        <v>#ERROR!</v>
      </c>
      <c r="M38" s="24" t="str">
        <f>VLOOKUP('北段 (人資版)'!M39,'工作表1'!$A$3:$B$74,2,FALSE)</f>
        <v>#ERROR!</v>
      </c>
      <c r="N38" s="24" t="str">
        <f>VLOOKUP('北段 (人資版)'!N39,'工作表1'!$A$3:$B$74,2,FALSE)</f>
        <v>#ERROR!</v>
      </c>
      <c r="O38" s="24" t="str">
        <f>VLOOKUP('北段 (人資版)'!O39,'工作表1'!$A$3:$B$74,2,FALSE)</f>
        <v>#ERROR!</v>
      </c>
      <c r="P38" s="24" t="str">
        <f>VLOOKUP('北段 (人資版)'!P39,'工作表1'!$A$3:$B$74,2,FALSE)</f>
        <v>#ERROR!</v>
      </c>
      <c r="Q38" s="24" t="str">
        <f>VLOOKUP('北段 (人資版)'!Q39,'工作表1'!$A$3:$B$74,2,FALSE)</f>
        <v>#ERROR!</v>
      </c>
      <c r="R38" s="24" t="str">
        <f>VLOOKUP('北段 (人資版)'!R39,'工作表1'!$A$3:$B$74,2,FALSE)</f>
        <v>#ERROR!</v>
      </c>
      <c r="S38" s="24" t="str">
        <f>VLOOKUP('北段 (人資版)'!S39,'工作表1'!$A$3:$B$74,2,FALSE)</f>
        <v>#ERROR!</v>
      </c>
      <c r="T38" s="24" t="str">
        <f>VLOOKUP('北段 (人資版)'!T39,'工作表1'!$A$3:$B$74,2,FALSE)</f>
        <v>#ERROR!</v>
      </c>
      <c r="U38" s="24" t="str">
        <f>VLOOKUP('北段 (人資版)'!U39,'工作表1'!$A$3:$B$74,2,FALSE)</f>
        <v>#ERROR!</v>
      </c>
      <c r="V38" s="24" t="str">
        <f>VLOOKUP('北段 (人資版)'!V39,'工作表1'!$A$3:$B$74,2,FALSE)</f>
        <v>#ERROR!</v>
      </c>
      <c r="W38" s="24" t="str">
        <f>VLOOKUP('北段 (人資版)'!W39,'工作表1'!$A$3:$B$74,2,FALSE)</f>
        <v>#ERROR!</v>
      </c>
      <c r="X38" s="24" t="str">
        <f>VLOOKUP('北段 (人資版)'!X39,'工作表1'!$A$3:$B$74,2,FALSE)</f>
        <v>#ERROR!</v>
      </c>
      <c r="Y38" s="24" t="str">
        <f>VLOOKUP('北段 (人資版)'!Y39,'工作表1'!$A$3:$B$74,2,FALSE)</f>
        <v>#ERROR!</v>
      </c>
      <c r="Z38" s="24" t="str">
        <f>VLOOKUP('北段 (人資版)'!Z39,'工作表1'!$A$3:$B$74,2,FALSE)</f>
        <v>#ERROR!</v>
      </c>
      <c r="AA38" s="24" t="str">
        <f>VLOOKUP('北段 (人資版)'!AA39,'工作表1'!$A$3:$B$74,2,FALSE)</f>
        <v>#ERROR!</v>
      </c>
      <c r="AB38" s="24" t="str">
        <f>VLOOKUP('北段 (人資版)'!AB39,'工作表1'!$A$3:$B$74,2,FALSE)</f>
        <v>#ERROR!</v>
      </c>
      <c r="AC38" s="24" t="str">
        <f>VLOOKUP('北段 (人資版)'!AC39,'工作表1'!$A$3:$B$74,2,FALSE)</f>
        <v>#ERROR!</v>
      </c>
      <c r="AD38" s="24" t="str">
        <f>VLOOKUP('北段 (人資版)'!AD39,'工作表1'!$A$3:$B$74,2,FALSE)</f>
        <v>#ERROR!</v>
      </c>
      <c r="AE38" s="24" t="str">
        <f>VLOOKUP('北段 (人資版)'!AE39,'工作表1'!$A$3:$B$74,2,FALSE)</f>
        <v>#ERROR!</v>
      </c>
      <c r="AF38" s="24" t="str">
        <f>VLOOKUP('北段 (人資版)'!AF39,'工作表1'!$A$3:$B$74,2,FALSE)</f>
        <v>#ERROR!</v>
      </c>
      <c r="AG38" s="24" t="str">
        <f>VLOOKUP('北段 (人資版)'!AG39,'工作表1'!$A$3:$B$74,2,FALSE)</f>
        <v>#ERROR!</v>
      </c>
      <c r="AH38" s="24" t="str">
        <f>VLOOKUP('北段 (人資版)'!AH39,'工作表1'!$A$3:$B$74,2,FALSE)</f>
        <v>#ERROR!</v>
      </c>
      <c r="AI38" s="24" t="str">
        <f>VLOOKUP('北段 (人資版)'!AI39,'工作表1'!$A$3:$B$74,2,FALSE)</f>
        <v>#ERROR!</v>
      </c>
      <c r="AJ38" s="24" t="str">
        <f>VLOOKUP('北段 (人資版)'!AJ39,'工作表1'!$A$3:$B$74,2,FALSE)</f>
        <v>#ERROR!</v>
      </c>
      <c r="AK38" s="24" t="str">
        <f>VLOOKUP('北段 (人資版)'!AK39,'工作表1'!$A$3:$B$74,2,FALSE)</f>
        <v>#ERROR!</v>
      </c>
      <c r="AL38" s="24" t="str">
        <f>VLOOKUP('北段 (人資版)'!AL39,'工作表1'!$A$3:$B$74,2,FALSE)</f>
        <v>#ERROR!</v>
      </c>
    </row>
    <row r="39" ht="39.75" customHeight="1">
      <c r="A39" s="143"/>
      <c r="B39" s="24" t="str">
        <f>北段!#REF!</f>
        <v>#ERROR!</v>
      </c>
      <c r="C39" s="24" t="str">
        <f>VLOOKUP(B39,'北段'!B:C,2,FALSE)</f>
        <v>#ERROR!</v>
      </c>
      <c r="D39" s="24" t="str">
        <f>VLOOKUP('北段 (人資版)'!D40,'工作表1'!$A$3:$B$74,2,FALSE)</f>
        <v>#ERROR!</v>
      </c>
      <c r="E39" s="24" t="str">
        <f>VLOOKUP('北段 (人資版)'!E40,'工作表1'!$A$3:$B$74,2,FALSE)</f>
        <v>#ERROR!</v>
      </c>
      <c r="F39" s="24" t="str">
        <f>VLOOKUP('北段 (人資版)'!F40,'工作表1'!$A$3:$B$74,2,FALSE)</f>
        <v>#ERROR!</v>
      </c>
      <c r="G39" s="24" t="str">
        <f>VLOOKUP('北段 (人資版)'!G40,'工作表1'!$A$3:$B$74,2,FALSE)</f>
        <v>#ERROR!</v>
      </c>
      <c r="H39" s="24" t="str">
        <f>VLOOKUP('北段 (人資版)'!H40,'工作表1'!$A$3:$B$74,2,FALSE)</f>
        <v>#ERROR!</v>
      </c>
      <c r="I39" s="24" t="str">
        <f>VLOOKUP('北段 (人資版)'!I40,'工作表1'!$A$3:$B$74,2,FALSE)</f>
        <v>#ERROR!</v>
      </c>
      <c r="J39" s="24" t="str">
        <f>VLOOKUP('北段 (人資版)'!J40,'工作表1'!$A$3:$B$74,2,FALSE)</f>
        <v>#ERROR!</v>
      </c>
      <c r="K39" s="24" t="str">
        <f>VLOOKUP('北段 (人資版)'!K40,'工作表1'!$A$3:$B$74,2,FALSE)</f>
        <v>#ERROR!</v>
      </c>
      <c r="L39" s="24" t="str">
        <f>VLOOKUP('北段 (人資版)'!L40,'工作表1'!$A$3:$B$74,2,FALSE)</f>
        <v>#ERROR!</v>
      </c>
      <c r="M39" s="24" t="str">
        <f>VLOOKUP('北段 (人資版)'!M40,'工作表1'!$A$3:$B$74,2,FALSE)</f>
        <v>#ERROR!</v>
      </c>
      <c r="N39" s="24" t="str">
        <f>VLOOKUP('北段 (人資版)'!N40,'工作表1'!$A$3:$B$74,2,FALSE)</f>
        <v>#ERROR!</v>
      </c>
      <c r="O39" s="24" t="str">
        <f>VLOOKUP('北段 (人資版)'!O40,'工作表1'!$A$3:$B$74,2,FALSE)</f>
        <v>#ERROR!</v>
      </c>
      <c r="P39" s="24" t="str">
        <f>VLOOKUP('北段 (人資版)'!P40,'工作表1'!$A$3:$B$74,2,FALSE)</f>
        <v>#ERROR!</v>
      </c>
      <c r="Q39" s="24" t="str">
        <f>VLOOKUP('北段 (人資版)'!Q40,'工作表1'!$A$3:$B$74,2,FALSE)</f>
        <v>#ERROR!</v>
      </c>
      <c r="R39" s="24" t="str">
        <f>VLOOKUP('北段 (人資版)'!R40,'工作表1'!$A$3:$B$74,2,FALSE)</f>
        <v>#ERROR!</v>
      </c>
      <c r="S39" s="24" t="str">
        <f>VLOOKUP('北段 (人資版)'!S40,'工作表1'!$A$3:$B$74,2,FALSE)</f>
        <v>#ERROR!</v>
      </c>
      <c r="T39" s="24" t="str">
        <f>VLOOKUP('北段 (人資版)'!T40,'工作表1'!$A$3:$B$74,2,FALSE)</f>
        <v>#ERROR!</v>
      </c>
      <c r="U39" s="24" t="str">
        <f>VLOOKUP('北段 (人資版)'!U40,'工作表1'!$A$3:$B$74,2,FALSE)</f>
        <v>#ERROR!</v>
      </c>
      <c r="V39" s="24" t="str">
        <f>VLOOKUP('北段 (人資版)'!V40,'工作表1'!$A$3:$B$74,2,FALSE)</f>
        <v>#ERROR!</v>
      </c>
      <c r="W39" s="24" t="str">
        <f>VLOOKUP('北段 (人資版)'!W40,'工作表1'!$A$3:$B$74,2,FALSE)</f>
        <v>#ERROR!</v>
      </c>
      <c r="X39" s="24" t="str">
        <f>VLOOKUP('北段 (人資版)'!X40,'工作表1'!$A$3:$B$74,2,FALSE)</f>
        <v>#ERROR!</v>
      </c>
      <c r="Y39" s="24" t="str">
        <f>VLOOKUP('北段 (人資版)'!Y40,'工作表1'!$A$3:$B$74,2,FALSE)</f>
        <v>#ERROR!</v>
      </c>
      <c r="Z39" s="24" t="str">
        <f>VLOOKUP('北段 (人資版)'!Z40,'工作表1'!$A$3:$B$74,2,FALSE)</f>
        <v>#ERROR!</v>
      </c>
      <c r="AA39" s="24" t="str">
        <f>VLOOKUP('北段 (人資版)'!AA40,'工作表1'!$A$3:$B$74,2,FALSE)</f>
        <v>#ERROR!</v>
      </c>
      <c r="AB39" s="24" t="str">
        <f>VLOOKUP('北段 (人資版)'!AB40,'工作表1'!$A$3:$B$74,2,FALSE)</f>
        <v>#ERROR!</v>
      </c>
      <c r="AC39" s="24" t="str">
        <f>VLOOKUP('北段 (人資版)'!AC40,'工作表1'!$A$3:$B$74,2,FALSE)</f>
        <v>#ERROR!</v>
      </c>
      <c r="AD39" s="24" t="str">
        <f>VLOOKUP('北段 (人資版)'!AD40,'工作表1'!$A$3:$B$74,2,FALSE)</f>
        <v>#ERROR!</v>
      </c>
      <c r="AE39" s="24" t="str">
        <f>VLOOKUP('北段 (人資版)'!AE40,'工作表1'!$A$3:$B$74,2,FALSE)</f>
        <v>#ERROR!</v>
      </c>
      <c r="AF39" s="24" t="str">
        <f>VLOOKUP('北段 (人資版)'!AF40,'工作表1'!$A$3:$B$74,2,FALSE)</f>
        <v>#ERROR!</v>
      </c>
      <c r="AG39" s="24" t="str">
        <f>VLOOKUP('北段 (人資版)'!AG40,'工作表1'!$A$3:$B$74,2,FALSE)</f>
        <v>#ERROR!</v>
      </c>
      <c r="AH39" s="24" t="str">
        <f>VLOOKUP('北段 (人資版)'!AH40,'工作表1'!$A$3:$B$74,2,FALSE)</f>
        <v>#ERROR!</v>
      </c>
      <c r="AI39" s="24" t="str">
        <f>VLOOKUP('北段 (人資版)'!AI40,'工作表1'!$A$3:$B$74,2,FALSE)</f>
        <v>#ERROR!</v>
      </c>
      <c r="AJ39" s="24" t="str">
        <f>VLOOKUP('北段 (人資版)'!AJ40,'工作表1'!$A$3:$B$74,2,FALSE)</f>
        <v>#ERROR!</v>
      </c>
      <c r="AK39" s="24" t="str">
        <f>VLOOKUP('北段 (人資版)'!AK40,'工作表1'!$A$3:$B$74,2,FALSE)</f>
        <v>#ERROR!</v>
      </c>
      <c r="AL39" s="24" t="str">
        <f>VLOOKUP('北段 (人資版)'!AL40,'工作表1'!$A$3:$B$74,2,FALSE)</f>
        <v>#ERROR!</v>
      </c>
    </row>
    <row r="40" ht="39.0" customHeight="1">
      <c r="A40" s="144"/>
      <c r="B40" s="24" t="str">
        <f>北段!#REF!</f>
        <v>#ERROR!</v>
      </c>
      <c r="C40" s="24" t="str">
        <f>VLOOKUP(B40,'北段'!B:C,2,FALSE)</f>
        <v>#ERROR!</v>
      </c>
      <c r="D40" s="24" t="str">
        <f>VLOOKUP('北段 (人資版)'!D42,'工作表1'!$A$3:$B$74,2,FALSE)</f>
        <v>#ERROR!</v>
      </c>
      <c r="E40" s="24" t="str">
        <f>VLOOKUP('北段 (人資版)'!E42,'工作表1'!$A$3:$B$74,2,FALSE)</f>
        <v>#ERROR!</v>
      </c>
      <c r="F40" s="24" t="str">
        <f>VLOOKUP('北段 (人資版)'!F42,'工作表1'!$A$3:$B$74,2,FALSE)</f>
        <v>#ERROR!</v>
      </c>
      <c r="G40" s="24" t="str">
        <f>VLOOKUP('北段 (人資版)'!G42,'工作表1'!$A$3:$B$74,2,FALSE)</f>
        <v>#ERROR!</v>
      </c>
      <c r="H40" s="24" t="str">
        <f>VLOOKUP('北段 (人資版)'!H42,'工作表1'!$A$3:$B$74,2,FALSE)</f>
        <v>#ERROR!</v>
      </c>
      <c r="I40" s="24" t="str">
        <f>VLOOKUP('北段 (人資版)'!I42,'工作表1'!$A$3:$B$74,2,FALSE)</f>
        <v>#ERROR!</v>
      </c>
      <c r="J40" s="24" t="str">
        <f>VLOOKUP('北段 (人資版)'!J42,'工作表1'!$A$3:$B$74,2,FALSE)</f>
        <v>#ERROR!</v>
      </c>
      <c r="K40" s="24" t="str">
        <f>VLOOKUP('北段 (人資版)'!K42,'工作表1'!$A$3:$B$74,2,FALSE)</f>
        <v>#ERROR!</v>
      </c>
      <c r="L40" s="24" t="str">
        <f>VLOOKUP('北段 (人資版)'!L42,'工作表1'!$A$3:$B$74,2,FALSE)</f>
        <v>#ERROR!</v>
      </c>
      <c r="M40" s="24" t="str">
        <f>VLOOKUP('北段 (人資版)'!M42,'工作表1'!$A$3:$B$74,2,FALSE)</f>
        <v>#ERROR!</v>
      </c>
      <c r="N40" s="24" t="str">
        <f>VLOOKUP('北段 (人資版)'!N42,'工作表1'!$A$3:$B$74,2,FALSE)</f>
        <v>#ERROR!</v>
      </c>
      <c r="O40" s="24" t="str">
        <f>VLOOKUP('北段 (人資版)'!O42,'工作表1'!$A$3:$B$74,2,FALSE)</f>
        <v>#ERROR!</v>
      </c>
      <c r="P40" s="24" t="str">
        <f>VLOOKUP('北段 (人資版)'!P42,'工作表1'!$A$3:$B$74,2,FALSE)</f>
        <v>#ERROR!</v>
      </c>
      <c r="Q40" s="24" t="str">
        <f>VLOOKUP('北段 (人資版)'!Q42,'工作表1'!$A$3:$B$74,2,FALSE)</f>
        <v>#ERROR!</v>
      </c>
      <c r="R40" s="24" t="str">
        <f>VLOOKUP('北段 (人資版)'!R42,'工作表1'!$A$3:$B$74,2,FALSE)</f>
        <v>#ERROR!</v>
      </c>
      <c r="S40" s="24" t="str">
        <f>VLOOKUP('北段 (人資版)'!S42,'工作表1'!$A$3:$B$74,2,FALSE)</f>
        <v>#ERROR!</v>
      </c>
      <c r="T40" s="24" t="str">
        <f>VLOOKUP('北段 (人資版)'!T42,'工作表1'!$A$3:$B$74,2,FALSE)</f>
        <v>#ERROR!</v>
      </c>
      <c r="U40" s="24" t="str">
        <f>VLOOKUP('北段 (人資版)'!U42,'工作表1'!$A$3:$B$74,2,FALSE)</f>
        <v>#ERROR!</v>
      </c>
      <c r="V40" s="24" t="str">
        <f>VLOOKUP('北段 (人資版)'!V42,'工作表1'!$A$3:$B$74,2,FALSE)</f>
        <v>#ERROR!</v>
      </c>
      <c r="W40" s="24" t="str">
        <f>VLOOKUP('北段 (人資版)'!W42,'工作表1'!$A$3:$B$74,2,FALSE)</f>
        <v>#ERROR!</v>
      </c>
      <c r="X40" s="24" t="str">
        <f>VLOOKUP('北段 (人資版)'!X42,'工作表1'!$A$3:$B$74,2,FALSE)</f>
        <v>#ERROR!</v>
      </c>
      <c r="Y40" s="24" t="str">
        <f>VLOOKUP('北段 (人資版)'!Y42,'工作表1'!$A$3:$B$74,2,FALSE)</f>
        <v>#ERROR!</v>
      </c>
      <c r="Z40" s="24" t="str">
        <f>VLOOKUP('北段 (人資版)'!Z42,'工作表1'!$A$3:$B$74,2,FALSE)</f>
        <v>#ERROR!</v>
      </c>
      <c r="AA40" s="24" t="str">
        <f>VLOOKUP('北段 (人資版)'!AA42,'工作表1'!$A$3:$B$74,2,FALSE)</f>
        <v>#ERROR!</v>
      </c>
      <c r="AB40" s="24" t="str">
        <f>VLOOKUP('北段 (人資版)'!AB42,'工作表1'!$A$3:$B$74,2,FALSE)</f>
        <v>#ERROR!</v>
      </c>
      <c r="AC40" s="24" t="str">
        <f>VLOOKUP('北段 (人資版)'!AC42,'工作表1'!$A$3:$B$74,2,FALSE)</f>
        <v>#ERROR!</v>
      </c>
      <c r="AD40" s="24" t="str">
        <f>VLOOKUP('北段 (人資版)'!AD42,'工作表1'!$A$3:$B$74,2,FALSE)</f>
        <v>#ERROR!</v>
      </c>
      <c r="AE40" s="24" t="str">
        <f>VLOOKUP('北段 (人資版)'!AE42,'工作表1'!$A$3:$B$74,2,FALSE)</f>
        <v>#ERROR!</v>
      </c>
      <c r="AF40" s="24" t="str">
        <f>VLOOKUP('北段 (人資版)'!AF42,'工作表1'!$A$3:$B$74,2,FALSE)</f>
        <v>#ERROR!</v>
      </c>
      <c r="AG40" s="24" t="str">
        <f>VLOOKUP('北段 (人資版)'!AG42,'工作表1'!$A$3:$B$74,2,FALSE)</f>
        <v>#ERROR!</v>
      </c>
      <c r="AH40" s="24" t="str">
        <f>VLOOKUP('北段 (人資版)'!AH42,'工作表1'!$A$3:$B$74,2,FALSE)</f>
        <v>#ERROR!</v>
      </c>
      <c r="AI40" s="24" t="str">
        <f>VLOOKUP('北段 (人資版)'!AI42,'工作表1'!$A$3:$B$74,2,FALSE)</f>
        <v>#ERROR!</v>
      </c>
      <c r="AJ40" s="24" t="str">
        <f>VLOOKUP('北段 (人資版)'!AJ42,'工作表1'!$A$3:$B$74,2,FALSE)</f>
        <v>#ERROR!</v>
      </c>
      <c r="AK40" s="24" t="str">
        <f>VLOOKUP('北段 (人資版)'!AK42,'工作表1'!$A$3:$B$74,2,FALSE)</f>
        <v>#ERROR!</v>
      </c>
      <c r="AL40" s="24" t="str">
        <f>VLOOKUP('北段 (人資版)'!AL42,'工作表1'!$A$3:$B$74,2,FALSE)</f>
        <v>#ERROR!</v>
      </c>
    </row>
    <row r="41" ht="39.75" customHeight="1">
      <c r="A41" s="142" t="s">
        <v>64</v>
      </c>
      <c r="B41" s="24" t="str">
        <f>北段!#REF!</f>
        <v>#ERROR!</v>
      </c>
      <c r="C41" s="24" t="str">
        <f>VLOOKUP(B41,'北段'!B:C,2,FALSE)</f>
        <v>#ERROR!</v>
      </c>
      <c r="D41" s="24" t="str">
        <f>VLOOKUP('北段 (人資版)'!D43,'工作表1'!$A$3:$B$74,2,FALSE)</f>
        <v>#ERROR!</v>
      </c>
      <c r="E41" s="24" t="str">
        <f>VLOOKUP('北段 (人資版)'!E43,'工作表1'!$A$3:$B$74,2,FALSE)</f>
        <v>#ERROR!</v>
      </c>
      <c r="F41" s="24" t="str">
        <f>VLOOKUP('北段 (人資版)'!F43,'工作表1'!$A$3:$B$74,2,FALSE)</f>
        <v>#ERROR!</v>
      </c>
      <c r="G41" s="24" t="str">
        <f>VLOOKUP('北段 (人資版)'!G43,'工作表1'!$A$3:$B$74,2,FALSE)</f>
        <v>#ERROR!</v>
      </c>
      <c r="H41" s="24" t="str">
        <f>VLOOKUP('北段 (人資版)'!H43,'工作表1'!$A$3:$B$74,2,FALSE)</f>
        <v>#ERROR!</v>
      </c>
      <c r="I41" s="24" t="str">
        <f>VLOOKUP('北段 (人資版)'!I43,'工作表1'!$A$3:$B$74,2,FALSE)</f>
        <v>#ERROR!</v>
      </c>
      <c r="J41" s="24" t="str">
        <f>VLOOKUP('北段 (人資版)'!J43,'工作表1'!$A$3:$B$74,2,FALSE)</f>
        <v>#ERROR!</v>
      </c>
      <c r="K41" s="24" t="str">
        <f>VLOOKUP('北段 (人資版)'!K43,'工作表1'!$A$3:$B$74,2,FALSE)</f>
        <v>#ERROR!</v>
      </c>
      <c r="L41" s="24" t="str">
        <f>VLOOKUP('北段 (人資版)'!L43,'工作表1'!$A$3:$B$74,2,FALSE)</f>
        <v>#ERROR!</v>
      </c>
      <c r="M41" s="24" t="str">
        <f>VLOOKUP('北段 (人資版)'!M43,'工作表1'!$A$3:$B$74,2,FALSE)</f>
        <v>#ERROR!</v>
      </c>
      <c r="N41" s="24" t="str">
        <f>VLOOKUP('北段 (人資版)'!N43,'工作表1'!$A$3:$B$74,2,FALSE)</f>
        <v>#ERROR!</v>
      </c>
      <c r="O41" s="24" t="str">
        <f>VLOOKUP('北段 (人資版)'!O43,'工作表1'!$A$3:$B$74,2,FALSE)</f>
        <v>#ERROR!</v>
      </c>
      <c r="P41" s="24" t="str">
        <f>VLOOKUP('北段 (人資版)'!P43,'工作表1'!$A$3:$B$74,2,FALSE)</f>
        <v>#ERROR!</v>
      </c>
      <c r="Q41" s="24" t="str">
        <f>VLOOKUP('北段 (人資版)'!Q43,'工作表1'!$A$3:$B$74,2,FALSE)</f>
        <v>#ERROR!</v>
      </c>
      <c r="R41" s="24" t="str">
        <f>VLOOKUP('北段 (人資版)'!R43,'工作表1'!$A$3:$B$74,2,FALSE)</f>
        <v>#ERROR!</v>
      </c>
      <c r="S41" s="24" t="str">
        <f>VLOOKUP('北段 (人資版)'!S43,'工作表1'!$A$3:$B$74,2,FALSE)</f>
        <v>#ERROR!</v>
      </c>
      <c r="T41" s="24" t="str">
        <f>VLOOKUP('北段 (人資版)'!T43,'工作表1'!$A$3:$B$74,2,FALSE)</f>
        <v>#ERROR!</v>
      </c>
      <c r="U41" s="24" t="str">
        <f>VLOOKUP('北段 (人資版)'!U43,'工作表1'!$A$3:$B$74,2,FALSE)</f>
        <v>#ERROR!</v>
      </c>
      <c r="V41" s="24" t="str">
        <f>VLOOKUP('北段 (人資版)'!V43,'工作表1'!$A$3:$B$74,2,FALSE)</f>
        <v>#ERROR!</v>
      </c>
      <c r="W41" s="24" t="str">
        <f>VLOOKUP('北段 (人資版)'!W43,'工作表1'!$A$3:$B$74,2,FALSE)</f>
        <v>#ERROR!</v>
      </c>
      <c r="X41" s="24" t="str">
        <f>VLOOKUP('北段 (人資版)'!X43,'工作表1'!$A$3:$B$74,2,FALSE)</f>
        <v>#ERROR!</v>
      </c>
      <c r="Y41" s="24" t="str">
        <f>VLOOKUP('北段 (人資版)'!Y43,'工作表1'!$A$3:$B$74,2,FALSE)</f>
        <v>#ERROR!</v>
      </c>
      <c r="Z41" s="24" t="str">
        <f>VLOOKUP('北段 (人資版)'!Z43,'工作表1'!$A$3:$B$74,2,FALSE)</f>
        <v>#ERROR!</v>
      </c>
      <c r="AA41" s="24" t="str">
        <f>VLOOKUP('北段 (人資版)'!AA43,'工作表1'!$A$3:$B$74,2,FALSE)</f>
        <v>#ERROR!</v>
      </c>
      <c r="AB41" s="24" t="str">
        <f>VLOOKUP('北段 (人資版)'!AB43,'工作表1'!$A$3:$B$74,2,FALSE)</f>
        <v>#ERROR!</v>
      </c>
      <c r="AC41" s="24" t="str">
        <f>VLOOKUP('北段 (人資版)'!AC43,'工作表1'!$A$3:$B$74,2,FALSE)</f>
        <v>#ERROR!</v>
      </c>
      <c r="AD41" s="24" t="str">
        <f>VLOOKUP('北段 (人資版)'!AD43,'工作表1'!$A$3:$B$74,2,FALSE)</f>
        <v>#ERROR!</v>
      </c>
      <c r="AE41" s="24" t="str">
        <f>VLOOKUP('北段 (人資版)'!AE43,'工作表1'!$A$3:$B$74,2,FALSE)</f>
        <v>#ERROR!</v>
      </c>
      <c r="AF41" s="24" t="str">
        <f>VLOOKUP('北段 (人資版)'!AF43,'工作表1'!$A$3:$B$74,2,FALSE)</f>
        <v>#ERROR!</v>
      </c>
      <c r="AG41" s="24" t="str">
        <f>VLOOKUP('北段 (人資版)'!AG43,'工作表1'!$A$3:$B$74,2,FALSE)</f>
        <v>#ERROR!</v>
      </c>
      <c r="AH41" s="24" t="str">
        <f>VLOOKUP('北段 (人資版)'!AH43,'工作表1'!$A$3:$B$74,2,FALSE)</f>
        <v>#ERROR!</v>
      </c>
      <c r="AI41" s="24" t="str">
        <f>VLOOKUP('北段 (人資版)'!AI43,'工作表1'!$A$3:$B$74,2,FALSE)</f>
        <v>#ERROR!</v>
      </c>
      <c r="AJ41" s="24" t="str">
        <f>VLOOKUP('北段 (人資版)'!AJ43,'工作表1'!$A$3:$B$74,2,FALSE)</f>
        <v>#ERROR!</v>
      </c>
      <c r="AK41" s="24" t="str">
        <f>VLOOKUP('北段 (人資版)'!AK43,'工作表1'!$A$3:$B$74,2,FALSE)</f>
        <v>#ERROR!</v>
      </c>
      <c r="AL41" s="24" t="str">
        <f>VLOOKUP('北段 (人資版)'!AL43,'工作表1'!$A$3:$B$74,2,FALSE)</f>
        <v>#ERROR!</v>
      </c>
    </row>
    <row r="42" ht="39.75" customHeight="1">
      <c r="A42" s="143"/>
      <c r="B42" s="24" t="str">
        <f>北段!#REF!</f>
        <v>#ERROR!</v>
      </c>
      <c r="C42" s="24" t="str">
        <f>VLOOKUP(B42,'北段'!B:C,2,FALSE)</f>
        <v>#ERROR!</v>
      </c>
      <c r="D42" s="24" t="str">
        <f>VLOOKUP('北段 (人資版)'!#REF!,工作表1!$A$3:$B$74,2,FALSE)</f>
        <v>#ERROR!</v>
      </c>
      <c r="E42" s="24" t="str">
        <f>VLOOKUP('北段 (人資版)'!#REF!,工作表1!$A$3:$B$74,2,FALSE)</f>
        <v>#ERROR!</v>
      </c>
      <c r="F42" s="24" t="str">
        <f>VLOOKUP('北段 (人資版)'!#REF!,工作表1!$A$3:$B$74,2,FALSE)</f>
        <v>#ERROR!</v>
      </c>
      <c r="G42" s="24" t="str">
        <f>VLOOKUP('北段 (人資版)'!#REF!,工作表1!$A$3:$B$74,2,FALSE)</f>
        <v>#ERROR!</v>
      </c>
      <c r="H42" s="24" t="str">
        <f>VLOOKUP('北段 (人資版)'!#REF!,工作表1!$A$3:$B$74,2,FALSE)</f>
        <v>#ERROR!</v>
      </c>
      <c r="I42" s="24" t="str">
        <f>VLOOKUP('北段 (人資版)'!#REF!,工作表1!$A$3:$B$74,2,FALSE)</f>
        <v>#ERROR!</v>
      </c>
      <c r="J42" s="24" t="str">
        <f>VLOOKUP('北段 (人資版)'!#REF!,工作表1!$A$3:$B$74,2,FALSE)</f>
        <v>#ERROR!</v>
      </c>
      <c r="K42" s="24" t="str">
        <f>VLOOKUP('北段 (人資版)'!#REF!,工作表1!$A$3:$B$74,2,FALSE)</f>
        <v>#ERROR!</v>
      </c>
      <c r="L42" s="24" t="str">
        <f>VLOOKUP('北段 (人資版)'!#REF!,工作表1!$A$3:$B$74,2,FALSE)</f>
        <v>#ERROR!</v>
      </c>
      <c r="M42" s="24" t="str">
        <f>VLOOKUP('北段 (人資版)'!#REF!,工作表1!$A$3:$B$74,2,FALSE)</f>
        <v>#ERROR!</v>
      </c>
      <c r="N42" s="24" t="str">
        <f>VLOOKUP('北段 (人資版)'!#REF!,工作表1!$A$3:$B$74,2,FALSE)</f>
        <v>#ERROR!</v>
      </c>
      <c r="O42" s="24" t="str">
        <f>VLOOKUP('北段 (人資版)'!#REF!,工作表1!$A$3:$B$74,2,FALSE)</f>
        <v>#ERROR!</v>
      </c>
      <c r="P42" s="24" t="str">
        <f>VLOOKUP('北段 (人資版)'!#REF!,工作表1!$A$3:$B$74,2,FALSE)</f>
        <v>#ERROR!</v>
      </c>
      <c r="Q42" s="24" t="str">
        <f>VLOOKUP('北段 (人資版)'!#REF!,工作表1!$A$3:$B$74,2,FALSE)</f>
        <v>#ERROR!</v>
      </c>
      <c r="R42" s="24" t="str">
        <f>VLOOKUP('北段 (人資版)'!#REF!,工作表1!$A$3:$B$74,2,FALSE)</f>
        <v>#ERROR!</v>
      </c>
      <c r="S42" s="24" t="str">
        <f>VLOOKUP('北段 (人資版)'!#REF!,工作表1!$A$3:$B$74,2,FALSE)</f>
        <v>#ERROR!</v>
      </c>
      <c r="T42" s="24" t="str">
        <f>VLOOKUP('北段 (人資版)'!#REF!,工作表1!$A$3:$B$74,2,FALSE)</f>
        <v>#ERROR!</v>
      </c>
      <c r="U42" s="24" t="str">
        <f>VLOOKUP('北段 (人資版)'!#REF!,工作表1!$A$3:$B$74,2,FALSE)</f>
        <v>#ERROR!</v>
      </c>
      <c r="V42" s="24" t="str">
        <f>VLOOKUP('北段 (人資版)'!#REF!,工作表1!$A$3:$B$74,2,FALSE)</f>
        <v>#ERROR!</v>
      </c>
      <c r="W42" s="24" t="str">
        <f>VLOOKUP('北段 (人資版)'!#REF!,工作表1!$A$3:$B$74,2,FALSE)</f>
        <v>#ERROR!</v>
      </c>
      <c r="X42" s="24" t="str">
        <f>VLOOKUP('北段 (人資版)'!#REF!,工作表1!$A$3:$B$74,2,FALSE)</f>
        <v>#ERROR!</v>
      </c>
      <c r="Y42" s="24" t="str">
        <f>VLOOKUP('北段 (人資版)'!#REF!,工作表1!$A$3:$B$74,2,FALSE)</f>
        <v>#ERROR!</v>
      </c>
      <c r="Z42" s="24" t="str">
        <f>VLOOKUP('北段 (人資版)'!#REF!,工作表1!$A$3:$B$74,2,FALSE)</f>
        <v>#ERROR!</v>
      </c>
      <c r="AA42" s="24" t="str">
        <f>VLOOKUP('北段 (人資版)'!#REF!,工作表1!$A$3:$B$74,2,FALSE)</f>
        <v>#ERROR!</v>
      </c>
      <c r="AB42" s="24" t="str">
        <f>VLOOKUP('北段 (人資版)'!#REF!,工作表1!$A$3:$B$74,2,FALSE)</f>
        <v>#ERROR!</v>
      </c>
      <c r="AC42" s="24" t="str">
        <f>VLOOKUP('北段 (人資版)'!#REF!,工作表1!$A$3:$B$74,2,FALSE)</f>
        <v>#ERROR!</v>
      </c>
      <c r="AD42" s="24" t="str">
        <f>VLOOKUP('北段 (人資版)'!#REF!,工作表1!$A$3:$B$74,2,FALSE)</f>
        <v>#ERROR!</v>
      </c>
      <c r="AE42" s="24" t="str">
        <f>VLOOKUP('北段 (人資版)'!#REF!,工作表1!$A$3:$B$74,2,FALSE)</f>
        <v>#ERROR!</v>
      </c>
      <c r="AF42" s="24" t="str">
        <f>VLOOKUP('北段 (人資版)'!#REF!,工作表1!$A$3:$B$74,2,FALSE)</f>
        <v>#ERROR!</v>
      </c>
      <c r="AG42" s="24" t="str">
        <f>VLOOKUP('北段 (人資版)'!#REF!,工作表1!$A$3:$B$74,2,FALSE)</f>
        <v>#ERROR!</v>
      </c>
      <c r="AH42" s="24" t="str">
        <f>VLOOKUP('北段 (人資版)'!#REF!,工作表1!$A$3:$B$74,2,FALSE)</f>
        <v>#ERROR!</v>
      </c>
      <c r="AI42" s="24" t="str">
        <f>VLOOKUP('北段 (人資版)'!#REF!,工作表1!$A$3:$B$74,2,FALSE)</f>
        <v>#ERROR!</v>
      </c>
      <c r="AJ42" s="24" t="str">
        <f>VLOOKUP('北段 (人資版)'!#REF!,工作表1!$A$3:$B$74,2,FALSE)</f>
        <v>#ERROR!</v>
      </c>
      <c r="AK42" s="24" t="str">
        <f>VLOOKUP('北段 (人資版)'!#REF!,工作表1!$A$3:$B$74,2,FALSE)</f>
        <v>#ERROR!</v>
      </c>
      <c r="AL42" s="24" t="str">
        <f>VLOOKUP('北段 (人資版)'!#REF!,工作表1!$A$3:$B$74,2,FALSE)</f>
        <v>#ERROR!</v>
      </c>
    </row>
    <row r="43" ht="39.75" customHeight="1">
      <c r="A43" s="143"/>
      <c r="B43" s="24" t="str">
        <f>北段!#REF!</f>
        <v>#ERROR!</v>
      </c>
      <c r="C43" s="24" t="str">
        <f>VLOOKUP(B43,'北段'!B:C,2,FALSE)</f>
        <v>#ERROR!</v>
      </c>
      <c r="D43" s="24" t="str">
        <f>VLOOKUP('北段 (人資版)'!#REF!,工作表1!$A$3:$B$74,2,FALSE)</f>
        <v>#ERROR!</v>
      </c>
      <c r="E43" s="24" t="str">
        <f>VLOOKUP('北段 (人資版)'!#REF!,工作表1!$A$3:$B$74,2,FALSE)</f>
        <v>#ERROR!</v>
      </c>
      <c r="F43" s="24" t="str">
        <f>VLOOKUP('北段 (人資版)'!#REF!,工作表1!$A$3:$B$74,2,FALSE)</f>
        <v>#ERROR!</v>
      </c>
      <c r="G43" s="24" t="str">
        <f>VLOOKUP('北段 (人資版)'!#REF!,工作表1!$A$3:$B$74,2,FALSE)</f>
        <v>#ERROR!</v>
      </c>
      <c r="H43" s="24" t="str">
        <f>VLOOKUP('北段 (人資版)'!#REF!,工作表1!$A$3:$B$74,2,FALSE)</f>
        <v>#ERROR!</v>
      </c>
      <c r="I43" s="24" t="str">
        <f>VLOOKUP('北段 (人資版)'!#REF!,工作表1!$A$3:$B$74,2,FALSE)</f>
        <v>#ERROR!</v>
      </c>
      <c r="J43" s="24" t="str">
        <f>VLOOKUP('北段 (人資版)'!#REF!,工作表1!$A$3:$B$74,2,FALSE)</f>
        <v>#ERROR!</v>
      </c>
      <c r="K43" s="24" t="str">
        <f>VLOOKUP('北段 (人資版)'!#REF!,工作表1!$A$3:$B$74,2,FALSE)</f>
        <v>#ERROR!</v>
      </c>
      <c r="L43" s="24" t="str">
        <f>VLOOKUP('北段 (人資版)'!#REF!,工作表1!$A$3:$B$74,2,FALSE)</f>
        <v>#ERROR!</v>
      </c>
      <c r="M43" s="24" t="str">
        <f>VLOOKUP('北段 (人資版)'!#REF!,工作表1!$A$3:$B$74,2,FALSE)</f>
        <v>#ERROR!</v>
      </c>
      <c r="N43" s="24" t="str">
        <f>VLOOKUP('北段 (人資版)'!#REF!,工作表1!$A$3:$B$74,2,FALSE)</f>
        <v>#ERROR!</v>
      </c>
      <c r="O43" s="24" t="str">
        <f>VLOOKUP('北段 (人資版)'!#REF!,工作表1!$A$3:$B$74,2,FALSE)</f>
        <v>#ERROR!</v>
      </c>
      <c r="P43" s="24" t="str">
        <f>VLOOKUP('北段 (人資版)'!#REF!,工作表1!$A$3:$B$74,2,FALSE)</f>
        <v>#ERROR!</v>
      </c>
      <c r="Q43" s="24" t="str">
        <f>VLOOKUP('北段 (人資版)'!#REF!,工作表1!$A$3:$B$74,2,FALSE)</f>
        <v>#ERROR!</v>
      </c>
      <c r="R43" s="24" t="str">
        <f>VLOOKUP('北段 (人資版)'!#REF!,工作表1!$A$3:$B$74,2,FALSE)</f>
        <v>#ERROR!</v>
      </c>
      <c r="S43" s="24" t="str">
        <f>VLOOKUP('北段 (人資版)'!#REF!,工作表1!$A$3:$B$74,2,FALSE)</f>
        <v>#ERROR!</v>
      </c>
      <c r="T43" s="24" t="str">
        <f>VLOOKUP('北段 (人資版)'!#REF!,工作表1!$A$3:$B$74,2,FALSE)</f>
        <v>#ERROR!</v>
      </c>
      <c r="U43" s="24" t="str">
        <f>VLOOKUP('北段 (人資版)'!#REF!,工作表1!$A$3:$B$74,2,FALSE)</f>
        <v>#ERROR!</v>
      </c>
      <c r="V43" s="24" t="str">
        <f>VLOOKUP('北段 (人資版)'!#REF!,工作表1!$A$3:$B$74,2,FALSE)</f>
        <v>#ERROR!</v>
      </c>
      <c r="W43" s="24" t="str">
        <f>VLOOKUP('北段 (人資版)'!#REF!,工作表1!$A$3:$B$74,2,FALSE)</f>
        <v>#ERROR!</v>
      </c>
      <c r="X43" s="24" t="str">
        <f>VLOOKUP('北段 (人資版)'!#REF!,工作表1!$A$3:$B$74,2,FALSE)</f>
        <v>#ERROR!</v>
      </c>
      <c r="Y43" s="24" t="str">
        <f>VLOOKUP('北段 (人資版)'!#REF!,工作表1!$A$3:$B$74,2,FALSE)</f>
        <v>#ERROR!</v>
      </c>
      <c r="Z43" s="24" t="str">
        <f>VLOOKUP('北段 (人資版)'!#REF!,工作表1!$A$3:$B$74,2,FALSE)</f>
        <v>#ERROR!</v>
      </c>
      <c r="AA43" s="24" t="str">
        <f>VLOOKUP('北段 (人資版)'!#REF!,工作表1!$A$3:$B$74,2,FALSE)</f>
        <v>#ERROR!</v>
      </c>
      <c r="AB43" s="24" t="str">
        <f>VLOOKUP('北段 (人資版)'!#REF!,工作表1!$A$3:$B$74,2,FALSE)</f>
        <v>#ERROR!</v>
      </c>
      <c r="AC43" s="24" t="str">
        <f>VLOOKUP('北段 (人資版)'!#REF!,工作表1!$A$3:$B$74,2,FALSE)</f>
        <v>#ERROR!</v>
      </c>
      <c r="AD43" s="24" t="str">
        <f>VLOOKUP('北段 (人資版)'!#REF!,工作表1!$A$3:$B$74,2,FALSE)</f>
        <v>#ERROR!</v>
      </c>
      <c r="AE43" s="24" t="str">
        <f>VLOOKUP('北段 (人資版)'!#REF!,工作表1!$A$3:$B$74,2,FALSE)</f>
        <v>#ERROR!</v>
      </c>
      <c r="AF43" s="24" t="str">
        <f>VLOOKUP('北段 (人資版)'!#REF!,工作表1!$A$3:$B$74,2,FALSE)</f>
        <v>#ERROR!</v>
      </c>
      <c r="AG43" s="24" t="str">
        <f>VLOOKUP('北段 (人資版)'!#REF!,工作表1!$A$3:$B$74,2,FALSE)</f>
        <v>#ERROR!</v>
      </c>
      <c r="AH43" s="24" t="str">
        <f>VLOOKUP('北段 (人資版)'!#REF!,工作表1!$A$3:$B$74,2,FALSE)</f>
        <v>#ERROR!</v>
      </c>
      <c r="AI43" s="24" t="str">
        <f>VLOOKUP('北段 (人資版)'!#REF!,工作表1!$A$3:$B$74,2,FALSE)</f>
        <v>#ERROR!</v>
      </c>
      <c r="AJ43" s="24" t="str">
        <f>VLOOKUP('北段 (人資版)'!#REF!,工作表1!$A$3:$B$74,2,FALSE)</f>
        <v>#ERROR!</v>
      </c>
      <c r="AK43" s="24" t="str">
        <f>VLOOKUP('北段 (人資版)'!#REF!,工作表1!$A$3:$B$74,2,FALSE)</f>
        <v>#ERROR!</v>
      </c>
      <c r="AL43" s="24" t="str">
        <f>VLOOKUP('北段 (人資版)'!#REF!,工作表1!$A$3:$B$74,2,FALSE)</f>
        <v>#ERROR!</v>
      </c>
    </row>
    <row r="44" ht="39.0" customHeight="1">
      <c r="A44" s="143"/>
      <c r="B44" s="24" t="str">
        <f>北段!#REF!</f>
        <v>#ERROR!</v>
      </c>
      <c r="C44" s="24" t="str">
        <f>VLOOKUP(B44,'北段'!B:C,2,FALSE)</f>
        <v>#ERROR!</v>
      </c>
      <c r="D44" s="24" t="str">
        <f>VLOOKUP('北段 (人資版)'!D44,'工作表1'!$A$3:$B$74,2,FALSE)</f>
        <v>#ERROR!</v>
      </c>
      <c r="E44" s="24" t="str">
        <f>VLOOKUP('北段 (人資版)'!E44,'工作表1'!$A$3:$B$74,2,FALSE)</f>
        <v>#ERROR!</v>
      </c>
      <c r="F44" s="24" t="str">
        <f>VLOOKUP('北段 (人資版)'!F44,'工作表1'!$A$3:$B$74,2,FALSE)</f>
        <v>#ERROR!</v>
      </c>
      <c r="G44" s="24" t="str">
        <f>VLOOKUP('北段 (人資版)'!G44,'工作表1'!$A$3:$B$74,2,FALSE)</f>
        <v>#ERROR!</v>
      </c>
      <c r="H44" s="24" t="str">
        <f>VLOOKUP('北段 (人資版)'!H44,'工作表1'!$A$3:$B$74,2,FALSE)</f>
        <v>#ERROR!</v>
      </c>
      <c r="I44" s="24" t="str">
        <f>VLOOKUP('北段 (人資版)'!I44,'工作表1'!$A$3:$B$74,2,FALSE)</f>
        <v>#ERROR!</v>
      </c>
      <c r="J44" s="24" t="str">
        <f>VLOOKUP('北段 (人資版)'!J44,'工作表1'!$A$3:$B$74,2,FALSE)</f>
        <v>#ERROR!</v>
      </c>
      <c r="K44" s="24" t="str">
        <f>VLOOKUP('北段 (人資版)'!K44,'工作表1'!$A$3:$B$74,2,FALSE)</f>
        <v>#ERROR!</v>
      </c>
      <c r="L44" s="24" t="str">
        <f>VLOOKUP('北段 (人資版)'!L44,'工作表1'!$A$3:$B$74,2,FALSE)</f>
        <v>#ERROR!</v>
      </c>
      <c r="M44" s="24" t="str">
        <f>VLOOKUP('北段 (人資版)'!M44,'工作表1'!$A$3:$B$74,2,FALSE)</f>
        <v>#ERROR!</v>
      </c>
      <c r="N44" s="24" t="str">
        <f>VLOOKUP('北段 (人資版)'!N44,'工作表1'!$A$3:$B$74,2,FALSE)</f>
        <v>#ERROR!</v>
      </c>
      <c r="O44" s="24" t="str">
        <f>VLOOKUP('北段 (人資版)'!O44,'工作表1'!$A$3:$B$74,2,FALSE)</f>
        <v>#ERROR!</v>
      </c>
      <c r="P44" s="24" t="str">
        <f>VLOOKUP('北段 (人資版)'!P44,'工作表1'!$A$3:$B$74,2,FALSE)</f>
        <v>#ERROR!</v>
      </c>
      <c r="Q44" s="24" t="str">
        <f>VLOOKUP('北段 (人資版)'!Q44,'工作表1'!$A$3:$B$74,2,FALSE)</f>
        <v>#ERROR!</v>
      </c>
      <c r="R44" s="24" t="str">
        <f>VLOOKUP('北段 (人資版)'!R44,'工作表1'!$A$3:$B$74,2,FALSE)</f>
        <v>#ERROR!</v>
      </c>
      <c r="S44" s="24" t="str">
        <f>VLOOKUP('北段 (人資版)'!S44,'工作表1'!$A$3:$B$74,2,FALSE)</f>
        <v>#ERROR!</v>
      </c>
      <c r="T44" s="24" t="str">
        <f>VLOOKUP('北段 (人資版)'!T44,'工作表1'!$A$3:$B$74,2,FALSE)</f>
        <v>#ERROR!</v>
      </c>
      <c r="U44" s="24" t="str">
        <f>VLOOKUP('北段 (人資版)'!U44,'工作表1'!$A$3:$B$74,2,FALSE)</f>
        <v>#ERROR!</v>
      </c>
      <c r="V44" s="24" t="str">
        <f>VLOOKUP('北段 (人資版)'!V44,'工作表1'!$A$3:$B$74,2,FALSE)</f>
        <v>#ERROR!</v>
      </c>
      <c r="W44" s="24" t="str">
        <f>VLOOKUP('北段 (人資版)'!W44,'工作表1'!$A$3:$B$74,2,FALSE)</f>
        <v>#ERROR!</v>
      </c>
      <c r="X44" s="24" t="str">
        <f>VLOOKUP('北段 (人資版)'!X44,'工作表1'!$A$3:$B$74,2,FALSE)</f>
        <v>#ERROR!</v>
      </c>
      <c r="Y44" s="24" t="str">
        <f>VLOOKUP('北段 (人資版)'!Y44,'工作表1'!$A$3:$B$74,2,FALSE)</f>
        <v>#ERROR!</v>
      </c>
      <c r="Z44" s="24" t="str">
        <f>VLOOKUP('北段 (人資版)'!Z44,'工作表1'!$A$3:$B$74,2,FALSE)</f>
        <v>#ERROR!</v>
      </c>
      <c r="AA44" s="24" t="str">
        <f>VLOOKUP('北段 (人資版)'!AA44,'工作表1'!$A$3:$B$74,2,FALSE)</f>
        <v>#ERROR!</v>
      </c>
      <c r="AB44" s="24" t="str">
        <f>VLOOKUP('北段 (人資版)'!AB44,'工作表1'!$A$3:$B$74,2,FALSE)</f>
        <v>#ERROR!</v>
      </c>
      <c r="AC44" s="24" t="str">
        <f>VLOOKUP('北段 (人資版)'!AC44,'工作表1'!$A$3:$B$74,2,FALSE)</f>
        <v>#ERROR!</v>
      </c>
      <c r="AD44" s="24" t="str">
        <f>VLOOKUP('北段 (人資版)'!AD44,'工作表1'!$A$3:$B$74,2,FALSE)</f>
        <v>#ERROR!</v>
      </c>
      <c r="AE44" s="24" t="str">
        <f>VLOOKUP('北段 (人資版)'!AE44,'工作表1'!$A$3:$B$74,2,FALSE)</f>
        <v>#ERROR!</v>
      </c>
      <c r="AF44" s="24" t="str">
        <f>VLOOKUP('北段 (人資版)'!AF44,'工作表1'!$A$3:$B$74,2,FALSE)</f>
        <v>#ERROR!</v>
      </c>
      <c r="AG44" s="24" t="str">
        <f>VLOOKUP('北段 (人資版)'!AG44,'工作表1'!$A$3:$B$74,2,FALSE)</f>
        <v>#ERROR!</v>
      </c>
      <c r="AH44" s="24" t="str">
        <f>VLOOKUP('北段 (人資版)'!AH44,'工作表1'!$A$3:$B$74,2,FALSE)</f>
        <v>#ERROR!</v>
      </c>
      <c r="AI44" s="24" t="str">
        <f>VLOOKUP('北段 (人資版)'!AI44,'工作表1'!$A$3:$B$74,2,FALSE)</f>
        <v>#ERROR!</v>
      </c>
      <c r="AJ44" s="24" t="str">
        <f>VLOOKUP('北段 (人資版)'!AJ44,'工作表1'!$A$3:$B$74,2,FALSE)</f>
        <v>#ERROR!</v>
      </c>
      <c r="AK44" s="24" t="str">
        <f>VLOOKUP('北段 (人資版)'!AK44,'工作表1'!$A$3:$B$74,2,FALSE)</f>
        <v>#ERROR!</v>
      </c>
      <c r="AL44" s="24" t="str">
        <f>VLOOKUP('北段 (人資版)'!AL44,'工作表1'!$A$3:$B$74,2,FALSE)</f>
        <v>#ERROR!</v>
      </c>
    </row>
    <row r="45" ht="39.75" customHeight="1">
      <c r="A45" s="143"/>
      <c r="B45" s="24" t="str">
        <f>北段!#REF!</f>
        <v>#ERROR!</v>
      </c>
      <c r="C45" s="24" t="str">
        <f>VLOOKUP(B45,'北段'!B:C,2,FALSE)</f>
        <v>#ERROR!</v>
      </c>
      <c r="D45" s="24" t="str">
        <f>VLOOKUP('北段 (人資版)'!D45,'工作表1'!$A$3:$B$74,2,FALSE)</f>
        <v>#ERROR!</v>
      </c>
      <c r="E45" s="24" t="str">
        <f>VLOOKUP('北段 (人資版)'!E45,'工作表1'!$A$3:$B$74,2,FALSE)</f>
        <v>#ERROR!</v>
      </c>
      <c r="F45" s="24" t="str">
        <f>VLOOKUP('北段 (人資版)'!F45,'工作表1'!$A$3:$B$74,2,FALSE)</f>
        <v>#ERROR!</v>
      </c>
      <c r="G45" s="24" t="str">
        <f>VLOOKUP('北段 (人資版)'!G45,'工作表1'!$A$3:$B$74,2,FALSE)</f>
        <v>#ERROR!</v>
      </c>
      <c r="H45" s="24" t="str">
        <f>VLOOKUP('北段 (人資版)'!H45,'工作表1'!$A$3:$B$74,2,FALSE)</f>
        <v>#ERROR!</v>
      </c>
      <c r="I45" s="24" t="str">
        <f>VLOOKUP('北段 (人資版)'!I45,'工作表1'!$A$3:$B$74,2,FALSE)</f>
        <v>#ERROR!</v>
      </c>
      <c r="J45" s="24" t="str">
        <f>VLOOKUP('北段 (人資版)'!J45,'工作表1'!$A$3:$B$74,2,FALSE)</f>
        <v>#ERROR!</v>
      </c>
      <c r="K45" s="24" t="str">
        <f>VLOOKUP('北段 (人資版)'!K45,'工作表1'!$A$3:$B$74,2,FALSE)</f>
        <v>#ERROR!</v>
      </c>
      <c r="L45" s="24" t="str">
        <f>VLOOKUP('北段 (人資版)'!L45,'工作表1'!$A$3:$B$74,2,FALSE)</f>
        <v>#ERROR!</v>
      </c>
      <c r="M45" s="24" t="str">
        <f>VLOOKUP('北段 (人資版)'!M45,'工作表1'!$A$3:$B$74,2,FALSE)</f>
        <v>#ERROR!</v>
      </c>
      <c r="N45" s="24" t="str">
        <f>VLOOKUP('北段 (人資版)'!N45,'工作表1'!$A$3:$B$74,2,FALSE)</f>
        <v>#ERROR!</v>
      </c>
      <c r="O45" s="24" t="str">
        <f>VLOOKUP('北段 (人資版)'!O45,'工作表1'!$A$3:$B$74,2,FALSE)</f>
        <v>#ERROR!</v>
      </c>
      <c r="P45" s="24" t="str">
        <f>VLOOKUP('北段 (人資版)'!P45,'工作表1'!$A$3:$B$74,2,FALSE)</f>
        <v>#ERROR!</v>
      </c>
      <c r="Q45" s="24" t="str">
        <f>VLOOKUP('北段 (人資版)'!Q45,'工作表1'!$A$3:$B$74,2,FALSE)</f>
        <v>#ERROR!</v>
      </c>
      <c r="R45" s="24" t="str">
        <f>VLOOKUP('北段 (人資版)'!R45,'工作表1'!$A$3:$B$74,2,FALSE)</f>
        <v>#ERROR!</v>
      </c>
      <c r="S45" s="24" t="str">
        <f>VLOOKUP('北段 (人資版)'!S45,'工作表1'!$A$3:$B$74,2,FALSE)</f>
        <v>#ERROR!</v>
      </c>
      <c r="T45" s="24" t="str">
        <f>VLOOKUP('北段 (人資版)'!T45,'工作表1'!$A$3:$B$74,2,FALSE)</f>
        <v>#ERROR!</v>
      </c>
      <c r="U45" s="24" t="str">
        <f>VLOOKUP('北段 (人資版)'!U45,'工作表1'!$A$3:$B$74,2,FALSE)</f>
        <v>#ERROR!</v>
      </c>
      <c r="V45" s="24" t="str">
        <f>VLOOKUP('北段 (人資版)'!V45,'工作表1'!$A$3:$B$74,2,FALSE)</f>
        <v>#ERROR!</v>
      </c>
      <c r="W45" s="24" t="str">
        <f>VLOOKUP('北段 (人資版)'!W45,'工作表1'!$A$3:$B$74,2,FALSE)</f>
        <v>#ERROR!</v>
      </c>
      <c r="X45" s="24" t="str">
        <f>VLOOKUP('北段 (人資版)'!X45,'工作表1'!$A$3:$B$74,2,FALSE)</f>
        <v>#ERROR!</v>
      </c>
      <c r="Y45" s="24" t="str">
        <f>VLOOKUP('北段 (人資版)'!Y45,'工作表1'!$A$3:$B$74,2,FALSE)</f>
        <v>#ERROR!</v>
      </c>
      <c r="Z45" s="24" t="str">
        <f>VLOOKUP('北段 (人資版)'!Z45,'工作表1'!$A$3:$B$74,2,FALSE)</f>
        <v>#ERROR!</v>
      </c>
      <c r="AA45" s="24" t="str">
        <f>VLOOKUP('北段 (人資版)'!AA45,'工作表1'!$A$3:$B$74,2,FALSE)</f>
        <v>#ERROR!</v>
      </c>
      <c r="AB45" s="24" t="str">
        <f>VLOOKUP('北段 (人資版)'!AB45,'工作表1'!$A$3:$B$74,2,FALSE)</f>
        <v>#ERROR!</v>
      </c>
      <c r="AC45" s="24" t="str">
        <f>VLOOKUP('北段 (人資版)'!AC45,'工作表1'!$A$3:$B$74,2,FALSE)</f>
        <v>#ERROR!</v>
      </c>
      <c r="AD45" s="24" t="str">
        <f>VLOOKUP('北段 (人資版)'!AD45,'工作表1'!$A$3:$B$74,2,FALSE)</f>
        <v>#ERROR!</v>
      </c>
      <c r="AE45" s="24" t="str">
        <f>VLOOKUP('北段 (人資版)'!AE45,'工作表1'!$A$3:$B$74,2,FALSE)</f>
        <v>#ERROR!</v>
      </c>
      <c r="AF45" s="24" t="str">
        <f>VLOOKUP('北段 (人資版)'!AF45,'工作表1'!$A$3:$B$74,2,FALSE)</f>
        <v>#ERROR!</v>
      </c>
      <c r="AG45" s="24" t="str">
        <f>VLOOKUP('北段 (人資版)'!AG45,'工作表1'!$A$3:$B$74,2,FALSE)</f>
        <v>#ERROR!</v>
      </c>
      <c r="AH45" s="24" t="str">
        <f>VLOOKUP('北段 (人資版)'!AH45,'工作表1'!$A$3:$B$74,2,FALSE)</f>
        <v>#ERROR!</v>
      </c>
      <c r="AI45" s="24" t="str">
        <f>VLOOKUP('北段 (人資版)'!AI45,'工作表1'!$A$3:$B$74,2,FALSE)</f>
        <v>#ERROR!</v>
      </c>
      <c r="AJ45" s="24" t="str">
        <f>VLOOKUP('北段 (人資版)'!AJ45,'工作表1'!$A$3:$B$74,2,FALSE)</f>
        <v>#ERROR!</v>
      </c>
      <c r="AK45" s="24" t="str">
        <f>VLOOKUP('北段 (人資版)'!AK45,'工作表1'!$A$3:$B$74,2,FALSE)</f>
        <v>#ERROR!</v>
      </c>
      <c r="AL45" s="24" t="str">
        <f>VLOOKUP('北段 (人資版)'!AL45,'工作表1'!$A$3:$B$74,2,FALSE)</f>
        <v>#ERROR!</v>
      </c>
    </row>
    <row r="46" ht="39.0" customHeight="1">
      <c r="A46" s="143"/>
      <c r="B46" s="24" t="str">
        <f>北段!#REF!</f>
        <v>#ERROR!</v>
      </c>
      <c r="C46" s="24" t="str">
        <f>VLOOKUP(B46,'北段'!B:C,2,FALSE)</f>
        <v>#ERROR!</v>
      </c>
      <c r="D46" s="24" t="str">
        <f>VLOOKUP('北段 (人資版)'!D46,'工作表1'!$A$3:$B$74,2,FALSE)</f>
        <v>#ERROR!</v>
      </c>
      <c r="E46" s="24" t="str">
        <f>VLOOKUP('北段 (人資版)'!E46,'工作表1'!$A$3:$B$74,2,FALSE)</f>
        <v>#ERROR!</v>
      </c>
      <c r="F46" s="24" t="str">
        <f>VLOOKUP('北段 (人資版)'!F46,'工作表1'!$A$3:$B$74,2,FALSE)</f>
        <v>#ERROR!</v>
      </c>
      <c r="G46" s="24" t="str">
        <f>VLOOKUP('北段 (人資版)'!G46,'工作表1'!$A$3:$B$74,2,FALSE)</f>
        <v>#ERROR!</v>
      </c>
      <c r="H46" s="24" t="str">
        <f>VLOOKUP('北段 (人資版)'!H46,'工作表1'!$A$3:$B$74,2,FALSE)</f>
        <v>#ERROR!</v>
      </c>
      <c r="I46" s="24" t="str">
        <f>VLOOKUP('北段 (人資版)'!I46,'工作表1'!$A$3:$B$74,2,FALSE)</f>
        <v>#ERROR!</v>
      </c>
      <c r="J46" s="24" t="str">
        <f>VLOOKUP('北段 (人資版)'!J46,'工作表1'!$A$3:$B$74,2,FALSE)</f>
        <v>#ERROR!</v>
      </c>
      <c r="K46" s="24" t="str">
        <f>VLOOKUP('北段 (人資版)'!K46,'工作表1'!$A$3:$B$74,2,FALSE)</f>
        <v>#ERROR!</v>
      </c>
      <c r="L46" s="24" t="str">
        <f>VLOOKUP('北段 (人資版)'!L46,'工作表1'!$A$3:$B$74,2,FALSE)</f>
        <v>#ERROR!</v>
      </c>
      <c r="M46" s="24" t="str">
        <f>VLOOKUP('北段 (人資版)'!M46,'工作表1'!$A$3:$B$74,2,FALSE)</f>
        <v>#ERROR!</v>
      </c>
      <c r="N46" s="24" t="str">
        <f>VLOOKUP('北段 (人資版)'!N46,'工作表1'!$A$3:$B$74,2,FALSE)</f>
        <v>#ERROR!</v>
      </c>
      <c r="O46" s="24" t="str">
        <f>VLOOKUP('北段 (人資版)'!O46,'工作表1'!$A$3:$B$74,2,FALSE)</f>
        <v>#ERROR!</v>
      </c>
      <c r="P46" s="24" t="str">
        <f>VLOOKUP('北段 (人資版)'!P46,'工作表1'!$A$3:$B$74,2,FALSE)</f>
        <v>#ERROR!</v>
      </c>
      <c r="Q46" s="24" t="str">
        <f>VLOOKUP('北段 (人資版)'!Q46,'工作表1'!$A$3:$B$74,2,FALSE)</f>
        <v>#ERROR!</v>
      </c>
      <c r="R46" s="24" t="str">
        <f>VLOOKUP('北段 (人資版)'!R46,'工作表1'!$A$3:$B$74,2,FALSE)</f>
        <v>#ERROR!</v>
      </c>
      <c r="S46" s="24" t="str">
        <f>VLOOKUP('北段 (人資版)'!S46,'工作表1'!$A$3:$B$74,2,FALSE)</f>
        <v>#ERROR!</v>
      </c>
      <c r="T46" s="24" t="str">
        <f>VLOOKUP('北段 (人資版)'!T46,'工作表1'!$A$3:$B$74,2,FALSE)</f>
        <v>#ERROR!</v>
      </c>
      <c r="U46" s="24" t="str">
        <f>VLOOKUP('北段 (人資版)'!U46,'工作表1'!$A$3:$B$74,2,FALSE)</f>
        <v>#ERROR!</v>
      </c>
      <c r="V46" s="24" t="str">
        <f>VLOOKUP('北段 (人資版)'!V46,'工作表1'!$A$3:$B$74,2,FALSE)</f>
        <v>#ERROR!</v>
      </c>
      <c r="W46" s="24" t="str">
        <f>VLOOKUP('北段 (人資版)'!W46,'工作表1'!$A$3:$B$74,2,FALSE)</f>
        <v>#ERROR!</v>
      </c>
      <c r="X46" s="24" t="str">
        <f>VLOOKUP('北段 (人資版)'!X46,'工作表1'!$A$3:$B$74,2,FALSE)</f>
        <v>#ERROR!</v>
      </c>
      <c r="Y46" s="24" t="str">
        <f>VLOOKUP('北段 (人資版)'!Y46,'工作表1'!$A$3:$B$74,2,FALSE)</f>
        <v>#ERROR!</v>
      </c>
      <c r="Z46" s="24" t="str">
        <f>VLOOKUP('北段 (人資版)'!Z46,'工作表1'!$A$3:$B$74,2,FALSE)</f>
        <v>#ERROR!</v>
      </c>
      <c r="AA46" s="24" t="str">
        <f>VLOOKUP('北段 (人資版)'!AA46,'工作表1'!$A$3:$B$74,2,FALSE)</f>
        <v>#ERROR!</v>
      </c>
      <c r="AB46" s="24" t="str">
        <f>VLOOKUP('北段 (人資版)'!AB46,'工作表1'!$A$3:$B$74,2,FALSE)</f>
        <v>#ERROR!</v>
      </c>
      <c r="AC46" s="24" t="str">
        <f>VLOOKUP('北段 (人資版)'!AC46,'工作表1'!$A$3:$B$74,2,FALSE)</f>
        <v>#ERROR!</v>
      </c>
      <c r="AD46" s="24" t="str">
        <f>VLOOKUP('北段 (人資版)'!AD46,'工作表1'!$A$3:$B$74,2,FALSE)</f>
        <v>#ERROR!</v>
      </c>
      <c r="AE46" s="24" t="str">
        <f>VLOOKUP('北段 (人資版)'!AE46,'工作表1'!$A$3:$B$74,2,FALSE)</f>
        <v>#ERROR!</v>
      </c>
      <c r="AF46" s="24" t="str">
        <f>VLOOKUP('北段 (人資版)'!AF46,'工作表1'!$A$3:$B$74,2,FALSE)</f>
        <v>#ERROR!</v>
      </c>
      <c r="AG46" s="24" t="str">
        <f>VLOOKUP('北段 (人資版)'!AG46,'工作表1'!$A$3:$B$74,2,FALSE)</f>
        <v>#ERROR!</v>
      </c>
      <c r="AH46" s="24" t="str">
        <f>VLOOKUP('北段 (人資版)'!AH46,'工作表1'!$A$3:$B$74,2,FALSE)</f>
        <v>#ERROR!</v>
      </c>
      <c r="AI46" s="24" t="str">
        <f>VLOOKUP('北段 (人資版)'!AI46,'工作表1'!$A$3:$B$74,2,FALSE)</f>
        <v>#ERROR!</v>
      </c>
      <c r="AJ46" s="24" t="str">
        <f>VLOOKUP('北段 (人資版)'!AJ46,'工作表1'!$A$3:$B$74,2,FALSE)</f>
        <v>#ERROR!</v>
      </c>
      <c r="AK46" s="24" t="str">
        <f>VLOOKUP('北段 (人資版)'!AK46,'工作表1'!$A$3:$B$74,2,FALSE)</f>
        <v>#ERROR!</v>
      </c>
      <c r="AL46" s="24" t="str">
        <f>VLOOKUP('北段 (人資版)'!AL46,'工作表1'!$A$3:$B$74,2,FALSE)</f>
        <v>#ERROR!</v>
      </c>
    </row>
    <row r="47" ht="39.0" customHeight="1">
      <c r="A47" s="143"/>
      <c r="B47" s="24" t="str">
        <f>北段!#REF!</f>
        <v>#ERROR!</v>
      </c>
      <c r="C47" s="24" t="str">
        <f>VLOOKUP(B47,'北段'!B:C,2,FALSE)</f>
        <v>#ERROR!</v>
      </c>
      <c r="D47" s="24" t="str">
        <f>VLOOKUP('北段 (人資版)'!D48,'工作表1'!$A$3:$B$74,2,FALSE)</f>
        <v>#ERROR!</v>
      </c>
      <c r="E47" s="24" t="str">
        <f>VLOOKUP('北段 (人資版)'!E48,'工作表1'!$A$3:$B$74,2,FALSE)</f>
        <v>#ERROR!</v>
      </c>
      <c r="F47" s="24" t="str">
        <f>VLOOKUP('北段 (人資版)'!F48,'工作表1'!$A$3:$B$74,2,FALSE)</f>
        <v>#ERROR!</v>
      </c>
      <c r="G47" s="24" t="str">
        <f>VLOOKUP('北段 (人資版)'!G48,'工作表1'!$A$3:$B$74,2,FALSE)</f>
        <v>#ERROR!</v>
      </c>
      <c r="H47" s="24" t="str">
        <f>VLOOKUP('北段 (人資版)'!H48,'工作表1'!$A$3:$B$74,2,FALSE)</f>
        <v>#ERROR!</v>
      </c>
      <c r="I47" s="24" t="str">
        <f>VLOOKUP('北段 (人資版)'!I48,'工作表1'!$A$3:$B$74,2,FALSE)</f>
        <v>#ERROR!</v>
      </c>
      <c r="J47" s="24" t="str">
        <f>VLOOKUP('北段 (人資版)'!J48,'工作表1'!$A$3:$B$74,2,FALSE)</f>
        <v>#ERROR!</v>
      </c>
      <c r="K47" s="24" t="str">
        <f>VLOOKUP('北段 (人資版)'!K48,'工作表1'!$A$3:$B$74,2,FALSE)</f>
        <v>#ERROR!</v>
      </c>
      <c r="L47" s="24" t="str">
        <f>VLOOKUP('北段 (人資版)'!L48,'工作表1'!$A$3:$B$74,2,FALSE)</f>
        <v>#ERROR!</v>
      </c>
      <c r="M47" s="24" t="str">
        <f>VLOOKUP('北段 (人資版)'!M48,'工作表1'!$A$3:$B$74,2,FALSE)</f>
        <v>#ERROR!</v>
      </c>
      <c r="N47" s="24" t="str">
        <f>VLOOKUP('北段 (人資版)'!N48,'工作表1'!$A$3:$B$74,2,FALSE)</f>
        <v>#ERROR!</v>
      </c>
      <c r="O47" s="24" t="str">
        <f>VLOOKUP('北段 (人資版)'!O48,'工作表1'!$A$3:$B$74,2,FALSE)</f>
        <v>#ERROR!</v>
      </c>
      <c r="P47" s="24" t="str">
        <f>VLOOKUP('北段 (人資版)'!P48,'工作表1'!$A$3:$B$74,2,FALSE)</f>
        <v>#ERROR!</v>
      </c>
      <c r="Q47" s="24" t="str">
        <f>VLOOKUP('北段 (人資版)'!Q48,'工作表1'!$A$3:$B$74,2,FALSE)</f>
        <v>#ERROR!</v>
      </c>
      <c r="R47" s="24" t="str">
        <f>VLOOKUP('北段 (人資版)'!R48,'工作表1'!$A$3:$B$74,2,FALSE)</f>
        <v>#ERROR!</v>
      </c>
      <c r="S47" s="24" t="str">
        <f>VLOOKUP('北段 (人資版)'!S48,'工作表1'!$A$3:$B$74,2,FALSE)</f>
        <v>#ERROR!</v>
      </c>
      <c r="T47" s="24" t="str">
        <f>VLOOKUP('北段 (人資版)'!T48,'工作表1'!$A$3:$B$74,2,FALSE)</f>
        <v>#ERROR!</v>
      </c>
      <c r="U47" s="24" t="str">
        <f>VLOOKUP('北段 (人資版)'!U48,'工作表1'!$A$3:$B$74,2,FALSE)</f>
        <v>#ERROR!</v>
      </c>
      <c r="V47" s="24" t="str">
        <f>VLOOKUP('北段 (人資版)'!V48,'工作表1'!$A$3:$B$74,2,FALSE)</f>
        <v>#ERROR!</v>
      </c>
      <c r="W47" s="24" t="str">
        <f>VLOOKUP('北段 (人資版)'!W48,'工作表1'!$A$3:$B$74,2,FALSE)</f>
        <v>#ERROR!</v>
      </c>
      <c r="X47" s="24" t="str">
        <f>VLOOKUP('北段 (人資版)'!X48,'工作表1'!$A$3:$B$74,2,FALSE)</f>
        <v>#ERROR!</v>
      </c>
      <c r="Y47" s="24" t="str">
        <f>VLOOKUP('北段 (人資版)'!Y48,'工作表1'!$A$3:$B$74,2,FALSE)</f>
        <v>#ERROR!</v>
      </c>
      <c r="Z47" s="24" t="str">
        <f>VLOOKUP('北段 (人資版)'!Z48,'工作表1'!$A$3:$B$74,2,FALSE)</f>
        <v>#ERROR!</v>
      </c>
      <c r="AA47" s="24" t="str">
        <f>VLOOKUP('北段 (人資版)'!AA48,'工作表1'!$A$3:$B$74,2,FALSE)</f>
        <v>#ERROR!</v>
      </c>
      <c r="AB47" s="24" t="str">
        <f>VLOOKUP('北段 (人資版)'!AB48,'工作表1'!$A$3:$B$74,2,FALSE)</f>
        <v>#ERROR!</v>
      </c>
      <c r="AC47" s="24" t="str">
        <f>VLOOKUP('北段 (人資版)'!AC48,'工作表1'!$A$3:$B$74,2,FALSE)</f>
        <v>#ERROR!</v>
      </c>
      <c r="AD47" s="24" t="str">
        <f>VLOOKUP('北段 (人資版)'!AD48,'工作表1'!$A$3:$B$74,2,FALSE)</f>
        <v>#ERROR!</v>
      </c>
      <c r="AE47" s="24" t="str">
        <f>VLOOKUP('北段 (人資版)'!AE48,'工作表1'!$A$3:$B$74,2,FALSE)</f>
        <v>#ERROR!</v>
      </c>
      <c r="AF47" s="24" t="str">
        <f>VLOOKUP('北段 (人資版)'!AF48,'工作表1'!$A$3:$B$74,2,FALSE)</f>
        <v>#ERROR!</v>
      </c>
      <c r="AG47" s="24" t="str">
        <f>VLOOKUP('北段 (人資版)'!AG48,'工作表1'!$A$3:$B$74,2,FALSE)</f>
        <v>#ERROR!</v>
      </c>
      <c r="AH47" s="24" t="str">
        <f>VLOOKUP('北段 (人資版)'!AH48,'工作表1'!$A$3:$B$74,2,FALSE)</f>
        <v>#ERROR!</v>
      </c>
      <c r="AI47" s="24" t="str">
        <f>VLOOKUP('北段 (人資版)'!AI48,'工作表1'!$A$3:$B$74,2,FALSE)</f>
        <v>#ERROR!</v>
      </c>
      <c r="AJ47" s="24" t="str">
        <f>VLOOKUP('北段 (人資版)'!AJ48,'工作表1'!$A$3:$B$74,2,FALSE)</f>
        <v>#ERROR!</v>
      </c>
      <c r="AK47" s="24" t="str">
        <f>VLOOKUP('北段 (人資版)'!AK48,'工作表1'!$A$3:$B$74,2,FALSE)</f>
        <v>#ERROR!</v>
      </c>
      <c r="AL47" s="24" t="str">
        <f>VLOOKUP('北段 (人資版)'!AL48,'工作表1'!$A$3:$B$74,2,FALSE)</f>
        <v>#ERROR!</v>
      </c>
    </row>
    <row r="48" ht="39.75" customHeight="1">
      <c r="A48" s="143"/>
      <c r="B48" s="24" t="str">
        <f>北段!#REF!</f>
        <v>#ERROR!</v>
      </c>
      <c r="C48" s="24" t="str">
        <f>VLOOKUP(B48,'北段'!B:C,2,FALSE)</f>
        <v>#ERROR!</v>
      </c>
      <c r="D48" s="24" t="str">
        <f>VLOOKUP('北段 (人資版)'!D49,'工作表1'!$A$3:$B$74,2,FALSE)</f>
        <v>#ERROR!</v>
      </c>
      <c r="E48" s="24" t="str">
        <f>VLOOKUP('北段 (人資版)'!E49,'工作表1'!$A$3:$B$74,2,FALSE)</f>
        <v>#ERROR!</v>
      </c>
      <c r="F48" s="24" t="str">
        <f>VLOOKUP('北段 (人資版)'!F49,'工作表1'!$A$3:$B$74,2,FALSE)</f>
        <v>#ERROR!</v>
      </c>
      <c r="G48" s="24" t="str">
        <f>VLOOKUP('北段 (人資版)'!G49,'工作表1'!$A$3:$B$74,2,FALSE)</f>
        <v>#ERROR!</v>
      </c>
      <c r="H48" s="24" t="str">
        <f>VLOOKUP('北段 (人資版)'!H49,'工作表1'!$A$3:$B$74,2,FALSE)</f>
        <v>#ERROR!</v>
      </c>
      <c r="I48" s="24" t="str">
        <f>VLOOKUP('北段 (人資版)'!I49,'工作表1'!$A$3:$B$74,2,FALSE)</f>
        <v>#ERROR!</v>
      </c>
      <c r="J48" s="24" t="str">
        <f>VLOOKUP('北段 (人資版)'!J49,'工作表1'!$A$3:$B$74,2,FALSE)</f>
        <v>#ERROR!</v>
      </c>
      <c r="K48" s="24" t="str">
        <f>VLOOKUP('北段 (人資版)'!K49,'工作表1'!$A$3:$B$74,2,FALSE)</f>
        <v>#ERROR!</v>
      </c>
      <c r="L48" s="24" t="str">
        <f>VLOOKUP('北段 (人資版)'!L49,'工作表1'!$A$3:$B$74,2,FALSE)</f>
        <v>#ERROR!</v>
      </c>
      <c r="M48" s="24" t="str">
        <f>VLOOKUP('北段 (人資版)'!M49,'工作表1'!$A$3:$B$74,2,FALSE)</f>
        <v>#ERROR!</v>
      </c>
      <c r="N48" s="24" t="str">
        <f>VLOOKUP('北段 (人資版)'!N49,'工作表1'!$A$3:$B$74,2,FALSE)</f>
        <v>#ERROR!</v>
      </c>
      <c r="O48" s="24" t="str">
        <f>VLOOKUP('北段 (人資版)'!O49,'工作表1'!$A$3:$B$74,2,FALSE)</f>
        <v>#ERROR!</v>
      </c>
      <c r="P48" s="24" t="str">
        <f>VLOOKUP('北段 (人資版)'!P49,'工作表1'!$A$3:$B$74,2,FALSE)</f>
        <v>#ERROR!</v>
      </c>
      <c r="Q48" s="24" t="str">
        <f>VLOOKUP('北段 (人資版)'!Q49,'工作表1'!$A$3:$B$74,2,FALSE)</f>
        <v>#ERROR!</v>
      </c>
      <c r="R48" s="24" t="str">
        <f>VLOOKUP('北段 (人資版)'!R49,'工作表1'!$A$3:$B$74,2,FALSE)</f>
        <v>#ERROR!</v>
      </c>
      <c r="S48" s="24" t="str">
        <f>VLOOKUP('北段 (人資版)'!S49,'工作表1'!$A$3:$B$74,2,FALSE)</f>
        <v>#ERROR!</v>
      </c>
      <c r="T48" s="24" t="str">
        <f>VLOOKUP('北段 (人資版)'!T49,'工作表1'!$A$3:$B$74,2,FALSE)</f>
        <v>#ERROR!</v>
      </c>
      <c r="U48" s="24" t="str">
        <f>VLOOKUP('北段 (人資版)'!U49,'工作表1'!$A$3:$B$74,2,FALSE)</f>
        <v>#ERROR!</v>
      </c>
      <c r="V48" s="24" t="str">
        <f>VLOOKUP('北段 (人資版)'!V49,'工作表1'!$A$3:$B$74,2,FALSE)</f>
        <v>#ERROR!</v>
      </c>
      <c r="W48" s="24" t="str">
        <f>VLOOKUP('北段 (人資版)'!W49,'工作表1'!$A$3:$B$74,2,FALSE)</f>
        <v>#ERROR!</v>
      </c>
      <c r="X48" s="24" t="str">
        <f>VLOOKUP('北段 (人資版)'!X49,'工作表1'!$A$3:$B$74,2,FALSE)</f>
        <v>#ERROR!</v>
      </c>
      <c r="Y48" s="24" t="str">
        <f>VLOOKUP('北段 (人資版)'!Y49,'工作表1'!$A$3:$B$74,2,FALSE)</f>
        <v>#ERROR!</v>
      </c>
      <c r="Z48" s="24" t="str">
        <f>VLOOKUP('北段 (人資版)'!Z49,'工作表1'!$A$3:$B$74,2,FALSE)</f>
        <v>#ERROR!</v>
      </c>
      <c r="AA48" s="24" t="str">
        <f>VLOOKUP('北段 (人資版)'!AA49,'工作表1'!$A$3:$B$74,2,FALSE)</f>
        <v>#ERROR!</v>
      </c>
      <c r="AB48" s="24" t="str">
        <f>VLOOKUP('北段 (人資版)'!AB49,'工作表1'!$A$3:$B$74,2,FALSE)</f>
        <v>#ERROR!</v>
      </c>
      <c r="AC48" s="24" t="str">
        <f>VLOOKUP('北段 (人資版)'!AC49,'工作表1'!$A$3:$B$74,2,FALSE)</f>
        <v>#ERROR!</v>
      </c>
      <c r="AD48" s="24" t="str">
        <f>VLOOKUP('北段 (人資版)'!AD49,'工作表1'!$A$3:$B$74,2,FALSE)</f>
        <v>#ERROR!</v>
      </c>
      <c r="AE48" s="24" t="str">
        <f>VLOOKUP('北段 (人資版)'!AE49,'工作表1'!$A$3:$B$74,2,FALSE)</f>
        <v>#ERROR!</v>
      </c>
      <c r="AF48" s="24" t="str">
        <f>VLOOKUP('北段 (人資版)'!AF49,'工作表1'!$A$3:$B$74,2,FALSE)</f>
        <v>#ERROR!</v>
      </c>
      <c r="AG48" s="24" t="str">
        <f>VLOOKUP('北段 (人資版)'!AG49,'工作表1'!$A$3:$B$74,2,FALSE)</f>
        <v>#ERROR!</v>
      </c>
      <c r="AH48" s="24" t="str">
        <f>VLOOKUP('北段 (人資版)'!AH49,'工作表1'!$A$3:$B$74,2,FALSE)</f>
        <v>#ERROR!</v>
      </c>
      <c r="AI48" s="24" t="str">
        <f>VLOOKUP('北段 (人資版)'!AI49,'工作表1'!$A$3:$B$74,2,FALSE)</f>
        <v>#ERROR!</v>
      </c>
      <c r="AJ48" s="24" t="str">
        <f>VLOOKUP('北段 (人資版)'!AJ49,'工作表1'!$A$3:$B$74,2,FALSE)</f>
        <v>#ERROR!</v>
      </c>
      <c r="AK48" s="24" t="str">
        <f>VLOOKUP('北段 (人資版)'!AK49,'工作表1'!$A$3:$B$74,2,FALSE)</f>
        <v>#ERROR!</v>
      </c>
      <c r="AL48" s="24" t="str">
        <f>VLOOKUP('北段 (人資版)'!AL49,'工作表1'!$A$3:$B$74,2,FALSE)</f>
        <v>#ERROR!</v>
      </c>
    </row>
    <row r="49" ht="39.75" customHeight="1">
      <c r="A49" s="143"/>
      <c r="B49" s="24" t="str">
        <f>北段!#REF!</f>
        <v>#ERROR!</v>
      </c>
      <c r="C49" s="24" t="str">
        <f>VLOOKUP(B49,'北段'!B:C,2,FALSE)</f>
        <v>#ERROR!</v>
      </c>
      <c r="D49" s="24" t="str">
        <f>VLOOKUP('北段 (人資版)'!D50,'工作表1'!$A$3:$B$74,2,FALSE)</f>
        <v>#ERROR!</v>
      </c>
      <c r="E49" s="24" t="str">
        <f>VLOOKUP('北段 (人資版)'!E50,'工作表1'!$A$3:$B$74,2,FALSE)</f>
        <v>#ERROR!</v>
      </c>
      <c r="F49" s="24" t="str">
        <f>VLOOKUP('北段 (人資版)'!F50,'工作表1'!$A$3:$B$74,2,FALSE)</f>
        <v>#ERROR!</v>
      </c>
      <c r="G49" s="24" t="str">
        <f>VLOOKUP('北段 (人資版)'!G50,'工作表1'!$A$3:$B$74,2,FALSE)</f>
        <v>#ERROR!</v>
      </c>
      <c r="H49" s="24" t="str">
        <f>VLOOKUP('北段 (人資版)'!H50,'工作表1'!$A$3:$B$74,2,FALSE)</f>
        <v>#ERROR!</v>
      </c>
      <c r="I49" s="24" t="str">
        <f>VLOOKUP('北段 (人資版)'!I50,'工作表1'!$A$3:$B$74,2,FALSE)</f>
        <v>#ERROR!</v>
      </c>
      <c r="J49" s="24" t="str">
        <f>VLOOKUP('北段 (人資版)'!J50,'工作表1'!$A$3:$B$74,2,FALSE)</f>
        <v>#ERROR!</v>
      </c>
      <c r="K49" s="24" t="str">
        <f>VLOOKUP('北段 (人資版)'!K50,'工作表1'!$A$3:$B$74,2,FALSE)</f>
        <v>#ERROR!</v>
      </c>
      <c r="L49" s="24" t="str">
        <f>VLOOKUP('北段 (人資版)'!L50,'工作表1'!$A$3:$B$74,2,FALSE)</f>
        <v>#ERROR!</v>
      </c>
      <c r="M49" s="24" t="str">
        <f>VLOOKUP('北段 (人資版)'!M50,'工作表1'!$A$3:$B$74,2,FALSE)</f>
        <v>#ERROR!</v>
      </c>
      <c r="N49" s="24" t="str">
        <f>VLOOKUP('北段 (人資版)'!N50,'工作表1'!$A$3:$B$74,2,FALSE)</f>
        <v>#ERROR!</v>
      </c>
      <c r="O49" s="24" t="str">
        <f>VLOOKUP('北段 (人資版)'!O50,'工作表1'!$A$3:$B$74,2,FALSE)</f>
        <v>#ERROR!</v>
      </c>
      <c r="P49" s="24" t="str">
        <f>VLOOKUP('北段 (人資版)'!P50,'工作表1'!$A$3:$B$74,2,FALSE)</f>
        <v>#ERROR!</v>
      </c>
      <c r="Q49" s="24" t="str">
        <f>VLOOKUP('北段 (人資版)'!Q50,'工作表1'!$A$3:$B$74,2,FALSE)</f>
        <v>#ERROR!</v>
      </c>
      <c r="R49" s="24" t="str">
        <f>VLOOKUP('北段 (人資版)'!R50,'工作表1'!$A$3:$B$74,2,FALSE)</f>
        <v>#ERROR!</v>
      </c>
      <c r="S49" s="24" t="str">
        <f>VLOOKUP('北段 (人資版)'!S50,'工作表1'!$A$3:$B$74,2,FALSE)</f>
        <v>#ERROR!</v>
      </c>
      <c r="T49" s="24" t="str">
        <f>VLOOKUP('北段 (人資版)'!T50,'工作表1'!$A$3:$B$74,2,FALSE)</f>
        <v>#ERROR!</v>
      </c>
      <c r="U49" s="24" t="str">
        <f>VLOOKUP('北段 (人資版)'!U50,'工作表1'!$A$3:$B$74,2,FALSE)</f>
        <v>#ERROR!</v>
      </c>
      <c r="V49" s="24" t="str">
        <f>VLOOKUP('北段 (人資版)'!V50,'工作表1'!$A$3:$B$74,2,FALSE)</f>
        <v>#ERROR!</v>
      </c>
      <c r="W49" s="24" t="str">
        <f>VLOOKUP('北段 (人資版)'!W50,'工作表1'!$A$3:$B$74,2,FALSE)</f>
        <v>#ERROR!</v>
      </c>
      <c r="X49" s="24" t="str">
        <f>VLOOKUP('北段 (人資版)'!X50,'工作表1'!$A$3:$B$74,2,FALSE)</f>
        <v>#ERROR!</v>
      </c>
      <c r="Y49" s="24" t="str">
        <f>VLOOKUP('北段 (人資版)'!Y50,'工作表1'!$A$3:$B$74,2,FALSE)</f>
        <v>#ERROR!</v>
      </c>
      <c r="Z49" s="24" t="str">
        <f>VLOOKUP('北段 (人資版)'!Z50,'工作表1'!$A$3:$B$74,2,FALSE)</f>
        <v>#ERROR!</v>
      </c>
      <c r="AA49" s="24" t="str">
        <f>VLOOKUP('北段 (人資版)'!AA50,'工作表1'!$A$3:$B$74,2,FALSE)</f>
        <v>#ERROR!</v>
      </c>
      <c r="AB49" s="24" t="str">
        <f>VLOOKUP('北段 (人資版)'!AB50,'工作表1'!$A$3:$B$74,2,FALSE)</f>
        <v>#ERROR!</v>
      </c>
      <c r="AC49" s="24" t="str">
        <f>VLOOKUP('北段 (人資版)'!AC50,'工作表1'!$A$3:$B$74,2,FALSE)</f>
        <v>#ERROR!</v>
      </c>
      <c r="AD49" s="24" t="str">
        <f>VLOOKUP('北段 (人資版)'!AD50,'工作表1'!$A$3:$B$74,2,FALSE)</f>
        <v>#ERROR!</v>
      </c>
      <c r="AE49" s="24" t="str">
        <f>VLOOKUP('北段 (人資版)'!AE50,'工作表1'!$A$3:$B$74,2,FALSE)</f>
        <v>#ERROR!</v>
      </c>
      <c r="AF49" s="24" t="str">
        <f>VLOOKUP('北段 (人資版)'!AF50,'工作表1'!$A$3:$B$74,2,FALSE)</f>
        <v>#ERROR!</v>
      </c>
      <c r="AG49" s="24" t="str">
        <f>VLOOKUP('北段 (人資版)'!AG50,'工作表1'!$A$3:$B$74,2,FALSE)</f>
        <v>#ERROR!</v>
      </c>
      <c r="AH49" s="24" t="str">
        <f>VLOOKUP('北段 (人資版)'!AH50,'工作表1'!$A$3:$B$74,2,FALSE)</f>
        <v>#ERROR!</v>
      </c>
      <c r="AI49" s="24" t="str">
        <f>VLOOKUP('北段 (人資版)'!AI50,'工作表1'!$A$3:$B$74,2,FALSE)</f>
        <v>#ERROR!</v>
      </c>
      <c r="AJ49" s="24" t="str">
        <f>VLOOKUP('北段 (人資版)'!AJ50,'工作表1'!$A$3:$B$74,2,FALSE)</f>
        <v>#ERROR!</v>
      </c>
      <c r="AK49" s="24" t="str">
        <f>VLOOKUP('北段 (人資版)'!AK50,'工作表1'!$A$3:$B$74,2,FALSE)</f>
        <v>#ERROR!</v>
      </c>
      <c r="AL49" s="24" t="str">
        <f>VLOOKUP('北段 (人資版)'!AL50,'工作表1'!$A$3:$B$74,2,FALSE)</f>
        <v>#ERROR!</v>
      </c>
    </row>
    <row r="50" ht="39.0" customHeight="1">
      <c r="A50" s="143"/>
      <c r="B50" s="24" t="str">
        <f>北段!#REF!</f>
        <v>#ERROR!</v>
      </c>
      <c r="C50" s="24" t="str">
        <f>VLOOKUP(B50,'北段'!B:C,2,FALSE)</f>
        <v>#ERROR!</v>
      </c>
      <c r="D50" s="24" t="str">
        <f>VLOOKUP('北段 (人資版)'!D51,'工作表1'!$A$3:$B$74,2,FALSE)</f>
        <v>#ERROR!</v>
      </c>
      <c r="E50" s="24" t="str">
        <f>VLOOKUP('北段 (人資版)'!E51,'工作表1'!$A$3:$B$74,2,FALSE)</f>
        <v>#ERROR!</v>
      </c>
      <c r="F50" s="24" t="str">
        <f>VLOOKUP('北段 (人資版)'!F51,'工作表1'!$A$3:$B$74,2,FALSE)</f>
        <v>#ERROR!</v>
      </c>
      <c r="G50" s="24" t="str">
        <f>VLOOKUP('北段 (人資版)'!G51,'工作表1'!$A$3:$B$74,2,FALSE)</f>
        <v>#ERROR!</v>
      </c>
      <c r="H50" s="24" t="str">
        <f>VLOOKUP('北段 (人資版)'!H51,'工作表1'!$A$3:$B$74,2,FALSE)</f>
        <v>#ERROR!</v>
      </c>
      <c r="I50" s="24" t="str">
        <f>VLOOKUP('北段 (人資版)'!I51,'工作表1'!$A$3:$B$74,2,FALSE)</f>
        <v>#ERROR!</v>
      </c>
      <c r="J50" s="24" t="str">
        <f>VLOOKUP('北段 (人資版)'!J51,'工作表1'!$A$3:$B$74,2,FALSE)</f>
        <v>#ERROR!</v>
      </c>
      <c r="K50" s="24" t="str">
        <f>VLOOKUP('北段 (人資版)'!K51,'工作表1'!$A$3:$B$74,2,FALSE)</f>
        <v>#ERROR!</v>
      </c>
      <c r="L50" s="24" t="str">
        <f>VLOOKUP('北段 (人資版)'!L51,'工作表1'!$A$3:$B$74,2,FALSE)</f>
        <v>#ERROR!</v>
      </c>
      <c r="M50" s="24" t="str">
        <f>VLOOKUP('北段 (人資版)'!M51,'工作表1'!$A$3:$B$74,2,FALSE)</f>
        <v>#ERROR!</v>
      </c>
      <c r="N50" s="24" t="str">
        <f>VLOOKUP('北段 (人資版)'!N51,'工作表1'!$A$3:$B$74,2,FALSE)</f>
        <v>#ERROR!</v>
      </c>
      <c r="O50" s="24" t="str">
        <f>VLOOKUP('北段 (人資版)'!O51,'工作表1'!$A$3:$B$74,2,FALSE)</f>
        <v>#ERROR!</v>
      </c>
      <c r="P50" s="24" t="str">
        <f>VLOOKUP('北段 (人資版)'!P51,'工作表1'!$A$3:$B$74,2,FALSE)</f>
        <v>#ERROR!</v>
      </c>
      <c r="Q50" s="24" t="str">
        <f>VLOOKUP('北段 (人資版)'!Q51,'工作表1'!$A$3:$B$74,2,FALSE)</f>
        <v>#ERROR!</v>
      </c>
      <c r="R50" s="24" t="str">
        <f>VLOOKUP('北段 (人資版)'!R51,'工作表1'!$A$3:$B$74,2,FALSE)</f>
        <v>#ERROR!</v>
      </c>
      <c r="S50" s="24" t="str">
        <f>VLOOKUP('北段 (人資版)'!S51,'工作表1'!$A$3:$B$74,2,FALSE)</f>
        <v>#ERROR!</v>
      </c>
      <c r="T50" s="24" t="str">
        <f>VLOOKUP('北段 (人資版)'!T51,'工作表1'!$A$3:$B$74,2,FALSE)</f>
        <v>#ERROR!</v>
      </c>
      <c r="U50" s="24" t="str">
        <f>VLOOKUP('北段 (人資版)'!U51,'工作表1'!$A$3:$B$74,2,FALSE)</f>
        <v>#ERROR!</v>
      </c>
      <c r="V50" s="24" t="str">
        <f>VLOOKUP('北段 (人資版)'!V51,'工作表1'!$A$3:$B$74,2,FALSE)</f>
        <v>#ERROR!</v>
      </c>
      <c r="W50" s="24" t="str">
        <f>VLOOKUP('北段 (人資版)'!W51,'工作表1'!$A$3:$B$74,2,FALSE)</f>
        <v>#ERROR!</v>
      </c>
      <c r="X50" s="24" t="str">
        <f>VLOOKUP('北段 (人資版)'!X51,'工作表1'!$A$3:$B$74,2,FALSE)</f>
        <v>#ERROR!</v>
      </c>
      <c r="Y50" s="24" t="str">
        <f>VLOOKUP('北段 (人資版)'!Y51,'工作表1'!$A$3:$B$74,2,FALSE)</f>
        <v>#ERROR!</v>
      </c>
      <c r="Z50" s="24" t="str">
        <f>VLOOKUP('北段 (人資版)'!Z51,'工作表1'!$A$3:$B$74,2,FALSE)</f>
        <v>#ERROR!</v>
      </c>
      <c r="AA50" s="24" t="str">
        <f>VLOOKUP('北段 (人資版)'!AA51,'工作表1'!$A$3:$B$74,2,FALSE)</f>
        <v>#ERROR!</v>
      </c>
      <c r="AB50" s="24" t="str">
        <f>VLOOKUP('北段 (人資版)'!AB51,'工作表1'!$A$3:$B$74,2,FALSE)</f>
        <v>#ERROR!</v>
      </c>
      <c r="AC50" s="24" t="str">
        <f>VLOOKUP('北段 (人資版)'!AC51,'工作表1'!$A$3:$B$74,2,FALSE)</f>
        <v>#ERROR!</v>
      </c>
      <c r="AD50" s="24" t="str">
        <f>VLOOKUP('北段 (人資版)'!AD51,'工作表1'!$A$3:$B$74,2,FALSE)</f>
        <v>#ERROR!</v>
      </c>
      <c r="AE50" s="24" t="str">
        <f>VLOOKUP('北段 (人資版)'!AE51,'工作表1'!$A$3:$B$74,2,FALSE)</f>
        <v>#ERROR!</v>
      </c>
      <c r="AF50" s="24" t="str">
        <f>VLOOKUP('北段 (人資版)'!AF51,'工作表1'!$A$3:$B$74,2,FALSE)</f>
        <v>#ERROR!</v>
      </c>
      <c r="AG50" s="24" t="str">
        <f>VLOOKUP('北段 (人資版)'!AG51,'工作表1'!$A$3:$B$74,2,FALSE)</f>
        <v>#ERROR!</v>
      </c>
      <c r="AH50" s="24" t="str">
        <f>VLOOKUP('北段 (人資版)'!AH51,'工作表1'!$A$3:$B$74,2,FALSE)</f>
        <v>#ERROR!</v>
      </c>
      <c r="AI50" s="24" t="str">
        <f>VLOOKUP('北段 (人資版)'!AI51,'工作表1'!$A$3:$B$74,2,FALSE)</f>
        <v>#ERROR!</v>
      </c>
      <c r="AJ50" s="24" t="str">
        <f>VLOOKUP('北段 (人資版)'!AJ51,'工作表1'!$A$3:$B$74,2,FALSE)</f>
        <v>#ERROR!</v>
      </c>
      <c r="AK50" s="24" t="str">
        <f>VLOOKUP('北段 (人資版)'!AK51,'工作表1'!$A$3:$B$74,2,FALSE)</f>
        <v>#ERROR!</v>
      </c>
      <c r="AL50" s="24" t="str">
        <f>VLOOKUP('北段 (人資版)'!AL51,'工作表1'!$A$3:$B$74,2,FALSE)</f>
        <v>#ERROR!</v>
      </c>
    </row>
    <row r="51" ht="39.0" customHeight="1">
      <c r="A51" s="143"/>
      <c r="B51" s="24" t="str">
        <f>北段!#REF!</f>
        <v>#ERROR!</v>
      </c>
      <c r="C51" s="24" t="str">
        <f>VLOOKUP(B51,'北段'!B:C,2,FALSE)</f>
        <v>#ERROR!</v>
      </c>
      <c r="D51" s="24" t="str">
        <f>VLOOKUP('北段 (人資版)'!D52,'工作表1'!$A$3:$B$74,2,FALSE)</f>
        <v>#ERROR!</v>
      </c>
      <c r="E51" s="24" t="str">
        <f>VLOOKUP('北段 (人資版)'!E52,'工作表1'!$A$3:$B$74,2,FALSE)</f>
        <v>#ERROR!</v>
      </c>
      <c r="F51" s="24" t="str">
        <f>VLOOKUP('北段 (人資版)'!F52,'工作表1'!$A$3:$B$74,2,FALSE)</f>
        <v>#ERROR!</v>
      </c>
      <c r="G51" s="24" t="str">
        <f>VLOOKUP('北段 (人資版)'!G52,'工作表1'!$A$3:$B$74,2,FALSE)</f>
        <v>#ERROR!</v>
      </c>
      <c r="H51" s="24" t="str">
        <f>VLOOKUP('北段 (人資版)'!H52,'工作表1'!$A$3:$B$74,2,FALSE)</f>
        <v>#ERROR!</v>
      </c>
      <c r="I51" s="24" t="str">
        <f>VLOOKUP('北段 (人資版)'!I52,'工作表1'!$A$3:$B$74,2,FALSE)</f>
        <v>#ERROR!</v>
      </c>
      <c r="J51" s="24" t="str">
        <f>VLOOKUP('北段 (人資版)'!J52,'工作表1'!$A$3:$B$74,2,FALSE)</f>
        <v>#ERROR!</v>
      </c>
      <c r="K51" s="24" t="str">
        <f>VLOOKUP('北段 (人資版)'!K52,'工作表1'!$A$3:$B$74,2,FALSE)</f>
        <v>#ERROR!</v>
      </c>
      <c r="L51" s="24" t="str">
        <f>VLOOKUP('北段 (人資版)'!L52,'工作表1'!$A$3:$B$74,2,FALSE)</f>
        <v>#ERROR!</v>
      </c>
      <c r="M51" s="24" t="str">
        <f>VLOOKUP('北段 (人資版)'!M52,'工作表1'!$A$3:$B$74,2,FALSE)</f>
        <v>#ERROR!</v>
      </c>
      <c r="N51" s="24" t="str">
        <f>VLOOKUP('北段 (人資版)'!N52,'工作表1'!$A$3:$B$74,2,FALSE)</f>
        <v>#ERROR!</v>
      </c>
      <c r="O51" s="24" t="str">
        <f>VLOOKUP('北段 (人資版)'!O52,'工作表1'!$A$3:$B$74,2,FALSE)</f>
        <v>#ERROR!</v>
      </c>
      <c r="P51" s="24" t="str">
        <f>VLOOKUP('北段 (人資版)'!P52,'工作表1'!$A$3:$B$74,2,FALSE)</f>
        <v>#ERROR!</v>
      </c>
      <c r="Q51" s="24" t="str">
        <f>VLOOKUP('北段 (人資版)'!Q52,'工作表1'!$A$3:$B$74,2,FALSE)</f>
        <v>#ERROR!</v>
      </c>
      <c r="R51" s="24" t="str">
        <f>VLOOKUP('北段 (人資版)'!R52,'工作表1'!$A$3:$B$74,2,FALSE)</f>
        <v>#ERROR!</v>
      </c>
      <c r="S51" s="24" t="str">
        <f>VLOOKUP('北段 (人資版)'!S52,'工作表1'!$A$3:$B$74,2,FALSE)</f>
        <v>#ERROR!</v>
      </c>
      <c r="T51" s="24" t="str">
        <f>VLOOKUP('北段 (人資版)'!T52,'工作表1'!$A$3:$B$74,2,FALSE)</f>
        <v>#ERROR!</v>
      </c>
      <c r="U51" s="24" t="str">
        <f>VLOOKUP('北段 (人資版)'!U52,'工作表1'!$A$3:$B$74,2,FALSE)</f>
        <v>#ERROR!</v>
      </c>
      <c r="V51" s="24" t="str">
        <f>VLOOKUP('北段 (人資版)'!V52,'工作表1'!$A$3:$B$74,2,FALSE)</f>
        <v>#ERROR!</v>
      </c>
      <c r="W51" s="24" t="str">
        <f>VLOOKUP('北段 (人資版)'!W52,'工作表1'!$A$3:$B$74,2,FALSE)</f>
        <v>#ERROR!</v>
      </c>
      <c r="X51" s="24" t="str">
        <f>VLOOKUP('北段 (人資版)'!X52,'工作表1'!$A$3:$B$74,2,FALSE)</f>
        <v>#ERROR!</v>
      </c>
      <c r="Y51" s="24" t="str">
        <f>VLOOKUP('北段 (人資版)'!Y52,'工作表1'!$A$3:$B$74,2,FALSE)</f>
        <v>#ERROR!</v>
      </c>
      <c r="Z51" s="24" t="str">
        <f>VLOOKUP('北段 (人資版)'!Z52,'工作表1'!$A$3:$B$74,2,FALSE)</f>
        <v>#ERROR!</v>
      </c>
      <c r="AA51" s="24" t="str">
        <f>VLOOKUP('北段 (人資版)'!AA52,'工作表1'!$A$3:$B$74,2,FALSE)</f>
        <v>#ERROR!</v>
      </c>
      <c r="AB51" s="24" t="str">
        <f>VLOOKUP('北段 (人資版)'!AB52,'工作表1'!$A$3:$B$74,2,FALSE)</f>
        <v>#ERROR!</v>
      </c>
      <c r="AC51" s="24" t="str">
        <f>VLOOKUP('北段 (人資版)'!AC52,'工作表1'!$A$3:$B$74,2,FALSE)</f>
        <v>#ERROR!</v>
      </c>
      <c r="AD51" s="24" t="str">
        <f>VLOOKUP('北段 (人資版)'!AD52,'工作表1'!$A$3:$B$74,2,FALSE)</f>
        <v>#ERROR!</v>
      </c>
      <c r="AE51" s="24" t="str">
        <f>VLOOKUP('北段 (人資版)'!AE52,'工作表1'!$A$3:$B$74,2,FALSE)</f>
        <v>#ERROR!</v>
      </c>
      <c r="AF51" s="24" t="str">
        <f>VLOOKUP('北段 (人資版)'!AF52,'工作表1'!$A$3:$B$74,2,FALSE)</f>
        <v>#ERROR!</v>
      </c>
      <c r="AG51" s="24" t="str">
        <f>VLOOKUP('北段 (人資版)'!AG52,'工作表1'!$A$3:$B$74,2,FALSE)</f>
        <v>#ERROR!</v>
      </c>
      <c r="AH51" s="24" t="str">
        <f>VLOOKUP('北段 (人資版)'!AH52,'工作表1'!$A$3:$B$74,2,FALSE)</f>
        <v>#ERROR!</v>
      </c>
      <c r="AI51" s="24" t="str">
        <f>VLOOKUP('北段 (人資版)'!AI52,'工作表1'!$A$3:$B$74,2,FALSE)</f>
        <v>#ERROR!</v>
      </c>
      <c r="AJ51" s="24" t="str">
        <f>VLOOKUP('北段 (人資版)'!AJ52,'工作表1'!$A$3:$B$74,2,FALSE)</f>
        <v>#ERROR!</v>
      </c>
      <c r="AK51" s="24" t="str">
        <f>VLOOKUP('北段 (人資版)'!AK52,'工作表1'!$A$3:$B$74,2,FALSE)</f>
        <v>#ERROR!</v>
      </c>
      <c r="AL51" s="24" t="str">
        <f>VLOOKUP('北段 (人資版)'!AL52,'工作表1'!$A$3:$B$74,2,FALSE)</f>
        <v>#ERROR!</v>
      </c>
    </row>
    <row r="52" ht="39.75" customHeight="1">
      <c r="A52" s="142" t="s">
        <v>65</v>
      </c>
      <c r="B52" s="24" t="str">
        <f>北段!#REF!</f>
        <v>#ERROR!</v>
      </c>
      <c r="C52" s="24" t="str">
        <f>VLOOKUP(B52,'北段'!B:C,2,FALSE)</f>
        <v>#ERROR!</v>
      </c>
      <c r="D52" s="24" t="str">
        <f>VLOOKUP('北段 (人資版)'!D53,'工作表1'!$A$3:$B$74,2,FALSE)</f>
        <v>#ERROR!</v>
      </c>
      <c r="E52" s="24" t="str">
        <f>VLOOKUP('北段 (人資版)'!E53,'工作表1'!$A$3:$B$74,2,FALSE)</f>
        <v>#ERROR!</v>
      </c>
      <c r="F52" s="24" t="str">
        <f>VLOOKUP('北段 (人資版)'!F53,'工作表1'!$A$3:$B$74,2,FALSE)</f>
        <v>#ERROR!</v>
      </c>
      <c r="G52" s="24" t="str">
        <f>VLOOKUP('北段 (人資版)'!G53,'工作表1'!$A$3:$B$74,2,FALSE)</f>
        <v>#ERROR!</v>
      </c>
      <c r="H52" s="24" t="str">
        <f>VLOOKUP('北段 (人資版)'!H53,'工作表1'!$A$3:$B$74,2,FALSE)</f>
        <v>#ERROR!</v>
      </c>
      <c r="I52" s="24" t="str">
        <f>VLOOKUP('北段 (人資版)'!I53,'工作表1'!$A$3:$B$74,2,FALSE)</f>
        <v>#ERROR!</v>
      </c>
      <c r="J52" s="24" t="str">
        <f>VLOOKUP('北段 (人資版)'!J53,'工作表1'!$A$3:$B$74,2,FALSE)</f>
        <v>#ERROR!</v>
      </c>
      <c r="K52" s="24" t="str">
        <f>VLOOKUP('北段 (人資版)'!K53,'工作表1'!$A$3:$B$74,2,FALSE)</f>
        <v>#ERROR!</v>
      </c>
      <c r="L52" s="24" t="str">
        <f>VLOOKUP('北段 (人資版)'!L53,'工作表1'!$A$3:$B$74,2,FALSE)</f>
        <v>#ERROR!</v>
      </c>
      <c r="M52" s="24" t="str">
        <f>VLOOKUP('北段 (人資版)'!M53,'工作表1'!$A$3:$B$74,2,FALSE)</f>
        <v>#ERROR!</v>
      </c>
      <c r="N52" s="24" t="str">
        <f>VLOOKUP('北段 (人資版)'!N53,'工作表1'!$A$3:$B$74,2,FALSE)</f>
        <v>#ERROR!</v>
      </c>
      <c r="O52" s="24" t="str">
        <f>VLOOKUP('北段 (人資版)'!O53,'工作表1'!$A$3:$B$74,2,FALSE)</f>
        <v>#ERROR!</v>
      </c>
      <c r="P52" s="24" t="str">
        <f>VLOOKUP('北段 (人資版)'!P53,'工作表1'!$A$3:$B$74,2,FALSE)</f>
        <v>#ERROR!</v>
      </c>
      <c r="Q52" s="24" t="str">
        <f>VLOOKUP('北段 (人資版)'!Q53,'工作表1'!$A$3:$B$74,2,FALSE)</f>
        <v>#ERROR!</v>
      </c>
      <c r="R52" s="24" t="str">
        <f>VLOOKUP('北段 (人資版)'!R53,'工作表1'!$A$3:$B$74,2,FALSE)</f>
        <v>#ERROR!</v>
      </c>
      <c r="S52" s="24" t="str">
        <f>VLOOKUP('北段 (人資版)'!S53,'工作表1'!$A$3:$B$74,2,FALSE)</f>
        <v>#ERROR!</v>
      </c>
      <c r="T52" s="24" t="str">
        <f>VLOOKUP('北段 (人資版)'!T53,'工作表1'!$A$3:$B$74,2,FALSE)</f>
        <v>#ERROR!</v>
      </c>
      <c r="U52" s="24" t="str">
        <f>VLOOKUP('北段 (人資版)'!U53,'工作表1'!$A$3:$B$74,2,FALSE)</f>
        <v>#ERROR!</v>
      </c>
      <c r="V52" s="24" t="str">
        <f>VLOOKUP('北段 (人資版)'!V53,'工作表1'!$A$3:$B$74,2,FALSE)</f>
        <v>#ERROR!</v>
      </c>
      <c r="W52" s="24" t="str">
        <f>VLOOKUP('北段 (人資版)'!W53,'工作表1'!$A$3:$B$74,2,FALSE)</f>
        <v>#ERROR!</v>
      </c>
      <c r="X52" s="24" t="str">
        <f>VLOOKUP('北段 (人資版)'!X53,'工作表1'!$A$3:$B$74,2,FALSE)</f>
        <v>#ERROR!</v>
      </c>
      <c r="Y52" s="24" t="str">
        <f>VLOOKUP('北段 (人資版)'!Y53,'工作表1'!$A$3:$B$74,2,FALSE)</f>
        <v>#ERROR!</v>
      </c>
      <c r="Z52" s="24" t="str">
        <f>VLOOKUP('北段 (人資版)'!Z53,'工作表1'!$A$3:$B$74,2,FALSE)</f>
        <v>#ERROR!</v>
      </c>
      <c r="AA52" s="24" t="str">
        <f>VLOOKUP('北段 (人資版)'!AA53,'工作表1'!$A$3:$B$74,2,FALSE)</f>
        <v>#ERROR!</v>
      </c>
      <c r="AB52" s="24" t="str">
        <f>VLOOKUP('北段 (人資版)'!AB53,'工作表1'!$A$3:$B$74,2,FALSE)</f>
        <v>#ERROR!</v>
      </c>
      <c r="AC52" s="24" t="str">
        <f>VLOOKUP('北段 (人資版)'!AC53,'工作表1'!$A$3:$B$74,2,FALSE)</f>
        <v>#ERROR!</v>
      </c>
      <c r="AD52" s="24" t="str">
        <f>VLOOKUP('北段 (人資版)'!AD53,'工作表1'!$A$3:$B$74,2,FALSE)</f>
        <v>#ERROR!</v>
      </c>
      <c r="AE52" s="24" t="str">
        <f>VLOOKUP('北段 (人資版)'!AE53,'工作表1'!$A$3:$B$74,2,FALSE)</f>
        <v>#ERROR!</v>
      </c>
      <c r="AF52" s="24" t="str">
        <f>VLOOKUP('北段 (人資版)'!AF53,'工作表1'!$A$3:$B$74,2,FALSE)</f>
        <v>#ERROR!</v>
      </c>
      <c r="AG52" s="24" t="str">
        <f>VLOOKUP('北段 (人資版)'!AG53,'工作表1'!$A$3:$B$74,2,FALSE)</f>
        <v>#ERROR!</v>
      </c>
      <c r="AH52" s="24" t="str">
        <f>VLOOKUP('北段 (人資版)'!AH53,'工作表1'!$A$3:$B$74,2,FALSE)</f>
        <v>#ERROR!</v>
      </c>
      <c r="AI52" s="24" t="str">
        <f>VLOOKUP('北段 (人資版)'!AI53,'工作表1'!$A$3:$B$74,2,FALSE)</f>
        <v>#ERROR!</v>
      </c>
      <c r="AJ52" s="24" t="str">
        <f>VLOOKUP('北段 (人資版)'!AJ53,'工作表1'!$A$3:$B$74,2,FALSE)</f>
        <v>#ERROR!</v>
      </c>
      <c r="AK52" s="24" t="str">
        <f>VLOOKUP('北段 (人資版)'!AK53,'工作表1'!$A$3:$B$74,2,FALSE)</f>
        <v>#ERROR!</v>
      </c>
      <c r="AL52" s="24" t="str">
        <f>VLOOKUP('北段 (人資版)'!AL53,'工作表1'!$A$3:$B$74,2,FALSE)</f>
        <v>#ERROR!</v>
      </c>
    </row>
    <row r="53" ht="39.75" customHeight="1">
      <c r="A53" s="143"/>
      <c r="B53" s="24" t="str">
        <f>北段!#REF!</f>
        <v>#ERROR!</v>
      </c>
      <c r="C53" s="24" t="str">
        <f>VLOOKUP(B53,'北段'!B:C,2,FALSE)</f>
        <v>#ERROR!</v>
      </c>
      <c r="D53" s="24" t="str">
        <f>VLOOKUP('北段 (人資版)'!D54,'工作表1'!$A$3:$B$74,2,FALSE)</f>
        <v>#ERROR!</v>
      </c>
      <c r="E53" s="24" t="str">
        <f>VLOOKUP('北段 (人資版)'!E54,'工作表1'!$A$3:$B$74,2,FALSE)</f>
        <v>#ERROR!</v>
      </c>
      <c r="F53" s="24" t="str">
        <f>VLOOKUP('北段 (人資版)'!F54,'工作表1'!$A$3:$B$74,2,FALSE)</f>
        <v>#ERROR!</v>
      </c>
      <c r="G53" s="24" t="str">
        <f>VLOOKUP('北段 (人資版)'!G54,'工作表1'!$A$3:$B$74,2,FALSE)</f>
        <v>#ERROR!</v>
      </c>
      <c r="H53" s="24" t="str">
        <f>VLOOKUP('北段 (人資版)'!H54,'工作表1'!$A$3:$B$74,2,FALSE)</f>
        <v>#ERROR!</v>
      </c>
      <c r="I53" s="24" t="str">
        <f>VLOOKUP('北段 (人資版)'!I54,'工作表1'!$A$3:$B$74,2,FALSE)</f>
        <v>#ERROR!</v>
      </c>
      <c r="J53" s="24" t="str">
        <f>VLOOKUP('北段 (人資版)'!J54,'工作表1'!$A$3:$B$74,2,FALSE)</f>
        <v>#ERROR!</v>
      </c>
      <c r="K53" s="24" t="str">
        <f>VLOOKUP('北段 (人資版)'!K54,'工作表1'!$A$3:$B$74,2,FALSE)</f>
        <v>#ERROR!</v>
      </c>
      <c r="L53" s="24" t="str">
        <f>VLOOKUP('北段 (人資版)'!L54,'工作表1'!$A$3:$B$74,2,FALSE)</f>
        <v>#ERROR!</v>
      </c>
      <c r="M53" s="24" t="str">
        <f>VLOOKUP('北段 (人資版)'!M54,'工作表1'!$A$3:$B$74,2,FALSE)</f>
        <v>#ERROR!</v>
      </c>
      <c r="N53" s="24" t="str">
        <f>VLOOKUP('北段 (人資版)'!N54,'工作表1'!$A$3:$B$74,2,FALSE)</f>
        <v>#ERROR!</v>
      </c>
      <c r="O53" s="24" t="str">
        <f>VLOOKUP('北段 (人資版)'!O54,'工作表1'!$A$3:$B$74,2,FALSE)</f>
        <v>#ERROR!</v>
      </c>
      <c r="P53" s="24" t="str">
        <f>VLOOKUP('北段 (人資版)'!P54,'工作表1'!$A$3:$B$74,2,FALSE)</f>
        <v>#ERROR!</v>
      </c>
      <c r="Q53" s="24" t="str">
        <f>VLOOKUP('北段 (人資版)'!Q54,'工作表1'!$A$3:$B$74,2,FALSE)</f>
        <v>#ERROR!</v>
      </c>
      <c r="R53" s="24" t="str">
        <f>VLOOKUP('北段 (人資版)'!R54,'工作表1'!$A$3:$B$74,2,FALSE)</f>
        <v>#ERROR!</v>
      </c>
      <c r="S53" s="24" t="str">
        <f>VLOOKUP('北段 (人資版)'!S54,'工作表1'!$A$3:$B$74,2,FALSE)</f>
        <v>#ERROR!</v>
      </c>
      <c r="T53" s="24" t="str">
        <f>VLOOKUP('北段 (人資版)'!T54,'工作表1'!$A$3:$B$74,2,FALSE)</f>
        <v>#ERROR!</v>
      </c>
      <c r="U53" s="24" t="str">
        <f>VLOOKUP('北段 (人資版)'!U54,'工作表1'!$A$3:$B$74,2,FALSE)</f>
        <v>#ERROR!</v>
      </c>
      <c r="V53" s="24" t="str">
        <f>VLOOKUP('北段 (人資版)'!V54,'工作表1'!$A$3:$B$74,2,FALSE)</f>
        <v>#ERROR!</v>
      </c>
      <c r="W53" s="24" t="str">
        <f>VLOOKUP('北段 (人資版)'!W54,'工作表1'!$A$3:$B$74,2,FALSE)</f>
        <v>#ERROR!</v>
      </c>
      <c r="X53" s="24" t="str">
        <f>VLOOKUP('北段 (人資版)'!X54,'工作表1'!$A$3:$B$74,2,FALSE)</f>
        <v>#ERROR!</v>
      </c>
      <c r="Y53" s="24" t="str">
        <f>VLOOKUP('北段 (人資版)'!Y54,'工作表1'!$A$3:$B$74,2,FALSE)</f>
        <v>#ERROR!</v>
      </c>
      <c r="Z53" s="24" t="str">
        <f>VLOOKUP('北段 (人資版)'!Z54,'工作表1'!$A$3:$B$74,2,FALSE)</f>
        <v>#ERROR!</v>
      </c>
      <c r="AA53" s="24" t="str">
        <f>VLOOKUP('北段 (人資版)'!AA54,'工作表1'!$A$3:$B$74,2,FALSE)</f>
        <v>#ERROR!</v>
      </c>
      <c r="AB53" s="24" t="str">
        <f>VLOOKUP('北段 (人資版)'!AB54,'工作表1'!$A$3:$B$74,2,FALSE)</f>
        <v>#ERROR!</v>
      </c>
      <c r="AC53" s="24" t="str">
        <f>VLOOKUP('北段 (人資版)'!AC54,'工作表1'!$A$3:$B$74,2,FALSE)</f>
        <v>#ERROR!</v>
      </c>
      <c r="AD53" s="24" t="str">
        <f>VLOOKUP('北段 (人資版)'!AD54,'工作表1'!$A$3:$B$74,2,FALSE)</f>
        <v>#ERROR!</v>
      </c>
      <c r="AE53" s="24" t="str">
        <f>VLOOKUP('北段 (人資版)'!AE54,'工作表1'!$A$3:$B$74,2,FALSE)</f>
        <v>#ERROR!</v>
      </c>
      <c r="AF53" s="24" t="str">
        <f>VLOOKUP('北段 (人資版)'!AF54,'工作表1'!$A$3:$B$74,2,FALSE)</f>
        <v>#ERROR!</v>
      </c>
      <c r="AG53" s="24" t="str">
        <f>VLOOKUP('北段 (人資版)'!AG54,'工作表1'!$A$3:$B$74,2,FALSE)</f>
        <v>#ERROR!</v>
      </c>
      <c r="AH53" s="24" t="str">
        <f>VLOOKUP('北段 (人資版)'!AH54,'工作表1'!$A$3:$B$74,2,FALSE)</f>
        <v>#ERROR!</v>
      </c>
      <c r="AI53" s="24" t="str">
        <f>VLOOKUP('北段 (人資版)'!AI54,'工作表1'!$A$3:$B$74,2,FALSE)</f>
        <v>#ERROR!</v>
      </c>
      <c r="AJ53" s="24" t="str">
        <f>VLOOKUP('北段 (人資版)'!AJ54,'工作表1'!$A$3:$B$74,2,FALSE)</f>
        <v>#ERROR!</v>
      </c>
      <c r="AK53" s="24" t="str">
        <f>VLOOKUP('北段 (人資版)'!AK54,'工作表1'!$A$3:$B$74,2,FALSE)</f>
        <v>#ERROR!</v>
      </c>
      <c r="AL53" s="24" t="str">
        <f>VLOOKUP('北段 (人資版)'!AL54,'工作表1'!$A$3:$B$74,2,FALSE)</f>
        <v>#ERROR!</v>
      </c>
    </row>
    <row r="54" ht="39.0" customHeight="1">
      <c r="A54" s="143"/>
      <c r="B54" s="24" t="str">
        <f>北段!#REF!</f>
        <v>#ERROR!</v>
      </c>
      <c r="C54" s="24" t="str">
        <f>VLOOKUP(B54,'北段'!B:C,2,FALSE)</f>
        <v>#ERROR!</v>
      </c>
      <c r="D54" s="24" t="str">
        <f>VLOOKUP('北段 (人資版)'!D55,'工作表1'!$A$3:$B$74,2,FALSE)</f>
        <v>#ERROR!</v>
      </c>
      <c r="E54" s="24" t="str">
        <f>VLOOKUP('北段 (人資版)'!E55,'工作表1'!$A$3:$B$74,2,FALSE)</f>
        <v>#ERROR!</v>
      </c>
      <c r="F54" s="24" t="str">
        <f>VLOOKUP('北段 (人資版)'!F55,'工作表1'!$A$3:$B$74,2,FALSE)</f>
        <v>#ERROR!</v>
      </c>
      <c r="G54" s="24" t="str">
        <f>VLOOKUP('北段 (人資版)'!G55,'工作表1'!$A$3:$B$74,2,FALSE)</f>
        <v>#ERROR!</v>
      </c>
      <c r="H54" s="24" t="str">
        <f>VLOOKUP('北段 (人資版)'!H55,'工作表1'!$A$3:$B$74,2,FALSE)</f>
        <v>#ERROR!</v>
      </c>
      <c r="I54" s="24" t="str">
        <f>VLOOKUP('北段 (人資版)'!I55,'工作表1'!$A$3:$B$74,2,FALSE)</f>
        <v>#ERROR!</v>
      </c>
      <c r="J54" s="24" t="str">
        <f>VLOOKUP('北段 (人資版)'!J55,'工作表1'!$A$3:$B$74,2,FALSE)</f>
        <v>#ERROR!</v>
      </c>
      <c r="K54" s="24" t="str">
        <f>VLOOKUP('北段 (人資版)'!K55,'工作表1'!$A$3:$B$74,2,FALSE)</f>
        <v>#ERROR!</v>
      </c>
      <c r="L54" s="24" t="str">
        <f>VLOOKUP('北段 (人資版)'!L55,'工作表1'!$A$3:$B$74,2,FALSE)</f>
        <v>#ERROR!</v>
      </c>
      <c r="M54" s="24" t="str">
        <f>VLOOKUP('北段 (人資版)'!M55,'工作表1'!$A$3:$B$74,2,FALSE)</f>
        <v>#ERROR!</v>
      </c>
      <c r="N54" s="24" t="str">
        <f>VLOOKUP('北段 (人資版)'!N55,'工作表1'!$A$3:$B$74,2,FALSE)</f>
        <v>#ERROR!</v>
      </c>
      <c r="O54" s="24" t="str">
        <f>VLOOKUP('北段 (人資版)'!O55,'工作表1'!$A$3:$B$74,2,FALSE)</f>
        <v>#ERROR!</v>
      </c>
      <c r="P54" s="24" t="str">
        <f>VLOOKUP('北段 (人資版)'!P55,'工作表1'!$A$3:$B$74,2,FALSE)</f>
        <v>#ERROR!</v>
      </c>
      <c r="Q54" s="24" t="str">
        <f>VLOOKUP('北段 (人資版)'!Q55,'工作表1'!$A$3:$B$74,2,FALSE)</f>
        <v>#ERROR!</v>
      </c>
      <c r="R54" s="24" t="str">
        <f>VLOOKUP('北段 (人資版)'!R55,'工作表1'!$A$3:$B$74,2,FALSE)</f>
        <v>#ERROR!</v>
      </c>
      <c r="S54" s="24" t="str">
        <f>VLOOKUP('北段 (人資版)'!S55,'工作表1'!$A$3:$B$74,2,FALSE)</f>
        <v>#ERROR!</v>
      </c>
      <c r="T54" s="24" t="str">
        <f>VLOOKUP('北段 (人資版)'!T55,'工作表1'!$A$3:$B$74,2,FALSE)</f>
        <v>#ERROR!</v>
      </c>
      <c r="U54" s="24" t="str">
        <f>VLOOKUP('北段 (人資版)'!U55,'工作表1'!$A$3:$B$74,2,FALSE)</f>
        <v>#ERROR!</v>
      </c>
      <c r="V54" s="24" t="str">
        <f>VLOOKUP('北段 (人資版)'!V55,'工作表1'!$A$3:$B$74,2,FALSE)</f>
        <v>#ERROR!</v>
      </c>
      <c r="W54" s="24" t="str">
        <f>VLOOKUP('北段 (人資版)'!W55,'工作表1'!$A$3:$B$74,2,FALSE)</f>
        <v>#ERROR!</v>
      </c>
      <c r="X54" s="24" t="str">
        <f>VLOOKUP('北段 (人資版)'!X55,'工作表1'!$A$3:$B$74,2,FALSE)</f>
        <v>#ERROR!</v>
      </c>
      <c r="Y54" s="24" t="str">
        <f>VLOOKUP('北段 (人資版)'!Y55,'工作表1'!$A$3:$B$74,2,FALSE)</f>
        <v>#ERROR!</v>
      </c>
      <c r="Z54" s="24" t="str">
        <f>VLOOKUP('北段 (人資版)'!Z55,'工作表1'!$A$3:$B$74,2,FALSE)</f>
        <v>#ERROR!</v>
      </c>
      <c r="AA54" s="24" t="str">
        <f>VLOOKUP('北段 (人資版)'!AA55,'工作表1'!$A$3:$B$74,2,FALSE)</f>
        <v>#ERROR!</v>
      </c>
      <c r="AB54" s="24" t="str">
        <f>VLOOKUP('北段 (人資版)'!AB55,'工作表1'!$A$3:$B$74,2,FALSE)</f>
        <v>#ERROR!</v>
      </c>
      <c r="AC54" s="24" t="str">
        <f>VLOOKUP('北段 (人資版)'!AC55,'工作表1'!$A$3:$B$74,2,FALSE)</f>
        <v>#ERROR!</v>
      </c>
      <c r="AD54" s="24" t="str">
        <f>VLOOKUP('北段 (人資版)'!AD55,'工作表1'!$A$3:$B$74,2,FALSE)</f>
        <v>#ERROR!</v>
      </c>
      <c r="AE54" s="24" t="str">
        <f>VLOOKUP('北段 (人資版)'!AE55,'工作表1'!$A$3:$B$74,2,FALSE)</f>
        <v>#ERROR!</v>
      </c>
      <c r="AF54" s="24" t="str">
        <f>VLOOKUP('北段 (人資版)'!AF55,'工作表1'!$A$3:$B$74,2,FALSE)</f>
        <v>#ERROR!</v>
      </c>
      <c r="AG54" s="24" t="str">
        <f>VLOOKUP('北段 (人資版)'!AG55,'工作表1'!$A$3:$B$74,2,FALSE)</f>
        <v>#ERROR!</v>
      </c>
      <c r="AH54" s="24" t="str">
        <f>VLOOKUP('北段 (人資版)'!AH55,'工作表1'!$A$3:$B$74,2,FALSE)</f>
        <v>#ERROR!</v>
      </c>
      <c r="AI54" s="24" t="str">
        <f>VLOOKUP('北段 (人資版)'!AI55,'工作表1'!$A$3:$B$74,2,FALSE)</f>
        <v>#ERROR!</v>
      </c>
      <c r="AJ54" s="24" t="str">
        <f>VLOOKUP('北段 (人資版)'!AJ55,'工作表1'!$A$3:$B$74,2,FALSE)</f>
        <v>#ERROR!</v>
      </c>
      <c r="AK54" s="24" t="str">
        <f>VLOOKUP('北段 (人資版)'!AK55,'工作表1'!$A$3:$B$74,2,FALSE)</f>
        <v>#ERROR!</v>
      </c>
      <c r="AL54" s="24" t="str">
        <f>VLOOKUP('北段 (人資版)'!AL55,'工作表1'!$A$3:$B$74,2,FALSE)</f>
        <v>#ERROR!</v>
      </c>
    </row>
    <row r="55" ht="39.75" customHeight="1">
      <c r="A55" s="143"/>
      <c r="B55" s="24" t="str">
        <f>北段!#REF!</f>
        <v>#ERROR!</v>
      </c>
      <c r="C55" s="24" t="str">
        <f>VLOOKUP(B55,'北段'!B:C,2,FALSE)</f>
        <v>#ERROR!</v>
      </c>
      <c r="D55" s="24" t="str">
        <f>VLOOKUP('北段 (人資版)'!D56,'工作表1'!$A$3:$B$74,2,FALSE)</f>
        <v>#ERROR!</v>
      </c>
      <c r="E55" s="24" t="str">
        <f>VLOOKUP('北段 (人資版)'!E56,'工作表1'!$A$3:$B$74,2,FALSE)</f>
        <v>#ERROR!</v>
      </c>
      <c r="F55" s="24" t="str">
        <f>VLOOKUP('北段 (人資版)'!F56,'工作表1'!$A$3:$B$74,2,FALSE)</f>
        <v>#ERROR!</v>
      </c>
      <c r="G55" s="24" t="str">
        <f>VLOOKUP('北段 (人資版)'!G56,'工作表1'!$A$3:$B$74,2,FALSE)</f>
        <v>#ERROR!</v>
      </c>
      <c r="H55" s="24" t="str">
        <f>VLOOKUP('北段 (人資版)'!H56,'工作表1'!$A$3:$B$74,2,FALSE)</f>
        <v>#ERROR!</v>
      </c>
      <c r="I55" s="24" t="str">
        <f>VLOOKUP('北段 (人資版)'!I56,'工作表1'!$A$3:$B$74,2,FALSE)</f>
        <v>#ERROR!</v>
      </c>
      <c r="J55" s="24" t="str">
        <f>VLOOKUP('北段 (人資版)'!J56,'工作表1'!$A$3:$B$74,2,FALSE)</f>
        <v>#ERROR!</v>
      </c>
      <c r="K55" s="24" t="str">
        <f>VLOOKUP('北段 (人資版)'!K56,'工作表1'!$A$3:$B$74,2,FALSE)</f>
        <v>#ERROR!</v>
      </c>
      <c r="L55" s="24" t="str">
        <f>VLOOKUP('北段 (人資版)'!L56,'工作表1'!$A$3:$B$74,2,FALSE)</f>
        <v>#ERROR!</v>
      </c>
      <c r="M55" s="24" t="str">
        <f>VLOOKUP('北段 (人資版)'!M56,'工作表1'!$A$3:$B$74,2,FALSE)</f>
        <v>#ERROR!</v>
      </c>
      <c r="N55" s="24" t="str">
        <f>VLOOKUP('北段 (人資版)'!N56,'工作表1'!$A$3:$B$74,2,FALSE)</f>
        <v>#ERROR!</v>
      </c>
      <c r="O55" s="24" t="str">
        <f>VLOOKUP('北段 (人資版)'!O56,'工作表1'!$A$3:$B$74,2,FALSE)</f>
        <v>#ERROR!</v>
      </c>
      <c r="P55" s="24" t="str">
        <f>VLOOKUP('北段 (人資版)'!P56,'工作表1'!$A$3:$B$74,2,FALSE)</f>
        <v>#ERROR!</v>
      </c>
      <c r="Q55" s="24" t="str">
        <f>VLOOKUP('北段 (人資版)'!Q56,'工作表1'!$A$3:$B$74,2,FALSE)</f>
        <v>#ERROR!</v>
      </c>
      <c r="R55" s="24" t="str">
        <f>VLOOKUP('北段 (人資版)'!R56,'工作表1'!$A$3:$B$74,2,FALSE)</f>
        <v>#ERROR!</v>
      </c>
      <c r="S55" s="24" t="str">
        <f>VLOOKUP('北段 (人資版)'!S56,'工作表1'!$A$3:$B$74,2,FALSE)</f>
        <v>#ERROR!</v>
      </c>
      <c r="T55" s="24" t="str">
        <f>VLOOKUP('北段 (人資版)'!T56,'工作表1'!$A$3:$B$74,2,FALSE)</f>
        <v>#ERROR!</v>
      </c>
      <c r="U55" s="24" t="str">
        <f>VLOOKUP('北段 (人資版)'!U56,'工作表1'!$A$3:$B$74,2,FALSE)</f>
        <v>#ERROR!</v>
      </c>
      <c r="V55" s="24" t="str">
        <f>VLOOKUP('北段 (人資版)'!V56,'工作表1'!$A$3:$B$74,2,FALSE)</f>
        <v>#ERROR!</v>
      </c>
      <c r="W55" s="24" t="str">
        <f>VLOOKUP('北段 (人資版)'!W56,'工作表1'!$A$3:$B$74,2,FALSE)</f>
        <v>#ERROR!</v>
      </c>
      <c r="X55" s="24" t="str">
        <f>VLOOKUP('北段 (人資版)'!X56,'工作表1'!$A$3:$B$74,2,FALSE)</f>
        <v>#ERROR!</v>
      </c>
      <c r="Y55" s="24" t="str">
        <f>VLOOKUP('北段 (人資版)'!Y56,'工作表1'!$A$3:$B$74,2,FALSE)</f>
        <v>#ERROR!</v>
      </c>
      <c r="Z55" s="24" t="str">
        <f>VLOOKUP('北段 (人資版)'!Z56,'工作表1'!$A$3:$B$74,2,FALSE)</f>
        <v>#ERROR!</v>
      </c>
      <c r="AA55" s="24" t="str">
        <f>VLOOKUP('北段 (人資版)'!AA56,'工作表1'!$A$3:$B$74,2,FALSE)</f>
        <v>#ERROR!</v>
      </c>
      <c r="AB55" s="24" t="str">
        <f>VLOOKUP('北段 (人資版)'!AB56,'工作表1'!$A$3:$B$74,2,FALSE)</f>
        <v>#ERROR!</v>
      </c>
      <c r="AC55" s="24" t="str">
        <f>VLOOKUP('北段 (人資版)'!AC56,'工作表1'!$A$3:$B$74,2,FALSE)</f>
        <v>#ERROR!</v>
      </c>
      <c r="AD55" s="24" t="str">
        <f>VLOOKUP('北段 (人資版)'!AD56,'工作表1'!$A$3:$B$74,2,FALSE)</f>
        <v>#ERROR!</v>
      </c>
      <c r="AE55" s="24" t="str">
        <f>VLOOKUP('北段 (人資版)'!AE56,'工作表1'!$A$3:$B$74,2,FALSE)</f>
        <v>#ERROR!</v>
      </c>
      <c r="AF55" s="24" t="str">
        <f>VLOOKUP('北段 (人資版)'!AF56,'工作表1'!$A$3:$B$74,2,FALSE)</f>
        <v>#ERROR!</v>
      </c>
      <c r="AG55" s="24" t="str">
        <f>VLOOKUP('北段 (人資版)'!AG56,'工作表1'!$A$3:$B$74,2,FALSE)</f>
        <v>#ERROR!</v>
      </c>
      <c r="AH55" s="24" t="str">
        <f>VLOOKUP('北段 (人資版)'!AH56,'工作表1'!$A$3:$B$74,2,FALSE)</f>
        <v>#ERROR!</v>
      </c>
      <c r="AI55" s="24" t="str">
        <f>VLOOKUP('北段 (人資版)'!AI56,'工作表1'!$A$3:$B$74,2,FALSE)</f>
        <v>#ERROR!</v>
      </c>
      <c r="AJ55" s="24" t="str">
        <f>VLOOKUP('北段 (人資版)'!AJ56,'工作表1'!$A$3:$B$74,2,FALSE)</f>
        <v>#ERROR!</v>
      </c>
      <c r="AK55" s="24" t="str">
        <f>VLOOKUP('北段 (人資版)'!AK56,'工作表1'!$A$3:$B$74,2,FALSE)</f>
        <v>#ERROR!</v>
      </c>
      <c r="AL55" s="24" t="str">
        <f>VLOOKUP('北段 (人資版)'!AL56,'工作表1'!$A$3:$B$74,2,FALSE)</f>
        <v>#ERROR!</v>
      </c>
    </row>
    <row r="56" ht="39.75" customHeight="1">
      <c r="A56" s="143"/>
      <c r="B56" s="24" t="str">
        <f>北段!#REF!</f>
        <v>#ERROR!</v>
      </c>
      <c r="C56" s="24" t="str">
        <f>VLOOKUP(B56,'北段'!B:C,2,FALSE)</f>
        <v>#ERROR!</v>
      </c>
      <c r="D56" s="24" t="str">
        <f>VLOOKUP('北段 (人資版)'!D57,'工作表1'!$A$3:$B$74,2,FALSE)</f>
        <v>#ERROR!</v>
      </c>
      <c r="E56" s="24" t="str">
        <f>VLOOKUP('北段 (人資版)'!E57,'工作表1'!$A$3:$B$74,2,FALSE)</f>
        <v>#ERROR!</v>
      </c>
      <c r="F56" s="24" t="str">
        <f>VLOOKUP('北段 (人資版)'!F57,'工作表1'!$A$3:$B$74,2,FALSE)</f>
        <v>#ERROR!</v>
      </c>
      <c r="G56" s="24" t="str">
        <f>VLOOKUP('北段 (人資版)'!G57,'工作表1'!$A$3:$B$74,2,FALSE)</f>
        <v>#ERROR!</v>
      </c>
      <c r="H56" s="24" t="str">
        <f>VLOOKUP('北段 (人資版)'!H57,'工作表1'!$A$3:$B$74,2,FALSE)</f>
        <v>#ERROR!</v>
      </c>
      <c r="I56" s="24" t="str">
        <f>VLOOKUP('北段 (人資版)'!I57,'工作表1'!$A$3:$B$74,2,FALSE)</f>
        <v>#N/A</v>
      </c>
      <c r="J56" s="24" t="str">
        <f>VLOOKUP('北段 (人資版)'!J57,'工作表1'!$A$3:$B$74,2,FALSE)</f>
        <v>#N/A</v>
      </c>
      <c r="K56" s="24" t="str">
        <f>VLOOKUP('北段 (人資版)'!K57,'工作表1'!$A$3:$B$74,2,FALSE)</f>
        <v>#N/A</v>
      </c>
      <c r="L56" s="24" t="str">
        <f>VLOOKUP('北段 (人資版)'!L57,'工作表1'!$A$3:$B$74,2,FALSE)</f>
        <v>#N/A</v>
      </c>
      <c r="M56" s="24" t="str">
        <f>VLOOKUP('北段 (人資版)'!M57,'工作表1'!$A$3:$B$74,2,FALSE)</f>
        <v>#N/A</v>
      </c>
      <c r="N56" s="24" t="str">
        <f>VLOOKUP('北段 (人資版)'!N57,'工作表1'!$A$3:$B$74,2,FALSE)</f>
        <v>#N/A</v>
      </c>
      <c r="O56" s="24" t="str">
        <f>VLOOKUP('北段 (人資版)'!O57,'工作表1'!$A$3:$B$74,2,FALSE)</f>
        <v>#N/A</v>
      </c>
      <c r="P56" s="24" t="str">
        <f>VLOOKUP('北段 (人資版)'!P57,'工作表1'!$A$3:$B$74,2,FALSE)</f>
        <v>#N/A</v>
      </c>
      <c r="Q56" s="24" t="str">
        <f>VLOOKUP('北段 (人資版)'!Q57,'工作表1'!$A$3:$B$74,2,FALSE)</f>
        <v>#N/A</v>
      </c>
      <c r="R56" s="24" t="str">
        <f>VLOOKUP('北段 (人資版)'!R57,'工作表1'!$A$3:$B$74,2,FALSE)</f>
        <v>#N/A</v>
      </c>
      <c r="S56" s="24" t="str">
        <f>VLOOKUP('北段 (人資版)'!S57,'工作表1'!$A$3:$B$74,2,FALSE)</f>
        <v>#N/A</v>
      </c>
      <c r="T56" s="24" t="str">
        <f>VLOOKUP('北段 (人資版)'!T57,'工作表1'!$A$3:$B$74,2,FALSE)</f>
        <v>#N/A</v>
      </c>
      <c r="U56" s="24" t="str">
        <f>VLOOKUP('北段 (人資版)'!U57,'工作表1'!$A$3:$B$74,2,FALSE)</f>
        <v>#N/A</v>
      </c>
      <c r="V56" s="24" t="str">
        <f>VLOOKUP('北段 (人資版)'!V57,'工作表1'!$A$3:$B$74,2,FALSE)</f>
        <v>#N/A</v>
      </c>
      <c r="W56" s="24" t="str">
        <f>VLOOKUP('北段 (人資版)'!W57,'工作表1'!$A$3:$B$74,2,FALSE)</f>
        <v>#N/A</v>
      </c>
      <c r="X56" s="24" t="str">
        <f>VLOOKUP('北段 (人資版)'!X57,'工作表1'!$A$3:$B$74,2,FALSE)</f>
        <v>#N/A</v>
      </c>
      <c r="Y56" s="24" t="str">
        <f>VLOOKUP('北段 (人資版)'!Y57,'工作表1'!$A$3:$B$74,2,FALSE)</f>
        <v>#N/A</v>
      </c>
      <c r="Z56" s="24" t="str">
        <f>VLOOKUP('北段 (人資版)'!Z57,'工作表1'!$A$3:$B$74,2,FALSE)</f>
        <v>#N/A</v>
      </c>
      <c r="AA56" s="24" t="str">
        <f>VLOOKUP('北段 (人資版)'!AA57,'工作表1'!$A$3:$B$74,2,FALSE)</f>
        <v>#N/A</v>
      </c>
      <c r="AB56" s="24" t="str">
        <f>VLOOKUP('北段 (人資版)'!AB57,'工作表1'!$A$3:$B$74,2,FALSE)</f>
        <v>#N/A</v>
      </c>
      <c r="AC56" s="24" t="str">
        <f>VLOOKUP('北段 (人資版)'!AC57,'工作表1'!$A$3:$B$74,2,FALSE)</f>
        <v>#N/A</v>
      </c>
      <c r="AD56" s="24" t="str">
        <f>VLOOKUP('北段 (人資版)'!AD57,'工作表1'!$A$3:$B$74,2,FALSE)</f>
        <v>#N/A</v>
      </c>
      <c r="AE56" s="24" t="str">
        <f>VLOOKUP('北段 (人資版)'!AE57,'工作表1'!$A$3:$B$74,2,FALSE)</f>
        <v>#N/A</v>
      </c>
      <c r="AF56" s="24" t="str">
        <f>VLOOKUP('北段 (人資版)'!AF57,'工作表1'!$A$3:$B$74,2,FALSE)</f>
        <v>#N/A</v>
      </c>
      <c r="AG56" s="24" t="str">
        <f>VLOOKUP('北段 (人資版)'!AG57,'工作表1'!$A$3:$B$74,2,FALSE)</f>
        <v>#N/A</v>
      </c>
      <c r="AH56" s="24" t="str">
        <f>VLOOKUP('北段 (人資版)'!AH57,'工作表1'!$A$3:$B$74,2,FALSE)</f>
        <v>#N/A</v>
      </c>
      <c r="AI56" s="24" t="str">
        <f>VLOOKUP('北段 (人資版)'!AI57,'工作表1'!$A$3:$B$74,2,FALSE)</f>
        <v>#N/A</v>
      </c>
      <c r="AJ56" s="24" t="str">
        <f>VLOOKUP('北段 (人資版)'!AJ57,'工作表1'!$A$3:$B$74,2,FALSE)</f>
        <v>#N/A</v>
      </c>
      <c r="AK56" s="24" t="str">
        <f>VLOOKUP('北段 (人資版)'!AK57,'工作表1'!$A$3:$B$74,2,FALSE)</f>
        <v>#N/A</v>
      </c>
      <c r="AL56" s="24" t="str">
        <f>VLOOKUP('北段 (人資版)'!AL57,'工作表1'!$A$3:$B$74,2,FALSE)</f>
        <v>#N/A</v>
      </c>
    </row>
    <row r="57" ht="39.75" customHeight="1">
      <c r="A57" s="143"/>
      <c r="B57" s="24" t="str">
        <f>北段!#REF!</f>
        <v>#ERROR!</v>
      </c>
      <c r="C57" s="24" t="str">
        <f>VLOOKUP(B57,'北段'!B:C,2,FALSE)</f>
        <v>#ERROR!</v>
      </c>
      <c r="D57" s="24" t="str">
        <f>VLOOKUP('北段 (人資版)'!D58,'工作表1'!$A$3:$B$74,2,FALSE)</f>
        <v>#ERROR!</v>
      </c>
      <c r="E57" s="24" t="str">
        <f>VLOOKUP('北段 (人資版)'!E58,'工作表1'!$A$3:$B$74,2,FALSE)</f>
        <v>#ERROR!</v>
      </c>
      <c r="F57" s="24" t="str">
        <f>VLOOKUP('北段 (人資版)'!F58,'工作表1'!$A$3:$B$74,2,FALSE)</f>
        <v>#ERROR!</v>
      </c>
      <c r="G57" s="24" t="str">
        <f>VLOOKUP('北段 (人資版)'!G58,'工作表1'!$A$3:$B$74,2,FALSE)</f>
        <v>#ERROR!</v>
      </c>
      <c r="H57" s="24" t="str">
        <f>VLOOKUP('北段 (人資版)'!H58,'工作表1'!$A$3:$B$74,2,FALSE)</f>
        <v>#ERROR!</v>
      </c>
      <c r="I57" s="24" t="str">
        <f>VLOOKUP('北段 (人資版)'!I58,'工作表1'!$A$3:$B$74,2,FALSE)</f>
        <v>#ERROR!</v>
      </c>
      <c r="J57" s="24" t="str">
        <f>VLOOKUP('北段 (人資版)'!J58,'工作表1'!$A$3:$B$74,2,FALSE)</f>
        <v>#ERROR!</v>
      </c>
      <c r="K57" s="24" t="str">
        <f>VLOOKUP('北段 (人資版)'!K58,'工作表1'!$A$3:$B$74,2,FALSE)</f>
        <v>#ERROR!</v>
      </c>
      <c r="L57" s="24" t="str">
        <f>VLOOKUP('北段 (人資版)'!L58,'工作表1'!$A$3:$B$74,2,FALSE)</f>
        <v>#ERROR!</v>
      </c>
      <c r="M57" s="24" t="str">
        <f>VLOOKUP('北段 (人資版)'!M58,'工作表1'!$A$3:$B$74,2,FALSE)</f>
        <v>#ERROR!</v>
      </c>
      <c r="N57" s="24" t="str">
        <f>VLOOKUP('北段 (人資版)'!N58,'工作表1'!$A$3:$B$74,2,FALSE)</f>
        <v>#ERROR!</v>
      </c>
      <c r="O57" s="24" t="str">
        <f>VLOOKUP('北段 (人資版)'!O58,'工作表1'!$A$3:$B$74,2,FALSE)</f>
        <v>#ERROR!</v>
      </c>
      <c r="P57" s="24" t="str">
        <f>VLOOKUP('北段 (人資版)'!P58,'工作表1'!$A$3:$B$74,2,FALSE)</f>
        <v>#ERROR!</v>
      </c>
      <c r="Q57" s="24" t="str">
        <f>VLOOKUP('北段 (人資版)'!Q58,'工作表1'!$A$3:$B$74,2,FALSE)</f>
        <v>#ERROR!</v>
      </c>
      <c r="R57" s="24" t="str">
        <f>VLOOKUP('北段 (人資版)'!R58,'工作表1'!$A$3:$B$74,2,FALSE)</f>
        <v>#ERROR!</v>
      </c>
      <c r="S57" s="24" t="str">
        <f>VLOOKUP('北段 (人資版)'!S58,'工作表1'!$A$3:$B$74,2,FALSE)</f>
        <v>#ERROR!</v>
      </c>
      <c r="T57" s="24" t="str">
        <f>VLOOKUP('北段 (人資版)'!T58,'工作表1'!$A$3:$B$74,2,FALSE)</f>
        <v>#ERROR!</v>
      </c>
      <c r="U57" s="24" t="str">
        <f>VLOOKUP('北段 (人資版)'!U58,'工作表1'!$A$3:$B$74,2,FALSE)</f>
        <v>#ERROR!</v>
      </c>
      <c r="V57" s="24" t="str">
        <f>VLOOKUP('北段 (人資版)'!V58,'工作表1'!$A$3:$B$74,2,FALSE)</f>
        <v>#ERROR!</v>
      </c>
      <c r="W57" s="24" t="str">
        <f>VLOOKUP('北段 (人資版)'!W58,'工作表1'!$A$3:$B$74,2,FALSE)</f>
        <v>#ERROR!</v>
      </c>
      <c r="X57" s="24" t="str">
        <f>VLOOKUP('北段 (人資版)'!X58,'工作表1'!$A$3:$B$74,2,FALSE)</f>
        <v>#ERROR!</v>
      </c>
      <c r="Y57" s="24" t="str">
        <f>VLOOKUP('北段 (人資版)'!Y58,'工作表1'!$A$3:$B$74,2,FALSE)</f>
        <v>#ERROR!</v>
      </c>
      <c r="Z57" s="24" t="str">
        <f>VLOOKUP('北段 (人資版)'!Z58,'工作表1'!$A$3:$B$74,2,FALSE)</f>
        <v>#ERROR!</v>
      </c>
      <c r="AA57" s="24" t="str">
        <f>VLOOKUP('北段 (人資版)'!AA58,'工作表1'!$A$3:$B$74,2,FALSE)</f>
        <v>#ERROR!</v>
      </c>
      <c r="AB57" s="24" t="str">
        <f>VLOOKUP('北段 (人資版)'!AB58,'工作表1'!$A$3:$B$74,2,FALSE)</f>
        <v>#ERROR!</v>
      </c>
      <c r="AC57" s="24" t="str">
        <f>VLOOKUP('北段 (人資版)'!AC58,'工作表1'!$A$3:$B$74,2,FALSE)</f>
        <v>#ERROR!</v>
      </c>
      <c r="AD57" s="24" t="str">
        <f>VLOOKUP('北段 (人資版)'!AD58,'工作表1'!$A$3:$B$74,2,FALSE)</f>
        <v>#ERROR!</v>
      </c>
      <c r="AE57" s="24" t="str">
        <f>VLOOKUP('北段 (人資版)'!AE58,'工作表1'!$A$3:$B$74,2,FALSE)</f>
        <v>#ERROR!</v>
      </c>
      <c r="AF57" s="24" t="str">
        <f>VLOOKUP('北段 (人資版)'!AF58,'工作表1'!$A$3:$B$74,2,FALSE)</f>
        <v>#ERROR!</v>
      </c>
      <c r="AG57" s="24" t="str">
        <f>VLOOKUP('北段 (人資版)'!AG58,'工作表1'!$A$3:$B$74,2,FALSE)</f>
        <v>#ERROR!</v>
      </c>
      <c r="AH57" s="24" t="str">
        <f>VLOOKUP('北段 (人資版)'!AH58,'工作表1'!$A$3:$B$74,2,FALSE)</f>
        <v>#ERROR!</v>
      </c>
      <c r="AI57" s="24" t="str">
        <f>VLOOKUP('北段 (人資版)'!AI58,'工作表1'!$A$3:$B$74,2,FALSE)</f>
        <v>#ERROR!</v>
      </c>
      <c r="AJ57" s="24" t="str">
        <f>VLOOKUP('北段 (人資版)'!AJ58,'工作表1'!$A$3:$B$74,2,FALSE)</f>
        <v>#ERROR!</v>
      </c>
      <c r="AK57" s="24" t="str">
        <f>VLOOKUP('北段 (人資版)'!AK58,'工作表1'!$A$3:$B$74,2,FALSE)</f>
        <v>#ERROR!</v>
      </c>
      <c r="AL57" s="24" t="str">
        <f>VLOOKUP('北段 (人資版)'!AL58,'工作表1'!$A$3:$B$74,2,FALSE)</f>
        <v>#ERROR!</v>
      </c>
    </row>
    <row r="58" ht="39.75" customHeight="1">
      <c r="A58" s="145"/>
      <c r="B58" s="24" t="str">
        <f>北段!#REF!</f>
        <v>#ERROR!</v>
      </c>
      <c r="C58" s="24" t="str">
        <f>VLOOKUP(B58,'北段'!B:C,2,FALSE)</f>
        <v>#ERROR!</v>
      </c>
      <c r="D58" s="24" t="str">
        <f>VLOOKUP('北段 (人資版)'!D59,'工作表1'!$A$3:$B$74,2,FALSE)</f>
        <v>#ERROR!</v>
      </c>
      <c r="E58" s="24" t="str">
        <f>VLOOKUP('北段 (人資版)'!E59,'工作表1'!$A$3:$B$74,2,FALSE)</f>
        <v>#ERROR!</v>
      </c>
      <c r="F58" s="24" t="str">
        <f>VLOOKUP('北段 (人資版)'!F59,'工作表1'!$A$3:$B$74,2,FALSE)</f>
        <v>#ERROR!</v>
      </c>
      <c r="G58" s="24" t="str">
        <f>VLOOKUP('北段 (人資版)'!G59,'工作表1'!$A$3:$B$74,2,FALSE)</f>
        <v>#ERROR!</v>
      </c>
      <c r="H58" s="24" t="str">
        <f>VLOOKUP('北段 (人資版)'!H59,'工作表1'!$A$3:$B$74,2,FALSE)</f>
        <v>#ERROR!</v>
      </c>
      <c r="I58" s="24" t="str">
        <f>VLOOKUP('北段 (人資版)'!I59,'工作表1'!$A$3:$B$74,2,FALSE)</f>
        <v>#ERROR!</v>
      </c>
      <c r="J58" s="24" t="str">
        <f>VLOOKUP('北段 (人資版)'!J59,'工作表1'!$A$3:$B$74,2,FALSE)</f>
        <v>#ERROR!</v>
      </c>
      <c r="K58" s="24" t="str">
        <f>VLOOKUP('北段 (人資版)'!K59,'工作表1'!$A$3:$B$74,2,FALSE)</f>
        <v>#ERROR!</v>
      </c>
      <c r="L58" s="24" t="str">
        <f>VLOOKUP('北段 (人資版)'!L59,'工作表1'!$A$3:$B$74,2,FALSE)</f>
        <v>#ERROR!</v>
      </c>
      <c r="M58" s="24" t="str">
        <f>VLOOKUP('北段 (人資版)'!M59,'工作表1'!$A$3:$B$74,2,FALSE)</f>
        <v>#ERROR!</v>
      </c>
      <c r="N58" s="24" t="str">
        <f>VLOOKUP('北段 (人資版)'!N59,'工作表1'!$A$3:$B$74,2,FALSE)</f>
        <v>#ERROR!</v>
      </c>
      <c r="O58" s="24" t="str">
        <f>VLOOKUP('北段 (人資版)'!O59,'工作表1'!$A$3:$B$74,2,FALSE)</f>
        <v>#ERROR!</v>
      </c>
      <c r="P58" s="24" t="str">
        <f>VLOOKUP('北段 (人資版)'!P59,'工作表1'!$A$3:$B$74,2,FALSE)</f>
        <v>#ERROR!</v>
      </c>
      <c r="Q58" s="24" t="str">
        <f>VLOOKUP('北段 (人資版)'!Q59,'工作表1'!$A$3:$B$74,2,FALSE)</f>
        <v>#ERROR!</v>
      </c>
      <c r="R58" s="24" t="str">
        <f>VLOOKUP('北段 (人資版)'!R59,'工作表1'!$A$3:$B$74,2,FALSE)</f>
        <v>#ERROR!</v>
      </c>
      <c r="S58" s="24" t="str">
        <f>VLOOKUP('北段 (人資版)'!S59,'工作表1'!$A$3:$B$74,2,FALSE)</f>
        <v>#ERROR!</v>
      </c>
      <c r="T58" s="24" t="str">
        <f>VLOOKUP('北段 (人資版)'!T59,'工作表1'!$A$3:$B$74,2,FALSE)</f>
        <v>#ERROR!</v>
      </c>
      <c r="U58" s="24" t="str">
        <f>VLOOKUP('北段 (人資版)'!U59,'工作表1'!$A$3:$B$74,2,FALSE)</f>
        <v>#ERROR!</v>
      </c>
      <c r="V58" s="24" t="str">
        <f>VLOOKUP('北段 (人資版)'!V59,'工作表1'!$A$3:$B$74,2,FALSE)</f>
        <v>#ERROR!</v>
      </c>
      <c r="W58" s="24" t="str">
        <f>VLOOKUP('北段 (人資版)'!W59,'工作表1'!$A$3:$B$74,2,FALSE)</f>
        <v>#ERROR!</v>
      </c>
      <c r="X58" s="24" t="str">
        <f>VLOOKUP('北段 (人資版)'!X59,'工作表1'!$A$3:$B$74,2,FALSE)</f>
        <v>#ERROR!</v>
      </c>
      <c r="Y58" s="24" t="str">
        <f>VLOOKUP('北段 (人資版)'!Y59,'工作表1'!$A$3:$B$74,2,FALSE)</f>
        <v>#ERROR!</v>
      </c>
      <c r="Z58" s="24" t="str">
        <f>VLOOKUP('北段 (人資版)'!Z59,'工作表1'!$A$3:$B$74,2,FALSE)</f>
        <v>#ERROR!</v>
      </c>
      <c r="AA58" s="24" t="str">
        <f>VLOOKUP('北段 (人資版)'!AA59,'工作表1'!$A$3:$B$74,2,FALSE)</f>
        <v>#ERROR!</v>
      </c>
      <c r="AB58" s="24" t="str">
        <f>VLOOKUP('北段 (人資版)'!AB59,'工作表1'!$A$3:$B$74,2,FALSE)</f>
        <v>#ERROR!</v>
      </c>
      <c r="AC58" s="24" t="str">
        <f>VLOOKUP('北段 (人資版)'!AC59,'工作表1'!$A$3:$B$74,2,FALSE)</f>
        <v>#ERROR!</v>
      </c>
      <c r="AD58" s="24" t="str">
        <f>VLOOKUP('北段 (人資版)'!AD59,'工作表1'!$A$3:$B$74,2,FALSE)</f>
        <v>#ERROR!</v>
      </c>
      <c r="AE58" s="24" t="str">
        <f>VLOOKUP('北段 (人資版)'!AE59,'工作表1'!$A$3:$B$74,2,FALSE)</f>
        <v>#ERROR!</v>
      </c>
      <c r="AF58" s="24" t="str">
        <f>VLOOKUP('北段 (人資版)'!AF59,'工作表1'!$A$3:$B$74,2,FALSE)</f>
        <v>#ERROR!</v>
      </c>
      <c r="AG58" s="24" t="str">
        <f>VLOOKUP('北段 (人資版)'!AG59,'工作表1'!$A$3:$B$74,2,FALSE)</f>
        <v>#ERROR!</v>
      </c>
      <c r="AH58" s="24" t="str">
        <f>VLOOKUP('北段 (人資版)'!AH59,'工作表1'!$A$3:$B$74,2,FALSE)</f>
        <v>#ERROR!</v>
      </c>
      <c r="AI58" s="24" t="str">
        <f>VLOOKUP('北段 (人資版)'!AI59,'工作表1'!$A$3:$B$74,2,FALSE)</f>
        <v>#ERROR!</v>
      </c>
      <c r="AJ58" s="24" t="str">
        <f>VLOOKUP('北段 (人資版)'!AJ59,'工作表1'!$A$3:$B$74,2,FALSE)</f>
        <v>#ERROR!</v>
      </c>
      <c r="AK58" s="24" t="str">
        <f>VLOOKUP('北段 (人資版)'!AK59,'工作表1'!$A$3:$B$74,2,FALSE)</f>
        <v>#ERROR!</v>
      </c>
      <c r="AL58" s="24" t="str">
        <f>VLOOKUP('北段 (人資版)'!AL59,'工作表1'!$A$3:$B$74,2,FALSE)</f>
        <v>#ERROR!</v>
      </c>
    </row>
    <row r="59" ht="39.75" customHeight="1">
      <c r="A59" s="142" t="s">
        <v>66</v>
      </c>
      <c r="B59" s="24" t="str">
        <f>北段!#REF!</f>
        <v>#ERROR!</v>
      </c>
      <c r="C59" s="24" t="str">
        <f>VLOOKUP(B59,'北段'!B:C,2,FALSE)</f>
        <v>#ERROR!</v>
      </c>
      <c r="D59" s="24" t="str">
        <f>VLOOKUP('北段 (人資版)'!D60,'工作表1'!$A$3:$B$74,2,FALSE)</f>
        <v>#ERROR!</v>
      </c>
      <c r="E59" s="24" t="str">
        <f>VLOOKUP('北段 (人資版)'!E60,'工作表1'!$A$3:$B$74,2,FALSE)</f>
        <v>#ERROR!</v>
      </c>
      <c r="F59" s="24" t="str">
        <f>VLOOKUP('北段 (人資版)'!F60,'工作表1'!$A$3:$B$74,2,FALSE)</f>
        <v>#ERROR!</v>
      </c>
      <c r="G59" s="24" t="str">
        <f>VLOOKUP('北段 (人資版)'!G60,'工作表1'!$A$3:$B$74,2,FALSE)</f>
        <v>#ERROR!</v>
      </c>
      <c r="H59" s="24" t="str">
        <f>VLOOKUP('北段 (人資版)'!H60,'工作表1'!$A$3:$B$74,2,FALSE)</f>
        <v>#ERROR!</v>
      </c>
      <c r="I59" s="24" t="str">
        <f>VLOOKUP('北段 (人資版)'!I60,'工作表1'!$A$3:$B$74,2,FALSE)</f>
        <v>#ERROR!</v>
      </c>
      <c r="J59" s="24" t="str">
        <f>VLOOKUP('北段 (人資版)'!J60,'工作表1'!$A$3:$B$74,2,FALSE)</f>
        <v>#ERROR!</v>
      </c>
      <c r="K59" s="24" t="str">
        <f>VLOOKUP('北段 (人資版)'!K60,'工作表1'!$A$3:$B$74,2,FALSE)</f>
        <v>#ERROR!</v>
      </c>
      <c r="L59" s="24" t="str">
        <f>VLOOKUP('北段 (人資版)'!L60,'工作表1'!$A$3:$B$74,2,FALSE)</f>
        <v>#ERROR!</v>
      </c>
      <c r="M59" s="24" t="str">
        <f>VLOOKUP('北段 (人資版)'!M60,'工作表1'!$A$3:$B$74,2,FALSE)</f>
        <v>#ERROR!</v>
      </c>
      <c r="N59" s="24" t="str">
        <f>VLOOKUP('北段 (人資版)'!N60,'工作表1'!$A$3:$B$74,2,FALSE)</f>
        <v>#ERROR!</v>
      </c>
      <c r="O59" s="24" t="str">
        <f>VLOOKUP('北段 (人資版)'!O60,'工作表1'!$A$3:$B$74,2,FALSE)</f>
        <v>#ERROR!</v>
      </c>
      <c r="P59" s="24" t="str">
        <f>VLOOKUP('北段 (人資版)'!P60,'工作表1'!$A$3:$B$74,2,FALSE)</f>
        <v>#ERROR!</v>
      </c>
      <c r="Q59" s="24" t="str">
        <f>VLOOKUP('北段 (人資版)'!Q60,'工作表1'!$A$3:$B$74,2,FALSE)</f>
        <v>#ERROR!</v>
      </c>
      <c r="R59" s="24" t="str">
        <f>VLOOKUP('北段 (人資版)'!R60,'工作表1'!$A$3:$B$74,2,FALSE)</f>
        <v>#ERROR!</v>
      </c>
      <c r="S59" s="24" t="str">
        <f>VLOOKUP('北段 (人資版)'!S60,'工作表1'!$A$3:$B$74,2,FALSE)</f>
        <v>#ERROR!</v>
      </c>
      <c r="T59" s="24" t="str">
        <f>VLOOKUP('北段 (人資版)'!T60,'工作表1'!$A$3:$B$74,2,FALSE)</f>
        <v>#ERROR!</v>
      </c>
      <c r="U59" s="24" t="str">
        <f>VLOOKUP('北段 (人資版)'!U60,'工作表1'!$A$3:$B$74,2,FALSE)</f>
        <v>#ERROR!</v>
      </c>
      <c r="V59" s="24" t="str">
        <f>VLOOKUP('北段 (人資版)'!V60,'工作表1'!$A$3:$B$74,2,FALSE)</f>
        <v>#ERROR!</v>
      </c>
      <c r="W59" s="24" t="str">
        <f>VLOOKUP('北段 (人資版)'!W60,'工作表1'!$A$3:$B$74,2,FALSE)</f>
        <v>#ERROR!</v>
      </c>
      <c r="X59" s="24" t="str">
        <f>VLOOKUP('北段 (人資版)'!X60,'工作表1'!$A$3:$B$74,2,FALSE)</f>
        <v>#ERROR!</v>
      </c>
      <c r="Y59" s="24" t="str">
        <f>VLOOKUP('北段 (人資版)'!Y60,'工作表1'!$A$3:$B$74,2,FALSE)</f>
        <v>#ERROR!</v>
      </c>
      <c r="Z59" s="24" t="str">
        <f>VLOOKUP('北段 (人資版)'!Z60,'工作表1'!$A$3:$B$74,2,FALSE)</f>
        <v>#ERROR!</v>
      </c>
      <c r="AA59" s="24" t="str">
        <f>VLOOKUP('北段 (人資版)'!AA60,'工作表1'!$A$3:$B$74,2,FALSE)</f>
        <v>#ERROR!</v>
      </c>
      <c r="AB59" s="24" t="str">
        <f>VLOOKUP('北段 (人資版)'!AB60,'工作表1'!$A$3:$B$74,2,FALSE)</f>
        <v>#ERROR!</v>
      </c>
      <c r="AC59" s="24" t="str">
        <f>VLOOKUP('北段 (人資版)'!AC60,'工作表1'!$A$3:$B$74,2,FALSE)</f>
        <v>#ERROR!</v>
      </c>
      <c r="AD59" s="24" t="str">
        <f>VLOOKUP('北段 (人資版)'!AD60,'工作表1'!$A$3:$B$74,2,FALSE)</f>
        <v>#ERROR!</v>
      </c>
      <c r="AE59" s="24" t="str">
        <f>VLOOKUP('北段 (人資版)'!AE60,'工作表1'!$A$3:$B$74,2,FALSE)</f>
        <v>#ERROR!</v>
      </c>
      <c r="AF59" s="24" t="str">
        <f>VLOOKUP('北段 (人資版)'!AF60,'工作表1'!$A$3:$B$74,2,FALSE)</f>
        <v>#ERROR!</v>
      </c>
      <c r="AG59" s="24" t="str">
        <f>VLOOKUP('北段 (人資版)'!AG60,'工作表1'!$A$3:$B$74,2,FALSE)</f>
        <v>#ERROR!</v>
      </c>
      <c r="AH59" s="24" t="str">
        <f>VLOOKUP('北段 (人資版)'!AH60,'工作表1'!$A$3:$B$74,2,FALSE)</f>
        <v>#ERROR!</v>
      </c>
      <c r="AI59" s="24" t="str">
        <f>VLOOKUP('北段 (人資版)'!AI60,'工作表1'!$A$3:$B$74,2,FALSE)</f>
        <v>#ERROR!</v>
      </c>
      <c r="AJ59" s="24" t="str">
        <f>VLOOKUP('北段 (人資版)'!AJ60,'工作表1'!$A$3:$B$74,2,FALSE)</f>
        <v>#ERROR!</v>
      </c>
      <c r="AK59" s="24" t="str">
        <f>VLOOKUP('北段 (人資版)'!AK60,'工作表1'!$A$3:$B$74,2,FALSE)</f>
        <v>#ERROR!</v>
      </c>
      <c r="AL59" s="24" t="str">
        <f>VLOOKUP('北段 (人資版)'!AL60,'工作表1'!$A$3:$B$74,2,FALSE)</f>
        <v>#ERROR!</v>
      </c>
    </row>
    <row r="60" ht="39.0" customHeight="1">
      <c r="A60" s="143"/>
      <c r="B60" s="24" t="str">
        <f>北段!#REF!</f>
        <v>#ERROR!</v>
      </c>
      <c r="C60" s="24" t="str">
        <f>VLOOKUP(B60,'北段'!B:C,2,FALSE)</f>
        <v>#ERROR!</v>
      </c>
      <c r="D60" s="24" t="str">
        <f>VLOOKUP('北段 (人資版)'!D61,'工作表1'!$A$3:$B$74,2,FALSE)</f>
        <v>#ERROR!</v>
      </c>
      <c r="E60" s="24" t="str">
        <f>VLOOKUP('北段 (人資版)'!E61,'工作表1'!$A$3:$B$74,2,FALSE)</f>
        <v>#ERROR!</v>
      </c>
      <c r="F60" s="24" t="str">
        <f>VLOOKUP('北段 (人資版)'!F61,'工作表1'!$A$3:$B$74,2,FALSE)</f>
        <v>#ERROR!</v>
      </c>
      <c r="G60" s="24" t="str">
        <f>VLOOKUP('北段 (人資版)'!G61,'工作表1'!$A$3:$B$74,2,FALSE)</f>
        <v>#ERROR!</v>
      </c>
      <c r="H60" s="24" t="str">
        <f>VLOOKUP('北段 (人資版)'!H61,'工作表1'!$A$3:$B$74,2,FALSE)</f>
        <v>#ERROR!</v>
      </c>
      <c r="I60" s="24" t="str">
        <f>VLOOKUP('北段 (人資版)'!I61,'工作表1'!$A$3:$B$74,2,FALSE)</f>
        <v>#ERROR!</v>
      </c>
      <c r="J60" s="24" t="str">
        <f>VLOOKUP('北段 (人資版)'!J61,'工作表1'!$A$3:$B$74,2,FALSE)</f>
        <v>#ERROR!</v>
      </c>
      <c r="K60" s="24" t="str">
        <f>VLOOKUP('北段 (人資版)'!K61,'工作表1'!$A$3:$B$74,2,FALSE)</f>
        <v>#ERROR!</v>
      </c>
      <c r="L60" s="24" t="str">
        <f>VLOOKUP('北段 (人資版)'!L61,'工作表1'!$A$3:$B$74,2,FALSE)</f>
        <v>#ERROR!</v>
      </c>
      <c r="M60" s="24" t="str">
        <f>VLOOKUP('北段 (人資版)'!M61,'工作表1'!$A$3:$B$74,2,FALSE)</f>
        <v>#ERROR!</v>
      </c>
      <c r="N60" s="24" t="str">
        <f>VLOOKUP('北段 (人資版)'!N61,'工作表1'!$A$3:$B$74,2,FALSE)</f>
        <v>#ERROR!</v>
      </c>
      <c r="O60" s="24" t="str">
        <f>VLOOKUP('北段 (人資版)'!O61,'工作表1'!$A$3:$B$74,2,FALSE)</f>
        <v>#ERROR!</v>
      </c>
      <c r="P60" s="24" t="str">
        <f>VLOOKUP('北段 (人資版)'!P61,'工作表1'!$A$3:$B$74,2,FALSE)</f>
        <v>#ERROR!</v>
      </c>
      <c r="Q60" s="24" t="str">
        <f>VLOOKUP('北段 (人資版)'!Q61,'工作表1'!$A$3:$B$74,2,FALSE)</f>
        <v>#ERROR!</v>
      </c>
      <c r="R60" s="24" t="str">
        <f>VLOOKUP('北段 (人資版)'!R61,'工作表1'!$A$3:$B$74,2,FALSE)</f>
        <v>#ERROR!</v>
      </c>
      <c r="S60" s="24" t="str">
        <f>VLOOKUP('北段 (人資版)'!S61,'工作表1'!$A$3:$B$74,2,FALSE)</f>
        <v>#ERROR!</v>
      </c>
      <c r="T60" s="24" t="str">
        <f>VLOOKUP('北段 (人資版)'!T61,'工作表1'!$A$3:$B$74,2,FALSE)</f>
        <v>#ERROR!</v>
      </c>
      <c r="U60" s="24" t="str">
        <f>VLOOKUP('北段 (人資版)'!U61,'工作表1'!$A$3:$B$74,2,FALSE)</f>
        <v>#ERROR!</v>
      </c>
      <c r="V60" s="24" t="str">
        <f>VLOOKUP('北段 (人資版)'!V61,'工作表1'!$A$3:$B$74,2,FALSE)</f>
        <v>#ERROR!</v>
      </c>
      <c r="W60" s="24" t="str">
        <f>VLOOKUP('北段 (人資版)'!W61,'工作表1'!$A$3:$B$74,2,FALSE)</f>
        <v>#ERROR!</v>
      </c>
      <c r="X60" s="24" t="str">
        <f>VLOOKUP('北段 (人資版)'!X61,'工作表1'!$A$3:$B$74,2,FALSE)</f>
        <v>#ERROR!</v>
      </c>
      <c r="Y60" s="24" t="str">
        <f>VLOOKUP('北段 (人資版)'!Y61,'工作表1'!$A$3:$B$74,2,FALSE)</f>
        <v>#ERROR!</v>
      </c>
      <c r="Z60" s="24" t="str">
        <f>VLOOKUP('北段 (人資版)'!Z61,'工作表1'!$A$3:$B$74,2,FALSE)</f>
        <v>#ERROR!</v>
      </c>
      <c r="AA60" s="24" t="str">
        <f>VLOOKUP('北段 (人資版)'!AA61,'工作表1'!$A$3:$B$74,2,FALSE)</f>
        <v>#ERROR!</v>
      </c>
      <c r="AB60" s="24" t="str">
        <f>VLOOKUP('北段 (人資版)'!AB61,'工作表1'!$A$3:$B$74,2,FALSE)</f>
        <v>#ERROR!</v>
      </c>
      <c r="AC60" s="24" t="str">
        <f>VLOOKUP('北段 (人資版)'!AC61,'工作表1'!$A$3:$B$74,2,FALSE)</f>
        <v>#ERROR!</v>
      </c>
      <c r="AD60" s="24" t="str">
        <f>VLOOKUP('北段 (人資版)'!AD61,'工作表1'!$A$3:$B$74,2,FALSE)</f>
        <v>#ERROR!</v>
      </c>
      <c r="AE60" s="24" t="str">
        <f>VLOOKUP('北段 (人資版)'!AE61,'工作表1'!$A$3:$B$74,2,FALSE)</f>
        <v>#ERROR!</v>
      </c>
      <c r="AF60" s="24" t="str">
        <f>VLOOKUP('北段 (人資版)'!AF61,'工作表1'!$A$3:$B$74,2,FALSE)</f>
        <v>#ERROR!</v>
      </c>
      <c r="AG60" s="24" t="str">
        <f>VLOOKUP('北段 (人資版)'!AG61,'工作表1'!$A$3:$B$74,2,FALSE)</f>
        <v>#ERROR!</v>
      </c>
      <c r="AH60" s="24" t="str">
        <f>VLOOKUP('北段 (人資版)'!AH61,'工作表1'!$A$3:$B$74,2,FALSE)</f>
        <v>#ERROR!</v>
      </c>
      <c r="AI60" s="24" t="str">
        <f>VLOOKUP('北段 (人資版)'!AI61,'工作表1'!$A$3:$B$74,2,FALSE)</f>
        <v>#ERROR!</v>
      </c>
      <c r="AJ60" s="24" t="str">
        <f>VLOOKUP('北段 (人資版)'!AJ61,'工作表1'!$A$3:$B$74,2,FALSE)</f>
        <v>#ERROR!</v>
      </c>
      <c r="AK60" s="24" t="str">
        <f>VLOOKUP('北段 (人資版)'!AK61,'工作表1'!$A$3:$B$74,2,FALSE)</f>
        <v>#ERROR!</v>
      </c>
      <c r="AL60" s="24" t="str">
        <f>VLOOKUP('北段 (人資版)'!AL61,'工作表1'!$A$3:$B$74,2,FALSE)</f>
        <v>#ERROR!</v>
      </c>
    </row>
    <row r="61" ht="39.75" customHeight="1">
      <c r="A61" s="143"/>
      <c r="B61" s="24" t="str">
        <f>北段!#REF!</f>
        <v>#ERROR!</v>
      </c>
      <c r="C61" s="24" t="str">
        <f>VLOOKUP(B61,'北段'!B:C,2,FALSE)</f>
        <v>#ERROR!</v>
      </c>
      <c r="D61" s="24" t="str">
        <f>VLOOKUP('北段 (人資版)'!D62,'工作表1'!$A$3:$B$74,2,FALSE)</f>
        <v>#ERROR!</v>
      </c>
      <c r="E61" s="24" t="str">
        <f>VLOOKUP('北段 (人資版)'!E62,'工作表1'!$A$3:$B$74,2,FALSE)</f>
        <v>#ERROR!</v>
      </c>
      <c r="F61" s="24" t="str">
        <f>VLOOKUP('北段 (人資版)'!F62,'工作表1'!$A$3:$B$74,2,FALSE)</f>
        <v>#ERROR!</v>
      </c>
      <c r="G61" s="24" t="str">
        <f>VLOOKUP('北段 (人資版)'!G62,'工作表1'!$A$3:$B$74,2,FALSE)</f>
        <v>#ERROR!</v>
      </c>
      <c r="H61" s="24" t="str">
        <f>VLOOKUP('北段 (人資版)'!H62,'工作表1'!$A$3:$B$74,2,FALSE)</f>
        <v>#ERROR!</v>
      </c>
      <c r="I61" s="24" t="str">
        <f>VLOOKUP('北段 (人資版)'!I62,'工作表1'!$A$3:$B$74,2,FALSE)</f>
        <v>#ERROR!</v>
      </c>
      <c r="J61" s="24" t="str">
        <f>VLOOKUP('北段 (人資版)'!J62,'工作表1'!$A$3:$B$74,2,FALSE)</f>
        <v>#ERROR!</v>
      </c>
      <c r="K61" s="24" t="str">
        <f>VLOOKUP('北段 (人資版)'!K62,'工作表1'!$A$3:$B$74,2,FALSE)</f>
        <v>#ERROR!</v>
      </c>
      <c r="L61" s="24" t="str">
        <f>VLOOKUP('北段 (人資版)'!L62,'工作表1'!$A$3:$B$74,2,FALSE)</f>
        <v>#ERROR!</v>
      </c>
      <c r="M61" s="24" t="str">
        <f>VLOOKUP('北段 (人資版)'!M62,'工作表1'!$A$3:$B$74,2,FALSE)</f>
        <v>#ERROR!</v>
      </c>
      <c r="N61" s="24" t="str">
        <f>VLOOKUP('北段 (人資版)'!N62,'工作表1'!$A$3:$B$74,2,FALSE)</f>
        <v>#ERROR!</v>
      </c>
      <c r="O61" s="24" t="str">
        <f>VLOOKUP('北段 (人資版)'!O62,'工作表1'!$A$3:$B$74,2,FALSE)</f>
        <v>#ERROR!</v>
      </c>
      <c r="P61" s="24" t="str">
        <f>VLOOKUP('北段 (人資版)'!P62,'工作表1'!$A$3:$B$74,2,FALSE)</f>
        <v>#ERROR!</v>
      </c>
      <c r="Q61" s="24" t="str">
        <f>VLOOKUP('北段 (人資版)'!Q62,'工作表1'!$A$3:$B$74,2,FALSE)</f>
        <v>#ERROR!</v>
      </c>
      <c r="R61" s="24" t="str">
        <f>VLOOKUP('北段 (人資版)'!R62,'工作表1'!$A$3:$B$74,2,FALSE)</f>
        <v>#ERROR!</v>
      </c>
      <c r="S61" s="24" t="str">
        <f>VLOOKUP('北段 (人資版)'!S62,'工作表1'!$A$3:$B$74,2,FALSE)</f>
        <v>#ERROR!</v>
      </c>
      <c r="T61" s="24" t="str">
        <f>VLOOKUP('北段 (人資版)'!T62,'工作表1'!$A$3:$B$74,2,FALSE)</f>
        <v>#ERROR!</v>
      </c>
      <c r="U61" s="24" t="str">
        <f>VLOOKUP('北段 (人資版)'!U62,'工作表1'!$A$3:$B$74,2,FALSE)</f>
        <v>#ERROR!</v>
      </c>
      <c r="V61" s="24" t="str">
        <f>VLOOKUP('北段 (人資版)'!V62,'工作表1'!$A$3:$B$74,2,FALSE)</f>
        <v>#ERROR!</v>
      </c>
      <c r="W61" s="24" t="str">
        <f>VLOOKUP('北段 (人資版)'!W62,'工作表1'!$A$3:$B$74,2,FALSE)</f>
        <v>#ERROR!</v>
      </c>
      <c r="X61" s="24" t="str">
        <f>VLOOKUP('北段 (人資版)'!X62,'工作表1'!$A$3:$B$74,2,FALSE)</f>
        <v>#ERROR!</v>
      </c>
      <c r="Y61" s="24" t="str">
        <f>VLOOKUP('北段 (人資版)'!Y62,'工作表1'!$A$3:$B$74,2,FALSE)</f>
        <v>#ERROR!</v>
      </c>
      <c r="Z61" s="24" t="str">
        <f>VLOOKUP('北段 (人資版)'!Z62,'工作表1'!$A$3:$B$74,2,FALSE)</f>
        <v>#ERROR!</v>
      </c>
      <c r="AA61" s="24" t="str">
        <f>VLOOKUP('北段 (人資版)'!AA62,'工作表1'!$A$3:$B$74,2,FALSE)</f>
        <v>#ERROR!</v>
      </c>
      <c r="AB61" s="24" t="str">
        <f>VLOOKUP('北段 (人資版)'!AB62,'工作表1'!$A$3:$B$74,2,FALSE)</f>
        <v>#ERROR!</v>
      </c>
      <c r="AC61" s="24" t="str">
        <f>VLOOKUP('北段 (人資版)'!AC62,'工作表1'!$A$3:$B$74,2,FALSE)</f>
        <v>#ERROR!</v>
      </c>
      <c r="AD61" s="24" t="str">
        <f>VLOOKUP('北段 (人資版)'!AD62,'工作表1'!$A$3:$B$74,2,FALSE)</f>
        <v>#ERROR!</v>
      </c>
      <c r="AE61" s="24" t="str">
        <f>VLOOKUP('北段 (人資版)'!AE62,'工作表1'!$A$3:$B$74,2,FALSE)</f>
        <v>#ERROR!</v>
      </c>
      <c r="AF61" s="24" t="str">
        <f>VLOOKUP('北段 (人資版)'!AF62,'工作表1'!$A$3:$B$74,2,FALSE)</f>
        <v>#ERROR!</v>
      </c>
      <c r="AG61" s="24" t="str">
        <f>VLOOKUP('北段 (人資版)'!AG62,'工作表1'!$A$3:$B$74,2,FALSE)</f>
        <v>#ERROR!</v>
      </c>
      <c r="AH61" s="24" t="str">
        <f>VLOOKUP('北段 (人資版)'!AH62,'工作表1'!$A$3:$B$74,2,FALSE)</f>
        <v>#ERROR!</v>
      </c>
      <c r="AI61" s="24" t="str">
        <f>VLOOKUP('北段 (人資版)'!AI62,'工作表1'!$A$3:$B$74,2,FALSE)</f>
        <v>#ERROR!</v>
      </c>
      <c r="AJ61" s="24" t="str">
        <f>VLOOKUP('北段 (人資版)'!AJ62,'工作表1'!$A$3:$B$74,2,FALSE)</f>
        <v>#ERROR!</v>
      </c>
      <c r="AK61" s="24" t="str">
        <f>VLOOKUP('北段 (人資版)'!AK62,'工作表1'!$A$3:$B$74,2,FALSE)</f>
        <v>#ERROR!</v>
      </c>
      <c r="AL61" s="24" t="str">
        <f>VLOOKUP('北段 (人資版)'!AL62,'工作表1'!$A$3:$B$74,2,FALSE)</f>
        <v>#ERROR!</v>
      </c>
    </row>
    <row r="62" ht="39.0" customHeight="1">
      <c r="A62" s="143"/>
      <c r="B62" s="24" t="str">
        <f>北段!#REF!</f>
        <v>#ERROR!</v>
      </c>
      <c r="C62" s="24" t="str">
        <f>VLOOKUP(B62,'北段'!B:C,2,FALSE)</f>
        <v>#ERROR!</v>
      </c>
      <c r="D62" s="24" t="str">
        <f>VLOOKUP('北段 (人資版)'!D63,'工作表1'!$A$3:$B$74,2,FALSE)</f>
        <v>#ERROR!</v>
      </c>
      <c r="E62" s="24" t="str">
        <f>VLOOKUP('北段 (人資版)'!E63,'工作表1'!$A$3:$B$74,2,FALSE)</f>
        <v>#ERROR!</v>
      </c>
      <c r="F62" s="24" t="str">
        <f>VLOOKUP('北段 (人資版)'!F63,'工作表1'!$A$3:$B$74,2,FALSE)</f>
        <v>#ERROR!</v>
      </c>
      <c r="G62" s="24" t="str">
        <f>VLOOKUP('北段 (人資版)'!G63,'工作表1'!$A$3:$B$74,2,FALSE)</f>
        <v>#ERROR!</v>
      </c>
      <c r="H62" s="24" t="str">
        <f>VLOOKUP('北段 (人資版)'!H63,'工作表1'!$A$3:$B$74,2,FALSE)</f>
        <v>#ERROR!</v>
      </c>
      <c r="I62" s="24" t="str">
        <f>VLOOKUP('北段 (人資版)'!I63,'工作表1'!$A$3:$B$74,2,FALSE)</f>
        <v>#ERROR!</v>
      </c>
      <c r="J62" s="24" t="str">
        <f>VLOOKUP('北段 (人資版)'!J63,'工作表1'!$A$3:$B$74,2,FALSE)</f>
        <v>#ERROR!</v>
      </c>
      <c r="K62" s="24" t="str">
        <f>VLOOKUP('北段 (人資版)'!K63,'工作表1'!$A$3:$B$74,2,FALSE)</f>
        <v>#ERROR!</v>
      </c>
      <c r="L62" s="24" t="str">
        <f>VLOOKUP('北段 (人資版)'!L63,'工作表1'!$A$3:$B$74,2,FALSE)</f>
        <v>#ERROR!</v>
      </c>
      <c r="M62" s="24" t="str">
        <f>VLOOKUP('北段 (人資版)'!M63,'工作表1'!$A$3:$B$74,2,FALSE)</f>
        <v>#ERROR!</v>
      </c>
      <c r="N62" s="24" t="str">
        <f>VLOOKUP('北段 (人資版)'!N63,'工作表1'!$A$3:$B$74,2,FALSE)</f>
        <v>#ERROR!</v>
      </c>
      <c r="O62" s="24" t="str">
        <f>VLOOKUP('北段 (人資版)'!O63,'工作表1'!$A$3:$B$74,2,FALSE)</f>
        <v>#ERROR!</v>
      </c>
      <c r="P62" s="24" t="str">
        <f>VLOOKUP('北段 (人資版)'!P63,'工作表1'!$A$3:$B$74,2,FALSE)</f>
        <v>#ERROR!</v>
      </c>
      <c r="Q62" s="24" t="str">
        <f>VLOOKUP('北段 (人資版)'!Q63,'工作表1'!$A$3:$B$74,2,FALSE)</f>
        <v>#ERROR!</v>
      </c>
      <c r="R62" s="24" t="str">
        <f>VLOOKUP('北段 (人資版)'!R63,'工作表1'!$A$3:$B$74,2,FALSE)</f>
        <v>#ERROR!</v>
      </c>
      <c r="S62" s="24" t="str">
        <f>VLOOKUP('北段 (人資版)'!S63,'工作表1'!$A$3:$B$74,2,FALSE)</f>
        <v>#ERROR!</v>
      </c>
      <c r="T62" s="24" t="str">
        <f>VLOOKUP('北段 (人資版)'!T63,'工作表1'!$A$3:$B$74,2,FALSE)</f>
        <v>#ERROR!</v>
      </c>
      <c r="U62" s="24" t="str">
        <f>VLOOKUP('北段 (人資版)'!U63,'工作表1'!$A$3:$B$74,2,FALSE)</f>
        <v>#ERROR!</v>
      </c>
      <c r="V62" s="24" t="str">
        <f>VLOOKUP('北段 (人資版)'!V63,'工作表1'!$A$3:$B$74,2,FALSE)</f>
        <v>#ERROR!</v>
      </c>
      <c r="W62" s="24" t="str">
        <f>VLOOKUP('北段 (人資版)'!W63,'工作表1'!$A$3:$B$74,2,FALSE)</f>
        <v>#ERROR!</v>
      </c>
      <c r="X62" s="24" t="str">
        <f>VLOOKUP('北段 (人資版)'!X63,'工作表1'!$A$3:$B$74,2,FALSE)</f>
        <v>#ERROR!</v>
      </c>
      <c r="Y62" s="24" t="str">
        <f>VLOOKUP('北段 (人資版)'!Y63,'工作表1'!$A$3:$B$74,2,FALSE)</f>
        <v>#ERROR!</v>
      </c>
      <c r="Z62" s="24" t="str">
        <f>VLOOKUP('北段 (人資版)'!Z63,'工作表1'!$A$3:$B$74,2,FALSE)</f>
        <v>#ERROR!</v>
      </c>
      <c r="AA62" s="24" t="str">
        <f>VLOOKUP('北段 (人資版)'!AA63,'工作表1'!$A$3:$B$74,2,FALSE)</f>
        <v>#ERROR!</v>
      </c>
      <c r="AB62" s="24" t="str">
        <f>VLOOKUP('北段 (人資版)'!AB63,'工作表1'!$A$3:$B$74,2,FALSE)</f>
        <v>#ERROR!</v>
      </c>
      <c r="AC62" s="24" t="str">
        <f>VLOOKUP('北段 (人資版)'!AC63,'工作表1'!$A$3:$B$74,2,FALSE)</f>
        <v>#ERROR!</v>
      </c>
      <c r="AD62" s="24" t="str">
        <f>VLOOKUP('北段 (人資版)'!AD63,'工作表1'!$A$3:$B$74,2,FALSE)</f>
        <v>#ERROR!</v>
      </c>
      <c r="AE62" s="24" t="str">
        <f>VLOOKUP('北段 (人資版)'!AE63,'工作表1'!$A$3:$B$74,2,FALSE)</f>
        <v>#ERROR!</v>
      </c>
      <c r="AF62" s="24" t="str">
        <f>VLOOKUP('北段 (人資版)'!AF63,'工作表1'!$A$3:$B$74,2,FALSE)</f>
        <v>#ERROR!</v>
      </c>
      <c r="AG62" s="24" t="str">
        <f>VLOOKUP('北段 (人資版)'!AG63,'工作表1'!$A$3:$B$74,2,FALSE)</f>
        <v>#ERROR!</v>
      </c>
      <c r="AH62" s="24" t="str">
        <f>VLOOKUP('北段 (人資版)'!AH63,'工作表1'!$A$3:$B$74,2,FALSE)</f>
        <v>#ERROR!</v>
      </c>
      <c r="AI62" s="24" t="str">
        <f>VLOOKUP('北段 (人資版)'!AI63,'工作表1'!$A$3:$B$74,2,FALSE)</f>
        <v>#ERROR!</v>
      </c>
      <c r="AJ62" s="24" t="str">
        <f>VLOOKUP('北段 (人資版)'!AJ63,'工作表1'!$A$3:$B$74,2,FALSE)</f>
        <v>#ERROR!</v>
      </c>
      <c r="AK62" s="24" t="str">
        <f>VLOOKUP('北段 (人資版)'!AK63,'工作表1'!$A$3:$B$74,2,FALSE)</f>
        <v>#ERROR!</v>
      </c>
      <c r="AL62" s="24" t="str">
        <f>VLOOKUP('北段 (人資版)'!AL63,'工作表1'!$A$3:$B$74,2,FALSE)</f>
        <v>#ERROR!</v>
      </c>
    </row>
    <row r="63" ht="39.0" customHeight="1">
      <c r="A63" s="143"/>
      <c r="B63" s="24" t="str">
        <f>北段!#REF!</f>
        <v>#ERROR!</v>
      </c>
      <c r="C63" s="24" t="str">
        <f>VLOOKUP(B63,'北段'!B:C,2,FALSE)</f>
        <v>#ERROR!</v>
      </c>
      <c r="D63" s="24" t="str">
        <f>VLOOKUP('北段 (人資版)'!D64,'工作表1'!$A$3:$B$74,2,FALSE)</f>
        <v>#ERROR!</v>
      </c>
      <c r="E63" s="24" t="str">
        <f>VLOOKUP('北段 (人資版)'!E64,'工作表1'!$A$3:$B$74,2,FALSE)</f>
        <v>#ERROR!</v>
      </c>
      <c r="F63" s="24" t="str">
        <f>VLOOKUP('北段 (人資版)'!F64,'工作表1'!$A$3:$B$74,2,FALSE)</f>
        <v>#ERROR!</v>
      </c>
      <c r="G63" s="24" t="str">
        <f>VLOOKUP('北段 (人資版)'!G64,'工作表1'!$A$3:$B$74,2,FALSE)</f>
        <v>#ERROR!</v>
      </c>
      <c r="H63" s="24" t="str">
        <f>VLOOKUP('北段 (人資版)'!H64,'工作表1'!$A$3:$B$74,2,FALSE)</f>
        <v>#ERROR!</v>
      </c>
      <c r="I63" s="24" t="str">
        <f>VLOOKUP('北段 (人資版)'!I64,'工作表1'!$A$3:$B$74,2,FALSE)</f>
        <v>#ERROR!</v>
      </c>
      <c r="J63" s="24" t="str">
        <f>VLOOKUP('北段 (人資版)'!J64,'工作表1'!$A$3:$B$74,2,FALSE)</f>
        <v>#ERROR!</v>
      </c>
      <c r="K63" s="24" t="str">
        <f>VLOOKUP('北段 (人資版)'!K64,'工作表1'!$A$3:$B$74,2,FALSE)</f>
        <v>#ERROR!</v>
      </c>
      <c r="L63" s="24" t="str">
        <f>VLOOKUP('北段 (人資版)'!L64,'工作表1'!$A$3:$B$74,2,FALSE)</f>
        <v>#ERROR!</v>
      </c>
      <c r="M63" s="24" t="str">
        <f>VLOOKUP('北段 (人資版)'!M64,'工作表1'!$A$3:$B$74,2,FALSE)</f>
        <v>#ERROR!</v>
      </c>
      <c r="N63" s="24" t="str">
        <f>VLOOKUP('北段 (人資版)'!N64,'工作表1'!$A$3:$B$74,2,FALSE)</f>
        <v>#ERROR!</v>
      </c>
      <c r="O63" s="24" t="str">
        <f>VLOOKUP('北段 (人資版)'!O64,'工作表1'!$A$3:$B$74,2,FALSE)</f>
        <v>#ERROR!</v>
      </c>
      <c r="P63" s="24" t="str">
        <f>VLOOKUP('北段 (人資版)'!P64,'工作表1'!$A$3:$B$74,2,FALSE)</f>
        <v>#ERROR!</v>
      </c>
      <c r="Q63" s="24" t="str">
        <f>VLOOKUP('北段 (人資版)'!Q64,'工作表1'!$A$3:$B$74,2,FALSE)</f>
        <v>#ERROR!</v>
      </c>
      <c r="R63" s="24" t="str">
        <f>VLOOKUP('北段 (人資版)'!R64,'工作表1'!$A$3:$B$74,2,FALSE)</f>
        <v>#ERROR!</v>
      </c>
      <c r="S63" s="24" t="str">
        <f>VLOOKUP('北段 (人資版)'!S64,'工作表1'!$A$3:$B$74,2,FALSE)</f>
        <v>#ERROR!</v>
      </c>
      <c r="T63" s="24" t="str">
        <f>VLOOKUP('北段 (人資版)'!T64,'工作表1'!$A$3:$B$74,2,FALSE)</f>
        <v>#ERROR!</v>
      </c>
      <c r="U63" s="24" t="str">
        <f>VLOOKUP('北段 (人資版)'!U64,'工作表1'!$A$3:$B$74,2,FALSE)</f>
        <v>#ERROR!</v>
      </c>
      <c r="V63" s="24" t="str">
        <f>VLOOKUP('北段 (人資版)'!V64,'工作表1'!$A$3:$B$74,2,FALSE)</f>
        <v>#ERROR!</v>
      </c>
      <c r="W63" s="24" t="str">
        <f>VLOOKUP('北段 (人資版)'!W64,'工作表1'!$A$3:$B$74,2,FALSE)</f>
        <v>#ERROR!</v>
      </c>
      <c r="X63" s="24" t="str">
        <f>VLOOKUP('北段 (人資版)'!X64,'工作表1'!$A$3:$B$74,2,FALSE)</f>
        <v>#ERROR!</v>
      </c>
      <c r="Y63" s="24" t="str">
        <f>VLOOKUP('北段 (人資版)'!Y64,'工作表1'!$A$3:$B$74,2,FALSE)</f>
        <v>#ERROR!</v>
      </c>
      <c r="Z63" s="24" t="str">
        <f>VLOOKUP('北段 (人資版)'!Z64,'工作表1'!$A$3:$B$74,2,FALSE)</f>
        <v>#ERROR!</v>
      </c>
      <c r="AA63" s="24" t="str">
        <f>VLOOKUP('北段 (人資版)'!AA64,'工作表1'!$A$3:$B$74,2,FALSE)</f>
        <v>#ERROR!</v>
      </c>
      <c r="AB63" s="24" t="str">
        <f>VLOOKUP('北段 (人資版)'!AB64,'工作表1'!$A$3:$B$74,2,FALSE)</f>
        <v>#ERROR!</v>
      </c>
      <c r="AC63" s="24" t="str">
        <f>VLOOKUP('北段 (人資版)'!AC64,'工作表1'!$A$3:$B$74,2,FALSE)</f>
        <v>#ERROR!</v>
      </c>
      <c r="AD63" s="24" t="str">
        <f>VLOOKUP('北段 (人資版)'!AD64,'工作表1'!$A$3:$B$74,2,FALSE)</f>
        <v>#ERROR!</v>
      </c>
      <c r="AE63" s="24" t="str">
        <f>VLOOKUP('北段 (人資版)'!AE64,'工作表1'!$A$3:$B$74,2,FALSE)</f>
        <v>#ERROR!</v>
      </c>
      <c r="AF63" s="24" t="str">
        <f>VLOOKUP('北段 (人資版)'!AF64,'工作表1'!$A$3:$B$74,2,FALSE)</f>
        <v>#ERROR!</v>
      </c>
      <c r="AG63" s="24" t="str">
        <f>VLOOKUP('北段 (人資版)'!AG64,'工作表1'!$A$3:$B$74,2,FALSE)</f>
        <v>#ERROR!</v>
      </c>
      <c r="AH63" s="24" t="str">
        <f>VLOOKUP('北段 (人資版)'!AH64,'工作表1'!$A$3:$B$74,2,FALSE)</f>
        <v>#ERROR!</v>
      </c>
      <c r="AI63" s="24" t="str">
        <f>VLOOKUP('北段 (人資版)'!AI64,'工作表1'!$A$3:$B$74,2,FALSE)</f>
        <v>#ERROR!</v>
      </c>
      <c r="AJ63" s="24" t="str">
        <f>VLOOKUP('北段 (人資版)'!AJ64,'工作表1'!$A$3:$B$74,2,FALSE)</f>
        <v>#ERROR!</v>
      </c>
      <c r="AK63" s="24" t="str">
        <f>VLOOKUP('北段 (人資版)'!AK64,'工作表1'!$A$3:$B$74,2,FALSE)</f>
        <v>#ERROR!</v>
      </c>
      <c r="AL63" s="24" t="str">
        <f>VLOOKUP('北段 (人資版)'!AL64,'工作表1'!$A$3:$B$74,2,FALSE)</f>
        <v>#ERROR!</v>
      </c>
    </row>
    <row r="64" ht="39.0" customHeight="1">
      <c r="A64" s="145"/>
      <c r="B64" s="24" t="str">
        <f>北段!#REF!</f>
        <v>#ERROR!</v>
      </c>
      <c r="C64" s="24" t="str">
        <f>VLOOKUP(B64,'北段'!B:C,2,FALSE)</f>
        <v>#ERROR!</v>
      </c>
      <c r="D64" s="24" t="str">
        <f>VLOOKUP('北段 (人資版)'!#REF!,工作表1!$A$3:$B$74,2,FALSE)</f>
        <v>#ERROR!</v>
      </c>
      <c r="E64" s="24" t="str">
        <f>VLOOKUP('北段 (人資版)'!#REF!,工作表1!$A$3:$B$74,2,FALSE)</f>
        <v>#ERROR!</v>
      </c>
      <c r="F64" s="24" t="str">
        <f>VLOOKUP('北段 (人資版)'!#REF!,工作表1!$A$3:$B$74,2,FALSE)</f>
        <v>#ERROR!</v>
      </c>
      <c r="G64" s="24" t="str">
        <f>VLOOKUP('北段 (人資版)'!#REF!,工作表1!$A$3:$B$74,2,FALSE)</f>
        <v>#ERROR!</v>
      </c>
      <c r="H64" s="24" t="str">
        <f>VLOOKUP('北段 (人資版)'!#REF!,工作表1!$A$3:$B$74,2,FALSE)</f>
        <v>#ERROR!</v>
      </c>
      <c r="I64" s="24" t="str">
        <f>VLOOKUP('北段 (人資版)'!#REF!,工作表1!$A$3:$B$74,2,FALSE)</f>
        <v>#ERROR!</v>
      </c>
      <c r="J64" s="24" t="str">
        <f>VLOOKUP('北段 (人資版)'!#REF!,工作表1!$A$3:$B$74,2,FALSE)</f>
        <v>#ERROR!</v>
      </c>
      <c r="K64" s="24" t="str">
        <f>VLOOKUP('北段 (人資版)'!#REF!,工作表1!$A$3:$B$74,2,FALSE)</f>
        <v>#ERROR!</v>
      </c>
      <c r="L64" s="24" t="str">
        <f>VLOOKUP('北段 (人資版)'!#REF!,工作表1!$A$3:$B$74,2,FALSE)</f>
        <v>#ERROR!</v>
      </c>
      <c r="M64" s="24" t="str">
        <f>VLOOKUP('北段 (人資版)'!#REF!,工作表1!$A$3:$B$74,2,FALSE)</f>
        <v>#ERROR!</v>
      </c>
      <c r="N64" s="24" t="str">
        <f>VLOOKUP('北段 (人資版)'!#REF!,工作表1!$A$3:$B$74,2,FALSE)</f>
        <v>#ERROR!</v>
      </c>
      <c r="O64" s="24" t="str">
        <f>VLOOKUP('北段 (人資版)'!#REF!,工作表1!$A$3:$B$74,2,FALSE)</f>
        <v>#ERROR!</v>
      </c>
      <c r="P64" s="24" t="str">
        <f>VLOOKUP('北段 (人資版)'!#REF!,工作表1!$A$3:$B$74,2,FALSE)</f>
        <v>#ERROR!</v>
      </c>
      <c r="Q64" s="24" t="str">
        <f>VLOOKUP('北段 (人資版)'!#REF!,工作表1!$A$3:$B$74,2,FALSE)</f>
        <v>#ERROR!</v>
      </c>
      <c r="R64" s="24" t="str">
        <f>VLOOKUP('北段 (人資版)'!#REF!,工作表1!$A$3:$B$74,2,FALSE)</f>
        <v>#ERROR!</v>
      </c>
      <c r="S64" s="24" t="str">
        <f>VLOOKUP('北段 (人資版)'!#REF!,工作表1!$A$3:$B$74,2,FALSE)</f>
        <v>#ERROR!</v>
      </c>
      <c r="T64" s="24" t="str">
        <f>VLOOKUP('北段 (人資版)'!#REF!,工作表1!$A$3:$B$74,2,FALSE)</f>
        <v>#ERROR!</v>
      </c>
      <c r="U64" s="24" t="str">
        <f>VLOOKUP('北段 (人資版)'!#REF!,工作表1!$A$3:$B$74,2,FALSE)</f>
        <v>#ERROR!</v>
      </c>
      <c r="V64" s="24" t="str">
        <f>VLOOKUP('北段 (人資版)'!#REF!,工作表1!$A$3:$B$74,2,FALSE)</f>
        <v>#ERROR!</v>
      </c>
      <c r="W64" s="24" t="str">
        <f>VLOOKUP('北段 (人資版)'!#REF!,工作表1!$A$3:$B$74,2,FALSE)</f>
        <v>#ERROR!</v>
      </c>
      <c r="X64" s="24" t="str">
        <f>VLOOKUP('北段 (人資版)'!#REF!,工作表1!$A$3:$B$74,2,FALSE)</f>
        <v>#ERROR!</v>
      </c>
      <c r="Y64" s="24" t="str">
        <f>VLOOKUP('北段 (人資版)'!#REF!,工作表1!$A$3:$B$74,2,FALSE)</f>
        <v>#ERROR!</v>
      </c>
      <c r="Z64" s="24" t="str">
        <f>VLOOKUP('北段 (人資版)'!#REF!,工作表1!$A$3:$B$74,2,FALSE)</f>
        <v>#ERROR!</v>
      </c>
      <c r="AA64" s="24" t="str">
        <f>VLOOKUP('北段 (人資版)'!#REF!,工作表1!$A$3:$B$74,2,FALSE)</f>
        <v>#ERROR!</v>
      </c>
      <c r="AB64" s="24" t="str">
        <f>VLOOKUP('北段 (人資版)'!#REF!,工作表1!$A$3:$B$74,2,FALSE)</f>
        <v>#ERROR!</v>
      </c>
      <c r="AC64" s="24" t="str">
        <f>VLOOKUP('北段 (人資版)'!#REF!,工作表1!$A$3:$B$74,2,FALSE)</f>
        <v>#ERROR!</v>
      </c>
      <c r="AD64" s="24" t="str">
        <f>VLOOKUP('北段 (人資版)'!#REF!,工作表1!$A$3:$B$74,2,FALSE)</f>
        <v>#ERROR!</v>
      </c>
      <c r="AE64" s="24" t="str">
        <f>VLOOKUP('北段 (人資版)'!#REF!,工作表1!$A$3:$B$74,2,FALSE)</f>
        <v>#ERROR!</v>
      </c>
      <c r="AF64" s="24" t="str">
        <f>VLOOKUP('北段 (人資版)'!#REF!,工作表1!$A$3:$B$74,2,FALSE)</f>
        <v>#ERROR!</v>
      </c>
      <c r="AG64" s="24" t="str">
        <f>VLOOKUP('北段 (人資版)'!#REF!,工作表1!$A$3:$B$74,2,FALSE)</f>
        <v>#ERROR!</v>
      </c>
      <c r="AH64" s="24" t="str">
        <f>VLOOKUP('北段 (人資版)'!#REF!,工作表1!$A$3:$B$74,2,FALSE)</f>
        <v>#ERROR!</v>
      </c>
      <c r="AI64" s="24" t="str">
        <f>VLOOKUP('北段 (人資版)'!#REF!,工作表1!$A$3:$B$74,2,FALSE)</f>
        <v>#ERROR!</v>
      </c>
      <c r="AJ64" s="24" t="str">
        <f>VLOOKUP('北段 (人資版)'!#REF!,工作表1!$A$3:$B$74,2,FALSE)</f>
        <v>#ERROR!</v>
      </c>
      <c r="AK64" s="24" t="str">
        <f>VLOOKUP('北段 (人資版)'!#REF!,工作表1!$A$3:$B$74,2,FALSE)</f>
        <v>#ERROR!</v>
      </c>
      <c r="AL64" s="24" t="str">
        <f>VLOOKUP('北段 (人資版)'!#REF!,工作表1!$A$3:$B$74,2,FALSE)</f>
        <v>#ERROR!</v>
      </c>
    </row>
    <row r="65" ht="39.0" customHeight="1">
      <c r="A65" s="146"/>
      <c r="B65" s="24" t="str">
        <f>北段!#REF!</f>
        <v>#ERROR!</v>
      </c>
      <c r="C65" s="24" t="str">
        <f>VLOOKUP(B65,'北段'!B:C,2,FALSE)</f>
        <v>#ERROR!</v>
      </c>
      <c r="D65" s="24" t="str">
        <f>VLOOKUP('北段 (人資版)'!D65,'工作表1'!$A$3:$B$74,2,FALSE)</f>
        <v>#ERROR!</v>
      </c>
      <c r="E65" s="24" t="str">
        <f>VLOOKUP('北段 (人資版)'!E65,'工作表1'!$A$3:$B$74,2,FALSE)</f>
        <v>#ERROR!</v>
      </c>
      <c r="F65" s="24" t="str">
        <f>VLOOKUP('北段 (人資版)'!F65,'工作表1'!$A$3:$B$74,2,FALSE)</f>
        <v>#ERROR!</v>
      </c>
      <c r="G65" s="24" t="str">
        <f>VLOOKUP('北段 (人資版)'!G65,'工作表1'!$A$3:$B$74,2,FALSE)</f>
        <v>#ERROR!</v>
      </c>
      <c r="H65" s="24" t="str">
        <f>VLOOKUP('北段 (人資版)'!H65,'工作表1'!$A$3:$B$74,2,FALSE)</f>
        <v>#ERROR!</v>
      </c>
      <c r="I65" s="24" t="str">
        <f>VLOOKUP('北段 (人資版)'!I65,'工作表1'!$A$3:$B$74,2,FALSE)</f>
        <v>#ERROR!</v>
      </c>
      <c r="J65" s="24" t="str">
        <f>VLOOKUP('北段 (人資版)'!J65,'工作表1'!$A$3:$B$74,2,FALSE)</f>
        <v>#ERROR!</v>
      </c>
      <c r="K65" s="24" t="str">
        <f>VLOOKUP('北段 (人資版)'!K65,'工作表1'!$A$3:$B$74,2,FALSE)</f>
        <v>#ERROR!</v>
      </c>
      <c r="L65" s="24" t="str">
        <f>VLOOKUP('北段 (人資版)'!L65,'工作表1'!$A$3:$B$74,2,FALSE)</f>
        <v>#ERROR!</v>
      </c>
      <c r="M65" s="24" t="str">
        <f>VLOOKUP('北段 (人資版)'!M65,'工作表1'!$A$3:$B$74,2,FALSE)</f>
        <v>#ERROR!</v>
      </c>
      <c r="N65" s="24" t="str">
        <f>VLOOKUP('北段 (人資版)'!N65,'工作表1'!$A$3:$B$74,2,FALSE)</f>
        <v>#ERROR!</v>
      </c>
      <c r="O65" s="24" t="str">
        <f>VLOOKUP('北段 (人資版)'!O65,'工作表1'!$A$3:$B$74,2,FALSE)</f>
        <v>#ERROR!</v>
      </c>
      <c r="P65" s="24" t="str">
        <f>VLOOKUP('北段 (人資版)'!P65,'工作表1'!$A$3:$B$74,2,FALSE)</f>
        <v>#ERROR!</v>
      </c>
      <c r="Q65" s="24" t="str">
        <f>VLOOKUP('北段 (人資版)'!Q65,'工作表1'!$A$3:$B$74,2,FALSE)</f>
        <v>#ERROR!</v>
      </c>
      <c r="R65" s="24" t="str">
        <f>VLOOKUP('北段 (人資版)'!R65,'工作表1'!$A$3:$B$74,2,FALSE)</f>
        <v>#ERROR!</v>
      </c>
      <c r="S65" s="24" t="str">
        <f>VLOOKUP('北段 (人資版)'!S65,'工作表1'!$A$3:$B$74,2,FALSE)</f>
        <v>#ERROR!</v>
      </c>
      <c r="T65" s="24" t="str">
        <f>VLOOKUP('北段 (人資版)'!T65,'工作表1'!$A$3:$B$74,2,FALSE)</f>
        <v>#ERROR!</v>
      </c>
      <c r="U65" s="24" t="str">
        <f>VLOOKUP('北段 (人資版)'!U65,'工作表1'!$A$3:$B$74,2,FALSE)</f>
        <v>#ERROR!</v>
      </c>
      <c r="V65" s="24" t="str">
        <f>VLOOKUP('北段 (人資版)'!V65,'工作表1'!$A$3:$B$74,2,FALSE)</f>
        <v>#ERROR!</v>
      </c>
      <c r="W65" s="24" t="str">
        <f>VLOOKUP('北段 (人資版)'!W65,'工作表1'!$A$3:$B$74,2,FALSE)</f>
        <v>#ERROR!</v>
      </c>
      <c r="X65" s="24" t="str">
        <f>VLOOKUP('北段 (人資版)'!X65,'工作表1'!$A$3:$B$74,2,FALSE)</f>
        <v>#ERROR!</v>
      </c>
      <c r="Y65" s="24" t="str">
        <f>VLOOKUP('北段 (人資版)'!Y65,'工作表1'!$A$3:$B$74,2,FALSE)</f>
        <v>#ERROR!</v>
      </c>
      <c r="Z65" s="24" t="str">
        <f>VLOOKUP('北段 (人資版)'!Z65,'工作表1'!$A$3:$B$74,2,FALSE)</f>
        <v>#ERROR!</v>
      </c>
      <c r="AA65" s="24" t="str">
        <f>VLOOKUP('北段 (人資版)'!AA65,'工作表1'!$A$3:$B$74,2,FALSE)</f>
        <v>#ERROR!</v>
      </c>
      <c r="AB65" s="24" t="str">
        <f>VLOOKUP('北段 (人資版)'!AB65,'工作表1'!$A$3:$B$74,2,FALSE)</f>
        <v>#ERROR!</v>
      </c>
      <c r="AC65" s="24" t="str">
        <f>VLOOKUP('北段 (人資版)'!AC65,'工作表1'!$A$3:$B$74,2,FALSE)</f>
        <v>#ERROR!</v>
      </c>
      <c r="AD65" s="24" t="str">
        <f>VLOOKUP('北段 (人資版)'!AD65,'工作表1'!$A$3:$B$74,2,FALSE)</f>
        <v>#ERROR!</v>
      </c>
      <c r="AE65" s="24" t="str">
        <f>VLOOKUP('北段 (人資版)'!AE65,'工作表1'!$A$3:$B$74,2,FALSE)</f>
        <v>#ERROR!</v>
      </c>
      <c r="AF65" s="24" t="str">
        <f>VLOOKUP('北段 (人資版)'!AF65,'工作表1'!$A$3:$B$74,2,FALSE)</f>
        <v>#ERROR!</v>
      </c>
      <c r="AG65" s="24" t="str">
        <f>VLOOKUP('北段 (人資版)'!AG65,'工作表1'!$A$3:$B$74,2,FALSE)</f>
        <v>#ERROR!</v>
      </c>
      <c r="AH65" s="24" t="str">
        <f>VLOOKUP('北段 (人資版)'!AH65,'工作表1'!$A$3:$B$74,2,FALSE)</f>
        <v>#ERROR!</v>
      </c>
      <c r="AI65" s="24" t="str">
        <f>VLOOKUP('北段 (人資版)'!AI65,'工作表1'!$A$3:$B$74,2,FALSE)</f>
        <v>#ERROR!</v>
      </c>
      <c r="AJ65" s="24" t="str">
        <f>VLOOKUP('北段 (人資版)'!AJ65,'工作表1'!$A$3:$B$74,2,FALSE)</f>
        <v>#ERROR!</v>
      </c>
      <c r="AK65" s="24" t="str">
        <f>VLOOKUP('北段 (人資版)'!AK65,'工作表1'!$A$3:$B$74,2,FALSE)</f>
        <v>#ERROR!</v>
      </c>
      <c r="AL65" s="24" t="str">
        <f>VLOOKUP('北段 (人資版)'!AL65,'工作表1'!$A$3:$B$74,2,FALSE)</f>
        <v>#ERROR!</v>
      </c>
    </row>
    <row r="66" ht="39.75" customHeight="1">
      <c r="A66" s="143" t="s">
        <v>67</v>
      </c>
      <c r="B66" s="24" t="str">
        <f>北段!#REF!</f>
        <v>#ERROR!</v>
      </c>
      <c r="C66" s="24" t="str">
        <f>VLOOKUP(B66,'北段'!B:C,2,FALSE)</f>
        <v>#ERROR!</v>
      </c>
      <c r="D66" s="24" t="str">
        <f>VLOOKUP('北段 (人資版)'!D66,'工作表1'!$A$3:$B$74,2,FALSE)</f>
        <v>#ERROR!</v>
      </c>
      <c r="E66" s="24" t="str">
        <f>VLOOKUP('北段 (人資版)'!E66,'工作表1'!$A$3:$B$74,2,FALSE)</f>
        <v>#ERROR!</v>
      </c>
      <c r="F66" s="24" t="str">
        <f>VLOOKUP('北段 (人資版)'!F66,'工作表1'!$A$3:$B$74,2,FALSE)</f>
        <v>#ERROR!</v>
      </c>
      <c r="G66" s="24" t="str">
        <f>VLOOKUP('北段 (人資版)'!G66,'工作表1'!$A$3:$B$74,2,FALSE)</f>
        <v>#ERROR!</v>
      </c>
      <c r="H66" s="24" t="str">
        <f>VLOOKUP('北段 (人資版)'!H66,'工作表1'!$A$3:$B$74,2,FALSE)</f>
        <v>#ERROR!</v>
      </c>
      <c r="I66" s="24" t="str">
        <f>VLOOKUP('北段 (人資版)'!I66,'工作表1'!$A$3:$B$74,2,FALSE)</f>
        <v>#ERROR!</v>
      </c>
      <c r="J66" s="24" t="str">
        <f>VLOOKUP('北段 (人資版)'!J66,'工作表1'!$A$3:$B$74,2,FALSE)</f>
        <v>#ERROR!</v>
      </c>
      <c r="K66" s="24" t="str">
        <f>VLOOKUP('北段 (人資版)'!K66,'工作表1'!$A$3:$B$74,2,FALSE)</f>
        <v>#ERROR!</v>
      </c>
      <c r="L66" s="24" t="str">
        <f>VLOOKUP('北段 (人資版)'!L66,'工作表1'!$A$3:$B$74,2,FALSE)</f>
        <v>#ERROR!</v>
      </c>
      <c r="M66" s="24" t="str">
        <f>VLOOKUP('北段 (人資版)'!M66,'工作表1'!$A$3:$B$74,2,FALSE)</f>
        <v>#ERROR!</v>
      </c>
      <c r="N66" s="24" t="str">
        <f>VLOOKUP('北段 (人資版)'!N66,'工作表1'!$A$3:$B$74,2,FALSE)</f>
        <v>#ERROR!</v>
      </c>
      <c r="O66" s="24" t="str">
        <f>VLOOKUP('北段 (人資版)'!O66,'工作表1'!$A$3:$B$74,2,FALSE)</f>
        <v>#ERROR!</v>
      </c>
      <c r="P66" s="24" t="str">
        <f>VLOOKUP('北段 (人資版)'!P66,'工作表1'!$A$3:$B$74,2,FALSE)</f>
        <v>#ERROR!</v>
      </c>
      <c r="Q66" s="24" t="str">
        <f>VLOOKUP('北段 (人資版)'!Q66,'工作表1'!$A$3:$B$74,2,FALSE)</f>
        <v>#ERROR!</v>
      </c>
      <c r="R66" s="24" t="str">
        <f>VLOOKUP('北段 (人資版)'!R66,'工作表1'!$A$3:$B$74,2,FALSE)</f>
        <v>#ERROR!</v>
      </c>
      <c r="S66" s="24" t="str">
        <f>VLOOKUP('北段 (人資版)'!S66,'工作表1'!$A$3:$B$74,2,FALSE)</f>
        <v>#ERROR!</v>
      </c>
      <c r="T66" s="24" t="str">
        <f>VLOOKUP('北段 (人資版)'!T66,'工作表1'!$A$3:$B$74,2,FALSE)</f>
        <v>#ERROR!</v>
      </c>
      <c r="U66" s="24" t="str">
        <f>VLOOKUP('北段 (人資版)'!U66,'工作表1'!$A$3:$B$74,2,FALSE)</f>
        <v>#ERROR!</v>
      </c>
      <c r="V66" s="24" t="str">
        <f>VLOOKUP('北段 (人資版)'!V66,'工作表1'!$A$3:$B$74,2,FALSE)</f>
        <v>#ERROR!</v>
      </c>
      <c r="W66" s="24" t="str">
        <f>VLOOKUP('北段 (人資版)'!W66,'工作表1'!$A$3:$B$74,2,FALSE)</f>
        <v>#ERROR!</v>
      </c>
      <c r="X66" s="24" t="str">
        <f>VLOOKUP('北段 (人資版)'!X66,'工作表1'!$A$3:$B$74,2,FALSE)</f>
        <v>#ERROR!</v>
      </c>
      <c r="Y66" s="24" t="str">
        <f>VLOOKUP('北段 (人資版)'!Y66,'工作表1'!$A$3:$B$74,2,FALSE)</f>
        <v>#ERROR!</v>
      </c>
      <c r="Z66" s="24" t="str">
        <f>VLOOKUP('北段 (人資版)'!Z66,'工作表1'!$A$3:$B$74,2,FALSE)</f>
        <v>#ERROR!</v>
      </c>
      <c r="AA66" s="24" t="str">
        <f>VLOOKUP('北段 (人資版)'!AA66,'工作表1'!$A$3:$B$74,2,FALSE)</f>
        <v>#ERROR!</v>
      </c>
      <c r="AB66" s="24" t="str">
        <f>VLOOKUP('北段 (人資版)'!AB66,'工作表1'!$A$3:$B$74,2,FALSE)</f>
        <v>#ERROR!</v>
      </c>
      <c r="AC66" s="24" t="str">
        <f>VLOOKUP('北段 (人資版)'!AC66,'工作表1'!$A$3:$B$74,2,FALSE)</f>
        <v>#ERROR!</v>
      </c>
      <c r="AD66" s="24" t="str">
        <f>VLOOKUP('北段 (人資版)'!AD66,'工作表1'!$A$3:$B$74,2,FALSE)</f>
        <v>#ERROR!</v>
      </c>
      <c r="AE66" s="24" t="str">
        <f>VLOOKUP('北段 (人資版)'!AE66,'工作表1'!$A$3:$B$74,2,FALSE)</f>
        <v>#ERROR!</v>
      </c>
      <c r="AF66" s="24" t="str">
        <f>VLOOKUP('北段 (人資版)'!AF66,'工作表1'!$A$3:$B$74,2,FALSE)</f>
        <v>#ERROR!</v>
      </c>
      <c r="AG66" s="24" t="str">
        <f>VLOOKUP('北段 (人資版)'!AG66,'工作表1'!$A$3:$B$74,2,FALSE)</f>
        <v>#ERROR!</v>
      </c>
      <c r="AH66" s="24" t="str">
        <f>VLOOKUP('北段 (人資版)'!AH66,'工作表1'!$A$3:$B$74,2,FALSE)</f>
        <v>#ERROR!</v>
      </c>
      <c r="AI66" s="24" t="str">
        <f>VLOOKUP('北段 (人資版)'!AI66,'工作表1'!$A$3:$B$74,2,FALSE)</f>
        <v>#ERROR!</v>
      </c>
      <c r="AJ66" s="24" t="str">
        <f>VLOOKUP('北段 (人資版)'!AJ66,'工作表1'!$A$3:$B$74,2,FALSE)</f>
        <v>#ERROR!</v>
      </c>
      <c r="AK66" s="24" t="str">
        <f>VLOOKUP('北段 (人資版)'!AK66,'工作表1'!$A$3:$B$74,2,FALSE)</f>
        <v>#ERROR!</v>
      </c>
      <c r="AL66" s="24" t="str">
        <f>VLOOKUP('北段 (人資版)'!AL66,'工作表1'!$A$3:$B$74,2,FALSE)</f>
        <v>#ERROR!</v>
      </c>
    </row>
    <row r="67" ht="39.0" customHeight="1">
      <c r="A67" s="143"/>
      <c r="B67" s="24" t="str">
        <f>北段!#REF!</f>
        <v>#ERROR!</v>
      </c>
      <c r="C67" s="24" t="str">
        <f>VLOOKUP(B67,'北段'!B:C,2,FALSE)</f>
        <v>#ERROR!</v>
      </c>
      <c r="D67" s="24" t="str">
        <f>VLOOKUP('北段 (人資版)'!D67,'工作表1'!$A$3:$B$74,2,FALSE)</f>
        <v>#ERROR!</v>
      </c>
      <c r="E67" s="24" t="str">
        <f>VLOOKUP('北段 (人資版)'!E67,'工作表1'!$A$3:$B$74,2,FALSE)</f>
        <v>#ERROR!</v>
      </c>
      <c r="F67" s="24" t="str">
        <f>VLOOKUP('北段 (人資版)'!F67,'工作表1'!$A$3:$B$74,2,FALSE)</f>
        <v>#ERROR!</v>
      </c>
      <c r="G67" s="24" t="str">
        <f>VLOOKUP('北段 (人資版)'!G67,'工作表1'!$A$3:$B$74,2,FALSE)</f>
        <v>#ERROR!</v>
      </c>
      <c r="H67" s="24" t="str">
        <f>VLOOKUP('北段 (人資版)'!H67,'工作表1'!$A$3:$B$74,2,FALSE)</f>
        <v>#ERROR!</v>
      </c>
      <c r="I67" s="24" t="str">
        <f>VLOOKUP('北段 (人資版)'!I67,'工作表1'!$A$3:$B$74,2,FALSE)</f>
        <v>#ERROR!</v>
      </c>
      <c r="J67" s="24" t="str">
        <f>VLOOKUP('北段 (人資版)'!J67,'工作表1'!$A$3:$B$74,2,FALSE)</f>
        <v>#ERROR!</v>
      </c>
      <c r="K67" s="24" t="str">
        <f>VLOOKUP('北段 (人資版)'!K67,'工作表1'!$A$3:$B$74,2,FALSE)</f>
        <v>#ERROR!</v>
      </c>
      <c r="L67" s="24" t="str">
        <f>VLOOKUP('北段 (人資版)'!L67,'工作表1'!$A$3:$B$74,2,FALSE)</f>
        <v>#ERROR!</v>
      </c>
      <c r="M67" s="24" t="str">
        <f>VLOOKUP('北段 (人資版)'!M67,'工作表1'!$A$3:$B$74,2,FALSE)</f>
        <v>#ERROR!</v>
      </c>
      <c r="N67" s="24" t="str">
        <f>VLOOKUP('北段 (人資版)'!N67,'工作表1'!$A$3:$B$74,2,FALSE)</f>
        <v>#ERROR!</v>
      </c>
      <c r="O67" s="24" t="str">
        <f>VLOOKUP('北段 (人資版)'!O67,'工作表1'!$A$3:$B$74,2,FALSE)</f>
        <v>#ERROR!</v>
      </c>
      <c r="P67" s="24" t="str">
        <f>VLOOKUP('北段 (人資版)'!P67,'工作表1'!$A$3:$B$74,2,FALSE)</f>
        <v>#ERROR!</v>
      </c>
      <c r="Q67" s="24" t="str">
        <f>VLOOKUP('北段 (人資版)'!Q67,'工作表1'!$A$3:$B$74,2,FALSE)</f>
        <v>#ERROR!</v>
      </c>
      <c r="R67" s="24" t="str">
        <f>VLOOKUP('北段 (人資版)'!R67,'工作表1'!$A$3:$B$74,2,FALSE)</f>
        <v>#ERROR!</v>
      </c>
      <c r="S67" s="24" t="str">
        <f>VLOOKUP('北段 (人資版)'!S67,'工作表1'!$A$3:$B$74,2,FALSE)</f>
        <v>#ERROR!</v>
      </c>
      <c r="T67" s="24" t="str">
        <f>VLOOKUP('北段 (人資版)'!T67,'工作表1'!$A$3:$B$74,2,FALSE)</f>
        <v>#ERROR!</v>
      </c>
      <c r="U67" s="24" t="str">
        <f>VLOOKUP('北段 (人資版)'!U67,'工作表1'!$A$3:$B$74,2,FALSE)</f>
        <v>#ERROR!</v>
      </c>
      <c r="V67" s="24" t="str">
        <f>VLOOKUP('北段 (人資版)'!V67,'工作表1'!$A$3:$B$74,2,FALSE)</f>
        <v>#ERROR!</v>
      </c>
      <c r="W67" s="24" t="str">
        <f>VLOOKUP('北段 (人資版)'!W67,'工作表1'!$A$3:$B$74,2,FALSE)</f>
        <v>#ERROR!</v>
      </c>
      <c r="X67" s="24" t="str">
        <f>VLOOKUP('北段 (人資版)'!X67,'工作表1'!$A$3:$B$74,2,FALSE)</f>
        <v>#ERROR!</v>
      </c>
      <c r="Y67" s="24" t="str">
        <f>VLOOKUP('北段 (人資版)'!Y67,'工作表1'!$A$3:$B$74,2,FALSE)</f>
        <v>#ERROR!</v>
      </c>
      <c r="Z67" s="24" t="str">
        <f>VLOOKUP('北段 (人資版)'!Z67,'工作表1'!$A$3:$B$74,2,FALSE)</f>
        <v>#ERROR!</v>
      </c>
      <c r="AA67" s="24" t="str">
        <f>VLOOKUP('北段 (人資版)'!AA67,'工作表1'!$A$3:$B$74,2,FALSE)</f>
        <v>#ERROR!</v>
      </c>
      <c r="AB67" s="24" t="str">
        <f>VLOOKUP('北段 (人資版)'!AB67,'工作表1'!$A$3:$B$74,2,FALSE)</f>
        <v>#ERROR!</v>
      </c>
      <c r="AC67" s="24" t="str">
        <f>VLOOKUP('北段 (人資版)'!AC67,'工作表1'!$A$3:$B$74,2,FALSE)</f>
        <v>#ERROR!</v>
      </c>
      <c r="AD67" s="24" t="str">
        <f>VLOOKUP('北段 (人資版)'!AD67,'工作表1'!$A$3:$B$74,2,FALSE)</f>
        <v>#ERROR!</v>
      </c>
      <c r="AE67" s="24" t="str">
        <f>VLOOKUP('北段 (人資版)'!AE67,'工作表1'!$A$3:$B$74,2,FALSE)</f>
        <v>#ERROR!</v>
      </c>
      <c r="AF67" s="24" t="str">
        <f>VLOOKUP('北段 (人資版)'!AF67,'工作表1'!$A$3:$B$74,2,FALSE)</f>
        <v>#ERROR!</v>
      </c>
      <c r="AG67" s="24" t="str">
        <f>VLOOKUP('北段 (人資版)'!AG67,'工作表1'!$A$3:$B$74,2,FALSE)</f>
        <v>#ERROR!</v>
      </c>
      <c r="AH67" s="24" t="str">
        <f>VLOOKUP('北段 (人資版)'!AH67,'工作表1'!$A$3:$B$74,2,FALSE)</f>
        <v>#ERROR!</v>
      </c>
      <c r="AI67" s="24" t="str">
        <f>VLOOKUP('北段 (人資版)'!AI67,'工作表1'!$A$3:$B$74,2,FALSE)</f>
        <v>#ERROR!</v>
      </c>
      <c r="AJ67" s="24" t="str">
        <f>VLOOKUP('北段 (人資版)'!AJ67,'工作表1'!$A$3:$B$74,2,FALSE)</f>
        <v>#ERROR!</v>
      </c>
      <c r="AK67" s="24" t="str">
        <f>VLOOKUP('北段 (人資版)'!AK67,'工作表1'!$A$3:$B$74,2,FALSE)</f>
        <v>#ERROR!</v>
      </c>
      <c r="AL67" s="24" t="str">
        <f>VLOOKUP('北段 (人資版)'!AL67,'工作表1'!$A$3:$B$74,2,FALSE)</f>
        <v>#ERROR!</v>
      </c>
    </row>
    <row r="68" ht="39.75" customHeight="1">
      <c r="A68" s="143"/>
      <c r="B68" s="24" t="str">
        <f>北段!#REF!</f>
        <v>#ERROR!</v>
      </c>
      <c r="C68" s="24" t="str">
        <f>VLOOKUP(B68,'北段'!B:C,2,FALSE)</f>
        <v>#ERROR!</v>
      </c>
      <c r="D68" s="24" t="str">
        <f>VLOOKUP('北段 (人資版)'!D68,'工作表1'!$A$3:$B$74,2,FALSE)</f>
        <v>#ERROR!</v>
      </c>
      <c r="E68" s="24" t="str">
        <f>VLOOKUP('北段 (人資版)'!E68,'工作表1'!$A$3:$B$74,2,FALSE)</f>
        <v>#ERROR!</v>
      </c>
      <c r="F68" s="24" t="str">
        <f>VLOOKUP('北段 (人資版)'!F68,'工作表1'!$A$3:$B$74,2,FALSE)</f>
        <v>#ERROR!</v>
      </c>
      <c r="G68" s="24" t="str">
        <f>VLOOKUP('北段 (人資版)'!G68,'工作表1'!$A$3:$B$74,2,FALSE)</f>
        <v>#ERROR!</v>
      </c>
      <c r="H68" s="24" t="str">
        <f>VLOOKUP('北段 (人資版)'!H68,'工作表1'!$A$3:$B$74,2,FALSE)</f>
        <v>#ERROR!</v>
      </c>
      <c r="I68" s="24" t="str">
        <f>VLOOKUP('北段 (人資版)'!I68,'工作表1'!$A$3:$B$74,2,FALSE)</f>
        <v>#ERROR!</v>
      </c>
      <c r="J68" s="24" t="str">
        <f>VLOOKUP('北段 (人資版)'!J68,'工作表1'!$A$3:$B$74,2,FALSE)</f>
        <v>#ERROR!</v>
      </c>
      <c r="K68" s="24" t="str">
        <f>VLOOKUP('北段 (人資版)'!K68,'工作表1'!$A$3:$B$74,2,FALSE)</f>
        <v>#ERROR!</v>
      </c>
      <c r="L68" s="24" t="str">
        <f>VLOOKUP('北段 (人資版)'!L68,'工作表1'!$A$3:$B$74,2,FALSE)</f>
        <v>#ERROR!</v>
      </c>
      <c r="M68" s="24" t="str">
        <f>VLOOKUP('北段 (人資版)'!M68,'工作表1'!$A$3:$B$74,2,FALSE)</f>
        <v>#ERROR!</v>
      </c>
      <c r="N68" s="24" t="str">
        <f>VLOOKUP('北段 (人資版)'!N68,'工作表1'!$A$3:$B$74,2,FALSE)</f>
        <v>#ERROR!</v>
      </c>
      <c r="O68" s="24" t="str">
        <f>VLOOKUP('北段 (人資版)'!O68,'工作表1'!$A$3:$B$74,2,FALSE)</f>
        <v>#ERROR!</v>
      </c>
      <c r="P68" s="24" t="str">
        <f>VLOOKUP('北段 (人資版)'!P68,'工作表1'!$A$3:$B$74,2,FALSE)</f>
        <v>#ERROR!</v>
      </c>
      <c r="Q68" s="24" t="str">
        <f>VLOOKUP('北段 (人資版)'!Q68,'工作表1'!$A$3:$B$74,2,FALSE)</f>
        <v>#ERROR!</v>
      </c>
      <c r="R68" s="24" t="str">
        <f>VLOOKUP('北段 (人資版)'!R68,'工作表1'!$A$3:$B$74,2,FALSE)</f>
        <v>#ERROR!</v>
      </c>
      <c r="S68" s="24" t="str">
        <f>VLOOKUP('北段 (人資版)'!S68,'工作表1'!$A$3:$B$74,2,FALSE)</f>
        <v>#ERROR!</v>
      </c>
      <c r="T68" s="24" t="str">
        <f>VLOOKUP('北段 (人資版)'!T68,'工作表1'!$A$3:$B$74,2,FALSE)</f>
        <v>#ERROR!</v>
      </c>
      <c r="U68" s="24" t="str">
        <f>VLOOKUP('北段 (人資版)'!U68,'工作表1'!$A$3:$B$74,2,FALSE)</f>
        <v>#ERROR!</v>
      </c>
      <c r="V68" s="24" t="str">
        <f>VLOOKUP('北段 (人資版)'!V68,'工作表1'!$A$3:$B$74,2,FALSE)</f>
        <v>#ERROR!</v>
      </c>
      <c r="W68" s="24" t="str">
        <f>VLOOKUP('北段 (人資版)'!W68,'工作表1'!$A$3:$B$74,2,FALSE)</f>
        <v>#ERROR!</v>
      </c>
      <c r="X68" s="24" t="str">
        <f>VLOOKUP('北段 (人資版)'!X68,'工作表1'!$A$3:$B$74,2,FALSE)</f>
        <v>#ERROR!</v>
      </c>
      <c r="Y68" s="24" t="str">
        <f>VLOOKUP('北段 (人資版)'!Y68,'工作表1'!$A$3:$B$74,2,FALSE)</f>
        <v>#ERROR!</v>
      </c>
      <c r="Z68" s="24" t="str">
        <f>VLOOKUP('北段 (人資版)'!Z68,'工作表1'!$A$3:$B$74,2,FALSE)</f>
        <v>#ERROR!</v>
      </c>
      <c r="AA68" s="24" t="str">
        <f>VLOOKUP('北段 (人資版)'!AA68,'工作表1'!$A$3:$B$74,2,FALSE)</f>
        <v>#ERROR!</v>
      </c>
      <c r="AB68" s="24" t="str">
        <f>VLOOKUP('北段 (人資版)'!AB68,'工作表1'!$A$3:$B$74,2,FALSE)</f>
        <v>#ERROR!</v>
      </c>
      <c r="AC68" s="24" t="str">
        <f>VLOOKUP('北段 (人資版)'!AC68,'工作表1'!$A$3:$B$74,2,FALSE)</f>
        <v>#ERROR!</v>
      </c>
      <c r="AD68" s="24" t="str">
        <f>VLOOKUP('北段 (人資版)'!AD68,'工作表1'!$A$3:$B$74,2,FALSE)</f>
        <v>#ERROR!</v>
      </c>
      <c r="AE68" s="24" t="str">
        <f>VLOOKUP('北段 (人資版)'!AE68,'工作表1'!$A$3:$B$74,2,FALSE)</f>
        <v>#ERROR!</v>
      </c>
      <c r="AF68" s="24" t="str">
        <f>VLOOKUP('北段 (人資版)'!AF68,'工作表1'!$A$3:$B$74,2,FALSE)</f>
        <v>#ERROR!</v>
      </c>
      <c r="AG68" s="24" t="str">
        <f>VLOOKUP('北段 (人資版)'!AG68,'工作表1'!$A$3:$B$74,2,FALSE)</f>
        <v>#ERROR!</v>
      </c>
      <c r="AH68" s="24" t="str">
        <f>VLOOKUP('北段 (人資版)'!AH68,'工作表1'!$A$3:$B$74,2,FALSE)</f>
        <v>#ERROR!</v>
      </c>
      <c r="AI68" s="24" t="str">
        <f>VLOOKUP('北段 (人資版)'!AI68,'工作表1'!$A$3:$B$74,2,FALSE)</f>
        <v>#ERROR!</v>
      </c>
      <c r="AJ68" s="24" t="str">
        <f>VLOOKUP('北段 (人資版)'!AJ68,'工作表1'!$A$3:$B$74,2,FALSE)</f>
        <v>#ERROR!</v>
      </c>
      <c r="AK68" s="24" t="str">
        <f>VLOOKUP('北段 (人資版)'!AK68,'工作表1'!$A$3:$B$74,2,FALSE)</f>
        <v>#ERROR!</v>
      </c>
      <c r="AL68" s="24" t="str">
        <f>VLOOKUP('北段 (人資版)'!AL68,'工作表1'!$A$3:$B$74,2,FALSE)</f>
        <v>#ERROR!</v>
      </c>
    </row>
    <row r="69" ht="39.75" customHeight="1">
      <c r="A69" s="143"/>
      <c r="B69" s="24" t="str">
        <f>北段!#REF!</f>
        <v>#ERROR!</v>
      </c>
      <c r="C69" s="24" t="str">
        <f>VLOOKUP(B69,'北段'!B:C,2,FALSE)</f>
        <v>#ERROR!</v>
      </c>
      <c r="D69" s="24" t="str">
        <f>VLOOKUP('北段 (人資版)'!D69,'工作表1'!$A$3:$B$74,2,FALSE)</f>
        <v>#ERROR!</v>
      </c>
      <c r="E69" s="24" t="str">
        <f>VLOOKUP('北段 (人資版)'!E69,'工作表1'!$A$3:$B$74,2,FALSE)</f>
        <v>#ERROR!</v>
      </c>
      <c r="F69" s="24" t="str">
        <f>VLOOKUP('北段 (人資版)'!F69,'工作表1'!$A$3:$B$74,2,FALSE)</f>
        <v>#ERROR!</v>
      </c>
      <c r="G69" s="24" t="str">
        <f>VLOOKUP('北段 (人資版)'!G69,'工作表1'!$A$3:$B$74,2,FALSE)</f>
        <v>#ERROR!</v>
      </c>
      <c r="H69" s="24" t="str">
        <f>VLOOKUP('北段 (人資版)'!H69,'工作表1'!$A$3:$B$74,2,FALSE)</f>
        <v>#ERROR!</v>
      </c>
      <c r="I69" s="24" t="str">
        <f>VLOOKUP('北段 (人資版)'!I69,'工作表1'!$A$3:$B$74,2,FALSE)</f>
        <v>#ERROR!</v>
      </c>
      <c r="J69" s="24" t="str">
        <f>VLOOKUP('北段 (人資版)'!J69,'工作表1'!$A$3:$B$74,2,FALSE)</f>
        <v>#ERROR!</v>
      </c>
      <c r="K69" s="24" t="str">
        <f>VLOOKUP('北段 (人資版)'!K69,'工作表1'!$A$3:$B$74,2,FALSE)</f>
        <v>#ERROR!</v>
      </c>
      <c r="L69" s="24" t="str">
        <f>VLOOKUP('北段 (人資版)'!L69,'工作表1'!$A$3:$B$74,2,FALSE)</f>
        <v>#ERROR!</v>
      </c>
      <c r="M69" s="24" t="str">
        <f>VLOOKUP('北段 (人資版)'!M69,'工作表1'!$A$3:$B$74,2,FALSE)</f>
        <v>#ERROR!</v>
      </c>
      <c r="N69" s="24" t="str">
        <f>VLOOKUP('北段 (人資版)'!N69,'工作表1'!$A$3:$B$74,2,FALSE)</f>
        <v>#ERROR!</v>
      </c>
      <c r="O69" s="24" t="str">
        <f>VLOOKUP('北段 (人資版)'!O69,'工作表1'!$A$3:$B$74,2,FALSE)</f>
        <v>#ERROR!</v>
      </c>
      <c r="P69" s="24" t="str">
        <f>VLOOKUP('北段 (人資版)'!P69,'工作表1'!$A$3:$B$74,2,FALSE)</f>
        <v>#ERROR!</v>
      </c>
      <c r="Q69" s="24" t="str">
        <f>VLOOKUP('北段 (人資版)'!Q69,'工作表1'!$A$3:$B$74,2,FALSE)</f>
        <v>#ERROR!</v>
      </c>
      <c r="R69" s="24" t="str">
        <f>VLOOKUP('北段 (人資版)'!R69,'工作表1'!$A$3:$B$74,2,FALSE)</f>
        <v>#ERROR!</v>
      </c>
      <c r="S69" s="24" t="str">
        <f>VLOOKUP('北段 (人資版)'!S69,'工作表1'!$A$3:$B$74,2,FALSE)</f>
        <v>#ERROR!</v>
      </c>
      <c r="T69" s="24" t="str">
        <f>VLOOKUP('北段 (人資版)'!T69,'工作表1'!$A$3:$B$74,2,FALSE)</f>
        <v>#ERROR!</v>
      </c>
      <c r="U69" s="24" t="str">
        <f>VLOOKUP('北段 (人資版)'!U69,'工作表1'!$A$3:$B$74,2,FALSE)</f>
        <v>#ERROR!</v>
      </c>
      <c r="V69" s="24" t="str">
        <f>VLOOKUP('北段 (人資版)'!V69,'工作表1'!$A$3:$B$74,2,FALSE)</f>
        <v>#ERROR!</v>
      </c>
      <c r="W69" s="24" t="str">
        <f>VLOOKUP('北段 (人資版)'!W69,'工作表1'!$A$3:$B$74,2,FALSE)</f>
        <v>#ERROR!</v>
      </c>
      <c r="X69" s="24" t="str">
        <f>VLOOKUP('北段 (人資版)'!X69,'工作表1'!$A$3:$B$74,2,FALSE)</f>
        <v>#ERROR!</v>
      </c>
      <c r="Y69" s="24" t="str">
        <f>VLOOKUP('北段 (人資版)'!Y69,'工作表1'!$A$3:$B$74,2,FALSE)</f>
        <v>#ERROR!</v>
      </c>
      <c r="Z69" s="24" t="str">
        <f>VLOOKUP('北段 (人資版)'!Z69,'工作表1'!$A$3:$B$74,2,FALSE)</f>
        <v>#ERROR!</v>
      </c>
      <c r="AA69" s="24" t="str">
        <f>VLOOKUP('北段 (人資版)'!AA69,'工作表1'!$A$3:$B$74,2,FALSE)</f>
        <v>#ERROR!</v>
      </c>
      <c r="AB69" s="24" t="str">
        <f>VLOOKUP('北段 (人資版)'!AB69,'工作表1'!$A$3:$B$74,2,FALSE)</f>
        <v>#ERROR!</v>
      </c>
      <c r="AC69" s="24" t="str">
        <f>VLOOKUP('北段 (人資版)'!AC69,'工作表1'!$A$3:$B$74,2,FALSE)</f>
        <v>#ERROR!</v>
      </c>
      <c r="AD69" s="24" t="str">
        <f>VLOOKUP('北段 (人資版)'!AD69,'工作表1'!$A$3:$B$74,2,FALSE)</f>
        <v>#ERROR!</v>
      </c>
      <c r="AE69" s="24" t="str">
        <f>VLOOKUP('北段 (人資版)'!AE69,'工作表1'!$A$3:$B$74,2,FALSE)</f>
        <v>#ERROR!</v>
      </c>
      <c r="AF69" s="24" t="str">
        <f>VLOOKUP('北段 (人資版)'!AF69,'工作表1'!$A$3:$B$74,2,FALSE)</f>
        <v>#ERROR!</v>
      </c>
      <c r="AG69" s="24" t="str">
        <f>VLOOKUP('北段 (人資版)'!AG69,'工作表1'!$A$3:$B$74,2,FALSE)</f>
        <v>#ERROR!</v>
      </c>
      <c r="AH69" s="24" t="str">
        <f>VLOOKUP('北段 (人資版)'!AH69,'工作表1'!$A$3:$B$74,2,FALSE)</f>
        <v>#ERROR!</v>
      </c>
      <c r="AI69" s="24" t="str">
        <f>VLOOKUP('北段 (人資版)'!AI69,'工作表1'!$A$3:$B$74,2,FALSE)</f>
        <v>#ERROR!</v>
      </c>
      <c r="AJ69" s="24" t="str">
        <f>VLOOKUP('北段 (人資版)'!AJ69,'工作表1'!$A$3:$B$74,2,FALSE)</f>
        <v>#ERROR!</v>
      </c>
      <c r="AK69" s="24" t="str">
        <f>VLOOKUP('北段 (人資版)'!AK69,'工作表1'!$A$3:$B$74,2,FALSE)</f>
        <v>#ERROR!</v>
      </c>
      <c r="AL69" s="24" t="str">
        <f>VLOOKUP('北段 (人資版)'!AL69,'工作表1'!$A$3:$B$74,2,FALSE)</f>
        <v>#ERROR!</v>
      </c>
    </row>
    <row r="70" ht="48.0" customHeight="1">
      <c r="A70" s="143"/>
      <c r="B70" s="24" t="str">
        <f>北段!#REF!</f>
        <v>#ERROR!</v>
      </c>
      <c r="C70" s="24" t="str">
        <f>VLOOKUP(B70,'北段'!B:C,2,FALSE)</f>
        <v>#ERROR!</v>
      </c>
      <c r="D70" s="24" t="str">
        <f>VLOOKUP('北段 (人資版)'!D70,'工作表1'!$A$3:$B$74,2,FALSE)</f>
        <v>#ERROR!</v>
      </c>
      <c r="E70" s="24" t="str">
        <f>VLOOKUP('北段 (人資版)'!E70,'工作表1'!$A$3:$B$74,2,FALSE)</f>
        <v>#ERROR!</v>
      </c>
      <c r="F70" s="24" t="str">
        <f>VLOOKUP('北段 (人資版)'!F70,'工作表1'!$A$3:$B$74,2,FALSE)</f>
        <v>#ERROR!</v>
      </c>
      <c r="G70" s="24" t="str">
        <f>VLOOKUP('北段 (人資版)'!G70,'工作表1'!$A$3:$B$74,2,FALSE)</f>
        <v>#ERROR!</v>
      </c>
      <c r="H70" s="24" t="str">
        <f>VLOOKUP('北段 (人資版)'!H70,'工作表1'!$A$3:$B$74,2,FALSE)</f>
        <v>#ERROR!</v>
      </c>
      <c r="I70" s="24" t="str">
        <f>VLOOKUP('北段 (人資版)'!I70,'工作表1'!$A$3:$B$74,2,FALSE)</f>
        <v>#ERROR!</v>
      </c>
      <c r="J70" s="24" t="str">
        <f>VLOOKUP('北段 (人資版)'!J70,'工作表1'!$A$3:$B$74,2,FALSE)</f>
        <v>#ERROR!</v>
      </c>
      <c r="K70" s="24" t="str">
        <f>VLOOKUP('北段 (人資版)'!K70,'工作表1'!$A$3:$B$74,2,FALSE)</f>
        <v>#ERROR!</v>
      </c>
      <c r="L70" s="24" t="str">
        <f>VLOOKUP('北段 (人資版)'!L70,'工作表1'!$A$3:$B$74,2,FALSE)</f>
        <v>#ERROR!</v>
      </c>
      <c r="M70" s="24" t="str">
        <f>VLOOKUP('北段 (人資版)'!M70,'工作表1'!$A$3:$B$74,2,FALSE)</f>
        <v>#ERROR!</v>
      </c>
      <c r="N70" s="24" t="str">
        <f>VLOOKUP('北段 (人資版)'!N70,'工作表1'!$A$3:$B$74,2,FALSE)</f>
        <v>#ERROR!</v>
      </c>
      <c r="O70" s="24" t="str">
        <f>VLOOKUP('北段 (人資版)'!O70,'工作表1'!$A$3:$B$74,2,FALSE)</f>
        <v>#ERROR!</v>
      </c>
      <c r="P70" s="24" t="str">
        <f>VLOOKUP('北段 (人資版)'!P70,'工作表1'!$A$3:$B$74,2,FALSE)</f>
        <v>#ERROR!</v>
      </c>
      <c r="Q70" s="24" t="str">
        <f>VLOOKUP('北段 (人資版)'!Q70,'工作表1'!$A$3:$B$74,2,FALSE)</f>
        <v>#ERROR!</v>
      </c>
      <c r="R70" s="24" t="str">
        <f>VLOOKUP('北段 (人資版)'!R70,'工作表1'!$A$3:$B$74,2,FALSE)</f>
        <v>#ERROR!</v>
      </c>
      <c r="S70" s="24" t="str">
        <f>VLOOKUP('北段 (人資版)'!S70,'工作表1'!$A$3:$B$74,2,FALSE)</f>
        <v>#ERROR!</v>
      </c>
      <c r="T70" s="24" t="str">
        <f>VLOOKUP('北段 (人資版)'!T70,'工作表1'!$A$3:$B$74,2,FALSE)</f>
        <v>#ERROR!</v>
      </c>
      <c r="U70" s="24" t="str">
        <f>VLOOKUP('北段 (人資版)'!U70,'工作表1'!$A$3:$B$74,2,FALSE)</f>
        <v>#ERROR!</v>
      </c>
      <c r="V70" s="24" t="str">
        <f>VLOOKUP('北段 (人資版)'!V70,'工作表1'!$A$3:$B$74,2,FALSE)</f>
        <v>#ERROR!</v>
      </c>
      <c r="W70" s="24" t="str">
        <f>VLOOKUP('北段 (人資版)'!W70,'工作表1'!$A$3:$B$74,2,FALSE)</f>
        <v>#ERROR!</v>
      </c>
      <c r="X70" s="24" t="str">
        <f>VLOOKUP('北段 (人資版)'!X70,'工作表1'!$A$3:$B$74,2,FALSE)</f>
        <v>#ERROR!</v>
      </c>
      <c r="Y70" s="24" t="str">
        <f>VLOOKUP('北段 (人資版)'!Y70,'工作表1'!$A$3:$B$74,2,FALSE)</f>
        <v>#ERROR!</v>
      </c>
      <c r="Z70" s="24" t="str">
        <f>VLOOKUP('北段 (人資版)'!Z70,'工作表1'!$A$3:$B$74,2,FALSE)</f>
        <v>#ERROR!</v>
      </c>
      <c r="AA70" s="24" t="str">
        <f>VLOOKUP('北段 (人資版)'!AA70,'工作表1'!$A$3:$B$74,2,FALSE)</f>
        <v>#ERROR!</v>
      </c>
      <c r="AB70" s="24" t="str">
        <f>VLOOKUP('北段 (人資版)'!AB70,'工作表1'!$A$3:$B$74,2,FALSE)</f>
        <v>#ERROR!</v>
      </c>
      <c r="AC70" s="24" t="str">
        <f>VLOOKUP('北段 (人資版)'!AC70,'工作表1'!$A$3:$B$74,2,FALSE)</f>
        <v>#ERROR!</v>
      </c>
      <c r="AD70" s="24" t="str">
        <f>VLOOKUP('北段 (人資版)'!AD70,'工作表1'!$A$3:$B$74,2,FALSE)</f>
        <v>#ERROR!</v>
      </c>
      <c r="AE70" s="24" t="str">
        <f>VLOOKUP('北段 (人資版)'!AE70,'工作表1'!$A$3:$B$74,2,FALSE)</f>
        <v>#ERROR!</v>
      </c>
      <c r="AF70" s="24" t="str">
        <f>VLOOKUP('北段 (人資版)'!AF70,'工作表1'!$A$3:$B$74,2,FALSE)</f>
        <v>#ERROR!</v>
      </c>
      <c r="AG70" s="24" t="str">
        <f>VLOOKUP('北段 (人資版)'!AG70,'工作表1'!$A$3:$B$74,2,FALSE)</f>
        <v>#ERROR!</v>
      </c>
      <c r="AH70" s="24" t="str">
        <f>VLOOKUP('北段 (人資版)'!AH70,'工作表1'!$A$3:$B$74,2,FALSE)</f>
        <v>#ERROR!</v>
      </c>
      <c r="AI70" s="24" t="str">
        <f>VLOOKUP('北段 (人資版)'!AI70,'工作表1'!$A$3:$B$74,2,FALSE)</f>
        <v>#ERROR!</v>
      </c>
      <c r="AJ70" s="24" t="str">
        <f>VLOOKUP('北段 (人資版)'!AJ70,'工作表1'!$A$3:$B$74,2,FALSE)</f>
        <v>#ERROR!</v>
      </c>
      <c r="AK70" s="24" t="str">
        <f>VLOOKUP('北段 (人資版)'!AK70,'工作表1'!$A$3:$B$74,2,FALSE)</f>
        <v>#ERROR!</v>
      </c>
      <c r="AL70" s="24" t="str">
        <f>VLOOKUP('北段 (人資版)'!AL70,'工作表1'!$A$3:$B$74,2,FALSE)</f>
        <v>#ERROR!</v>
      </c>
    </row>
    <row r="71" ht="48.0" customHeight="1">
      <c r="A71" s="145"/>
      <c r="B71" s="24" t="str">
        <f>北段!#REF!</f>
        <v>#ERROR!</v>
      </c>
      <c r="C71" s="24" t="str">
        <f>VLOOKUP(B71,'北段'!B:C,2,FALSE)</f>
        <v>#ERROR!</v>
      </c>
      <c r="D71" s="24" t="str">
        <f>VLOOKUP('北段 (人資版)'!D72,'工作表1'!$A$3:$B$74,2,FALSE)</f>
        <v>#ERROR!</v>
      </c>
      <c r="E71" s="24" t="str">
        <f>VLOOKUP('北段 (人資版)'!E72,'工作表1'!$A$3:$B$74,2,FALSE)</f>
        <v>#ERROR!</v>
      </c>
      <c r="F71" s="24" t="str">
        <f>VLOOKUP('北段 (人資版)'!F72,'工作表1'!$A$3:$B$74,2,FALSE)</f>
        <v>#ERROR!</v>
      </c>
      <c r="G71" s="24" t="str">
        <f>VLOOKUP('北段 (人資版)'!G72,'工作表1'!$A$3:$B$74,2,FALSE)</f>
        <v>#ERROR!</v>
      </c>
      <c r="H71" s="24" t="str">
        <f>VLOOKUP('北段 (人資版)'!H72,'工作表1'!$A$3:$B$74,2,FALSE)</f>
        <v>#ERROR!</v>
      </c>
      <c r="I71" s="24" t="str">
        <f>VLOOKUP('北段 (人資版)'!I72,'工作表1'!$A$3:$B$74,2,FALSE)</f>
        <v>#ERROR!</v>
      </c>
      <c r="J71" s="24" t="str">
        <f>VLOOKUP('北段 (人資版)'!J72,'工作表1'!$A$3:$B$74,2,FALSE)</f>
        <v>#ERROR!</v>
      </c>
      <c r="K71" s="24" t="str">
        <f>VLOOKUP('北段 (人資版)'!K72,'工作表1'!$A$3:$B$74,2,FALSE)</f>
        <v>#ERROR!</v>
      </c>
      <c r="L71" s="24" t="str">
        <f>VLOOKUP('北段 (人資版)'!L72,'工作表1'!$A$3:$B$74,2,FALSE)</f>
        <v>#ERROR!</v>
      </c>
      <c r="M71" s="24" t="str">
        <f>VLOOKUP('北段 (人資版)'!M72,'工作表1'!$A$3:$B$74,2,FALSE)</f>
        <v>#ERROR!</v>
      </c>
      <c r="N71" s="24" t="str">
        <f>VLOOKUP('北段 (人資版)'!N72,'工作表1'!$A$3:$B$74,2,FALSE)</f>
        <v>#ERROR!</v>
      </c>
      <c r="O71" s="24" t="str">
        <f>VLOOKUP('北段 (人資版)'!O72,'工作表1'!$A$3:$B$74,2,FALSE)</f>
        <v>#ERROR!</v>
      </c>
      <c r="P71" s="24" t="str">
        <f>VLOOKUP('北段 (人資版)'!P72,'工作表1'!$A$3:$B$74,2,FALSE)</f>
        <v>#ERROR!</v>
      </c>
      <c r="Q71" s="24" t="str">
        <f>VLOOKUP('北段 (人資版)'!Q72,'工作表1'!$A$3:$B$74,2,FALSE)</f>
        <v>#ERROR!</v>
      </c>
      <c r="R71" s="24" t="str">
        <f>VLOOKUP('北段 (人資版)'!R72,'工作表1'!$A$3:$B$74,2,FALSE)</f>
        <v>#ERROR!</v>
      </c>
      <c r="S71" s="24" t="str">
        <f>VLOOKUP('北段 (人資版)'!S72,'工作表1'!$A$3:$B$74,2,FALSE)</f>
        <v>#ERROR!</v>
      </c>
      <c r="T71" s="24" t="str">
        <f>VLOOKUP('北段 (人資版)'!T72,'工作表1'!$A$3:$B$74,2,FALSE)</f>
        <v>#ERROR!</v>
      </c>
      <c r="U71" s="24" t="str">
        <f>VLOOKUP('北段 (人資版)'!U72,'工作表1'!$A$3:$B$74,2,FALSE)</f>
        <v>#ERROR!</v>
      </c>
      <c r="V71" s="24" t="str">
        <f>VLOOKUP('北段 (人資版)'!V72,'工作表1'!$A$3:$B$74,2,FALSE)</f>
        <v>#ERROR!</v>
      </c>
      <c r="W71" s="24" t="str">
        <f>VLOOKUP('北段 (人資版)'!W72,'工作表1'!$A$3:$B$74,2,FALSE)</f>
        <v>#ERROR!</v>
      </c>
      <c r="X71" s="24" t="str">
        <f>VLOOKUP('北段 (人資版)'!X72,'工作表1'!$A$3:$B$74,2,FALSE)</f>
        <v>#ERROR!</v>
      </c>
      <c r="Y71" s="24" t="str">
        <f>VLOOKUP('北段 (人資版)'!Y72,'工作表1'!$A$3:$B$74,2,FALSE)</f>
        <v>#ERROR!</v>
      </c>
      <c r="Z71" s="24" t="str">
        <f>VLOOKUP('北段 (人資版)'!Z72,'工作表1'!$A$3:$B$74,2,FALSE)</f>
        <v>#ERROR!</v>
      </c>
      <c r="AA71" s="24" t="str">
        <f>VLOOKUP('北段 (人資版)'!AA72,'工作表1'!$A$3:$B$74,2,FALSE)</f>
        <v>#ERROR!</v>
      </c>
      <c r="AB71" s="24" t="str">
        <f>VLOOKUP('北段 (人資版)'!AB72,'工作表1'!$A$3:$B$74,2,FALSE)</f>
        <v>#ERROR!</v>
      </c>
      <c r="AC71" s="24" t="str">
        <f>VLOOKUP('北段 (人資版)'!AC72,'工作表1'!$A$3:$B$74,2,FALSE)</f>
        <v>#ERROR!</v>
      </c>
      <c r="AD71" s="24" t="str">
        <f>VLOOKUP('北段 (人資版)'!AD72,'工作表1'!$A$3:$B$74,2,FALSE)</f>
        <v>#ERROR!</v>
      </c>
      <c r="AE71" s="24" t="str">
        <f>VLOOKUP('北段 (人資版)'!AE72,'工作表1'!$A$3:$B$74,2,FALSE)</f>
        <v>#ERROR!</v>
      </c>
      <c r="AF71" s="24" t="str">
        <f>VLOOKUP('北段 (人資版)'!AF72,'工作表1'!$A$3:$B$74,2,FALSE)</f>
        <v>#ERROR!</v>
      </c>
      <c r="AG71" s="24" t="str">
        <f>VLOOKUP('北段 (人資版)'!AG72,'工作表1'!$A$3:$B$74,2,FALSE)</f>
        <v>#ERROR!</v>
      </c>
      <c r="AH71" s="24" t="str">
        <f>VLOOKUP('北段 (人資版)'!AH72,'工作表1'!$A$3:$B$74,2,FALSE)</f>
        <v>#ERROR!</v>
      </c>
      <c r="AI71" s="24" t="str">
        <f>VLOOKUP('北段 (人資版)'!AI72,'工作表1'!$A$3:$B$74,2,FALSE)</f>
        <v>#ERROR!</v>
      </c>
      <c r="AJ71" s="24" t="str">
        <f>VLOOKUP('北段 (人資版)'!AJ72,'工作表1'!$A$3:$B$74,2,FALSE)</f>
        <v>#ERROR!</v>
      </c>
      <c r="AK71" s="24" t="str">
        <f>VLOOKUP('北段 (人資版)'!AK72,'工作表1'!$A$3:$B$74,2,FALSE)</f>
        <v>#ERROR!</v>
      </c>
      <c r="AL71" s="24" t="str">
        <f>VLOOKUP('北段 (人資版)'!AL72,'工作表1'!$A$3:$B$74,2,FALSE)</f>
        <v>#ERROR!</v>
      </c>
    </row>
    <row r="72" ht="48.0" customHeight="1"/>
    <row r="73" ht="48.0" customHeight="1"/>
    <row r="74" ht="48.0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2:$AL$71"/>
  <mergeCells count="1">
    <mergeCell ref="A3:A12"/>
  </mergeCells>
  <conditionalFormatting sqref="D3:AL71">
    <cfRule type="expression" dxfId="4" priority="1">
      <formula>ISERROR(D3)</formula>
    </cfRule>
  </conditionalFormatting>
  <printOptions/>
  <pageMargins bottom="0.7480314960629921" footer="0.0" header="0.0" left="0.7086614173228347" right="0.7086614173228347" top="0.7480314960629921"/>
  <pageSetup paperSize="8" orientation="landscape"/>
  <headerFooter>
    <oddHeader>&amp;C桃園捷運公司 運務處站務中心 110年6月員工輪值表(北段)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8.33"/>
    <col customWidth="1" min="3" max="26" width="6.89"/>
  </cols>
  <sheetData>
    <row r="1" ht="16.5" customHeight="1">
      <c r="B1" s="147" t="s">
        <v>97</v>
      </c>
      <c r="C1" s="148">
        <v>2025.0</v>
      </c>
      <c r="E1" s="149" t="s">
        <v>98</v>
      </c>
      <c r="F1" s="150"/>
      <c r="G1" s="151"/>
      <c r="H1" s="148">
        <v>8.0</v>
      </c>
    </row>
    <row r="2" ht="16.5" customHeight="1"/>
    <row r="3" ht="16.5" customHeight="1">
      <c r="A3" s="152" t="s">
        <v>99</v>
      </c>
      <c r="B3" s="152" t="s">
        <v>100</v>
      </c>
    </row>
    <row r="4" ht="16.5" customHeight="1">
      <c r="A4" s="152" t="s">
        <v>101</v>
      </c>
      <c r="B4" s="152" t="s">
        <v>100</v>
      </c>
    </row>
    <row r="5" ht="16.5" customHeight="1">
      <c r="A5" s="152" t="s">
        <v>102</v>
      </c>
      <c r="B5" s="152" t="s">
        <v>100</v>
      </c>
    </row>
    <row r="6" ht="16.5" customHeight="1">
      <c r="A6" s="152" t="s">
        <v>103</v>
      </c>
      <c r="B6" s="153" t="s">
        <v>104</v>
      </c>
    </row>
    <row r="7" ht="16.5" customHeight="1">
      <c r="A7" s="152" t="s">
        <v>105</v>
      </c>
      <c r="B7" s="153" t="s">
        <v>100</v>
      </c>
    </row>
    <row r="8" ht="16.5" customHeight="1">
      <c r="A8" s="152" t="s">
        <v>9</v>
      </c>
      <c r="B8" s="152" t="s">
        <v>106</v>
      </c>
    </row>
    <row r="9" ht="16.5" customHeight="1">
      <c r="A9" s="152" t="s">
        <v>107</v>
      </c>
      <c r="B9" s="152" t="s">
        <v>106</v>
      </c>
    </row>
    <row r="10" ht="16.5" customHeight="1">
      <c r="A10" s="152" t="s">
        <v>108</v>
      </c>
      <c r="B10" s="152" t="s">
        <v>106</v>
      </c>
    </row>
    <row r="11" ht="16.5" customHeight="1">
      <c r="A11" s="152" t="s">
        <v>109</v>
      </c>
      <c r="B11" s="152" t="s">
        <v>106</v>
      </c>
    </row>
    <row r="12" ht="16.5" customHeight="1">
      <c r="A12" s="152" t="s">
        <v>110</v>
      </c>
      <c r="B12" s="152" t="s">
        <v>106</v>
      </c>
    </row>
    <row r="13" ht="16.5" customHeight="1">
      <c r="A13" s="152" t="s">
        <v>111</v>
      </c>
      <c r="B13" s="152" t="s">
        <v>106</v>
      </c>
    </row>
    <row r="14" ht="16.5" customHeight="1">
      <c r="A14" s="152" t="s">
        <v>112</v>
      </c>
      <c r="B14" s="152" t="s">
        <v>106</v>
      </c>
    </row>
    <row r="15" ht="16.5" customHeight="1">
      <c r="A15" s="152" t="s">
        <v>113</v>
      </c>
      <c r="B15" s="152">
        <v>43.0</v>
      </c>
    </row>
    <row r="16" ht="16.5" customHeight="1">
      <c r="A16" s="152" t="s">
        <v>114</v>
      </c>
      <c r="B16" s="152">
        <v>31.0</v>
      </c>
    </row>
    <row r="17" ht="16.5" customHeight="1">
      <c r="A17" s="152" t="s">
        <v>115</v>
      </c>
      <c r="B17" s="152">
        <v>11.0</v>
      </c>
    </row>
    <row r="18" ht="16.5" customHeight="1">
      <c r="A18" s="152" t="s">
        <v>16</v>
      </c>
      <c r="B18" s="152">
        <v>38.0</v>
      </c>
    </row>
    <row r="19" ht="16.5" customHeight="1">
      <c r="A19" s="152" t="s">
        <v>116</v>
      </c>
      <c r="B19" s="152">
        <v>38.0</v>
      </c>
    </row>
    <row r="20" ht="16.5" customHeight="1">
      <c r="A20" s="152" t="s">
        <v>117</v>
      </c>
      <c r="B20" s="152">
        <v>38.0</v>
      </c>
    </row>
    <row r="21" ht="16.5" customHeight="1">
      <c r="A21" s="152" t="s">
        <v>118</v>
      </c>
      <c r="B21" s="152">
        <v>38.0</v>
      </c>
    </row>
    <row r="22" ht="16.5" customHeight="1">
      <c r="A22" s="152" t="s">
        <v>119</v>
      </c>
      <c r="B22" s="152">
        <v>38.0</v>
      </c>
    </row>
    <row r="23" ht="16.5" customHeight="1">
      <c r="A23" s="152" t="s">
        <v>120</v>
      </c>
      <c r="B23" s="152">
        <v>38.0</v>
      </c>
    </row>
    <row r="24" ht="16.5" customHeight="1">
      <c r="A24" s="152" t="s">
        <v>121</v>
      </c>
      <c r="B24" s="152">
        <v>38.0</v>
      </c>
    </row>
    <row r="25" ht="16.5" customHeight="1">
      <c r="A25" s="152" t="s">
        <v>122</v>
      </c>
      <c r="B25" s="152">
        <v>38.0</v>
      </c>
    </row>
    <row r="26" ht="18.75" customHeight="1">
      <c r="A26" s="152" t="s">
        <v>68</v>
      </c>
      <c r="B26" s="152">
        <v>38.0</v>
      </c>
    </row>
    <row r="27" ht="18.75" customHeight="1">
      <c r="A27" s="152" t="s">
        <v>123</v>
      </c>
      <c r="B27" s="152">
        <v>43.0</v>
      </c>
    </row>
    <row r="28" ht="18.75" customHeight="1">
      <c r="A28" s="152" t="s">
        <v>124</v>
      </c>
      <c r="B28" s="152">
        <v>43.0</v>
      </c>
    </row>
    <row r="29" ht="16.5" customHeight="1">
      <c r="A29" s="152" t="s">
        <v>17</v>
      </c>
      <c r="B29" s="152">
        <v>66.0</v>
      </c>
    </row>
    <row r="30" ht="16.5" customHeight="1">
      <c r="A30" s="152" t="s">
        <v>125</v>
      </c>
      <c r="B30" s="152">
        <v>66.0</v>
      </c>
    </row>
    <row r="31" ht="16.5" customHeight="1">
      <c r="A31" s="152" t="s">
        <v>126</v>
      </c>
      <c r="B31" s="152">
        <v>66.0</v>
      </c>
    </row>
    <row r="32" ht="16.5" customHeight="1">
      <c r="A32" s="152" t="s">
        <v>127</v>
      </c>
      <c r="B32" s="152">
        <v>66.0</v>
      </c>
    </row>
    <row r="33" ht="15.0" customHeight="1">
      <c r="A33" s="152" t="s">
        <v>128</v>
      </c>
      <c r="B33" s="152">
        <v>66.0</v>
      </c>
    </row>
    <row r="34" ht="16.5" customHeight="1">
      <c r="A34" s="152" t="s">
        <v>129</v>
      </c>
      <c r="B34" s="152">
        <v>66.0</v>
      </c>
    </row>
    <row r="35" ht="16.5" customHeight="1">
      <c r="A35" s="153" t="s">
        <v>130</v>
      </c>
      <c r="B35" s="152">
        <v>22.0</v>
      </c>
    </row>
    <row r="36" ht="16.5" customHeight="1">
      <c r="A36" s="153" t="s">
        <v>131</v>
      </c>
      <c r="B36" s="152">
        <v>22.0</v>
      </c>
    </row>
    <row r="37" ht="16.5" customHeight="1">
      <c r="A37" s="153" t="s">
        <v>132</v>
      </c>
      <c r="B37" s="152">
        <v>22.0</v>
      </c>
    </row>
    <row r="38" ht="16.5" customHeight="1">
      <c r="A38" s="152" t="s">
        <v>133</v>
      </c>
      <c r="B38" s="152">
        <v>22.0</v>
      </c>
    </row>
    <row r="39" ht="16.5" customHeight="1">
      <c r="A39" s="152" t="s">
        <v>134</v>
      </c>
      <c r="B39" s="152">
        <v>66.0</v>
      </c>
    </row>
    <row r="40" ht="16.5" customHeight="1">
      <c r="A40" s="152" t="s">
        <v>69</v>
      </c>
      <c r="B40" s="152">
        <v>66.0</v>
      </c>
    </row>
    <row r="41" ht="16.5" customHeight="1">
      <c r="A41" s="152" t="s">
        <v>15</v>
      </c>
      <c r="B41" s="152">
        <v>70.0</v>
      </c>
    </row>
    <row r="42" ht="16.5" customHeight="1">
      <c r="A42" s="152" t="s">
        <v>135</v>
      </c>
      <c r="B42" s="152">
        <v>70.0</v>
      </c>
    </row>
    <row r="43" ht="16.5" customHeight="1">
      <c r="A43" s="152" t="s">
        <v>136</v>
      </c>
      <c r="B43" s="152">
        <v>70.0</v>
      </c>
    </row>
    <row r="44" ht="16.5" customHeight="1">
      <c r="A44" s="152" t="s">
        <v>137</v>
      </c>
      <c r="B44" s="152">
        <v>70.0</v>
      </c>
    </row>
    <row r="45" ht="16.5" customHeight="1">
      <c r="A45" s="152" t="s">
        <v>138</v>
      </c>
      <c r="B45" s="152">
        <v>70.0</v>
      </c>
    </row>
    <row r="46" ht="16.5" customHeight="1">
      <c r="A46" s="152" t="s">
        <v>139</v>
      </c>
      <c r="B46" s="152">
        <v>70.0</v>
      </c>
    </row>
    <row r="47" ht="16.5" customHeight="1">
      <c r="A47" s="152" t="s">
        <v>70</v>
      </c>
      <c r="B47" s="152">
        <v>70.0</v>
      </c>
    </row>
    <row r="48" ht="16.5" customHeight="1">
      <c r="A48" s="152" t="s">
        <v>140</v>
      </c>
      <c r="B48" s="152">
        <v>67.0</v>
      </c>
    </row>
    <row r="49" ht="15.75" customHeight="1">
      <c r="A49" s="152" t="s">
        <v>141</v>
      </c>
      <c r="B49" s="152" t="s">
        <v>142</v>
      </c>
      <c r="J49" s="154"/>
      <c r="K49" s="154"/>
      <c r="L49" s="154"/>
      <c r="M49" s="154"/>
      <c r="N49" s="154"/>
      <c r="O49" s="154"/>
      <c r="P49" s="154"/>
      <c r="Q49" s="154"/>
    </row>
    <row r="50" ht="15.75" customHeight="1">
      <c r="A50" s="152" t="s">
        <v>143</v>
      </c>
      <c r="B50" s="152" t="s">
        <v>144</v>
      </c>
      <c r="J50" s="154"/>
      <c r="K50" s="154"/>
      <c r="L50" s="154"/>
      <c r="M50" s="154"/>
      <c r="N50" s="154"/>
      <c r="O50" s="154"/>
      <c r="P50" s="154"/>
      <c r="Q50" s="154"/>
    </row>
    <row r="51" ht="16.5" customHeight="1">
      <c r="A51" s="152" t="s">
        <v>18</v>
      </c>
      <c r="B51" s="152" t="s">
        <v>106</v>
      </c>
    </row>
    <row r="52" ht="16.5" customHeight="1">
      <c r="A52" s="152" t="s">
        <v>6</v>
      </c>
      <c r="B52" s="152">
        <v>90.0</v>
      </c>
    </row>
    <row r="53" ht="15.75" customHeight="1">
      <c r="A53" s="152" t="s">
        <v>10</v>
      </c>
      <c r="B53" s="152">
        <v>91.0</v>
      </c>
      <c r="J53" s="154"/>
      <c r="K53" s="154"/>
      <c r="L53" s="154"/>
      <c r="M53" s="154"/>
      <c r="N53" s="154"/>
      <c r="O53" s="154"/>
      <c r="P53" s="154"/>
      <c r="Q53" s="154"/>
    </row>
    <row r="54" ht="15.75" customHeight="1">
      <c r="A54" s="152" t="s">
        <v>13</v>
      </c>
      <c r="B54" s="152">
        <v>92.0</v>
      </c>
      <c r="J54" s="154"/>
      <c r="K54" s="154"/>
      <c r="L54" s="154"/>
      <c r="M54" s="154"/>
      <c r="N54" s="154"/>
      <c r="O54" s="154"/>
      <c r="P54" s="154"/>
      <c r="Q54" s="154"/>
    </row>
    <row r="55" ht="15.75" customHeight="1">
      <c r="A55" s="152" t="s">
        <v>145</v>
      </c>
      <c r="B55" s="152">
        <v>92.0</v>
      </c>
      <c r="J55" s="154"/>
      <c r="K55" s="154"/>
      <c r="L55" s="154"/>
      <c r="M55" s="154"/>
      <c r="N55" s="154"/>
      <c r="O55" s="154"/>
      <c r="P55" s="154"/>
      <c r="Q55" s="154"/>
    </row>
    <row r="56" ht="15.75" customHeight="1">
      <c r="A56" s="152" t="s">
        <v>146</v>
      </c>
      <c r="B56" s="152">
        <v>92.0</v>
      </c>
      <c r="J56" s="154"/>
      <c r="K56" s="154"/>
      <c r="L56" s="154"/>
      <c r="M56" s="154"/>
      <c r="N56" s="154"/>
      <c r="O56" s="154"/>
      <c r="P56" s="154"/>
      <c r="Q56" s="154"/>
    </row>
    <row r="57" ht="15.75" customHeight="1">
      <c r="A57" s="152" t="s">
        <v>147</v>
      </c>
      <c r="B57" s="152">
        <v>92.0</v>
      </c>
      <c r="J57" s="154"/>
      <c r="K57" s="154"/>
      <c r="L57" s="154"/>
      <c r="M57" s="154"/>
      <c r="N57" s="154"/>
      <c r="O57" s="154"/>
      <c r="P57" s="154"/>
      <c r="Q57" s="154"/>
    </row>
    <row r="58" ht="15.75" customHeight="1">
      <c r="A58" s="152" t="s">
        <v>148</v>
      </c>
      <c r="B58" s="152">
        <v>92.0</v>
      </c>
      <c r="J58" s="154"/>
      <c r="K58" s="154"/>
      <c r="L58" s="154"/>
      <c r="M58" s="154"/>
      <c r="N58" s="154"/>
      <c r="O58" s="154"/>
      <c r="P58" s="154"/>
      <c r="Q58" s="154"/>
    </row>
    <row r="59" ht="15.75" customHeight="1">
      <c r="A59" s="152" t="s">
        <v>149</v>
      </c>
      <c r="B59" s="152">
        <v>92.0</v>
      </c>
      <c r="J59" s="154"/>
      <c r="K59" s="154"/>
      <c r="L59" s="154"/>
      <c r="M59" s="154"/>
      <c r="N59" s="154"/>
      <c r="O59" s="154"/>
      <c r="P59" s="154"/>
      <c r="Q59" s="154"/>
    </row>
    <row r="60" ht="15.75" customHeight="1">
      <c r="A60" s="152" t="s">
        <v>150</v>
      </c>
      <c r="B60" s="152">
        <v>92.0</v>
      </c>
      <c r="J60" s="154"/>
      <c r="K60" s="154"/>
      <c r="L60" s="154"/>
      <c r="M60" s="154"/>
      <c r="N60" s="154"/>
      <c r="O60" s="154"/>
      <c r="P60" s="154"/>
      <c r="Q60" s="154"/>
    </row>
    <row r="61" ht="15.75" customHeight="1">
      <c r="A61" s="152" t="s">
        <v>151</v>
      </c>
      <c r="B61" s="152">
        <v>92.0</v>
      </c>
      <c r="J61" s="154"/>
      <c r="K61" s="154"/>
      <c r="L61" s="154"/>
      <c r="M61" s="154"/>
      <c r="N61" s="154"/>
      <c r="O61" s="154"/>
      <c r="P61" s="154"/>
      <c r="Q61" s="154"/>
    </row>
    <row r="62" ht="15.75" customHeight="1">
      <c r="A62" s="152" t="s">
        <v>152</v>
      </c>
      <c r="B62" s="152">
        <v>92.0</v>
      </c>
      <c r="J62" s="154"/>
      <c r="K62" s="154"/>
      <c r="L62" s="154"/>
      <c r="M62" s="154"/>
      <c r="N62" s="154"/>
      <c r="O62" s="154"/>
      <c r="P62" s="154"/>
      <c r="Q62" s="154"/>
    </row>
    <row r="63" ht="15.75" customHeight="1">
      <c r="A63" s="152" t="s">
        <v>153</v>
      </c>
      <c r="B63" s="152">
        <v>92.0</v>
      </c>
      <c r="J63" s="154"/>
      <c r="K63" s="154"/>
      <c r="L63" s="154"/>
      <c r="M63" s="154"/>
      <c r="N63" s="154"/>
      <c r="O63" s="154"/>
      <c r="P63" s="154"/>
      <c r="Q63" s="154"/>
    </row>
    <row r="64" ht="15.75" customHeight="1">
      <c r="A64" s="152" t="s">
        <v>154</v>
      </c>
      <c r="B64" s="152" t="s">
        <v>155</v>
      </c>
      <c r="J64" s="154"/>
      <c r="K64" s="154"/>
      <c r="L64" s="154"/>
      <c r="M64" s="154"/>
      <c r="N64" s="154"/>
      <c r="O64" s="154"/>
      <c r="P64" s="154"/>
      <c r="Q64" s="154"/>
    </row>
    <row r="65" ht="15.75" customHeight="1">
      <c r="A65" s="152" t="s">
        <v>156</v>
      </c>
      <c r="B65" s="152" t="s">
        <v>155</v>
      </c>
      <c r="J65" s="154"/>
      <c r="K65" s="154"/>
      <c r="L65" s="154"/>
      <c r="M65" s="154"/>
      <c r="N65" s="154"/>
      <c r="O65" s="154"/>
      <c r="P65" s="154"/>
      <c r="Q65" s="154"/>
    </row>
    <row r="66" ht="15.75" customHeight="1">
      <c r="A66" s="152" t="s">
        <v>157</v>
      </c>
      <c r="B66" s="152" t="s">
        <v>155</v>
      </c>
      <c r="J66" s="154"/>
      <c r="K66" s="154"/>
      <c r="L66" s="154"/>
      <c r="M66" s="154"/>
      <c r="N66" s="154"/>
      <c r="O66" s="154"/>
      <c r="P66" s="154"/>
      <c r="Q66" s="154"/>
    </row>
    <row r="67" ht="15.75" customHeight="1">
      <c r="A67" s="152" t="s">
        <v>158</v>
      </c>
      <c r="B67" s="152" t="s">
        <v>155</v>
      </c>
      <c r="J67" s="154"/>
      <c r="K67" s="154"/>
      <c r="L67" s="154"/>
      <c r="M67" s="154"/>
      <c r="N67" s="154"/>
      <c r="O67" s="154"/>
      <c r="P67" s="154"/>
      <c r="Q67" s="154"/>
    </row>
    <row r="68" ht="15.75" customHeight="1">
      <c r="A68" s="152" t="s">
        <v>159</v>
      </c>
      <c r="B68" s="152" t="s">
        <v>155</v>
      </c>
      <c r="J68" s="154"/>
      <c r="K68" s="154"/>
      <c r="L68" s="154"/>
      <c r="M68" s="154"/>
      <c r="N68" s="154"/>
      <c r="O68" s="154"/>
      <c r="P68" s="154"/>
      <c r="Q68" s="154"/>
    </row>
    <row r="69" ht="15.75" customHeight="1">
      <c r="A69" s="152" t="s">
        <v>160</v>
      </c>
      <c r="B69" s="152" t="s">
        <v>155</v>
      </c>
      <c r="J69" s="154"/>
      <c r="K69" s="154"/>
      <c r="L69" s="154"/>
      <c r="M69" s="154"/>
      <c r="N69" s="154"/>
      <c r="O69" s="154"/>
      <c r="P69" s="154"/>
      <c r="Q69" s="154"/>
    </row>
    <row r="70" ht="15.75" customHeight="1">
      <c r="A70" s="152" t="s">
        <v>161</v>
      </c>
      <c r="B70" s="152" t="s">
        <v>162</v>
      </c>
      <c r="J70" s="154"/>
      <c r="K70" s="154"/>
      <c r="L70" s="154"/>
      <c r="M70" s="154"/>
      <c r="N70" s="154"/>
      <c r="O70" s="154"/>
      <c r="P70" s="154"/>
      <c r="Q70" s="154"/>
    </row>
    <row r="71" ht="15.75" customHeight="1">
      <c r="J71" s="154"/>
      <c r="K71" s="154"/>
      <c r="L71" s="154"/>
      <c r="M71" s="154"/>
      <c r="N71" s="154"/>
      <c r="O71" s="154"/>
      <c r="P71" s="154"/>
      <c r="Q71" s="154"/>
    </row>
    <row r="72" ht="15.75" customHeight="1">
      <c r="J72" s="154"/>
      <c r="K72" s="154"/>
      <c r="L72" s="154"/>
      <c r="M72" s="154"/>
      <c r="N72" s="154"/>
      <c r="O72" s="154"/>
      <c r="P72" s="154"/>
      <c r="Q72" s="154"/>
    </row>
    <row r="73" ht="15.75" customHeight="1"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</row>
    <row r="74" ht="15.75" customHeight="1"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</row>
    <row r="75" ht="15.75" customHeight="1"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</row>
    <row r="76" ht="15.75" customHeight="1"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</row>
    <row r="77" ht="15.75" customHeight="1"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</row>
    <row r="78" ht="15.75" customHeight="1"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</row>
    <row r="79" ht="15.75" customHeight="1"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</row>
    <row r="80" ht="15.75" customHeight="1">
      <c r="E80" s="154"/>
      <c r="F80" s="154"/>
      <c r="G80" s="154"/>
      <c r="H80" s="154"/>
      <c r="I80" s="154"/>
      <c r="J80" s="154"/>
      <c r="K80" s="154"/>
      <c r="L80" s="154"/>
    </row>
    <row r="81" ht="15.75" customHeight="1">
      <c r="E81" s="154"/>
      <c r="F81" s="154"/>
      <c r="G81" s="154"/>
      <c r="H81" s="154"/>
      <c r="I81" s="154"/>
      <c r="J81" s="154"/>
      <c r="K81" s="154"/>
      <c r="L81" s="154"/>
    </row>
    <row r="82" ht="15.75" customHeight="1">
      <c r="E82" s="154"/>
      <c r="F82" s="154"/>
      <c r="G82" s="154"/>
      <c r="H82" s="154"/>
      <c r="I82" s="154"/>
      <c r="J82" s="154"/>
      <c r="K82" s="154"/>
      <c r="L82" s="154"/>
    </row>
    <row r="83" ht="15.75" customHeight="1">
      <c r="E83" s="154"/>
      <c r="F83" s="154"/>
      <c r="G83" s="154"/>
      <c r="H83" s="154"/>
      <c r="I83" s="154"/>
      <c r="J83" s="154"/>
      <c r="K83" s="154"/>
      <c r="L83" s="154"/>
    </row>
    <row r="84" ht="15.75" customHeight="1">
      <c r="E84" s="154"/>
      <c r="F84" s="154"/>
      <c r="G84" s="154"/>
      <c r="H84" s="154"/>
      <c r="I84" s="154"/>
      <c r="J84" s="154"/>
      <c r="K84" s="154"/>
      <c r="L84" s="154"/>
    </row>
    <row r="85" ht="15.75" customHeight="1">
      <c r="E85" s="154"/>
      <c r="F85" s="154"/>
      <c r="G85" s="154"/>
      <c r="H85" s="154"/>
      <c r="I85" s="154"/>
      <c r="J85" s="154"/>
      <c r="K85" s="154"/>
      <c r="L85" s="154"/>
    </row>
    <row r="86" ht="15.75" customHeight="1">
      <c r="E86" s="154"/>
      <c r="F86" s="154"/>
      <c r="G86" s="154"/>
      <c r="H86" s="154"/>
      <c r="I86" s="154"/>
      <c r="J86" s="154"/>
      <c r="K86" s="154"/>
      <c r="L86" s="154"/>
    </row>
    <row r="87" ht="15.75" customHeight="1">
      <c r="E87" s="154"/>
      <c r="F87" s="154"/>
      <c r="G87" s="154"/>
      <c r="H87" s="154"/>
      <c r="I87" s="154"/>
      <c r="J87" s="154"/>
      <c r="K87" s="154"/>
      <c r="L87" s="154"/>
    </row>
    <row r="88" ht="15.75" customHeight="1">
      <c r="E88" s="154"/>
      <c r="F88" s="154"/>
      <c r="G88" s="154"/>
      <c r="H88" s="154"/>
      <c r="I88" s="154"/>
      <c r="J88" s="154"/>
      <c r="K88" s="154"/>
      <c r="L88" s="154"/>
    </row>
    <row r="89" ht="15.75" customHeight="1">
      <c r="E89" s="154"/>
      <c r="F89" s="154"/>
      <c r="G89" s="154"/>
      <c r="H89" s="154"/>
      <c r="I89" s="154"/>
      <c r="J89" s="154"/>
      <c r="K89" s="154"/>
      <c r="L89" s="154"/>
    </row>
    <row r="90" ht="16.5" customHeight="1">
      <c r="E90" s="154"/>
      <c r="F90" s="154"/>
      <c r="G90" s="154"/>
      <c r="H90" s="154"/>
      <c r="I90" s="154"/>
      <c r="J90" s="154"/>
      <c r="K90" s="154"/>
      <c r="L90" s="154"/>
    </row>
    <row r="91" ht="16.5" customHeight="1">
      <c r="E91" s="154"/>
      <c r="F91" s="154"/>
      <c r="G91" s="154"/>
      <c r="H91" s="154"/>
      <c r="I91" s="154"/>
      <c r="J91" s="154"/>
      <c r="K91" s="154"/>
      <c r="L91" s="154"/>
    </row>
    <row r="92" ht="16.5" customHeight="1">
      <c r="E92" s="154"/>
      <c r="F92" s="154"/>
      <c r="G92" s="154"/>
      <c r="H92" s="154"/>
      <c r="I92" s="154"/>
      <c r="J92" s="154"/>
      <c r="K92" s="154"/>
      <c r="L92" s="154"/>
    </row>
    <row r="93" ht="16.5" customHeight="1">
      <c r="E93" s="154"/>
      <c r="F93" s="154"/>
      <c r="G93" s="154"/>
      <c r="H93" s="154"/>
      <c r="I93" s="154"/>
      <c r="J93" s="154"/>
      <c r="K93" s="154"/>
      <c r="L93" s="154"/>
    </row>
    <row r="94" ht="16.5" customHeight="1"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</row>
    <row r="95" ht="16.5" customHeight="1"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</row>
    <row r="96" ht="16.5" customHeight="1"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</row>
    <row r="97" ht="16.5" customHeight="1"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</row>
    <row r="98" ht="16.5" customHeight="1"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</row>
    <row r="99" ht="16.5" customHeight="1"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</row>
    <row r="100" ht="16.5" customHeight="1"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</row>
    <row r="101" ht="16.5" customHeight="1"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</row>
    <row r="102" ht="16.5" customHeight="1"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</row>
    <row r="103" ht="16.5" customHeight="1"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</row>
    <row r="104" ht="16.5" customHeight="1"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</row>
    <row r="105" ht="16.5" customHeight="1"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</row>
    <row r="106" ht="16.5" customHeight="1"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</row>
    <row r="107" ht="16.5" customHeight="1"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</row>
    <row r="108" ht="16.5" customHeight="1"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</row>
    <row r="109" ht="16.5" customHeight="1"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</row>
    <row r="110" ht="16.5" customHeight="1"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</row>
    <row r="111" ht="16.5" customHeight="1"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</row>
    <row r="112" ht="16.5" customHeight="1"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</row>
    <row r="113" ht="16.5" customHeight="1"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</row>
    <row r="114" ht="16.5" customHeight="1"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</row>
    <row r="115" ht="16.5" customHeight="1"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</row>
    <row r="116" ht="16.5" customHeight="1"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</row>
    <row r="117" ht="16.5" customHeight="1"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</row>
    <row r="118" ht="16.5" customHeight="1"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</row>
    <row r="119" ht="16.5" customHeight="1"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</row>
    <row r="120" ht="16.5" customHeight="1"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</row>
    <row r="121" ht="16.5" customHeight="1"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</row>
    <row r="122" ht="16.5" customHeight="1"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</row>
    <row r="123" ht="16.5" customHeight="1"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</row>
    <row r="124" ht="16.5" customHeight="1"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</row>
    <row r="125" ht="16.5" customHeight="1"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</row>
    <row r="126" ht="16.5" customHeight="1"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</row>
    <row r="127" ht="16.5" customHeight="1"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</row>
    <row r="128" ht="16.5" customHeight="1"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</row>
    <row r="129" ht="16.5" customHeight="1"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</row>
    <row r="130" ht="16.5" customHeight="1"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</row>
    <row r="131" ht="16.5" customHeight="1"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</row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E1:G1"/>
  </mergeCells>
  <printOptions/>
  <pageMargins bottom="0.75" footer="0.0" header="0.0" left="0.7" right="0.7" top="0.75"/>
  <pageSetup paperSize="9" orientation="portrait"/>
  <drawing r:id="rId1"/>
</worksheet>
</file>