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02363\Documents\shiftsceduler\imorexport\"/>
    </mc:Choice>
  </mc:AlternateContent>
  <xr:revisionPtr revIDLastSave="0" documentId="13_ncr:1_{821AD94F-0ADE-4E56-A395-F5855B0CD9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北段" sheetId="4" r:id="rId1"/>
    <sheet name="北段 (人資版)" sheetId="9" r:id="rId2"/>
    <sheet name="北段(八周檢核代碼" sheetId="5" r:id="rId3"/>
    <sheet name="工作表1" sheetId="6" r:id="rId4"/>
    <sheet name="工作表2" sheetId="11" r:id="rId5"/>
  </sheets>
  <externalReferences>
    <externalReference r:id="rId6"/>
  </externalReferences>
  <definedNames>
    <definedName name="_xlnm._FilterDatabase" localSheetId="0" hidden="1">北段!$A$2:$BT$30</definedName>
    <definedName name="_xlnm._FilterDatabase" localSheetId="1" hidden="1">'北段 (人資版)'!$A$2:$Z$70</definedName>
    <definedName name="_xlnm._FilterDatabase" localSheetId="2" hidden="1">'北段(八周檢核代碼'!$A$2:$AG$73</definedName>
    <definedName name="_xlnm.Print_Area" localSheetId="0">北段!$A$1:$BW$40</definedName>
    <definedName name="_xlnm.Print_Area" localSheetId="1">'北段 (人資版)'!$A$1:$Z$70</definedName>
    <definedName name="_xlnm.Print_Area" localSheetId="2">'北段(八周檢核代碼'!$A$1:$AH$83</definedName>
    <definedName name="Z_BD804FFF_0FA6_4DDB_B9D5_07B1854E6033_.wvu.FilterData" localSheetId="0" hidden="1">北段!$A$2:$BO$30</definedName>
    <definedName name="Z_BD804FFF_0FA6_4DDB_B9D5_07B1854E6033_.wvu.FilterData" localSheetId="1" hidden="1">'北段 (人資版)'!$A$2:$Z$70</definedName>
    <definedName name="Z_BD804FFF_0FA6_4DDB_B9D5_07B1854E6033_.wvu.FilterData" localSheetId="2" hidden="1">'北段(八周檢核代碼'!$A$2:$AG$68</definedName>
    <definedName name="Z_BD804FFF_0FA6_4DDB_B9D5_07B1854E6033_.wvu.PrintArea" localSheetId="0" hidden="1">北段!$A$1:$BM$41</definedName>
    <definedName name="Z_BD804FFF_0FA6_4DDB_B9D5_07B1854E6033_.wvu.PrintArea" localSheetId="1" hidden="1">'北段 (人資版)'!$A$1:$Z$70</definedName>
    <definedName name="Z_BD804FFF_0FA6_4DDB_B9D5_07B1854E6033_.wvu.PrintArea" localSheetId="2" hidden="1">'北段(八周檢核代碼'!$A$1:$AG$68</definedName>
    <definedName name="Z_BD804FFF_0FA6_4DDB_B9D5_07B1854E6033_.wvu.Rows" localSheetId="0" hidden="1">北段!#REF!</definedName>
    <definedName name="Z_BD804FFF_0FA6_4DDB_B9D5_07B1854E6033_.wvu.Rows" localSheetId="1" hidden="1">'北段 (人資版)'!#REF!</definedName>
    <definedName name="Z_BD804FFF_0FA6_4DDB_B9D5_07B1854E6033_.wvu.Rows" localSheetId="2" hidden="1">'北段(八周檢核代碼'!#REF!</definedName>
  </definedNames>
  <calcPr calcId="191029"/>
  <customWorkbookViews>
    <customWorkbookView name="吳婉婷 - 個人檢視畫面" guid="{BD804FFF-0FA6-4DDB-B9D5-07B1854E6033}" mergeInterval="0" personalView="1" maximized="1" windowWidth="1916" windowHeight="84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" i="9" l="1"/>
  <c r="D27" i="9"/>
  <c r="D28" i="9"/>
  <c r="D29" i="9"/>
  <c r="D29" i="5" s="1"/>
  <c r="D30" i="9"/>
  <c r="D31" i="9"/>
  <c r="D32" i="9"/>
  <c r="D32" i="5" s="1"/>
  <c r="D33" i="9"/>
  <c r="D33" i="5" s="1"/>
  <c r="D34" i="9"/>
  <c r="D34" i="5" s="1"/>
  <c r="D35" i="9"/>
  <c r="D35" i="5" s="1"/>
  <c r="D36" i="9"/>
  <c r="D36" i="5" s="1"/>
  <c r="D37" i="9"/>
  <c r="D37" i="5" s="1"/>
  <c r="D38" i="9"/>
  <c r="D38" i="5" s="1"/>
  <c r="D14" i="9"/>
  <c r="D14" i="5" s="1"/>
  <c r="D15" i="9"/>
  <c r="D15" i="5" s="1"/>
  <c r="D16" i="9"/>
  <c r="D16" i="5" s="1"/>
  <c r="D17" i="9"/>
  <c r="D17" i="5" s="1"/>
  <c r="D18" i="9"/>
  <c r="D18" i="5" s="1"/>
  <c r="D19" i="9"/>
  <c r="D19" i="5" s="1"/>
  <c r="D20" i="9"/>
  <c r="D20" i="5" s="1"/>
  <c r="D21" i="9"/>
  <c r="D21" i="5" s="1"/>
  <c r="D22" i="9"/>
  <c r="D22" i="5" s="1"/>
  <c r="D23" i="9"/>
  <c r="D23" i="5" s="1"/>
  <c r="D24" i="9"/>
  <c r="D24" i="5" s="1"/>
  <c r="D25" i="9"/>
  <c r="D25" i="5" s="1"/>
  <c r="D26" i="9"/>
  <c r="D26" i="5" s="1"/>
  <c r="D28" i="5"/>
  <c r="D13" i="9"/>
  <c r="D13" i="5" s="1"/>
  <c r="D27" i="5"/>
  <c r="D30" i="5"/>
  <c r="D31" i="5"/>
  <c r="D63" i="5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/>
  <c r="B59" i="5"/>
  <c r="C59" i="5" s="1"/>
  <c r="B60" i="5"/>
  <c r="C60" i="5" s="1"/>
  <c r="B61" i="5"/>
  <c r="C61" i="5" s="1"/>
  <c r="B62" i="5"/>
  <c r="C62" i="5" s="1"/>
  <c r="B63" i="5"/>
  <c r="C63" i="5"/>
  <c r="B64" i="5"/>
  <c r="C64" i="5" s="1"/>
  <c r="B65" i="5"/>
  <c r="C65" i="5" s="1"/>
  <c r="B66" i="5"/>
  <c r="C66" i="5" s="1"/>
  <c r="B67" i="5"/>
  <c r="C67" i="5" s="1"/>
  <c r="B68" i="5"/>
  <c r="C68" i="5"/>
  <c r="B69" i="5"/>
  <c r="C69" i="5" s="1"/>
  <c r="B70" i="5"/>
  <c r="C70" i="5" s="1"/>
  <c r="B71" i="5"/>
  <c r="C71" i="5" s="1"/>
  <c r="B72" i="5"/>
  <c r="C72" i="5" s="1"/>
  <c r="B73" i="5"/>
  <c r="C73" i="5" s="1"/>
  <c r="B74" i="5"/>
  <c r="C74" i="5" s="1"/>
  <c r="B75" i="5"/>
  <c r="C75" i="5" s="1"/>
  <c r="B76" i="5"/>
  <c r="C76" i="5" s="1"/>
  <c r="I6" i="9"/>
  <c r="I6" i="5" s="1"/>
  <c r="D4" i="9"/>
  <c r="D4" i="5" s="1"/>
  <c r="E4" i="9"/>
  <c r="E4" i="5" s="1"/>
  <c r="F4" i="9"/>
  <c r="F4" i="5" s="1"/>
  <c r="G4" i="9"/>
  <c r="G4" i="5" s="1"/>
  <c r="H4" i="9"/>
  <c r="H4" i="5" s="1"/>
  <c r="I4" i="9"/>
  <c r="I4" i="5" s="1"/>
  <c r="J4" i="9"/>
  <c r="J4" i="5" s="1"/>
  <c r="K4" i="9"/>
  <c r="K4" i="5" s="1"/>
  <c r="L4" i="9"/>
  <c r="L4" i="5" s="1"/>
  <c r="M4" i="9"/>
  <c r="M4" i="5" s="1"/>
  <c r="N4" i="9"/>
  <c r="N4" i="5" s="1"/>
  <c r="O4" i="9"/>
  <c r="O4" i="5" s="1"/>
  <c r="P4" i="9"/>
  <c r="P4" i="5" s="1"/>
  <c r="Q4" i="9"/>
  <c r="Q4" i="5" s="1"/>
  <c r="R4" i="9"/>
  <c r="R4" i="5" s="1"/>
  <c r="S4" i="9"/>
  <c r="S4" i="5" s="1"/>
  <c r="T4" i="9"/>
  <c r="T4" i="5" s="1"/>
  <c r="U4" i="9"/>
  <c r="U4" i="5" s="1"/>
  <c r="V4" i="9"/>
  <c r="V4" i="5" s="1"/>
  <c r="W4" i="9"/>
  <c r="W4" i="5" s="1"/>
  <c r="X4" i="9"/>
  <c r="X4" i="5" s="1"/>
  <c r="Y4" i="9"/>
  <c r="Y4" i="5" s="1"/>
  <c r="Z4" i="9"/>
  <c r="Z4" i="5" s="1"/>
  <c r="AA4" i="9"/>
  <c r="AA4" i="5" s="1"/>
  <c r="AB4" i="9"/>
  <c r="AB4" i="5" s="1"/>
  <c r="AC4" i="9"/>
  <c r="AC4" i="5" s="1"/>
  <c r="AD4" i="9"/>
  <c r="AD4" i="5" s="1"/>
  <c r="AE4" i="9"/>
  <c r="AE4" i="5" s="1"/>
  <c r="AF4" i="9"/>
  <c r="AF4" i="5" s="1"/>
  <c r="AG4" i="9"/>
  <c r="AG4" i="5" s="1"/>
  <c r="AH4" i="9"/>
  <c r="AH4" i="5" s="1"/>
  <c r="D5" i="9"/>
  <c r="D5" i="5" s="1"/>
  <c r="E5" i="9"/>
  <c r="E5" i="5" s="1"/>
  <c r="F5" i="9"/>
  <c r="F5" i="5" s="1"/>
  <c r="G5" i="9"/>
  <c r="G5" i="5" s="1"/>
  <c r="H5" i="9"/>
  <c r="H5" i="5" s="1"/>
  <c r="I5" i="9"/>
  <c r="I5" i="5" s="1"/>
  <c r="J5" i="9"/>
  <c r="J5" i="5" s="1"/>
  <c r="K5" i="9"/>
  <c r="K5" i="5" s="1"/>
  <c r="L5" i="9"/>
  <c r="L5" i="5" s="1"/>
  <c r="M5" i="9"/>
  <c r="M5" i="5" s="1"/>
  <c r="N5" i="9"/>
  <c r="N5" i="5" s="1"/>
  <c r="O5" i="9"/>
  <c r="O5" i="5" s="1"/>
  <c r="P5" i="9"/>
  <c r="P5" i="5" s="1"/>
  <c r="Q5" i="9"/>
  <c r="Q5" i="5" s="1"/>
  <c r="R5" i="9"/>
  <c r="R5" i="5" s="1"/>
  <c r="S5" i="9"/>
  <c r="S5" i="5" s="1"/>
  <c r="T5" i="9"/>
  <c r="T5" i="5" s="1"/>
  <c r="U5" i="9"/>
  <c r="U5" i="5" s="1"/>
  <c r="V5" i="9"/>
  <c r="V5" i="5" s="1"/>
  <c r="W5" i="9"/>
  <c r="W5" i="5" s="1"/>
  <c r="X5" i="9"/>
  <c r="X5" i="5" s="1"/>
  <c r="Y5" i="9"/>
  <c r="Y5" i="5" s="1"/>
  <c r="Z5" i="9"/>
  <c r="Z5" i="5" s="1"/>
  <c r="AA5" i="9"/>
  <c r="AA5" i="5" s="1"/>
  <c r="AB5" i="9"/>
  <c r="AB5" i="5" s="1"/>
  <c r="AC5" i="9"/>
  <c r="AC5" i="5" s="1"/>
  <c r="AD5" i="9"/>
  <c r="AD5" i="5" s="1"/>
  <c r="AE5" i="9"/>
  <c r="AE5" i="5" s="1"/>
  <c r="AF5" i="9"/>
  <c r="AF5" i="5" s="1"/>
  <c r="AG5" i="9"/>
  <c r="AG5" i="5" s="1"/>
  <c r="AH5" i="9"/>
  <c r="AH5" i="5" s="1"/>
  <c r="D6" i="9"/>
  <c r="D6" i="5" s="1"/>
  <c r="E6" i="9"/>
  <c r="E6" i="5" s="1"/>
  <c r="F6" i="9"/>
  <c r="F6" i="5" s="1"/>
  <c r="G6" i="9"/>
  <c r="G6" i="5" s="1"/>
  <c r="H6" i="9"/>
  <c r="H6" i="5" s="1"/>
  <c r="J6" i="9"/>
  <c r="J6" i="5" s="1"/>
  <c r="K6" i="9"/>
  <c r="K6" i="5" s="1"/>
  <c r="L6" i="9"/>
  <c r="L6" i="5" s="1"/>
  <c r="M6" i="9"/>
  <c r="M6" i="5" s="1"/>
  <c r="N6" i="9"/>
  <c r="N6" i="5" s="1"/>
  <c r="O6" i="9"/>
  <c r="O6" i="5" s="1"/>
  <c r="P6" i="9"/>
  <c r="P6" i="5" s="1"/>
  <c r="Q6" i="9"/>
  <c r="Q6" i="5" s="1"/>
  <c r="R6" i="9"/>
  <c r="R6" i="5" s="1"/>
  <c r="S6" i="9"/>
  <c r="S6" i="5" s="1"/>
  <c r="T6" i="9"/>
  <c r="T6" i="5" s="1"/>
  <c r="U6" i="9"/>
  <c r="U6" i="5" s="1"/>
  <c r="V6" i="9"/>
  <c r="V6" i="5" s="1"/>
  <c r="W6" i="9"/>
  <c r="W6" i="5" s="1"/>
  <c r="X6" i="9"/>
  <c r="X6" i="5" s="1"/>
  <c r="Y6" i="9"/>
  <c r="Y6" i="5" s="1"/>
  <c r="Z6" i="9"/>
  <c r="Z6" i="5" s="1"/>
  <c r="AA6" i="9"/>
  <c r="AA6" i="5" s="1"/>
  <c r="AB6" i="9"/>
  <c r="AB6" i="5" s="1"/>
  <c r="AC6" i="9"/>
  <c r="AC6" i="5" s="1"/>
  <c r="AD6" i="9"/>
  <c r="AD6" i="5" s="1"/>
  <c r="AE6" i="9"/>
  <c r="AE6" i="5" s="1"/>
  <c r="AF6" i="9"/>
  <c r="AF6" i="5" s="1"/>
  <c r="AG6" i="9"/>
  <c r="AG6" i="5" s="1"/>
  <c r="AH6" i="9"/>
  <c r="AH6" i="5" s="1"/>
  <c r="D7" i="9"/>
  <c r="D7" i="5" s="1"/>
  <c r="E7" i="9"/>
  <c r="E7" i="5" s="1"/>
  <c r="F7" i="9"/>
  <c r="F7" i="5" s="1"/>
  <c r="G7" i="9"/>
  <c r="G7" i="5" s="1"/>
  <c r="H7" i="9"/>
  <c r="H7" i="5" s="1"/>
  <c r="I7" i="9"/>
  <c r="I7" i="5" s="1"/>
  <c r="J7" i="9"/>
  <c r="J7" i="5" s="1"/>
  <c r="K7" i="9"/>
  <c r="K7" i="5" s="1"/>
  <c r="L7" i="9"/>
  <c r="L7" i="5" s="1"/>
  <c r="M7" i="9"/>
  <c r="M7" i="5" s="1"/>
  <c r="N7" i="9"/>
  <c r="N7" i="5" s="1"/>
  <c r="O7" i="9"/>
  <c r="O7" i="5" s="1"/>
  <c r="P7" i="9"/>
  <c r="P7" i="5" s="1"/>
  <c r="Q7" i="9"/>
  <c r="Q7" i="5" s="1"/>
  <c r="R7" i="9"/>
  <c r="R7" i="5" s="1"/>
  <c r="S7" i="9"/>
  <c r="S7" i="5" s="1"/>
  <c r="T7" i="9"/>
  <c r="T7" i="5" s="1"/>
  <c r="U7" i="9"/>
  <c r="U7" i="5" s="1"/>
  <c r="V7" i="9"/>
  <c r="V7" i="5" s="1"/>
  <c r="W7" i="9"/>
  <c r="W7" i="5" s="1"/>
  <c r="X7" i="9"/>
  <c r="X7" i="5" s="1"/>
  <c r="Y7" i="9"/>
  <c r="Y7" i="5" s="1"/>
  <c r="Z7" i="9"/>
  <c r="Z7" i="5" s="1"/>
  <c r="AA7" i="9"/>
  <c r="AA7" i="5" s="1"/>
  <c r="AB7" i="9"/>
  <c r="AB7" i="5" s="1"/>
  <c r="AC7" i="9"/>
  <c r="AC7" i="5" s="1"/>
  <c r="AD7" i="9"/>
  <c r="AD7" i="5" s="1"/>
  <c r="AE7" i="9"/>
  <c r="AE7" i="5" s="1"/>
  <c r="AF7" i="9"/>
  <c r="AF7" i="5" s="1"/>
  <c r="AG7" i="9"/>
  <c r="AG7" i="5" s="1"/>
  <c r="AH7" i="9"/>
  <c r="AH7" i="5" s="1"/>
  <c r="D8" i="9"/>
  <c r="D8" i="5" s="1"/>
  <c r="E8" i="9"/>
  <c r="E8" i="5" s="1"/>
  <c r="F8" i="9"/>
  <c r="F8" i="5" s="1"/>
  <c r="G8" i="9"/>
  <c r="G8" i="5" s="1"/>
  <c r="H8" i="9"/>
  <c r="H8" i="5" s="1"/>
  <c r="I8" i="9"/>
  <c r="I8" i="5" s="1"/>
  <c r="J8" i="9"/>
  <c r="J8" i="5" s="1"/>
  <c r="K8" i="9"/>
  <c r="K8" i="5" s="1"/>
  <c r="L8" i="9"/>
  <c r="L8" i="5" s="1"/>
  <c r="M8" i="9"/>
  <c r="M8" i="5" s="1"/>
  <c r="N8" i="9"/>
  <c r="N8" i="5" s="1"/>
  <c r="O8" i="9"/>
  <c r="O8" i="5" s="1"/>
  <c r="P8" i="9"/>
  <c r="P8" i="5" s="1"/>
  <c r="Q8" i="9"/>
  <c r="Q8" i="5" s="1"/>
  <c r="R8" i="9"/>
  <c r="R8" i="5" s="1"/>
  <c r="S8" i="9"/>
  <c r="S8" i="5" s="1"/>
  <c r="T8" i="9"/>
  <c r="T8" i="5" s="1"/>
  <c r="U8" i="9"/>
  <c r="U8" i="5" s="1"/>
  <c r="V8" i="9"/>
  <c r="V8" i="5" s="1"/>
  <c r="W8" i="9"/>
  <c r="W8" i="5" s="1"/>
  <c r="X8" i="9"/>
  <c r="X8" i="5" s="1"/>
  <c r="Y8" i="9"/>
  <c r="Y8" i="5" s="1"/>
  <c r="Z8" i="9"/>
  <c r="Z8" i="5" s="1"/>
  <c r="AA8" i="9"/>
  <c r="AA8" i="5" s="1"/>
  <c r="AB8" i="9"/>
  <c r="AB8" i="5" s="1"/>
  <c r="AC8" i="9"/>
  <c r="AC8" i="5" s="1"/>
  <c r="AD8" i="9"/>
  <c r="AD8" i="5" s="1"/>
  <c r="AE8" i="9"/>
  <c r="AE8" i="5" s="1"/>
  <c r="AF8" i="9"/>
  <c r="AF8" i="5" s="1"/>
  <c r="AG8" i="9"/>
  <c r="AG8" i="5" s="1"/>
  <c r="AH8" i="9"/>
  <c r="AH8" i="5" s="1"/>
  <c r="D9" i="9"/>
  <c r="D9" i="5" s="1"/>
  <c r="E9" i="9"/>
  <c r="E9" i="5" s="1"/>
  <c r="F9" i="9"/>
  <c r="F9" i="5" s="1"/>
  <c r="G9" i="9"/>
  <c r="G9" i="5" s="1"/>
  <c r="H9" i="9"/>
  <c r="H9" i="5" s="1"/>
  <c r="I9" i="9"/>
  <c r="I9" i="5" s="1"/>
  <c r="J9" i="9"/>
  <c r="J9" i="5" s="1"/>
  <c r="K9" i="9"/>
  <c r="K9" i="5" s="1"/>
  <c r="L9" i="9"/>
  <c r="L9" i="5" s="1"/>
  <c r="M9" i="9"/>
  <c r="M9" i="5" s="1"/>
  <c r="N9" i="9"/>
  <c r="N9" i="5" s="1"/>
  <c r="O9" i="9"/>
  <c r="O9" i="5" s="1"/>
  <c r="P9" i="9"/>
  <c r="P9" i="5" s="1"/>
  <c r="Q9" i="9"/>
  <c r="Q9" i="5" s="1"/>
  <c r="R9" i="9"/>
  <c r="R9" i="5" s="1"/>
  <c r="S9" i="9"/>
  <c r="S9" i="5" s="1"/>
  <c r="T9" i="9"/>
  <c r="T9" i="5" s="1"/>
  <c r="U9" i="9"/>
  <c r="U9" i="5" s="1"/>
  <c r="V9" i="9"/>
  <c r="V9" i="5" s="1"/>
  <c r="W9" i="9"/>
  <c r="W9" i="5" s="1"/>
  <c r="X9" i="9"/>
  <c r="X9" i="5" s="1"/>
  <c r="Y9" i="9"/>
  <c r="Y9" i="5" s="1"/>
  <c r="Z9" i="9"/>
  <c r="Z9" i="5" s="1"/>
  <c r="AA9" i="9"/>
  <c r="AA9" i="5" s="1"/>
  <c r="AB9" i="9"/>
  <c r="AB9" i="5" s="1"/>
  <c r="AC9" i="9"/>
  <c r="AC9" i="5" s="1"/>
  <c r="AD9" i="9"/>
  <c r="AD9" i="5" s="1"/>
  <c r="AE9" i="9"/>
  <c r="AE9" i="5" s="1"/>
  <c r="AF9" i="9"/>
  <c r="AF9" i="5" s="1"/>
  <c r="AG9" i="9"/>
  <c r="AG9" i="5" s="1"/>
  <c r="AH9" i="9"/>
  <c r="AH9" i="5" s="1"/>
  <c r="D10" i="9"/>
  <c r="D10" i="5" s="1"/>
  <c r="E10" i="9"/>
  <c r="E10" i="5" s="1"/>
  <c r="F10" i="9"/>
  <c r="F10" i="5" s="1"/>
  <c r="G10" i="9"/>
  <c r="G10" i="5" s="1"/>
  <c r="H10" i="9"/>
  <c r="H10" i="5" s="1"/>
  <c r="I10" i="9"/>
  <c r="I10" i="5" s="1"/>
  <c r="J10" i="9"/>
  <c r="J10" i="5" s="1"/>
  <c r="K10" i="9"/>
  <c r="K10" i="5" s="1"/>
  <c r="L10" i="9"/>
  <c r="L10" i="5" s="1"/>
  <c r="M10" i="9"/>
  <c r="M10" i="5" s="1"/>
  <c r="N10" i="9"/>
  <c r="N10" i="5" s="1"/>
  <c r="O10" i="9"/>
  <c r="O10" i="5" s="1"/>
  <c r="P10" i="9"/>
  <c r="P10" i="5" s="1"/>
  <c r="Q10" i="9"/>
  <c r="Q10" i="5" s="1"/>
  <c r="R10" i="9"/>
  <c r="R10" i="5" s="1"/>
  <c r="S10" i="9"/>
  <c r="S10" i="5" s="1"/>
  <c r="T10" i="9"/>
  <c r="T10" i="5" s="1"/>
  <c r="U10" i="9"/>
  <c r="U10" i="5" s="1"/>
  <c r="V10" i="9"/>
  <c r="V10" i="5" s="1"/>
  <c r="W10" i="9"/>
  <c r="W10" i="5" s="1"/>
  <c r="X10" i="9"/>
  <c r="X10" i="5" s="1"/>
  <c r="Y10" i="9"/>
  <c r="Y10" i="5" s="1"/>
  <c r="Z10" i="9"/>
  <c r="Z10" i="5" s="1"/>
  <c r="AA10" i="9"/>
  <c r="AA10" i="5" s="1"/>
  <c r="AB10" i="9"/>
  <c r="AB10" i="5" s="1"/>
  <c r="AC10" i="9"/>
  <c r="AC10" i="5" s="1"/>
  <c r="AD10" i="9"/>
  <c r="AD10" i="5" s="1"/>
  <c r="AE10" i="9"/>
  <c r="AE10" i="5" s="1"/>
  <c r="AF10" i="9"/>
  <c r="AF10" i="5" s="1"/>
  <c r="AG10" i="9"/>
  <c r="AG10" i="5" s="1"/>
  <c r="AH10" i="9"/>
  <c r="AH10" i="5" s="1"/>
  <c r="D11" i="9"/>
  <c r="D11" i="5" s="1"/>
  <c r="E11" i="9"/>
  <c r="E11" i="5" s="1"/>
  <c r="F11" i="9"/>
  <c r="F11" i="5" s="1"/>
  <c r="G11" i="9"/>
  <c r="G11" i="5" s="1"/>
  <c r="H11" i="9"/>
  <c r="H11" i="5" s="1"/>
  <c r="I11" i="9"/>
  <c r="I11" i="5" s="1"/>
  <c r="J11" i="9"/>
  <c r="J11" i="5" s="1"/>
  <c r="K11" i="9"/>
  <c r="K11" i="5" s="1"/>
  <c r="L11" i="9"/>
  <c r="L11" i="5" s="1"/>
  <c r="M11" i="9"/>
  <c r="M11" i="5" s="1"/>
  <c r="N11" i="9"/>
  <c r="N11" i="5" s="1"/>
  <c r="O11" i="9"/>
  <c r="O11" i="5" s="1"/>
  <c r="P11" i="9"/>
  <c r="P11" i="5" s="1"/>
  <c r="Q11" i="9"/>
  <c r="Q11" i="5" s="1"/>
  <c r="R11" i="9"/>
  <c r="R11" i="5" s="1"/>
  <c r="S11" i="9"/>
  <c r="S11" i="5" s="1"/>
  <c r="T11" i="9"/>
  <c r="T11" i="5" s="1"/>
  <c r="U11" i="9"/>
  <c r="U11" i="5" s="1"/>
  <c r="V11" i="9"/>
  <c r="V11" i="5" s="1"/>
  <c r="W11" i="9"/>
  <c r="W11" i="5" s="1"/>
  <c r="X11" i="9"/>
  <c r="X11" i="5" s="1"/>
  <c r="Y11" i="9"/>
  <c r="Y11" i="5" s="1"/>
  <c r="Z11" i="9"/>
  <c r="Z11" i="5" s="1"/>
  <c r="AA11" i="9"/>
  <c r="AA11" i="5" s="1"/>
  <c r="AB11" i="9"/>
  <c r="AB11" i="5" s="1"/>
  <c r="AC11" i="9"/>
  <c r="AC11" i="5" s="1"/>
  <c r="AD11" i="9"/>
  <c r="AD11" i="5" s="1"/>
  <c r="AE11" i="9"/>
  <c r="AE11" i="5" s="1"/>
  <c r="AF11" i="9"/>
  <c r="AF11" i="5" s="1"/>
  <c r="AG11" i="9"/>
  <c r="AG11" i="5" s="1"/>
  <c r="AH11" i="9"/>
  <c r="AH11" i="5" s="1"/>
  <c r="D12" i="9"/>
  <c r="D12" i="5" s="1"/>
  <c r="E12" i="9"/>
  <c r="E12" i="5" s="1"/>
  <c r="F12" i="9"/>
  <c r="F12" i="5" s="1"/>
  <c r="G12" i="9"/>
  <c r="G12" i="5" s="1"/>
  <c r="H12" i="9"/>
  <c r="H12" i="5" s="1"/>
  <c r="I12" i="9"/>
  <c r="I12" i="5" s="1"/>
  <c r="J12" i="9"/>
  <c r="J12" i="5" s="1"/>
  <c r="K12" i="9"/>
  <c r="K12" i="5" s="1"/>
  <c r="L12" i="9"/>
  <c r="L12" i="5" s="1"/>
  <c r="M12" i="9"/>
  <c r="M12" i="5" s="1"/>
  <c r="N12" i="9"/>
  <c r="N12" i="5" s="1"/>
  <c r="O12" i="9"/>
  <c r="O12" i="5" s="1"/>
  <c r="P12" i="9"/>
  <c r="P12" i="5" s="1"/>
  <c r="Q12" i="9"/>
  <c r="Q12" i="5" s="1"/>
  <c r="R12" i="9"/>
  <c r="R12" i="5" s="1"/>
  <c r="S12" i="9"/>
  <c r="S12" i="5" s="1"/>
  <c r="T12" i="9"/>
  <c r="T12" i="5" s="1"/>
  <c r="U12" i="9"/>
  <c r="U12" i="5" s="1"/>
  <c r="V12" i="9"/>
  <c r="V12" i="5" s="1"/>
  <c r="W12" i="9"/>
  <c r="W12" i="5" s="1"/>
  <c r="X12" i="9"/>
  <c r="X12" i="5" s="1"/>
  <c r="Y12" i="9"/>
  <c r="Y12" i="5" s="1"/>
  <c r="Z12" i="9"/>
  <c r="Z12" i="5" s="1"/>
  <c r="AA12" i="9"/>
  <c r="AA12" i="5" s="1"/>
  <c r="AB12" i="9"/>
  <c r="AB12" i="5" s="1"/>
  <c r="AC12" i="9"/>
  <c r="AC12" i="5" s="1"/>
  <c r="AD12" i="9"/>
  <c r="AD12" i="5" s="1"/>
  <c r="AE12" i="9"/>
  <c r="AE12" i="5" s="1"/>
  <c r="AF12" i="9"/>
  <c r="AF12" i="5" s="1"/>
  <c r="AG12" i="9"/>
  <c r="AG12" i="5" s="1"/>
  <c r="AH12" i="9"/>
  <c r="AH12" i="5" s="1"/>
  <c r="E13" i="9"/>
  <c r="E13" i="5" s="1"/>
  <c r="F13" i="9"/>
  <c r="F13" i="5" s="1"/>
  <c r="G13" i="9"/>
  <c r="G13" i="5" s="1"/>
  <c r="H13" i="9"/>
  <c r="H13" i="5" s="1"/>
  <c r="I13" i="9"/>
  <c r="I13" i="5" s="1"/>
  <c r="J13" i="9"/>
  <c r="J13" i="5" s="1"/>
  <c r="K13" i="9"/>
  <c r="K13" i="5" s="1"/>
  <c r="L13" i="9"/>
  <c r="L13" i="5" s="1"/>
  <c r="M13" i="9"/>
  <c r="M13" i="5" s="1"/>
  <c r="N13" i="9"/>
  <c r="N13" i="5" s="1"/>
  <c r="O13" i="9"/>
  <c r="O13" i="5" s="1"/>
  <c r="P13" i="9"/>
  <c r="P13" i="5" s="1"/>
  <c r="Q13" i="9"/>
  <c r="Q13" i="5" s="1"/>
  <c r="R13" i="9"/>
  <c r="R13" i="5" s="1"/>
  <c r="S13" i="9"/>
  <c r="S13" i="5" s="1"/>
  <c r="T13" i="9"/>
  <c r="T13" i="5" s="1"/>
  <c r="U13" i="9"/>
  <c r="U13" i="5" s="1"/>
  <c r="V13" i="9"/>
  <c r="V13" i="5" s="1"/>
  <c r="W13" i="9"/>
  <c r="W13" i="5" s="1"/>
  <c r="X13" i="9"/>
  <c r="X13" i="5" s="1"/>
  <c r="Y13" i="9"/>
  <c r="Y13" i="5" s="1"/>
  <c r="Z13" i="9"/>
  <c r="Z13" i="5" s="1"/>
  <c r="AA13" i="9"/>
  <c r="AA13" i="5" s="1"/>
  <c r="AB13" i="9"/>
  <c r="AB13" i="5" s="1"/>
  <c r="AC13" i="9"/>
  <c r="AC13" i="5" s="1"/>
  <c r="AD13" i="9"/>
  <c r="AD13" i="5" s="1"/>
  <c r="AE13" i="9"/>
  <c r="AE13" i="5" s="1"/>
  <c r="AF13" i="9"/>
  <c r="AF13" i="5" s="1"/>
  <c r="AG13" i="9"/>
  <c r="AG13" i="5" s="1"/>
  <c r="AH13" i="9"/>
  <c r="AH13" i="5" s="1"/>
  <c r="E14" i="9"/>
  <c r="E14" i="5" s="1"/>
  <c r="F14" i="9"/>
  <c r="F14" i="5" s="1"/>
  <c r="G14" i="9"/>
  <c r="G14" i="5" s="1"/>
  <c r="H14" i="9"/>
  <c r="H14" i="5" s="1"/>
  <c r="I14" i="9"/>
  <c r="I14" i="5" s="1"/>
  <c r="J14" i="9"/>
  <c r="J14" i="5" s="1"/>
  <c r="K14" i="9"/>
  <c r="K14" i="5" s="1"/>
  <c r="L14" i="9"/>
  <c r="L14" i="5" s="1"/>
  <c r="M14" i="9"/>
  <c r="M14" i="5" s="1"/>
  <c r="N14" i="9"/>
  <c r="N14" i="5" s="1"/>
  <c r="O14" i="9"/>
  <c r="O14" i="5" s="1"/>
  <c r="P14" i="9"/>
  <c r="P14" i="5" s="1"/>
  <c r="Q14" i="9"/>
  <c r="Q14" i="5" s="1"/>
  <c r="R14" i="9"/>
  <c r="R14" i="5" s="1"/>
  <c r="S14" i="9"/>
  <c r="S14" i="5" s="1"/>
  <c r="T14" i="9"/>
  <c r="T14" i="5" s="1"/>
  <c r="U14" i="9"/>
  <c r="U14" i="5" s="1"/>
  <c r="V14" i="9"/>
  <c r="V14" i="5" s="1"/>
  <c r="W14" i="9"/>
  <c r="W14" i="5" s="1"/>
  <c r="X14" i="9"/>
  <c r="X14" i="5" s="1"/>
  <c r="Y14" i="9"/>
  <c r="Y14" i="5" s="1"/>
  <c r="Z14" i="9"/>
  <c r="Z14" i="5" s="1"/>
  <c r="AA14" i="9"/>
  <c r="AA14" i="5" s="1"/>
  <c r="AB14" i="9"/>
  <c r="AB14" i="5" s="1"/>
  <c r="AC14" i="9"/>
  <c r="AC14" i="5" s="1"/>
  <c r="AD14" i="9"/>
  <c r="AD14" i="5" s="1"/>
  <c r="AE14" i="9"/>
  <c r="AE14" i="5" s="1"/>
  <c r="AF14" i="9"/>
  <c r="AF14" i="5" s="1"/>
  <c r="AG14" i="9"/>
  <c r="AG14" i="5" s="1"/>
  <c r="AH14" i="9"/>
  <c r="AH14" i="5" s="1"/>
  <c r="E15" i="9"/>
  <c r="E15" i="5" s="1"/>
  <c r="F15" i="9"/>
  <c r="F15" i="5" s="1"/>
  <c r="G15" i="9"/>
  <c r="G15" i="5" s="1"/>
  <c r="H15" i="9"/>
  <c r="H15" i="5" s="1"/>
  <c r="I15" i="9"/>
  <c r="I15" i="5" s="1"/>
  <c r="J15" i="9"/>
  <c r="J15" i="5" s="1"/>
  <c r="K15" i="9"/>
  <c r="K15" i="5" s="1"/>
  <c r="L15" i="9"/>
  <c r="L15" i="5" s="1"/>
  <c r="M15" i="9"/>
  <c r="M15" i="5" s="1"/>
  <c r="N15" i="9"/>
  <c r="N15" i="5" s="1"/>
  <c r="O15" i="9"/>
  <c r="O15" i="5" s="1"/>
  <c r="P15" i="9"/>
  <c r="P15" i="5" s="1"/>
  <c r="Q15" i="9"/>
  <c r="Q15" i="5" s="1"/>
  <c r="R15" i="9"/>
  <c r="R15" i="5" s="1"/>
  <c r="S15" i="9"/>
  <c r="S15" i="5" s="1"/>
  <c r="T15" i="9"/>
  <c r="T15" i="5" s="1"/>
  <c r="U15" i="9"/>
  <c r="U15" i="5" s="1"/>
  <c r="V15" i="9"/>
  <c r="V15" i="5" s="1"/>
  <c r="W15" i="9"/>
  <c r="W15" i="5" s="1"/>
  <c r="X15" i="9"/>
  <c r="X15" i="5" s="1"/>
  <c r="Y15" i="9"/>
  <c r="Y15" i="5" s="1"/>
  <c r="Z15" i="9"/>
  <c r="Z15" i="5" s="1"/>
  <c r="AA15" i="9"/>
  <c r="AA15" i="5" s="1"/>
  <c r="AB15" i="9"/>
  <c r="AB15" i="5" s="1"/>
  <c r="AC15" i="9"/>
  <c r="AC15" i="5" s="1"/>
  <c r="AD15" i="9"/>
  <c r="AD15" i="5" s="1"/>
  <c r="AE15" i="9"/>
  <c r="AE15" i="5" s="1"/>
  <c r="AF15" i="9"/>
  <c r="AF15" i="5" s="1"/>
  <c r="AG15" i="9"/>
  <c r="AG15" i="5" s="1"/>
  <c r="AH15" i="9"/>
  <c r="AH15" i="5" s="1"/>
  <c r="E16" i="9"/>
  <c r="E16" i="5" s="1"/>
  <c r="F16" i="9"/>
  <c r="F16" i="5" s="1"/>
  <c r="G16" i="9"/>
  <c r="G16" i="5" s="1"/>
  <c r="H16" i="9"/>
  <c r="H16" i="5" s="1"/>
  <c r="I16" i="9"/>
  <c r="I16" i="5" s="1"/>
  <c r="J16" i="9"/>
  <c r="J16" i="5" s="1"/>
  <c r="K16" i="9"/>
  <c r="K16" i="5" s="1"/>
  <c r="L16" i="9"/>
  <c r="L16" i="5" s="1"/>
  <c r="M16" i="9"/>
  <c r="M16" i="5" s="1"/>
  <c r="N16" i="9"/>
  <c r="N16" i="5" s="1"/>
  <c r="O16" i="9"/>
  <c r="O16" i="5" s="1"/>
  <c r="P16" i="9"/>
  <c r="P16" i="5" s="1"/>
  <c r="Q16" i="9"/>
  <c r="Q16" i="5" s="1"/>
  <c r="R16" i="9"/>
  <c r="R16" i="5" s="1"/>
  <c r="S16" i="9"/>
  <c r="S16" i="5" s="1"/>
  <c r="T16" i="9"/>
  <c r="T16" i="5" s="1"/>
  <c r="U16" i="9"/>
  <c r="U16" i="5" s="1"/>
  <c r="V16" i="9"/>
  <c r="V16" i="5" s="1"/>
  <c r="W16" i="9"/>
  <c r="W16" i="5" s="1"/>
  <c r="X16" i="9"/>
  <c r="X16" i="5" s="1"/>
  <c r="Y16" i="9"/>
  <c r="Y16" i="5" s="1"/>
  <c r="Z16" i="9"/>
  <c r="Z16" i="5" s="1"/>
  <c r="AA16" i="9"/>
  <c r="AA16" i="5" s="1"/>
  <c r="AB16" i="9"/>
  <c r="AB16" i="5" s="1"/>
  <c r="AC16" i="9"/>
  <c r="AC16" i="5" s="1"/>
  <c r="AD16" i="9"/>
  <c r="AD16" i="5" s="1"/>
  <c r="AE16" i="9"/>
  <c r="AE16" i="5" s="1"/>
  <c r="AF16" i="9"/>
  <c r="AF16" i="5" s="1"/>
  <c r="AG16" i="9"/>
  <c r="AG16" i="5" s="1"/>
  <c r="AH16" i="9"/>
  <c r="AH16" i="5" s="1"/>
  <c r="E17" i="9"/>
  <c r="E17" i="5" s="1"/>
  <c r="F17" i="9"/>
  <c r="F17" i="5" s="1"/>
  <c r="G17" i="9"/>
  <c r="G17" i="5" s="1"/>
  <c r="H17" i="9"/>
  <c r="H17" i="5" s="1"/>
  <c r="I17" i="9"/>
  <c r="I17" i="5" s="1"/>
  <c r="J17" i="9"/>
  <c r="J17" i="5" s="1"/>
  <c r="K17" i="9"/>
  <c r="K17" i="5" s="1"/>
  <c r="L17" i="9"/>
  <c r="L17" i="5" s="1"/>
  <c r="M17" i="9"/>
  <c r="M17" i="5" s="1"/>
  <c r="N17" i="9"/>
  <c r="N17" i="5" s="1"/>
  <c r="O17" i="9"/>
  <c r="O17" i="5" s="1"/>
  <c r="P17" i="9"/>
  <c r="P17" i="5" s="1"/>
  <c r="Q17" i="9"/>
  <c r="Q17" i="5" s="1"/>
  <c r="R17" i="9"/>
  <c r="R17" i="5" s="1"/>
  <c r="S17" i="9"/>
  <c r="S17" i="5" s="1"/>
  <c r="T17" i="9"/>
  <c r="T17" i="5" s="1"/>
  <c r="U17" i="9"/>
  <c r="U17" i="5" s="1"/>
  <c r="V17" i="9"/>
  <c r="V17" i="5" s="1"/>
  <c r="W17" i="9"/>
  <c r="W17" i="5" s="1"/>
  <c r="X17" i="9"/>
  <c r="X17" i="5" s="1"/>
  <c r="Y17" i="9"/>
  <c r="Y17" i="5" s="1"/>
  <c r="Z17" i="9"/>
  <c r="Z17" i="5" s="1"/>
  <c r="AA17" i="9"/>
  <c r="AA17" i="5" s="1"/>
  <c r="AB17" i="9"/>
  <c r="AB17" i="5" s="1"/>
  <c r="AC17" i="9"/>
  <c r="AC17" i="5" s="1"/>
  <c r="AD17" i="9"/>
  <c r="AD17" i="5" s="1"/>
  <c r="AE17" i="9"/>
  <c r="AE17" i="5" s="1"/>
  <c r="AF17" i="9"/>
  <c r="AF17" i="5" s="1"/>
  <c r="AG17" i="9"/>
  <c r="AG17" i="5" s="1"/>
  <c r="AH17" i="9"/>
  <c r="AH17" i="5" s="1"/>
  <c r="E18" i="9"/>
  <c r="E18" i="5" s="1"/>
  <c r="F18" i="9"/>
  <c r="F18" i="5" s="1"/>
  <c r="G18" i="9"/>
  <c r="G18" i="5" s="1"/>
  <c r="H18" i="9"/>
  <c r="H18" i="5" s="1"/>
  <c r="I18" i="9"/>
  <c r="I18" i="5" s="1"/>
  <c r="J18" i="9"/>
  <c r="J18" i="5" s="1"/>
  <c r="K18" i="9"/>
  <c r="K18" i="5" s="1"/>
  <c r="L18" i="9"/>
  <c r="L18" i="5" s="1"/>
  <c r="M18" i="9"/>
  <c r="M18" i="5" s="1"/>
  <c r="N18" i="9"/>
  <c r="N18" i="5" s="1"/>
  <c r="O18" i="9"/>
  <c r="O18" i="5" s="1"/>
  <c r="P18" i="9"/>
  <c r="P18" i="5" s="1"/>
  <c r="Q18" i="9"/>
  <c r="Q18" i="5" s="1"/>
  <c r="R18" i="9"/>
  <c r="R18" i="5" s="1"/>
  <c r="S18" i="9"/>
  <c r="S18" i="5" s="1"/>
  <c r="T18" i="9"/>
  <c r="T18" i="5" s="1"/>
  <c r="U18" i="9"/>
  <c r="U18" i="5" s="1"/>
  <c r="V18" i="9"/>
  <c r="V18" i="5" s="1"/>
  <c r="W18" i="9"/>
  <c r="W18" i="5" s="1"/>
  <c r="X18" i="9"/>
  <c r="X18" i="5" s="1"/>
  <c r="Y18" i="9"/>
  <c r="Y18" i="5" s="1"/>
  <c r="Z18" i="9"/>
  <c r="Z18" i="5" s="1"/>
  <c r="AA18" i="9"/>
  <c r="AA18" i="5" s="1"/>
  <c r="AB18" i="9"/>
  <c r="AB18" i="5" s="1"/>
  <c r="AC18" i="9"/>
  <c r="AC18" i="5" s="1"/>
  <c r="AD18" i="9"/>
  <c r="AD18" i="5" s="1"/>
  <c r="AE18" i="9"/>
  <c r="AE18" i="5" s="1"/>
  <c r="AF18" i="9"/>
  <c r="AF18" i="5" s="1"/>
  <c r="AG18" i="9"/>
  <c r="AG18" i="5" s="1"/>
  <c r="AH18" i="9"/>
  <c r="AH18" i="5" s="1"/>
  <c r="E19" i="9"/>
  <c r="E19" i="5" s="1"/>
  <c r="F19" i="9"/>
  <c r="F19" i="5" s="1"/>
  <c r="G19" i="9"/>
  <c r="G19" i="5" s="1"/>
  <c r="H19" i="9"/>
  <c r="H19" i="5" s="1"/>
  <c r="I19" i="9"/>
  <c r="I19" i="5" s="1"/>
  <c r="J19" i="9"/>
  <c r="J19" i="5" s="1"/>
  <c r="K19" i="9"/>
  <c r="K19" i="5" s="1"/>
  <c r="L19" i="9"/>
  <c r="L19" i="5" s="1"/>
  <c r="M19" i="9"/>
  <c r="M19" i="5" s="1"/>
  <c r="N19" i="9"/>
  <c r="N19" i="5" s="1"/>
  <c r="O19" i="9"/>
  <c r="O19" i="5" s="1"/>
  <c r="P19" i="9"/>
  <c r="P19" i="5" s="1"/>
  <c r="Q19" i="9"/>
  <c r="Q19" i="5" s="1"/>
  <c r="R19" i="9"/>
  <c r="R19" i="5" s="1"/>
  <c r="S19" i="9"/>
  <c r="S19" i="5" s="1"/>
  <c r="T19" i="9"/>
  <c r="T19" i="5" s="1"/>
  <c r="U19" i="9"/>
  <c r="U19" i="5" s="1"/>
  <c r="V19" i="9"/>
  <c r="V19" i="5" s="1"/>
  <c r="W19" i="9"/>
  <c r="W19" i="5" s="1"/>
  <c r="X19" i="9"/>
  <c r="X19" i="5" s="1"/>
  <c r="Y19" i="9"/>
  <c r="Y19" i="5" s="1"/>
  <c r="Z19" i="9"/>
  <c r="Z19" i="5" s="1"/>
  <c r="AA19" i="9"/>
  <c r="AA19" i="5" s="1"/>
  <c r="AB19" i="9"/>
  <c r="AB19" i="5" s="1"/>
  <c r="AC19" i="9"/>
  <c r="AC19" i="5" s="1"/>
  <c r="AD19" i="9"/>
  <c r="AD19" i="5" s="1"/>
  <c r="AE19" i="9"/>
  <c r="AE19" i="5" s="1"/>
  <c r="AF19" i="9"/>
  <c r="AF19" i="5" s="1"/>
  <c r="AG19" i="9"/>
  <c r="AG19" i="5" s="1"/>
  <c r="AH19" i="9"/>
  <c r="AH19" i="5" s="1"/>
  <c r="E20" i="9"/>
  <c r="E20" i="5" s="1"/>
  <c r="F20" i="9"/>
  <c r="F20" i="5" s="1"/>
  <c r="G20" i="9"/>
  <c r="G20" i="5" s="1"/>
  <c r="H20" i="9"/>
  <c r="H20" i="5" s="1"/>
  <c r="I20" i="9"/>
  <c r="I20" i="5" s="1"/>
  <c r="J20" i="9"/>
  <c r="J20" i="5" s="1"/>
  <c r="K20" i="9"/>
  <c r="K20" i="5" s="1"/>
  <c r="L20" i="9"/>
  <c r="L20" i="5" s="1"/>
  <c r="M20" i="9"/>
  <c r="M20" i="5" s="1"/>
  <c r="N20" i="9"/>
  <c r="N20" i="5" s="1"/>
  <c r="O20" i="9"/>
  <c r="O20" i="5" s="1"/>
  <c r="P20" i="9"/>
  <c r="P20" i="5" s="1"/>
  <c r="Q20" i="9"/>
  <c r="Q20" i="5" s="1"/>
  <c r="R20" i="9"/>
  <c r="R20" i="5" s="1"/>
  <c r="S20" i="9"/>
  <c r="S20" i="5" s="1"/>
  <c r="T20" i="9"/>
  <c r="T20" i="5" s="1"/>
  <c r="U20" i="9"/>
  <c r="U20" i="5" s="1"/>
  <c r="V20" i="9"/>
  <c r="V20" i="5" s="1"/>
  <c r="W20" i="9"/>
  <c r="W20" i="5" s="1"/>
  <c r="X20" i="9"/>
  <c r="X20" i="5" s="1"/>
  <c r="Y20" i="9"/>
  <c r="Y20" i="5" s="1"/>
  <c r="Z20" i="9"/>
  <c r="Z20" i="5" s="1"/>
  <c r="AA20" i="9"/>
  <c r="AA20" i="5" s="1"/>
  <c r="AB20" i="9"/>
  <c r="AB20" i="5" s="1"/>
  <c r="AC20" i="9"/>
  <c r="AC20" i="5" s="1"/>
  <c r="AD20" i="9"/>
  <c r="AD20" i="5" s="1"/>
  <c r="AE20" i="9"/>
  <c r="AE20" i="5" s="1"/>
  <c r="AF20" i="9"/>
  <c r="AF20" i="5" s="1"/>
  <c r="AG20" i="9"/>
  <c r="AG20" i="5" s="1"/>
  <c r="AH20" i="9"/>
  <c r="AH20" i="5" s="1"/>
  <c r="E21" i="9"/>
  <c r="E21" i="5" s="1"/>
  <c r="F21" i="9"/>
  <c r="F21" i="5" s="1"/>
  <c r="G21" i="9"/>
  <c r="G21" i="5" s="1"/>
  <c r="H21" i="9"/>
  <c r="H21" i="5" s="1"/>
  <c r="I21" i="9"/>
  <c r="I21" i="5" s="1"/>
  <c r="J21" i="9"/>
  <c r="J21" i="5" s="1"/>
  <c r="K21" i="9"/>
  <c r="K21" i="5" s="1"/>
  <c r="L21" i="9"/>
  <c r="L21" i="5" s="1"/>
  <c r="M21" i="9"/>
  <c r="M21" i="5" s="1"/>
  <c r="N21" i="9"/>
  <c r="N21" i="5" s="1"/>
  <c r="O21" i="9"/>
  <c r="O21" i="5" s="1"/>
  <c r="P21" i="9"/>
  <c r="P21" i="5" s="1"/>
  <c r="Q21" i="9"/>
  <c r="Q21" i="5" s="1"/>
  <c r="R21" i="9"/>
  <c r="R21" i="5" s="1"/>
  <c r="S21" i="9"/>
  <c r="S21" i="5" s="1"/>
  <c r="T21" i="9"/>
  <c r="T21" i="5" s="1"/>
  <c r="U21" i="9"/>
  <c r="U21" i="5" s="1"/>
  <c r="V21" i="9"/>
  <c r="V21" i="5" s="1"/>
  <c r="W21" i="9"/>
  <c r="W21" i="5" s="1"/>
  <c r="X21" i="9"/>
  <c r="X21" i="5" s="1"/>
  <c r="Y21" i="9"/>
  <c r="Y21" i="5" s="1"/>
  <c r="Z21" i="9"/>
  <c r="Z21" i="5" s="1"/>
  <c r="AA21" i="9"/>
  <c r="AA21" i="5" s="1"/>
  <c r="AB21" i="9"/>
  <c r="AB21" i="5" s="1"/>
  <c r="AC21" i="9"/>
  <c r="AC21" i="5" s="1"/>
  <c r="AD21" i="9"/>
  <c r="AD21" i="5" s="1"/>
  <c r="AE21" i="9"/>
  <c r="AE21" i="5" s="1"/>
  <c r="AF21" i="9"/>
  <c r="AF21" i="5" s="1"/>
  <c r="AG21" i="9"/>
  <c r="AG21" i="5" s="1"/>
  <c r="AH21" i="9"/>
  <c r="AH21" i="5" s="1"/>
  <c r="E22" i="9"/>
  <c r="E22" i="5" s="1"/>
  <c r="F22" i="9"/>
  <c r="F22" i="5" s="1"/>
  <c r="G22" i="9"/>
  <c r="G22" i="5" s="1"/>
  <c r="H22" i="9"/>
  <c r="H22" i="5" s="1"/>
  <c r="I22" i="9"/>
  <c r="I22" i="5" s="1"/>
  <c r="J22" i="9"/>
  <c r="J22" i="5" s="1"/>
  <c r="K22" i="9"/>
  <c r="K22" i="5" s="1"/>
  <c r="L22" i="9"/>
  <c r="L22" i="5" s="1"/>
  <c r="M22" i="9"/>
  <c r="M22" i="5" s="1"/>
  <c r="N22" i="9"/>
  <c r="N22" i="5" s="1"/>
  <c r="O22" i="9"/>
  <c r="O22" i="5" s="1"/>
  <c r="P22" i="9"/>
  <c r="P22" i="5" s="1"/>
  <c r="Q22" i="9"/>
  <c r="Q22" i="5" s="1"/>
  <c r="R22" i="9"/>
  <c r="R22" i="5" s="1"/>
  <c r="S22" i="9"/>
  <c r="S22" i="5" s="1"/>
  <c r="T22" i="9"/>
  <c r="T22" i="5" s="1"/>
  <c r="U22" i="9"/>
  <c r="U22" i="5" s="1"/>
  <c r="V22" i="9"/>
  <c r="V22" i="5" s="1"/>
  <c r="W22" i="9"/>
  <c r="W22" i="5" s="1"/>
  <c r="X22" i="9"/>
  <c r="X22" i="5" s="1"/>
  <c r="Y22" i="9"/>
  <c r="Y22" i="5" s="1"/>
  <c r="Z22" i="9"/>
  <c r="Z22" i="5" s="1"/>
  <c r="AA22" i="9"/>
  <c r="AA22" i="5" s="1"/>
  <c r="AB22" i="9"/>
  <c r="AB22" i="5" s="1"/>
  <c r="AC22" i="9"/>
  <c r="AC22" i="5" s="1"/>
  <c r="AD22" i="9"/>
  <c r="AD22" i="5" s="1"/>
  <c r="AE22" i="9"/>
  <c r="AE22" i="5" s="1"/>
  <c r="AF22" i="9"/>
  <c r="AF22" i="5" s="1"/>
  <c r="AG22" i="9"/>
  <c r="AG22" i="5" s="1"/>
  <c r="AH22" i="9"/>
  <c r="AH22" i="5" s="1"/>
  <c r="E23" i="9"/>
  <c r="E23" i="5" s="1"/>
  <c r="F23" i="9"/>
  <c r="F23" i="5" s="1"/>
  <c r="G23" i="9"/>
  <c r="G23" i="5" s="1"/>
  <c r="H23" i="9"/>
  <c r="H23" i="5" s="1"/>
  <c r="I23" i="9"/>
  <c r="I23" i="5" s="1"/>
  <c r="J23" i="9"/>
  <c r="J23" i="5" s="1"/>
  <c r="K23" i="9"/>
  <c r="K23" i="5" s="1"/>
  <c r="L23" i="9"/>
  <c r="L23" i="5" s="1"/>
  <c r="M23" i="9"/>
  <c r="M23" i="5" s="1"/>
  <c r="N23" i="9"/>
  <c r="N23" i="5" s="1"/>
  <c r="O23" i="9"/>
  <c r="O23" i="5" s="1"/>
  <c r="P23" i="9"/>
  <c r="P23" i="5" s="1"/>
  <c r="Q23" i="9"/>
  <c r="Q23" i="5" s="1"/>
  <c r="R23" i="9"/>
  <c r="R23" i="5" s="1"/>
  <c r="S23" i="9"/>
  <c r="S23" i="5" s="1"/>
  <c r="T23" i="9"/>
  <c r="T23" i="5" s="1"/>
  <c r="U23" i="9"/>
  <c r="U23" i="5" s="1"/>
  <c r="V23" i="9"/>
  <c r="V23" i="5" s="1"/>
  <c r="W23" i="9"/>
  <c r="W23" i="5" s="1"/>
  <c r="X23" i="9"/>
  <c r="X23" i="5" s="1"/>
  <c r="Y23" i="9"/>
  <c r="Y23" i="5" s="1"/>
  <c r="Z23" i="9"/>
  <c r="Z23" i="5" s="1"/>
  <c r="AA23" i="9"/>
  <c r="AA23" i="5" s="1"/>
  <c r="AB23" i="9"/>
  <c r="AB23" i="5" s="1"/>
  <c r="AC23" i="9"/>
  <c r="AC23" i="5" s="1"/>
  <c r="AD23" i="9"/>
  <c r="AD23" i="5" s="1"/>
  <c r="AE23" i="9"/>
  <c r="AE23" i="5" s="1"/>
  <c r="AF23" i="9"/>
  <c r="AF23" i="5" s="1"/>
  <c r="AG23" i="9"/>
  <c r="AG23" i="5" s="1"/>
  <c r="AH23" i="9"/>
  <c r="AH23" i="5" s="1"/>
  <c r="E24" i="9"/>
  <c r="E24" i="5" s="1"/>
  <c r="F24" i="9"/>
  <c r="F24" i="5" s="1"/>
  <c r="G24" i="9"/>
  <c r="G24" i="5" s="1"/>
  <c r="H24" i="9"/>
  <c r="H24" i="5" s="1"/>
  <c r="I24" i="9"/>
  <c r="I24" i="5" s="1"/>
  <c r="J24" i="9"/>
  <c r="J24" i="5" s="1"/>
  <c r="K24" i="9"/>
  <c r="K24" i="5" s="1"/>
  <c r="L24" i="9"/>
  <c r="L24" i="5" s="1"/>
  <c r="M24" i="9"/>
  <c r="M24" i="5" s="1"/>
  <c r="N24" i="9"/>
  <c r="N24" i="5" s="1"/>
  <c r="O24" i="9"/>
  <c r="O24" i="5" s="1"/>
  <c r="P24" i="9"/>
  <c r="P24" i="5" s="1"/>
  <c r="Q24" i="9"/>
  <c r="Q24" i="5" s="1"/>
  <c r="R24" i="9"/>
  <c r="R24" i="5" s="1"/>
  <c r="S24" i="9"/>
  <c r="S24" i="5" s="1"/>
  <c r="T24" i="9"/>
  <c r="T24" i="5" s="1"/>
  <c r="U24" i="9"/>
  <c r="U24" i="5" s="1"/>
  <c r="V24" i="9"/>
  <c r="V24" i="5" s="1"/>
  <c r="W24" i="9"/>
  <c r="W24" i="5" s="1"/>
  <c r="X24" i="9"/>
  <c r="X24" i="5" s="1"/>
  <c r="Y24" i="9"/>
  <c r="Y24" i="5" s="1"/>
  <c r="Z24" i="9"/>
  <c r="Z24" i="5" s="1"/>
  <c r="AA24" i="9"/>
  <c r="AA24" i="5" s="1"/>
  <c r="AB24" i="9"/>
  <c r="AB24" i="5" s="1"/>
  <c r="AC24" i="9"/>
  <c r="AC24" i="5" s="1"/>
  <c r="AD24" i="9"/>
  <c r="AD24" i="5" s="1"/>
  <c r="AE24" i="9"/>
  <c r="AE24" i="5" s="1"/>
  <c r="AF24" i="9"/>
  <c r="AF24" i="5" s="1"/>
  <c r="AG24" i="9"/>
  <c r="AG24" i="5" s="1"/>
  <c r="AH24" i="9"/>
  <c r="AH24" i="5" s="1"/>
  <c r="E25" i="9"/>
  <c r="E25" i="5" s="1"/>
  <c r="F25" i="9"/>
  <c r="F25" i="5" s="1"/>
  <c r="G25" i="9"/>
  <c r="G25" i="5" s="1"/>
  <c r="H25" i="9"/>
  <c r="H25" i="5" s="1"/>
  <c r="I25" i="9"/>
  <c r="I25" i="5" s="1"/>
  <c r="J25" i="9"/>
  <c r="J25" i="5" s="1"/>
  <c r="K25" i="9"/>
  <c r="K25" i="5" s="1"/>
  <c r="L25" i="9"/>
  <c r="L25" i="5" s="1"/>
  <c r="M25" i="9"/>
  <c r="M25" i="5" s="1"/>
  <c r="N25" i="9"/>
  <c r="N25" i="5" s="1"/>
  <c r="O25" i="9"/>
  <c r="O25" i="5" s="1"/>
  <c r="P25" i="9"/>
  <c r="P25" i="5" s="1"/>
  <c r="Q25" i="9"/>
  <c r="Q25" i="5" s="1"/>
  <c r="R25" i="9"/>
  <c r="R25" i="5" s="1"/>
  <c r="S25" i="9"/>
  <c r="S25" i="5" s="1"/>
  <c r="T25" i="9"/>
  <c r="T25" i="5" s="1"/>
  <c r="U25" i="9"/>
  <c r="U25" i="5" s="1"/>
  <c r="V25" i="9"/>
  <c r="V25" i="5" s="1"/>
  <c r="W25" i="9"/>
  <c r="W25" i="5" s="1"/>
  <c r="X25" i="9"/>
  <c r="X25" i="5" s="1"/>
  <c r="Y25" i="9"/>
  <c r="Y25" i="5" s="1"/>
  <c r="Z25" i="9"/>
  <c r="Z25" i="5" s="1"/>
  <c r="AA25" i="9"/>
  <c r="AA25" i="5" s="1"/>
  <c r="AB25" i="9"/>
  <c r="AB25" i="5" s="1"/>
  <c r="AC25" i="9"/>
  <c r="AC25" i="5" s="1"/>
  <c r="AD25" i="9"/>
  <c r="AD25" i="5" s="1"/>
  <c r="AE25" i="9"/>
  <c r="AE25" i="5" s="1"/>
  <c r="AF25" i="9"/>
  <c r="AF25" i="5" s="1"/>
  <c r="AG25" i="9"/>
  <c r="AG25" i="5" s="1"/>
  <c r="AH25" i="9"/>
  <c r="AH25" i="5" s="1"/>
  <c r="E26" i="9"/>
  <c r="E26" i="5" s="1"/>
  <c r="F26" i="9"/>
  <c r="F26" i="5" s="1"/>
  <c r="G26" i="9"/>
  <c r="G26" i="5" s="1"/>
  <c r="H26" i="9"/>
  <c r="H26" i="5" s="1"/>
  <c r="I26" i="9"/>
  <c r="I26" i="5" s="1"/>
  <c r="J26" i="9"/>
  <c r="J26" i="5" s="1"/>
  <c r="K26" i="9"/>
  <c r="K26" i="5" s="1"/>
  <c r="L26" i="9"/>
  <c r="L26" i="5" s="1"/>
  <c r="M26" i="9"/>
  <c r="M26" i="5" s="1"/>
  <c r="N26" i="9"/>
  <c r="N26" i="5" s="1"/>
  <c r="O26" i="9"/>
  <c r="O26" i="5" s="1"/>
  <c r="P26" i="9"/>
  <c r="P26" i="5" s="1"/>
  <c r="Q26" i="9"/>
  <c r="Q26" i="5" s="1"/>
  <c r="R26" i="9"/>
  <c r="R26" i="5" s="1"/>
  <c r="S26" i="9"/>
  <c r="S26" i="5" s="1"/>
  <c r="T26" i="9"/>
  <c r="T26" i="5" s="1"/>
  <c r="U26" i="9"/>
  <c r="U26" i="5" s="1"/>
  <c r="V26" i="9"/>
  <c r="V26" i="5" s="1"/>
  <c r="W26" i="9"/>
  <c r="W26" i="5" s="1"/>
  <c r="X26" i="9"/>
  <c r="X26" i="5" s="1"/>
  <c r="Y26" i="9"/>
  <c r="Y26" i="5" s="1"/>
  <c r="Z26" i="9"/>
  <c r="Z26" i="5" s="1"/>
  <c r="AA26" i="9"/>
  <c r="AA26" i="5" s="1"/>
  <c r="AB26" i="9"/>
  <c r="AB26" i="5" s="1"/>
  <c r="AC26" i="9"/>
  <c r="AC26" i="5" s="1"/>
  <c r="AD26" i="9"/>
  <c r="AD26" i="5" s="1"/>
  <c r="AE26" i="9"/>
  <c r="AE26" i="5" s="1"/>
  <c r="AF26" i="9"/>
  <c r="AF26" i="5" s="1"/>
  <c r="AG26" i="9"/>
  <c r="AG26" i="5" s="1"/>
  <c r="AH26" i="9"/>
  <c r="AH26" i="5" s="1"/>
  <c r="E27" i="9"/>
  <c r="E27" i="5" s="1"/>
  <c r="F27" i="9"/>
  <c r="F27" i="5" s="1"/>
  <c r="G27" i="9"/>
  <c r="G27" i="5" s="1"/>
  <c r="H27" i="9"/>
  <c r="H27" i="5" s="1"/>
  <c r="I27" i="9"/>
  <c r="I27" i="5" s="1"/>
  <c r="J27" i="9"/>
  <c r="J27" i="5" s="1"/>
  <c r="K27" i="9"/>
  <c r="K27" i="5" s="1"/>
  <c r="L27" i="9"/>
  <c r="L27" i="5" s="1"/>
  <c r="M27" i="9"/>
  <c r="M27" i="5" s="1"/>
  <c r="N27" i="9"/>
  <c r="N27" i="5" s="1"/>
  <c r="O27" i="9"/>
  <c r="O27" i="5" s="1"/>
  <c r="P27" i="9"/>
  <c r="P27" i="5" s="1"/>
  <c r="Q27" i="9"/>
  <c r="Q27" i="5" s="1"/>
  <c r="R27" i="9"/>
  <c r="R27" i="5" s="1"/>
  <c r="S27" i="9"/>
  <c r="S27" i="5" s="1"/>
  <c r="T27" i="9"/>
  <c r="T27" i="5" s="1"/>
  <c r="U27" i="9"/>
  <c r="U27" i="5" s="1"/>
  <c r="V27" i="9"/>
  <c r="V27" i="5" s="1"/>
  <c r="W27" i="9"/>
  <c r="W27" i="5" s="1"/>
  <c r="X27" i="9"/>
  <c r="X27" i="5" s="1"/>
  <c r="Y27" i="9"/>
  <c r="Y27" i="5" s="1"/>
  <c r="Z27" i="9"/>
  <c r="Z27" i="5" s="1"/>
  <c r="AA27" i="9"/>
  <c r="AA27" i="5" s="1"/>
  <c r="AB27" i="9"/>
  <c r="AB27" i="5" s="1"/>
  <c r="AC27" i="9"/>
  <c r="AC27" i="5" s="1"/>
  <c r="AD27" i="9"/>
  <c r="AD27" i="5" s="1"/>
  <c r="AE27" i="9"/>
  <c r="AE27" i="5" s="1"/>
  <c r="AF27" i="9"/>
  <c r="AF27" i="5" s="1"/>
  <c r="AG27" i="9"/>
  <c r="AG27" i="5" s="1"/>
  <c r="AH27" i="9"/>
  <c r="AH27" i="5" s="1"/>
  <c r="E28" i="9"/>
  <c r="E28" i="5" s="1"/>
  <c r="F28" i="9"/>
  <c r="F28" i="5" s="1"/>
  <c r="G28" i="9"/>
  <c r="G28" i="5" s="1"/>
  <c r="H28" i="9"/>
  <c r="H28" i="5" s="1"/>
  <c r="I28" i="9"/>
  <c r="I28" i="5" s="1"/>
  <c r="J28" i="9"/>
  <c r="J28" i="5" s="1"/>
  <c r="K28" i="9"/>
  <c r="K28" i="5" s="1"/>
  <c r="L28" i="9"/>
  <c r="L28" i="5" s="1"/>
  <c r="M28" i="9"/>
  <c r="M28" i="5" s="1"/>
  <c r="N28" i="9"/>
  <c r="N28" i="5" s="1"/>
  <c r="O28" i="9"/>
  <c r="O28" i="5" s="1"/>
  <c r="P28" i="9"/>
  <c r="P28" i="5" s="1"/>
  <c r="Q28" i="9"/>
  <c r="Q28" i="5" s="1"/>
  <c r="R28" i="9"/>
  <c r="R28" i="5" s="1"/>
  <c r="S28" i="9"/>
  <c r="S28" i="5" s="1"/>
  <c r="T28" i="9"/>
  <c r="T28" i="5" s="1"/>
  <c r="U28" i="9"/>
  <c r="U28" i="5" s="1"/>
  <c r="V28" i="9"/>
  <c r="V28" i="5" s="1"/>
  <c r="W28" i="9"/>
  <c r="W28" i="5" s="1"/>
  <c r="X28" i="9"/>
  <c r="X28" i="5" s="1"/>
  <c r="Y28" i="9"/>
  <c r="Y28" i="5" s="1"/>
  <c r="Z28" i="9"/>
  <c r="Z28" i="5" s="1"/>
  <c r="AA28" i="9"/>
  <c r="AA28" i="5" s="1"/>
  <c r="AB28" i="9"/>
  <c r="AB28" i="5" s="1"/>
  <c r="AC28" i="9"/>
  <c r="AC28" i="5" s="1"/>
  <c r="AD28" i="9"/>
  <c r="AD28" i="5" s="1"/>
  <c r="AE28" i="9"/>
  <c r="AE28" i="5" s="1"/>
  <c r="AF28" i="9"/>
  <c r="AF28" i="5" s="1"/>
  <c r="AG28" i="9"/>
  <c r="AG28" i="5" s="1"/>
  <c r="AH28" i="9"/>
  <c r="AH28" i="5" s="1"/>
  <c r="E29" i="9"/>
  <c r="E29" i="5" s="1"/>
  <c r="F29" i="9"/>
  <c r="F29" i="5" s="1"/>
  <c r="G29" i="9"/>
  <c r="G29" i="5" s="1"/>
  <c r="H29" i="9"/>
  <c r="H29" i="5" s="1"/>
  <c r="I29" i="9"/>
  <c r="I29" i="5" s="1"/>
  <c r="J29" i="9"/>
  <c r="J29" i="5" s="1"/>
  <c r="K29" i="9"/>
  <c r="K29" i="5" s="1"/>
  <c r="L29" i="9"/>
  <c r="L29" i="5" s="1"/>
  <c r="M29" i="9"/>
  <c r="M29" i="5" s="1"/>
  <c r="N29" i="9"/>
  <c r="N29" i="5" s="1"/>
  <c r="O29" i="9"/>
  <c r="O29" i="5" s="1"/>
  <c r="P29" i="9"/>
  <c r="P29" i="5" s="1"/>
  <c r="Q29" i="9"/>
  <c r="Q29" i="5" s="1"/>
  <c r="R29" i="9"/>
  <c r="R29" i="5" s="1"/>
  <c r="S29" i="9"/>
  <c r="S29" i="5" s="1"/>
  <c r="T29" i="9"/>
  <c r="T29" i="5" s="1"/>
  <c r="U29" i="9"/>
  <c r="U29" i="5" s="1"/>
  <c r="V29" i="9"/>
  <c r="V29" i="5" s="1"/>
  <c r="W29" i="9"/>
  <c r="W29" i="5" s="1"/>
  <c r="X29" i="9"/>
  <c r="X29" i="5" s="1"/>
  <c r="Y29" i="9"/>
  <c r="Y29" i="5" s="1"/>
  <c r="Z29" i="9"/>
  <c r="Z29" i="5" s="1"/>
  <c r="AA29" i="9"/>
  <c r="AA29" i="5" s="1"/>
  <c r="AB29" i="9"/>
  <c r="AB29" i="5" s="1"/>
  <c r="AC29" i="9"/>
  <c r="AC29" i="5" s="1"/>
  <c r="AD29" i="9"/>
  <c r="AD29" i="5" s="1"/>
  <c r="AE29" i="9"/>
  <c r="AE29" i="5" s="1"/>
  <c r="AF29" i="9"/>
  <c r="AF29" i="5" s="1"/>
  <c r="AG29" i="9"/>
  <c r="AG29" i="5" s="1"/>
  <c r="AH29" i="9"/>
  <c r="AH29" i="5" s="1"/>
  <c r="E30" i="9"/>
  <c r="E30" i="5" s="1"/>
  <c r="F30" i="9"/>
  <c r="F30" i="5" s="1"/>
  <c r="G30" i="9"/>
  <c r="G30" i="5" s="1"/>
  <c r="H30" i="9"/>
  <c r="H30" i="5" s="1"/>
  <c r="I30" i="9"/>
  <c r="I30" i="5" s="1"/>
  <c r="J30" i="9"/>
  <c r="J30" i="5" s="1"/>
  <c r="K30" i="9"/>
  <c r="K30" i="5" s="1"/>
  <c r="L30" i="9"/>
  <c r="L30" i="5" s="1"/>
  <c r="M30" i="9"/>
  <c r="M30" i="5" s="1"/>
  <c r="N30" i="9"/>
  <c r="N30" i="5" s="1"/>
  <c r="O30" i="9"/>
  <c r="O30" i="5" s="1"/>
  <c r="P30" i="9"/>
  <c r="P30" i="5" s="1"/>
  <c r="Q30" i="9"/>
  <c r="Q30" i="5" s="1"/>
  <c r="R30" i="9"/>
  <c r="R30" i="5" s="1"/>
  <c r="S30" i="9"/>
  <c r="S30" i="5" s="1"/>
  <c r="T30" i="9"/>
  <c r="T30" i="5" s="1"/>
  <c r="U30" i="9"/>
  <c r="U30" i="5" s="1"/>
  <c r="V30" i="9"/>
  <c r="V30" i="5" s="1"/>
  <c r="W30" i="9"/>
  <c r="W30" i="5" s="1"/>
  <c r="X30" i="9"/>
  <c r="X30" i="5" s="1"/>
  <c r="Y30" i="9"/>
  <c r="Y30" i="5" s="1"/>
  <c r="Z30" i="9"/>
  <c r="Z30" i="5" s="1"/>
  <c r="AA30" i="9"/>
  <c r="AA30" i="5" s="1"/>
  <c r="AB30" i="9"/>
  <c r="AB30" i="5" s="1"/>
  <c r="AC30" i="9"/>
  <c r="AC30" i="5" s="1"/>
  <c r="AD30" i="9"/>
  <c r="AD30" i="5" s="1"/>
  <c r="AE30" i="9"/>
  <c r="AE30" i="5" s="1"/>
  <c r="AF30" i="9"/>
  <c r="AF30" i="5" s="1"/>
  <c r="AG30" i="9"/>
  <c r="AG30" i="5" s="1"/>
  <c r="AH30" i="9"/>
  <c r="AH30" i="5" s="1"/>
  <c r="E31" i="9"/>
  <c r="E31" i="5" s="1"/>
  <c r="F31" i="9"/>
  <c r="F31" i="5" s="1"/>
  <c r="G31" i="9"/>
  <c r="G31" i="5" s="1"/>
  <c r="H31" i="9"/>
  <c r="H31" i="5" s="1"/>
  <c r="I31" i="9"/>
  <c r="I31" i="5" s="1"/>
  <c r="J31" i="9"/>
  <c r="J31" i="5" s="1"/>
  <c r="K31" i="9"/>
  <c r="K31" i="5" s="1"/>
  <c r="L31" i="9"/>
  <c r="L31" i="5" s="1"/>
  <c r="M31" i="9"/>
  <c r="M31" i="5" s="1"/>
  <c r="N31" i="9"/>
  <c r="N31" i="5" s="1"/>
  <c r="O31" i="9"/>
  <c r="O31" i="5" s="1"/>
  <c r="P31" i="9"/>
  <c r="P31" i="5" s="1"/>
  <c r="Q31" i="9"/>
  <c r="Q31" i="5" s="1"/>
  <c r="R31" i="9"/>
  <c r="R31" i="5" s="1"/>
  <c r="S31" i="9"/>
  <c r="S31" i="5" s="1"/>
  <c r="T31" i="9"/>
  <c r="T31" i="5" s="1"/>
  <c r="U31" i="9"/>
  <c r="U31" i="5" s="1"/>
  <c r="V31" i="9"/>
  <c r="V31" i="5" s="1"/>
  <c r="W31" i="9"/>
  <c r="W31" i="5" s="1"/>
  <c r="X31" i="9"/>
  <c r="X31" i="5" s="1"/>
  <c r="Y31" i="9"/>
  <c r="Y31" i="5" s="1"/>
  <c r="Z31" i="9"/>
  <c r="Z31" i="5" s="1"/>
  <c r="AA31" i="9"/>
  <c r="AA31" i="5" s="1"/>
  <c r="AB31" i="9"/>
  <c r="AB31" i="5" s="1"/>
  <c r="AC31" i="9"/>
  <c r="AC31" i="5" s="1"/>
  <c r="AD31" i="9"/>
  <c r="AD31" i="5" s="1"/>
  <c r="AE31" i="9"/>
  <c r="AE31" i="5" s="1"/>
  <c r="AF31" i="9"/>
  <c r="AF31" i="5" s="1"/>
  <c r="AG31" i="9"/>
  <c r="AG31" i="5" s="1"/>
  <c r="AH31" i="9"/>
  <c r="AH31" i="5" s="1"/>
  <c r="E32" i="9"/>
  <c r="E32" i="5" s="1"/>
  <c r="F32" i="9"/>
  <c r="F32" i="5" s="1"/>
  <c r="G32" i="9"/>
  <c r="G32" i="5" s="1"/>
  <c r="H32" i="9"/>
  <c r="H32" i="5" s="1"/>
  <c r="I32" i="9"/>
  <c r="I32" i="5" s="1"/>
  <c r="J32" i="9"/>
  <c r="J32" i="5" s="1"/>
  <c r="K32" i="9"/>
  <c r="K32" i="5" s="1"/>
  <c r="L32" i="9"/>
  <c r="L32" i="5" s="1"/>
  <c r="M32" i="9"/>
  <c r="M32" i="5" s="1"/>
  <c r="N32" i="9"/>
  <c r="N32" i="5" s="1"/>
  <c r="O32" i="9"/>
  <c r="O32" i="5" s="1"/>
  <c r="P32" i="9"/>
  <c r="P32" i="5" s="1"/>
  <c r="Q32" i="9"/>
  <c r="Q32" i="5" s="1"/>
  <c r="R32" i="9"/>
  <c r="R32" i="5" s="1"/>
  <c r="S32" i="9"/>
  <c r="S32" i="5" s="1"/>
  <c r="T32" i="9"/>
  <c r="T32" i="5" s="1"/>
  <c r="U32" i="9"/>
  <c r="U32" i="5" s="1"/>
  <c r="V32" i="9"/>
  <c r="V32" i="5" s="1"/>
  <c r="W32" i="9"/>
  <c r="W32" i="5" s="1"/>
  <c r="X32" i="9"/>
  <c r="X32" i="5" s="1"/>
  <c r="Y32" i="9"/>
  <c r="Y32" i="5" s="1"/>
  <c r="Z32" i="9"/>
  <c r="Z32" i="5" s="1"/>
  <c r="AA32" i="9"/>
  <c r="AA32" i="5" s="1"/>
  <c r="AB32" i="9"/>
  <c r="AB32" i="5" s="1"/>
  <c r="AC32" i="9"/>
  <c r="AC32" i="5" s="1"/>
  <c r="AD32" i="9"/>
  <c r="AD32" i="5" s="1"/>
  <c r="AE32" i="9"/>
  <c r="AE32" i="5" s="1"/>
  <c r="AF32" i="9"/>
  <c r="AF32" i="5" s="1"/>
  <c r="AG32" i="9"/>
  <c r="AG32" i="5" s="1"/>
  <c r="AH32" i="9"/>
  <c r="AH32" i="5" s="1"/>
  <c r="E33" i="9"/>
  <c r="E33" i="5" s="1"/>
  <c r="F33" i="9"/>
  <c r="F33" i="5" s="1"/>
  <c r="G33" i="9"/>
  <c r="G33" i="5" s="1"/>
  <c r="H33" i="9"/>
  <c r="H33" i="5" s="1"/>
  <c r="I33" i="9"/>
  <c r="I33" i="5" s="1"/>
  <c r="J33" i="9"/>
  <c r="J33" i="5" s="1"/>
  <c r="K33" i="9"/>
  <c r="K33" i="5" s="1"/>
  <c r="L33" i="9"/>
  <c r="L33" i="5" s="1"/>
  <c r="M33" i="9"/>
  <c r="M33" i="5" s="1"/>
  <c r="N33" i="9"/>
  <c r="N33" i="5" s="1"/>
  <c r="O33" i="9"/>
  <c r="O33" i="5" s="1"/>
  <c r="P33" i="9"/>
  <c r="P33" i="5" s="1"/>
  <c r="Q33" i="9"/>
  <c r="Q33" i="5" s="1"/>
  <c r="R33" i="9"/>
  <c r="R33" i="5" s="1"/>
  <c r="S33" i="9"/>
  <c r="S33" i="5" s="1"/>
  <c r="T33" i="9"/>
  <c r="T33" i="5" s="1"/>
  <c r="U33" i="9"/>
  <c r="U33" i="5" s="1"/>
  <c r="V33" i="9"/>
  <c r="V33" i="5" s="1"/>
  <c r="W33" i="9"/>
  <c r="W33" i="5" s="1"/>
  <c r="X33" i="9"/>
  <c r="X33" i="5" s="1"/>
  <c r="Y33" i="9"/>
  <c r="Y33" i="5" s="1"/>
  <c r="Z33" i="9"/>
  <c r="Z33" i="5" s="1"/>
  <c r="AA33" i="9"/>
  <c r="AA33" i="5" s="1"/>
  <c r="AB33" i="9"/>
  <c r="AB33" i="5" s="1"/>
  <c r="AC33" i="9"/>
  <c r="AC33" i="5" s="1"/>
  <c r="AD33" i="9"/>
  <c r="AD33" i="5" s="1"/>
  <c r="AE33" i="9"/>
  <c r="AE33" i="5" s="1"/>
  <c r="AF33" i="9"/>
  <c r="AF33" i="5" s="1"/>
  <c r="AG33" i="9"/>
  <c r="AG33" i="5" s="1"/>
  <c r="AH33" i="9"/>
  <c r="AH33" i="5" s="1"/>
  <c r="E34" i="9"/>
  <c r="E34" i="5" s="1"/>
  <c r="F34" i="9"/>
  <c r="F34" i="5" s="1"/>
  <c r="G34" i="9"/>
  <c r="G34" i="5" s="1"/>
  <c r="H34" i="9"/>
  <c r="H34" i="5" s="1"/>
  <c r="I34" i="9"/>
  <c r="I34" i="5" s="1"/>
  <c r="J34" i="9"/>
  <c r="J34" i="5" s="1"/>
  <c r="K34" i="9"/>
  <c r="K34" i="5" s="1"/>
  <c r="L34" i="9"/>
  <c r="L34" i="5" s="1"/>
  <c r="M34" i="9"/>
  <c r="M34" i="5" s="1"/>
  <c r="N34" i="9"/>
  <c r="N34" i="5" s="1"/>
  <c r="O34" i="9"/>
  <c r="O34" i="5" s="1"/>
  <c r="P34" i="9"/>
  <c r="P34" i="5" s="1"/>
  <c r="Q34" i="9"/>
  <c r="Q34" i="5" s="1"/>
  <c r="R34" i="9"/>
  <c r="R34" i="5" s="1"/>
  <c r="S34" i="9"/>
  <c r="S34" i="5" s="1"/>
  <c r="T34" i="9"/>
  <c r="T34" i="5" s="1"/>
  <c r="U34" i="9"/>
  <c r="U34" i="5" s="1"/>
  <c r="V34" i="9"/>
  <c r="V34" i="5" s="1"/>
  <c r="W34" i="9"/>
  <c r="W34" i="5" s="1"/>
  <c r="X34" i="9"/>
  <c r="X34" i="5" s="1"/>
  <c r="Y34" i="9"/>
  <c r="Y34" i="5" s="1"/>
  <c r="Z34" i="9"/>
  <c r="Z34" i="5" s="1"/>
  <c r="AA34" i="9"/>
  <c r="AA34" i="5" s="1"/>
  <c r="AB34" i="9"/>
  <c r="AB34" i="5" s="1"/>
  <c r="AC34" i="9"/>
  <c r="AC34" i="5" s="1"/>
  <c r="AD34" i="9"/>
  <c r="AD34" i="5" s="1"/>
  <c r="AE34" i="9"/>
  <c r="AE34" i="5" s="1"/>
  <c r="AF34" i="9"/>
  <c r="AF34" i="5" s="1"/>
  <c r="AG34" i="9"/>
  <c r="AG34" i="5" s="1"/>
  <c r="AH34" i="9"/>
  <c r="AH34" i="5" s="1"/>
  <c r="E35" i="9"/>
  <c r="E35" i="5" s="1"/>
  <c r="F35" i="9"/>
  <c r="F35" i="5" s="1"/>
  <c r="G35" i="9"/>
  <c r="G35" i="5" s="1"/>
  <c r="H35" i="9"/>
  <c r="H35" i="5" s="1"/>
  <c r="I35" i="9"/>
  <c r="I35" i="5" s="1"/>
  <c r="J35" i="9"/>
  <c r="J35" i="5" s="1"/>
  <c r="K35" i="9"/>
  <c r="K35" i="5" s="1"/>
  <c r="L35" i="9"/>
  <c r="L35" i="5" s="1"/>
  <c r="M35" i="9"/>
  <c r="M35" i="5" s="1"/>
  <c r="N35" i="9"/>
  <c r="N35" i="5" s="1"/>
  <c r="O35" i="9"/>
  <c r="O35" i="5" s="1"/>
  <c r="P35" i="9"/>
  <c r="P35" i="5" s="1"/>
  <c r="Q35" i="9"/>
  <c r="Q35" i="5" s="1"/>
  <c r="R35" i="9"/>
  <c r="R35" i="5" s="1"/>
  <c r="S35" i="9"/>
  <c r="S35" i="5" s="1"/>
  <c r="T35" i="9"/>
  <c r="T35" i="5" s="1"/>
  <c r="U35" i="9"/>
  <c r="U35" i="5" s="1"/>
  <c r="V35" i="9"/>
  <c r="V35" i="5" s="1"/>
  <c r="W35" i="9"/>
  <c r="W35" i="5" s="1"/>
  <c r="X35" i="9"/>
  <c r="X35" i="5" s="1"/>
  <c r="Y35" i="9"/>
  <c r="Y35" i="5" s="1"/>
  <c r="Z35" i="9"/>
  <c r="Z35" i="5" s="1"/>
  <c r="AA35" i="9"/>
  <c r="AA35" i="5" s="1"/>
  <c r="AB35" i="9"/>
  <c r="AB35" i="5" s="1"/>
  <c r="AC35" i="9"/>
  <c r="AC35" i="5" s="1"/>
  <c r="AD35" i="9"/>
  <c r="AD35" i="5" s="1"/>
  <c r="AE35" i="9"/>
  <c r="AE35" i="5" s="1"/>
  <c r="AF35" i="9"/>
  <c r="AF35" i="5" s="1"/>
  <c r="AG35" i="9"/>
  <c r="AG35" i="5" s="1"/>
  <c r="AH35" i="9"/>
  <c r="AH35" i="5" s="1"/>
  <c r="E36" i="9"/>
  <c r="E36" i="5" s="1"/>
  <c r="F36" i="9"/>
  <c r="F36" i="5" s="1"/>
  <c r="G36" i="9"/>
  <c r="G36" i="5" s="1"/>
  <c r="H36" i="9"/>
  <c r="H36" i="5" s="1"/>
  <c r="I36" i="9"/>
  <c r="I36" i="5" s="1"/>
  <c r="J36" i="9"/>
  <c r="J36" i="5" s="1"/>
  <c r="K36" i="9"/>
  <c r="K36" i="5" s="1"/>
  <c r="L36" i="9"/>
  <c r="L36" i="5" s="1"/>
  <c r="M36" i="9"/>
  <c r="M36" i="5" s="1"/>
  <c r="N36" i="9"/>
  <c r="N36" i="5" s="1"/>
  <c r="O36" i="9"/>
  <c r="O36" i="5" s="1"/>
  <c r="P36" i="9"/>
  <c r="P36" i="5" s="1"/>
  <c r="Q36" i="9"/>
  <c r="Q36" i="5" s="1"/>
  <c r="R36" i="9"/>
  <c r="R36" i="5" s="1"/>
  <c r="S36" i="9"/>
  <c r="S36" i="5" s="1"/>
  <c r="T36" i="9"/>
  <c r="T36" i="5" s="1"/>
  <c r="U36" i="9"/>
  <c r="U36" i="5" s="1"/>
  <c r="V36" i="9"/>
  <c r="V36" i="5" s="1"/>
  <c r="W36" i="9"/>
  <c r="W36" i="5" s="1"/>
  <c r="X36" i="9"/>
  <c r="X36" i="5" s="1"/>
  <c r="Y36" i="9"/>
  <c r="Y36" i="5" s="1"/>
  <c r="Z36" i="9"/>
  <c r="Z36" i="5" s="1"/>
  <c r="AA36" i="9"/>
  <c r="AA36" i="5" s="1"/>
  <c r="AB36" i="9"/>
  <c r="AB36" i="5" s="1"/>
  <c r="AC36" i="9"/>
  <c r="AC36" i="5" s="1"/>
  <c r="AD36" i="9"/>
  <c r="AD36" i="5" s="1"/>
  <c r="AE36" i="9"/>
  <c r="AE36" i="5" s="1"/>
  <c r="AF36" i="9"/>
  <c r="AF36" i="5" s="1"/>
  <c r="AG36" i="9"/>
  <c r="AG36" i="5" s="1"/>
  <c r="AH36" i="9"/>
  <c r="AH36" i="5" s="1"/>
  <c r="E37" i="9"/>
  <c r="E37" i="5" s="1"/>
  <c r="F37" i="9"/>
  <c r="F37" i="5" s="1"/>
  <c r="G37" i="9"/>
  <c r="G37" i="5" s="1"/>
  <c r="H37" i="9"/>
  <c r="H37" i="5" s="1"/>
  <c r="I37" i="9"/>
  <c r="I37" i="5" s="1"/>
  <c r="J37" i="9"/>
  <c r="J37" i="5" s="1"/>
  <c r="K37" i="9"/>
  <c r="K37" i="5" s="1"/>
  <c r="L37" i="9"/>
  <c r="L37" i="5" s="1"/>
  <c r="M37" i="9"/>
  <c r="M37" i="5" s="1"/>
  <c r="N37" i="9"/>
  <c r="N37" i="5" s="1"/>
  <c r="O37" i="9"/>
  <c r="O37" i="5" s="1"/>
  <c r="P37" i="9"/>
  <c r="P37" i="5" s="1"/>
  <c r="Q37" i="9"/>
  <c r="Q37" i="5" s="1"/>
  <c r="R37" i="9"/>
  <c r="R37" i="5" s="1"/>
  <c r="S37" i="9"/>
  <c r="S37" i="5" s="1"/>
  <c r="T37" i="9"/>
  <c r="T37" i="5" s="1"/>
  <c r="U37" i="9"/>
  <c r="U37" i="5" s="1"/>
  <c r="V37" i="9"/>
  <c r="V37" i="5" s="1"/>
  <c r="W37" i="9"/>
  <c r="W37" i="5" s="1"/>
  <c r="X37" i="9"/>
  <c r="X37" i="5" s="1"/>
  <c r="Y37" i="9"/>
  <c r="Y37" i="5" s="1"/>
  <c r="Z37" i="9"/>
  <c r="Z37" i="5" s="1"/>
  <c r="AA37" i="9"/>
  <c r="AA37" i="5" s="1"/>
  <c r="AB37" i="9"/>
  <c r="AB37" i="5" s="1"/>
  <c r="AC37" i="9"/>
  <c r="AC37" i="5" s="1"/>
  <c r="AD37" i="9"/>
  <c r="AD37" i="5" s="1"/>
  <c r="AE37" i="9"/>
  <c r="AE37" i="5" s="1"/>
  <c r="AF37" i="9"/>
  <c r="AF37" i="5" s="1"/>
  <c r="AG37" i="9"/>
  <c r="AG37" i="5" s="1"/>
  <c r="AH37" i="9"/>
  <c r="AH37" i="5" s="1"/>
  <c r="E38" i="9"/>
  <c r="E38" i="5" s="1"/>
  <c r="F38" i="9"/>
  <c r="F38" i="5" s="1"/>
  <c r="G38" i="9"/>
  <c r="G38" i="5" s="1"/>
  <c r="H38" i="9"/>
  <c r="H38" i="5" s="1"/>
  <c r="I38" i="9"/>
  <c r="I38" i="5" s="1"/>
  <c r="J38" i="9"/>
  <c r="J38" i="5" s="1"/>
  <c r="K38" i="9"/>
  <c r="K38" i="5" s="1"/>
  <c r="L38" i="9"/>
  <c r="L38" i="5" s="1"/>
  <c r="M38" i="9"/>
  <c r="M38" i="5" s="1"/>
  <c r="N38" i="9"/>
  <c r="N38" i="5" s="1"/>
  <c r="O38" i="9"/>
  <c r="O38" i="5" s="1"/>
  <c r="P38" i="9"/>
  <c r="P38" i="5" s="1"/>
  <c r="Q38" i="9"/>
  <c r="Q38" i="5" s="1"/>
  <c r="R38" i="9"/>
  <c r="R38" i="5" s="1"/>
  <c r="S38" i="9"/>
  <c r="S38" i="5" s="1"/>
  <c r="T38" i="9"/>
  <c r="T38" i="5" s="1"/>
  <c r="U38" i="9"/>
  <c r="U38" i="5" s="1"/>
  <c r="V38" i="9"/>
  <c r="V38" i="5" s="1"/>
  <c r="W38" i="9"/>
  <c r="W38" i="5" s="1"/>
  <c r="X38" i="9"/>
  <c r="X38" i="5" s="1"/>
  <c r="Y38" i="9"/>
  <c r="Y38" i="5" s="1"/>
  <c r="Z38" i="9"/>
  <c r="Z38" i="5" s="1"/>
  <c r="AA38" i="9"/>
  <c r="AA38" i="5" s="1"/>
  <c r="AB38" i="9"/>
  <c r="AB38" i="5" s="1"/>
  <c r="AC38" i="9"/>
  <c r="AC38" i="5" s="1"/>
  <c r="AD38" i="9"/>
  <c r="AD38" i="5" s="1"/>
  <c r="AE38" i="9"/>
  <c r="AE38" i="5" s="1"/>
  <c r="AF38" i="9"/>
  <c r="AF38" i="5" s="1"/>
  <c r="AG38" i="9"/>
  <c r="AG38" i="5" s="1"/>
  <c r="AH38" i="9"/>
  <c r="AH38" i="5" s="1"/>
  <c r="D39" i="9"/>
  <c r="D39" i="5" s="1"/>
  <c r="E39" i="9"/>
  <c r="E39" i="5" s="1"/>
  <c r="F39" i="9"/>
  <c r="F39" i="5" s="1"/>
  <c r="G39" i="9"/>
  <c r="G39" i="5" s="1"/>
  <c r="H39" i="9"/>
  <c r="H39" i="5" s="1"/>
  <c r="I39" i="9"/>
  <c r="I39" i="5" s="1"/>
  <c r="J39" i="9"/>
  <c r="J39" i="5" s="1"/>
  <c r="K39" i="9"/>
  <c r="K39" i="5" s="1"/>
  <c r="L39" i="9"/>
  <c r="L39" i="5" s="1"/>
  <c r="M39" i="9"/>
  <c r="M39" i="5" s="1"/>
  <c r="N39" i="9"/>
  <c r="N39" i="5" s="1"/>
  <c r="O39" i="9"/>
  <c r="O39" i="5" s="1"/>
  <c r="P39" i="9"/>
  <c r="P39" i="5" s="1"/>
  <c r="Q39" i="9"/>
  <c r="Q39" i="5" s="1"/>
  <c r="R39" i="9"/>
  <c r="R39" i="5" s="1"/>
  <c r="S39" i="9"/>
  <c r="S39" i="5" s="1"/>
  <c r="T39" i="9"/>
  <c r="T39" i="5" s="1"/>
  <c r="U39" i="9"/>
  <c r="U39" i="5" s="1"/>
  <c r="V39" i="9"/>
  <c r="V39" i="5" s="1"/>
  <c r="W39" i="9"/>
  <c r="W39" i="5" s="1"/>
  <c r="X39" i="9"/>
  <c r="X39" i="5" s="1"/>
  <c r="Y39" i="9"/>
  <c r="Y39" i="5" s="1"/>
  <c r="Z39" i="9"/>
  <c r="Z39" i="5" s="1"/>
  <c r="AA39" i="9"/>
  <c r="AA39" i="5" s="1"/>
  <c r="AB39" i="9"/>
  <c r="AB39" i="5" s="1"/>
  <c r="AC39" i="9"/>
  <c r="AC39" i="5" s="1"/>
  <c r="AD39" i="9"/>
  <c r="AD39" i="5" s="1"/>
  <c r="AE39" i="9"/>
  <c r="AE39" i="5" s="1"/>
  <c r="AF39" i="9"/>
  <c r="AF39" i="5" s="1"/>
  <c r="AG39" i="9"/>
  <c r="AG39" i="5" s="1"/>
  <c r="AH39" i="9"/>
  <c r="AH39" i="5" s="1"/>
  <c r="D40" i="9"/>
  <c r="D40" i="5" s="1"/>
  <c r="E40" i="9"/>
  <c r="E40" i="5" s="1"/>
  <c r="F40" i="9"/>
  <c r="F40" i="5" s="1"/>
  <c r="G40" i="9"/>
  <c r="G40" i="5" s="1"/>
  <c r="H40" i="9"/>
  <c r="H40" i="5" s="1"/>
  <c r="I40" i="9"/>
  <c r="I40" i="5" s="1"/>
  <c r="J40" i="9"/>
  <c r="J40" i="5" s="1"/>
  <c r="K40" i="9"/>
  <c r="K40" i="5" s="1"/>
  <c r="L40" i="9"/>
  <c r="L40" i="5" s="1"/>
  <c r="M40" i="9"/>
  <c r="M40" i="5" s="1"/>
  <c r="N40" i="9"/>
  <c r="N40" i="5" s="1"/>
  <c r="O40" i="9"/>
  <c r="O40" i="5" s="1"/>
  <c r="P40" i="9"/>
  <c r="P40" i="5" s="1"/>
  <c r="Q40" i="9"/>
  <c r="Q40" i="5" s="1"/>
  <c r="R40" i="9"/>
  <c r="R40" i="5" s="1"/>
  <c r="S40" i="9"/>
  <c r="S40" i="5" s="1"/>
  <c r="T40" i="9"/>
  <c r="T40" i="5" s="1"/>
  <c r="U40" i="9"/>
  <c r="U40" i="5" s="1"/>
  <c r="V40" i="9"/>
  <c r="V40" i="5" s="1"/>
  <c r="W40" i="9"/>
  <c r="W40" i="5" s="1"/>
  <c r="X40" i="9"/>
  <c r="X40" i="5" s="1"/>
  <c r="Y40" i="9"/>
  <c r="Y40" i="5" s="1"/>
  <c r="Z40" i="9"/>
  <c r="Z40" i="5" s="1"/>
  <c r="AA40" i="9"/>
  <c r="AA40" i="5" s="1"/>
  <c r="AB40" i="9"/>
  <c r="AB40" i="5" s="1"/>
  <c r="AC40" i="9"/>
  <c r="AC40" i="5" s="1"/>
  <c r="AD40" i="9"/>
  <c r="AD40" i="5" s="1"/>
  <c r="AE40" i="9"/>
  <c r="AE40" i="5" s="1"/>
  <c r="AF40" i="9"/>
  <c r="AF40" i="5" s="1"/>
  <c r="AG40" i="9"/>
  <c r="AG40" i="5" s="1"/>
  <c r="AH40" i="9"/>
  <c r="AH40" i="5" s="1"/>
  <c r="D41" i="9"/>
  <c r="D41" i="5" s="1"/>
  <c r="E41" i="9"/>
  <c r="E41" i="5" s="1"/>
  <c r="F41" i="9"/>
  <c r="F41" i="5" s="1"/>
  <c r="G41" i="9"/>
  <c r="G41" i="5" s="1"/>
  <c r="H41" i="9"/>
  <c r="H41" i="5" s="1"/>
  <c r="I41" i="9"/>
  <c r="I41" i="5" s="1"/>
  <c r="J41" i="9"/>
  <c r="J41" i="5" s="1"/>
  <c r="K41" i="9"/>
  <c r="K41" i="5" s="1"/>
  <c r="L41" i="9"/>
  <c r="L41" i="5" s="1"/>
  <c r="M41" i="9"/>
  <c r="M41" i="5" s="1"/>
  <c r="N41" i="9"/>
  <c r="N41" i="5" s="1"/>
  <c r="O41" i="9"/>
  <c r="O41" i="5" s="1"/>
  <c r="P41" i="9"/>
  <c r="P41" i="5" s="1"/>
  <c r="Q41" i="9"/>
  <c r="Q41" i="5" s="1"/>
  <c r="R41" i="9"/>
  <c r="R41" i="5" s="1"/>
  <c r="S41" i="9"/>
  <c r="S41" i="5" s="1"/>
  <c r="T41" i="9"/>
  <c r="T41" i="5" s="1"/>
  <c r="U41" i="9"/>
  <c r="U41" i="5" s="1"/>
  <c r="V41" i="9"/>
  <c r="V41" i="5" s="1"/>
  <c r="W41" i="9"/>
  <c r="W41" i="5" s="1"/>
  <c r="X41" i="9"/>
  <c r="X41" i="5" s="1"/>
  <c r="Y41" i="9"/>
  <c r="Y41" i="5" s="1"/>
  <c r="Z41" i="9"/>
  <c r="Z41" i="5" s="1"/>
  <c r="AA41" i="9"/>
  <c r="AA41" i="5" s="1"/>
  <c r="AB41" i="9"/>
  <c r="AB41" i="5" s="1"/>
  <c r="AC41" i="9"/>
  <c r="AC41" i="5" s="1"/>
  <c r="AD41" i="9"/>
  <c r="AD41" i="5" s="1"/>
  <c r="AE41" i="9"/>
  <c r="AE41" i="5" s="1"/>
  <c r="AF41" i="9"/>
  <c r="AF41" i="5" s="1"/>
  <c r="AG41" i="9"/>
  <c r="AG41" i="5" s="1"/>
  <c r="AH41" i="9"/>
  <c r="AH41" i="5" s="1"/>
  <c r="D42" i="9"/>
  <c r="D42" i="5" s="1"/>
  <c r="E42" i="9"/>
  <c r="E42" i="5" s="1"/>
  <c r="F42" i="9"/>
  <c r="F42" i="5" s="1"/>
  <c r="G42" i="9"/>
  <c r="G42" i="5" s="1"/>
  <c r="H42" i="9"/>
  <c r="H42" i="5" s="1"/>
  <c r="I42" i="9"/>
  <c r="I42" i="5" s="1"/>
  <c r="J42" i="9"/>
  <c r="J42" i="5" s="1"/>
  <c r="K42" i="9"/>
  <c r="K42" i="5" s="1"/>
  <c r="L42" i="9"/>
  <c r="L42" i="5" s="1"/>
  <c r="M42" i="9"/>
  <c r="M42" i="5" s="1"/>
  <c r="N42" i="9"/>
  <c r="N42" i="5" s="1"/>
  <c r="O42" i="9"/>
  <c r="O42" i="5" s="1"/>
  <c r="P42" i="9"/>
  <c r="P42" i="5" s="1"/>
  <c r="Q42" i="9"/>
  <c r="Q42" i="5" s="1"/>
  <c r="R42" i="9"/>
  <c r="R42" i="5" s="1"/>
  <c r="S42" i="9"/>
  <c r="S42" i="5" s="1"/>
  <c r="T42" i="9"/>
  <c r="T42" i="5" s="1"/>
  <c r="U42" i="9"/>
  <c r="U42" i="5" s="1"/>
  <c r="V42" i="9"/>
  <c r="V42" i="5" s="1"/>
  <c r="W42" i="9"/>
  <c r="W42" i="5" s="1"/>
  <c r="X42" i="9"/>
  <c r="X42" i="5" s="1"/>
  <c r="Y42" i="9"/>
  <c r="Y42" i="5" s="1"/>
  <c r="Z42" i="9"/>
  <c r="Z42" i="5" s="1"/>
  <c r="AA42" i="9"/>
  <c r="AA42" i="5" s="1"/>
  <c r="AB42" i="9"/>
  <c r="AB42" i="5" s="1"/>
  <c r="AC42" i="9"/>
  <c r="AC42" i="5" s="1"/>
  <c r="AD42" i="9"/>
  <c r="AD42" i="5" s="1"/>
  <c r="AE42" i="9"/>
  <c r="AE42" i="5" s="1"/>
  <c r="AF42" i="9"/>
  <c r="AF42" i="5" s="1"/>
  <c r="AG42" i="9"/>
  <c r="AG42" i="5" s="1"/>
  <c r="AH42" i="9"/>
  <c r="AH42" i="5" s="1"/>
  <c r="D43" i="9"/>
  <c r="D43" i="5" s="1"/>
  <c r="E43" i="9"/>
  <c r="E43" i="5" s="1"/>
  <c r="F43" i="9"/>
  <c r="F43" i="5" s="1"/>
  <c r="G43" i="9"/>
  <c r="G43" i="5" s="1"/>
  <c r="H43" i="9"/>
  <c r="H43" i="5" s="1"/>
  <c r="I43" i="9"/>
  <c r="I43" i="5" s="1"/>
  <c r="J43" i="9"/>
  <c r="J43" i="5" s="1"/>
  <c r="K43" i="9"/>
  <c r="K43" i="5" s="1"/>
  <c r="L43" i="9"/>
  <c r="L43" i="5" s="1"/>
  <c r="M43" i="9"/>
  <c r="M43" i="5" s="1"/>
  <c r="N43" i="9"/>
  <c r="N43" i="5" s="1"/>
  <c r="O43" i="9"/>
  <c r="O43" i="5" s="1"/>
  <c r="P43" i="9"/>
  <c r="P43" i="5" s="1"/>
  <c r="Q43" i="9"/>
  <c r="Q43" i="5" s="1"/>
  <c r="R43" i="9"/>
  <c r="R43" i="5" s="1"/>
  <c r="S43" i="9"/>
  <c r="S43" i="5" s="1"/>
  <c r="T43" i="9"/>
  <c r="T43" i="5" s="1"/>
  <c r="U43" i="9"/>
  <c r="U43" i="5" s="1"/>
  <c r="V43" i="9"/>
  <c r="V43" i="5" s="1"/>
  <c r="W43" i="9"/>
  <c r="W43" i="5" s="1"/>
  <c r="X43" i="9"/>
  <c r="X43" i="5" s="1"/>
  <c r="Y43" i="9"/>
  <c r="Y43" i="5" s="1"/>
  <c r="Z43" i="9"/>
  <c r="Z43" i="5" s="1"/>
  <c r="AA43" i="9"/>
  <c r="AA43" i="5" s="1"/>
  <c r="AB43" i="9"/>
  <c r="AB43" i="5" s="1"/>
  <c r="AC43" i="9"/>
  <c r="AC43" i="5" s="1"/>
  <c r="AD43" i="9"/>
  <c r="AD43" i="5" s="1"/>
  <c r="AE43" i="9"/>
  <c r="AE43" i="5" s="1"/>
  <c r="AF43" i="9"/>
  <c r="AF43" i="5" s="1"/>
  <c r="AG43" i="9"/>
  <c r="AG43" i="5" s="1"/>
  <c r="AH43" i="9"/>
  <c r="AH43" i="5" s="1"/>
  <c r="D44" i="9"/>
  <c r="D44" i="5" s="1"/>
  <c r="E44" i="9"/>
  <c r="E44" i="5" s="1"/>
  <c r="F44" i="9"/>
  <c r="F44" i="5" s="1"/>
  <c r="G44" i="9"/>
  <c r="G44" i="5" s="1"/>
  <c r="H44" i="9"/>
  <c r="H44" i="5" s="1"/>
  <c r="I44" i="9"/>
  <c r="I44" i="5" s="1"/>
  <c r="J44" i="9"/>
  <c r="J44" i="5" s="1"/>
  <c r="K44" i="9"/>
  <c r="K44" i="5" s="1"/>
  <c r="L44" i="9"/>
  <c r="L44" i="5" s="1"/>
  <c r="M44" i="9"/>
  <c r="M44" i="5" s="1"/>
  <c r="N44" i="9"/>
  <c r="N44" i="5" s="1"/>
  <c r="O44" i="9"/>
  <c r="O44" i="5" s="1"/>
  <c r="P44" i="9"/>
  <c r="P44" i="5" s="1"/>
  <c r="Q44" i="9"/>
  <c r="Q44" i="5" s="1"/>
  <c r="R44" i="9"/>
  <c r="R44" i="5" s="1"/>
  <c r="S44" i="9"/>
  <c r="S44" i="5" s="1"/>
  <c r="T44" i="9"/>
  <c r="T44" i="5" s="1"/>
  <c r="U44" i="9"/>
  <c r="U44" i="5" s="1"/>
  <c r="V44" i="9"/>
  <c r="V44" i="5" s="1"/>
  <c r="W44" i="9"/>
  <c r="W44" i="5" s="1"/>
  <c r="X44" i="9"/>
  <c r="X44" i="5" s="1"/>
  <c r="Y44" i="9"/>
  <c r="Y44" i="5" s="1"/>
  <c r="Z44" i="9"/>
  <c r="Z44" i="5" s="1"/>
  <c r="AA44" i="9"/>
  <c r="AA44" i="5" s="1"/>
  <c r="AB44" i="9"/>
  <c r="AB44" i="5" s="1"/>
  <c r="AC44" i="9"/>
  <c r="AC44" i="5" s="1"/>
  <c r="AD44" i="9"/>
  <c r="AD44" i="5" s="1"/>
  <c r="AE44" i="9"/>
  <c r="AE44" i="5" s="1"/>
  <c r="AF44" i="9"/>
  <c r="AF44" i="5" s="1"/>
  <c r="AG44" i="9"/>
  <c r="AG44" i="5" s="1"/>
  <c r="AH44" i="9"/>
  <c r="AH44" i="5" s="1"/>
  <c r="D45" i="9"/>
  <c r="D45" i="5" s="1"/>
  <c r="E45" i="9"/>
  <c r="E45" i="5" s="1"/>
  <c r="F45" i="9"/>
  <c r="F45" i="5" s="1"/>
  <c r="G45" i="9"/>
  <c r="G45" i="5" s="1"/>
  <c r="H45" i="9"/>
  <c r="H45" i="5" s="1"/>
  <c r="I45" i="9"/>
  <c r="I45" i="5" s="1"/>
  <c r="J45" i="9"/>
  <c r="J45" i="5" s="1"/>
  <c r="K45" i="9"/>
  <c r="K45" i="5" s="1"/>
  <c r="L45" i="9"/>
  <c r="L45" i="5" s="1"/>
  <c r="M45" i="9"/>
  <c r="M45" i="5" s="1"/>
  <c r="N45" i="9"/>
  <c r="N45" i="5" s="1"/>
  <c r="O45" i="9"/>
  <c r="O45" i="5" s="1"/>
  <c r="P45" i="9"/>
  <c r="P45" i="5" s="1"/>
  <c r="Q45" i="9"/>
  <c r="Q45" i="5" s="1"/>
  <c r="R45" i="9"/>
  <c r="R45" i="5" s="1"/>
  <c r="S45" i="9"/>
  <c r="S45" i="5" s="1"/>
  <c r="T45" i="9"/>
  <c r="T45" i="5" s="1"/>
  <c r="U45" i="9"/>
  <c r="U45" i="5" s="1"/>
  <c r="V45" i="9"/>
  <c r="V45" i="5" s="1"/>
  <c r="W45" i="9"/>
  <c r="W45" i="5" s="1"/>
  <c r="X45" i="9"/>
  <c r="X45" i="5" s="1"/>
  <c r="Y45" i="9"/>
  <c r="Y45" i="5" s="1"/>
  <c r="Z45" i="9"/>
  <c r="Z45" i="5" s="1"/>
  <c r="AA45" i="9"/>
  <c r="AA45" i="5" s="1"/>
  <c r="AB45" i="9"/>
  <c r="AB45" i="5" s="1"/>
  <c r="AC45" i="9"/>
  <c r="AC45" i="5" s="1"/>
  <c r="AD45" i="9"/>
  <c r="AD45" i="5" s="1"/>
  <c r="AE45" i="9"/>
  <c r="AE45" i="5" s="1"/>
  <c r="AF45" i="9"/>
  <c r="AF45" i="5" s="1"/>
  <c r="AG45" i="9"/>
  <c r="AG45" i="5" s="1"/>
  <c r="AH45" i="9"/>
  <c r="AH45" i="5" s="1"/>
  <c r="D46" i="9"/>
  <c r="D46" i="5" s="1"/>
  <c r="E46" i="9"/>
  <c r="E46" i="5" s="1"/>
  <c r="F46" i="9"/>
  <c r="F46" i="5" s="1"/>
  <c r="G46" i="9"/>
  <c r="G46" i="5" s="1"/>
  <c r="H46" i="9"/>
  <c r="H46" i="5" s="1"/>
  <c r="I46" i="9"/>
  <c r="I46" i="5" s="1"/>
  <c r="J46" i="9"/>
  <c r="J46" i="5" s="1"/>
  <c r="K46" i="9"/>
  <c r="K46" i="5" s="1"/>
  <c r="L46" i="9"/>
  <c r="L46" i="5" s="1"/>
  <c r="M46" i="9"/>
  <c r="M46" i="5" s="1"/>
  <c r="N46" i="9"/>
  <c r="N46" i="5" s="1"/>
  <c r="O46" i="9"/>
  <c r="O46" i="5" s="1"/>
  <c r="P46" i="9"/>
  <c r="P46" i="5" s="1"/>
  <c r="Q46" i="9"/>
  <c r="Q46" i="5" s="1"/>
  <c r="R46" i="9"/>
  <c r="R46" i="5" s="1"/>
  <c r="S46" i="9"/>
  <c r="S46" i="5" s="1"/>
  <c r="T46" i="9"/>
  <c r="T46" i="5" s="1"/>
  <c r="U46" i="9"/>
  <c r="U46" i="5" s="1"/>
  <c r="V46" i="9"/>
  <c r="V46" i="5" s="1"/>
  <c r="W46" i="9"/>
  <c r="W46" i="5" s="1"/>
  <c r="X46" i="9"/>
  <c r="X46" i="5" s="1"/>
  <c r="Y46" i="9"/>
  <c r="Y46" i="5" s="1"/>
  <c r="Z46" i="9"/>
  <c r="Z46" i="5" s="1"/>
  <c r="AA46" i="9"/>
  <c r="AA46" i="5" s="1"/>
  <c r="AB46" i="9"/>
  <c r="AB46" i="5" s="1"/>
  <c r="AC46" i="9"/>
  <c r="AC46" i="5" s="1"/>
  <c r="AD46" i="9"/>
  <c r="AD46" i="5" s="1"/>
  <c r="AE46" i="9"/>
  <c r="AE46" i="5" s="1"/>
  <c r="AF46" i="9"/>
  <c r="AF46" i="5" s="1"/>
  <c r="AG46" i="9"/>
  <c r="AG46" i="5" s="1"/>
  <c r="AH46" i="9"/>
  <c r="AH46" i="5" s="1"/>
  <c r="D47" i="9"/>
  <c r="D47" i="5" s="1"/>
  <c r="E47" i="9"/>
  <c r="E47" i="5" s="1"/>
  <c r="F47" i="9"/>
  <c r="F47" i="5" s="1"/>
  <c r="G47" i="9"/>
  <c r="G47" i="5" s="1"/>
  <c r="H47" i="9"/>
  <c r="H47" i="5" s="1"/>
  <c r="I47" i="9"/>
  <c r="I47" i="5" s="1"/>
  <c r="J47" i="9"/>
  <c r="J47" i="5" s="1"/>
  <c r="K47" i="9"/>
  <c r="K47" i="5" s="1"/>
  <c r="L47" i="9"/>
  <c r="L47" i="5" s="1"/>
  <c r="M47" i="9"/>
  <c r="M47" i="5" s="1"/>
  <c r="N47" i="9"/>
  <c r="N47" i="5" s="1"/>
  <c r="O47" i="9"/>
  <c r="O47" i="5" s="1"/>
  <c r="P47" i="9"/>
  <c r="P47" i="5" s="1"/>
  <c r="Q47" i="9"/>
  <c r="Q47" i="5" s="1"/>
  <c r="R47" i="9"/>
  <c r="R47" i="5" s="1"/>
  <c r="S47" i="9"/>
  <c r="S47" i="5" s="1"/>
  <c r="T47" i="9"/>
  <c r="T47" i="5" s="1"/>
  <c r="U47" i="9"/>
  <c r="U47" i="5" s="1"/>
  <c r="V47" i="9"/>
  <c r="V47" i="5" s="1"/>
  <c r="W47" i="9"/>
  <c r="W47" i="5" s="1"/>
  <c r="X47" i="9"/>
  <c r="X47" i="5" s="1"/>
  <c r="Y47" i="9"/>
  <c r="Y47" i="5" s="1"/>
  <c r="Z47" i="9"/>
  <c r="Z47" i="5" s="1"/>
  <c r="AA47" i="9"/>
  <c r="AA47" i="5" s="1"/>
  <c r="AB47" i="9"/>
  <c r="AB47" i="5" s="1"/>
  <c r="AC47" i="9"/>
  <c r="AC47" i="5" s="1"/>
  <c r="AD47" i="9"/>
  <c r="AD47" i="5" s="1"/>
  <c r="AE47" i="9"/>
  <c r="AE47" i="5" s="1"/>
  <c r="AF47" i="9"/>
  <c r="AF47" i="5" s="1"/>
  <c r="AG47" i="9"/>
  <c r="AG47" i="5" s="1"/>
  <c r="AH47" i="9"/>
  <c r="AH47" i="5" s="1"/>
  <c r="D48" i="9"/>
  <c r="D48" i="5" s="1"/>
  <c r="E48" i="9"/>
  <c r="E48" i="5" s="1"/>
  <c r="F48" i="9"/>
  <c r="F48" i="5" s="1"/>
  <c r="G48" i="9"/>
  <c r="G48" i="5" s="1"/>
  <c r="H48" i="9"/>
  <c r="H48" i="5" s="1"/>
  <c r="I48" i="9"/>
  <c r="I48" i="5" s="1"/>
  <c r="J48" i="9"/>
  <c r="J48" i="5" s="1"/>
  <c r="K48" i="9"/>
  <c r="K48" i="5" s="1"/>
  <c r="L48" i="9"/>
  <c r="L48" i="5" s="1"/>
  <c r="M48" i="9"/>
  <c r="M48" i="5" s="1"/>
  <c r="N48" i="9"/>
  <c r="N48" i="5" s="1"/>
  <c r="O48" i="9"/>
  <c r="O48" i="5" s="1"/>
  <c r="P48" i="9"/>
  <c r="P48" i="5" s="1"/>
  <c r="Q48" i="9"/>
  <c r="Q48" i="5" s="1"/>
  <c r="R48" i="9"/>
  <c r="R48" i="5" s="1"/>
  <c r="S48" i="9"/>
  <c r="S48" i="5" s="1"/>
  <c r="T48" i="9"/>
  <c r="T48" i="5" s="1"/>
  <c r="U48" i="9"/>
  <c r="U48" i="5" s="1"/>
  <c r="V48" i="9"/>
  <c r="V48" i="5" s="1"/>
  <c r="W48" i="9"/>
  <c r="W48" i="5" s="1"/>
  <c r="X48" i="9"/>
  <c r="X48" i="5" s="1"/>
  <c r="Y48" i="9"/>
  <c r="Y48" i="5" s="1"/>
  <c r="Z48" i="9"/>
  <c r="Z48" i="5" s="1"/>
  <c r="AA48" i="9"/>
  <c r="AA48" i="5" s="1"/>
  <c r="AB48" i="9"/>
  <c r="AB48" i="5" s="1"/>
  <c r="AC48" i="9"/>
  <c r="AC48" i="5" s="1"/>
  <c r="AD48" i="9"/>
  <c r="AD48" i="5" s="1"/>
  <c r="AE48" i="9"/>
  <c r="AE48" i="5" s="1"/>
  <c r="AF48" i="9"/>
  <c r="AF48" i="5" s="1"/>
  <c r="AG48" i="9"/>
  <c r="AG48" i="5" s="1"/>
  <c r="AH48" i="9"/>
  <c r="AH48" i="5" s="1"/>
  <c r="D49" i="9"/>
  <c r="D49" i="5" s="1"/>
  <c r="E49" i="9"/>
  <c r="E49" i="5" s="1"/>
  <c r="F49" i="9"/>
  <c r="F49" i="5" s="1"/>
  <c r="G49" i="9"/>
  <c r="G49" i="5" s="1"/>
  <c r="H49" i="9"/>
  <c r="H49" i="5" s="1"/>
  <c r="I49" i="9"/>
  <c r="I49" i="5" s="1"/>
  <c r="J49" i="9"/>
  <c r="J49" i="5" s="1"/>
  <c r="K49" i="9"/>
  <c r="K49" i="5" s="1"/>
  <c r="L49" i="9"/>
  <c r="L49" i="5" s="1"/>
  <c r="M49" i="9"/>
  <c r="M49" i="5" s="1"/>
  <c r="N49" i="9"/>
  <c r="N49" i="5" s="1"/>
  <c r="O49" i="9"/>
  <c r="O49" i="5" s="1"/>
  <c r="P49" i="9"/>
  <c r="P49" i="5" s="1"/>
  <c r="Q49" i="9"/>
  <c r="Q49" i="5" s="1"/>
  <c r="R49" i="9"/>
  <c r="R49" i="5" s="1"/>
  <c r="S49" i="9"/>
  <c r="S49" i="5" s="1"/>
  <c r="T49" i="9"/>
  <c r="T49" i="5" s="1"/>
  <c r="U49" i="9"/>
  <c r="U49" i="5" s="1"/>
  <c r="V49" i="9"/>
  <c r="V49" i="5" s="1"/>
  <c r="W49" i="9"/>
  <c r="W49" i="5" s="1"/>
  <c r="X49" i="9"/>
  <c r="X49" i="5" s="1"/>
  <c r="Y49" i="9"/>
  <c r="Y49" i="5" s="1"/>
  <c r="Z49" i="9"/>
  <c r="Z49" i="5" s="1"/>
  <c r="AA49" i="9"/>
  <c r="AA49" i="5" s="1"/>
  <c r="AB49" i="9"/>
  <c r="AB49" i="5" s="1"/>
  <c r="AC49" i="9"/>
  <c r="AC49" i="5" s="1"/>
  <c r="AD49" i="9"/>
  <c r="AD49" i="5" s="1"/>
  <c r="AE49" i="9"/>
  <c r="AE49" i="5" s="1"/>
  <c r="AF49" i="9"/>
  <c r="AF49" i="5" s="1"/>
  <c r="AG49" i="9"/>
  <c r="AG49" i="5" s="1"/>
  <c r="AH49" i="9"/>
  <c r="AH49" i="5" s="1"/>
  <c r="D50" i="9"/>
  <c r="D50" i="5" s="1"/>
  <c r="E50" i="9"/>
  <c r="E50" i="5" s="1"/>
  <c r="F50" i="9"/>
  <c r="F50" i="5" s="1"/>
  <c r="G50" i="9"/>
  <c r="G50" i="5" s="1"/>
  <c r="H50" i="9"/>
  <c r="H50" i="5" s="1"/>
  <c r="I50" i="9"/>
  <c r="I50" i="5" s="1"/>
  <c r="J50" i="9"/>
  <c r="J50" i="5" s="1"/>
  <c r="K50" i="9"/>
  <c r="K50" i="5" s="1"/>
  <c r="L50" i="9"/>
  <c r="L50" i="5" s="1"/>
  <c r="M50" i="9"/>
  <c r="M50" i="5" s="1"/>
  <c r="N50" i="9"/>
  <c r="N50" i="5" s="1"/>
  <c r="O50" i="9"/>
  <c r="O50" i="5" s="1"/>
  <c r="P50" i="9"/>
  <c r="P50" i="5" s="1"/>
  <c r="Q50" i="9"/>
  <c r="Q50" i="5" s="1"/>
  <c r="R50" i="9"/>
  <c r="R50" i="5" s="1"/>
  <c r="S50" i="9"/>
  <c r="S50" i="5" s="1"/>
  <c r="T50" i="9"/>
  <c r="T50" i="5" s="1"/>
  <c r="U50" i="9"/>
  <c r="U50" i="5" s="1"/>
  <c r="V50" i="9"/>
  <c r="V50" i="5" s="1"/>
  <c r="W50" i="9"/>
  <c r="W50" i="5" s="1"/>
  <c r="X50" i="9"/>
  <c r="X50" i="5" s="1"/>
  <c r="Y50" i="9"/>
  <c r="Y50" i="5" s="1"/>
  <c r="Z50" i="9"/>
  <c r="Z50" i="5" s="1"/>
  <c r="AA50" i="9"/>
  <c r="AA50" i="5" s="1"/>
  <c r="AB50" i="9"/>
  <c r="AB50" i="5" s="1"/>
  <c r="AC50" i="9"/>
  <c r="AC50" i="5" s="1"/>
  <c r="AD50" i="9"/>
  <c r="AD50" i="5" s="1"/>
  <c r="AE50" i="9"/>
  <c r="AE50" i="5" s="1"/>
  <c r="AF50" i="9"/>
  <c r="AF50" i="5" s="1"/>
  <c r="AG50" i="9"/>
  <c r="AG50" i="5" s="1"/>
  <c r="AH50" i="9"/>
  <c r="AH50" i="5" s="1"/>
  <c r="D51" i="9"/>
  <c r="D51" i="5" s="1"/>
  <c r="E51" i="9"/>
  <c r="E51" i="5" s="1"/>
  <c r="F51" i="9"/>
  <c r="F51" i="5" s="1"/>
  <c r="G51" i="9"/>
  <c r="G51" i="5" s="1"/>
  <c r="H51" i="9"/>
  <c r="H51" i="5" s="1"/>
  <c r="I51" i="9"/>
  <c r="I51" i="5" s="1"/>
  <c r="J51" i="9"/>
  <c r="J51" i="5" s="1"/>
  <c r="K51" i="9"/>
  <c r="K51" i="5" s="1"/>
  <c r="L51" i="9"/>
  <c r="L51" i="5" s="1"/>
  <c r="M51" i="9"/>
  <c r="M51" i="5" s="1"/>
  <c r="N51" i="9"/>
  <c r="N51" i="5" s="1"/>
  <c r="O51" i="9"/>
  <c r="O51" i="5" s="1"/>
  <c r="P51" i="9"/>
  <c r="P51" i="5" s="1"/>
  <c r="Q51" i="9"/>
  <c r="Q51" i="5" s="1"/>
  <c r="R51" i="9"/>
  <c r="R51" i="5" s="1"/>
  <c r="S51" i="9"/>
  <c r="S51" i="5" s="1"/>
  <c r="T51" i="9"/>
  <c r="T51" i="5" s="1"/>
  <c r="U51" i="9"/>
  <c r="U51" i="5" s="1"/>
  <c r="V51" i="9"/>
  <c r="V51" i="5" s="1"/>
  <c r="W51" i="9"/>
  <c r="W51" i="5" s="1"/>
  <c r="X51" i="9"/>
  <c r="X51" i="5" s="1"/>
  <c r="Y51" i="9"/>
  <c r="Y51" i="5" s="1"/>
  <c r="Z51" i="9"/>
  <c r="Z51" i="5" s="1"/>
  <c r="AA51" i="9"/>
  <c r="AA51" i="5" s="1"/>
  <c r="AB51" i="9"/>
  <c r="AB51" i="5" s="1"/>
  <c r="AC51" i="9"/>
  <c r="AC51" i="5" s="1"/>
  <c r="AD51" i="9"/>
  <c r="AD51" i="5" s="1"/>
  <c r="AE51" i="9"/>
  <c r="AE51" i="5" s="1"/>
  <c r="AF51" i="9"/>
  <c r="AF51" i="5" s="1"/>
  <c r="AG51" i="9"/>
  <c r="AG51" i="5" s="1"/>
  <c r="AH51" i="9"/>
  <c r="AH51" i="5" s="1"/>
  <c r="D52" i="9"/>
  <c r="D52" i="5" s="1"/>
  <c r="E52" i="9"/>
  <c r="E52" i="5" s="1"/>
  <c r="F52" i="9"/>
  <c r="F52" i="5" s="1"/>
  <c r="G52" i="9"/>
  <c r="G52" i="5" s="1"/>
  <c r="H52" i="9"/>
  <c r="H52" i="5" s="1"/>
  <c r="I52" i="9"/>
  <c r="I52" i="5" s="1"/>
  <c r="J52" i="9"/>
  <c r="J52" i="5" s="1"/>
  <c r="K52" i="9"/>
  <c r="K52" i="5" s="1"/>
  <c r="L52" i="9"/>
  <c r="L52" i="5" s="1"/>
  <c r="M52" i="9"/>
  <c r="M52" i="5" s="1"/>
  <c r="N52" i="9"/>
  <c r="N52" i="5" s="1"/>
  <c r="O52" i="9"/>
  <c r="O52" i="5" s="1"/>
  <c r="P52" i="9"/>
  <c r="P52" i="5" s="1"/>
  <c r="Q52" i="9"/>
  <c r="Q52" i="5" s="1"/>
  <c r="R52" i="9"/>
  <c r="R52" i="5" s="1"/>
  <c r="S52" i="9"/>
  <c r="S52" i="5" s="1"/>
  <c r="T52" i="9"/>
  <c r="T52" i="5" s="1"/>
  <c r="U52" i="9"/>
  <c r="U52" i="5" s="1"/>
  <c r="V52" i="9"/>
  <c r="V52" i="5" s="1"/>
  <c r="W52" i="9"/>
  <c r="W52" i="5" s="1"/>
  <c r="X52" i="9"/>
  <c r="X52" i="5" s="1"/>
  <c r="Y52" i="9"/>
  <c r="Y52" i="5" s="1"/>
  <c r="Z52" i="9"/>
  <c r="Z52" i="5" s="1"/>
  <c r="AA52" i="9"/>
  <c r="AA52" i="5" s="1"/>
  <c r="AB52" i="9"/>
  <c r="AB52" i="5" s="1"/>
  <c r="AC52" i="9"/>
  <c r="AC52" i="5" s="1"/>
  <c r="AD52" i="9"/>
  <c r="AD52" i="5" s="1"/>
  <c r="AE52" i="9"/>
  <c r="AE52" i="5" s="1"/>
  <c r="AF52" i="9"/>
  <c r="AF52" i="5" s="1"/>
  <c r="AG52" i="9"/>
  <c r="AG52" i="5" s="1"/>
  <c r="AH52" i="9"/>
  <c r="AH52" i="5" s="1"/>
  <c r="D53" i="9"/>
  <c r="D53" i="5" s="1"/>
  <c r="E53" i="9"/>
  <c r="E53" i="5" s="1"/>
  <c r="F53" i="9"/>
  <c r="F53" i="5" s="1"/>
  <c r="G53" i="9"/>
  <c r="G53" i="5" s="1"/>
  <c r="H53" i="9"/>
  <c r="H53" i="5" s="1"/>
  <c r="I53" i="9"/>
  <c r="I53" i="5" s="1"/>
  <c r="J53" i="9"/>
  <c r="J53" i="5" s="1"/>
  <c r="K53" i="9"/>
  <c r="K53" i="5" s="1"/>
  <c r="L53" i="9"/>
  <c r="L53" i="5" s="1"/>
  <c r="M53" i="9"/>
  <c r="M53" i="5" s="1"/>
  <c r="N53" i="9"/>
  <c r="N53" i="5" s="1"/>
  <c r="O53" i="9"/>
  <c r="O53" i="5" s="1"/>
  <c r="P53" i="9"/>
  <c r="P53" i="5" s="1"/>
  <c r="Q53" i="9"/>
  <c r="Q53" i="5" s="1"/>
  <c r="R53" i="9"/>
  <c r="R53" i="5" s="1"/>
  <c r="S53" i="9"/>
  <c r="S53" i="5" s="1"/>
  <c r="T53" i="9"/>
  <c r="T53" i="5" s="1"/>
  <c r="U53" i="9"/>
  <c r="U53" i="5" s="1"/>
  <c r="V53" i="9"/>
  <c r="V53" i="5" s="1"/>
  <c r="W53" i="9"/>
  <c r="W53" i="5" s="1"/>
  <c r="X53" i="9"/>
  <c r="X53" i="5" s="1"/>
  <c r="Y53" i="9"/>
  <c r="Y53" i="5" s="1"/>
  <c r="Z53" i="9"/>
  <c r="Z53" i="5" s="1"/>
  <c r="AA53" i="9"/>
  <c r="AA53" i="5" s="1"/>
  <c r="AB53" i="9"/>
  <c r="AB53" i="5" s="1"/>
  <c r="AC53" i="9"/>
  <c r="AC53" i="5" s="1"/>
  <c r="AD53" i="9"/>
  <c r="AD53" i="5" s="1"/>
  <c r="AE53" i="9"/>
  <c r="AE53" i="5" s="1"/>
  <c r="AF53" i="9"/>
  <c r="AF53" i="5" s="1"/>
  <c r="AG53" i="9"/>
  <c r="AG53" i="5" s="1"/>
  <c r="AH53" i="9"/>
  <c r="AH53" i="5" s="1"/>
  <c r="D54" i="9"/>
  <c r="D54" i="5" s="1"/>
  <c r="E54" i="9"/>
  <c r="E54" i="5" s="1"/>
  <c r="F54" i="9"/>
  <c r="F54" i="5" s="1"/>
  <c r="G54" i="9"/>
  <c r="G54" i="5" s="1"/>
  <c r="H54" i="9"/>
  <c r="H54" i="5" s="1"/>
  <c r="I54" i="9"/>
  <c r="I54" i="5" s="1"/>
  <c r="J54" i="9"/>
  <c r="J54" i="5" s="1"/>
  <c r="K54" i="9"/>
  <c r="K54" i="5" s="1"/>
  <c r="L54" i="9"/>
  <c r="L54" i="5" s="1"/>
  <c r="M54" i="9"/>
  <c r="M54" i="5" s="1"/>
  <c r="N54" i="9"/>
  <c r="N54" i="5" s="1"/>
  <c r="O54" i="9"/>
  <c r="O54" i="5" s="1"/>
  <c r="P54" i="9"/>
  <c r="P54" i="5" s="1"/>
  <c r="Q54" i="9"/>
  <c r="Q54" i="5" s="1"/>
  <c r="R54" i="9"/>
  <c r="R54" i="5" s="1"/>
  <c r="S54" i="9"/>
  <c r="S54" i="5" s="1"/>
  <c r="T54" i="9"/>
  <c r="T54" i="5" s="1"/>
  <c r="U54" i="9"/>
  <c r="U54" i="5" s="1"/>
  <c r="V54" i="9"/>
  <c r="V54" i="5" s="1"/>
  <c r="W54" i="9"/>
  <c r="W54" i="5" s="1"/>
  <c r="X54" i="9"/>
  <c r="X54" i="5" s="1"/>
  <c r="Y54" i="9"/>
  <c r="Y54" i="5" s="1"/>
  <c r="Z54" i="9"/>
  <c r="Z54" i="5" s="1"/>
  <c r="AA54" i="9"/>
  <c r="AA54" i="5" s="1"/>
  <c r="AB54" i="9"/>
  <c r="AB54" i="5" s="1"/>
  <c r="AC54" i="9"/>
  <c r="AC54" i="5" s="1"/>
  <c r="AD54" i="9"/>
  <c r="AD54" i="5" s="1"/>
  <c r="AE54" i="9"/>
  <c r="AE54" i="5" s="1"/>
  <c r="AF54" i="9"/>
  <c r="AF54" i="5" s="1"/>
  <c r="AG54" i="9"/>
  <c r="AG54" i="5" s="1"/>
  <c r="AH54" i="9"/>
  <c r="AH54" i="5" s="1"/>
  <c r="D55" i="9"/>
  <c r="D55" i="5" s="1"/>
  <c r="E55" i="9"/>
  <c r="E55" i="5" s="1"/>
  <c r="F55" i="9"/>
  <c r="F55" i="5" s="1"/>
  <c r="G55" i="9"/>
  <c r="G55" i="5" s="1"/>
  <c r="H55" i="9"/>
  <c r="H55" i="5" s="1"/>
  <c r="I55" i="9"/>
  <c r="I55" i="5" s="1"/>
  <c r="J55" i="9"/>
  <c r="J55" i="5" s="1"/>
  <c r="K55" i="9"/>
  <c r="K55" i="5" s="1"/>
  <c r="L55" i="9"/>
  <c r="L55" i="5" s="1"/>
  <c r="M55" i="9"/>
  <c r="M55" i="5" s="1"/>
  <c r="N55" i="9"/>
  <c r="N55" i="5" s="1"/>
  <c r="O55" i="9"/>
  <c r="O55" i="5" s="1"/>
  <c r="P55" i="9"/>
  <c r="P55" i="5" s="1"/>
  <c r="Q55" i="9"/>
  <c r="Q55" i="5" s="1"/>
  <c r="R55" i="9"/>
  <c r="R55" i="5" s="1"/>
  <c r="S55" i="9"/>
  <c r="S55" i="5" s="1"/>
  <c r="T55" i="9"/>
  <c r="T55" i="5" s="1"/>
  <c r="U55" i="9"/>
  <c r="U55" i="5" s="1"/>
  <c r="V55" i="9"/>
  <c r="V55" i="5" s="1"/>
  <c r="W55" i="9"/>
  <c r="W55" i="5" s="1"/>
  <c r="X55" i="9"/>
  <c r="X55" i="5" s="1"/>
  <c r="Y55" i="9"/>
  <c r="Y55" i="5" s="1"/>
  <c r="Z55" i="9"/>
  <c r="Z55" i="5" s="1"/>
  <c r="AA55" i="9"/>
  <c r="AA55" i="5" s="1"/>
  <c r="AB55" i="9"/>
  <c r="AB55" i="5" s="1"/>
  <c r="AC55" i="9"/>
  <c r="AC55" i="5" s="1"/>
  <c r="AD55" i="9"/>
  <c r="AD55" i="5" s="1"/>
  <c r="AE55" i="9"/>
  <c r="AE55" i="5" s="1"/>
  <c r="AF55" i="9"/>
  <c r="AF55" i="5" s="1"/>
  <c r="AG55" i="9"/>
  <c r="AG55" i="5" s="1"/>
  <c r="AH55" i="9"/>
  <c r="AH55" i="5" s="1"/>
  <c r="D56" i="9"/>
  <c r="D56" i="5" s="1"/>
  <c r="E56" i="9"/>
  <c r="E56" i="5" s="1"/>
  <c r="F56" i="9"/>
  <c r="F56" i="5" s="1"/>
  <c r="G56" i="9"/>
  <c r="G56" i="5" s="1"/>
  <c r="H56" i="9"/>
  <c r="H56" i="5" s="1"/>
  <c r="I56" i="9"/>
  <c r="I56" i="5" s="1"/>
  <c r="J56" i="9"/>
  <c r="J56" i="5" s="1"/>
  <c r="K56" i="9"/>
  <c r="K56" i="5" s="1"/>
  <c r="L56" i="9"/>
  <c r="L56" i="5" s="1"/>
  <c r="M56" i="9"/>
  <c r="M56" i="5" s="1"/>
  <c r="N56" i="9"/>
  <c r="N56" i="5" s="1"/>
  <c r="O56" i="9"/>
  <c r="O56" i="5" s="1"/>
  <c r="P56" i="9"/>
  <c r="P56" i="5" s="1"/>
  <c r="Q56" i="9"/>
  <c r="Q56" i="5" s="1"/>
  <c r="R56" i="9"/>
  <c r="R56" i="5" s="1"/>
  <c r="S56" i="9"/>
  <c r="S56" i="5" s="1"/>
  <c r="T56" i="9"/>
  <c r="T56" i="5" s="1"/>
  <c r="U56" i="9"/>
  <c r="U56" i="5" s="1"/>
  <c r="V56" i="9"/>
  <c r="V56" i="5" s="1"/>
  <c r="W56" i="9"/>
  <c r="W56" i="5" s="1"/>
  <c r="X56" i="9"/>
  <c r="X56" i="5" s="1"/>
  <c r="Y56" i="9"/>
  <c r="Y56" i="5" s="1"/>
  <c r="Z56" i="9"/>
  <c r="Z56" i="5" s="1"/>
  <c r="AA56" i="9"/>
  <c r="AA56" i="5" s="1"/>
  <c r="AB56" i="9"/>
  <c r="AB56" i="5" s="1"/>
  <c r="AC56" i="9"/>
  <c r="AC56" i="5" s="1"/>
  <c r="AD56" i="9"/>
  <c r="AD56" i="5" s="1"/>
  <c r="AE56" i="9"/>
  <c r="AE56" i="5" s="1"/>
  <c r="AF56" i="9"/>
  <c r="AF56" i="5" s="1"/>
  <c r="AG56" i="9"/>
  <c r="AG56" i="5" s="1"/>
  <c r="AH56" i="9"/>
  <c r="AH56" i="5" s="1"/>
  <c r="D57" i="9"/>
  <c r="D57" i="5" s="1"/>
  <c r="E57" i="9"/>
  <c r="E57" i="5" s="1"/>
  <c r="F57" i="9"/>
  <c r="F57" i="5" s="1"/>
  <c r="G57" i="9"/>
  <c r="G57" i="5" s="1"/>
  <c r="H57" i="9"/>
  <c r="H57" i="5" s="1"/>
  <c r="I57" i="9"/>
  <c r="I57" i="5" s="1"/>
  <c r="J57" i="9"/>
  <c r="J57" i="5" s="1"/>
  <c r="K57" i="9"/>
  <c r="K57" i="5" s="1"/>
  <c r="L57" i="9"/>
  <c r="L57" i="5" s="1"/>
  <c r="M57" i="9"/>
  <c r="M57" i="5" s="1"/>
  <c r="N57" i="9"/>
  <c r="N57" i="5" s="1"/>
  <c r="O57" i="9"/>
  <c r="O57" i="5" s="1"/>
  <c r="P57" i="9"/>
  <c r="P57" i="5" s="1"/>
  <c r="Q57" i="9"/>
  <c r="Q57" i="5" s="1"/>
  <c r="R57" i="9"/>
  <c r="R57" i="5" s="1"/>
  <c r="S57" i="9"/>
  <c r="S57" i="5" s="1"/>
  <c r="T57" i="9"/>
  <c r="T57" i="5" s="1"/>
  <c r="U57" i="9"/>
  <c r="U57" i="5" s="1"/>
  <c r="V57" i="9"/>
  <c r="V57" i="5" s="1"/>
  <c r="W57" i="9"/>
  <c r="W57" i="5" s="1"/>
  <c r="X57" i="9"/>
  <c r="X57" i="5" s="1"/>
  <c r="Y57" i="9"/>
  <c r="Y57" i="5" s="1"/>
  <c r="Z57" i="9"/>
  <c r="Z57" i="5" s="1"/>
  <c r="AA57" i="9"/>
  <c r="AA57" i="5" s="1"/>
  <c r="AB57" i="9"/>
  <c r="AB57" i="5" s="1"/>
  <c r="AC57" i="9"/>
  <c r="AC57" i="5" s="1"/>
  <c r="AD57" i="9"/>
  <c r="AD57" i="5" s="1"/>
  <c r="AE57" i="9"/>
  <c r="AE57" i="5" s="1"/>
  <c r="AF57" i="9"/>
  <c r="AF57" i="5" s="1"/>
  <c r="AG57" i="9"/>
  <c r="AG57" i="5" s="1"/>
  <c r="AH57" i="9"/>
  <c r="AH57" i="5" s="1"/>
  <c r="D58" i="9"/>
  <c r="D58" i="5" s="1"/>
  <c r="E58" i="9"/>
  <c r="E58" i="5" s="1"/>
  <c r="F58" i="9"/>
  <c r="F58" i="5" s="1"/>
  <c r="G58" i="9"/>
  <c r="G58" i="5" s="1"/>
  <c r="H58" i="9"/>
  <c r="H58" i="5" s="1"/>
  <c r="I58" i="9"/>
  <c r="I58" i="5" s="1"/>
  <c r="J58" i="9"/>
  <c r="J58" i="5" s="1"/>
  <c r="K58" i="9"/>
  <c r="K58" i="5" s="1"/>
  <c r="L58" i="9"/>
  <c r="L58" i="5" s="1"/>
  <c r="M58" i="9"/>
  <c r="M58" i="5" s="1"/>
  <c r="N58" i="9"/>
  <c r="N58" i="5" s="1"/>
  <c r="O58" i="9"/>
  <c r="O58" i="5" s="1"/>
  <c r="P58" i="9"/>
  <c r="P58" i="5" s="1"/>
  <c r="Q58" i="9"/>
  <c r="Q58" i="5" s="1"/>
  <c r="R58" i="9"/>
  <c r="R58" i="5" s="1"/>
  <c r="S58" i="9"/>
  <c r="S58" i="5" s="1"/>
  <c r="T58" i="9"/>
  <c r="T58" i="5" s="1"/>
  <c r="U58" i="9"/>
  <c r="U58" i="5" s="1"/>
  <c r="V58" i="9"/>
  <c r="V58" i="5" s="1"/>
  <c r="W58" i="9"/>
  <c r="W58" i="5" s="1"/>
  <c r="X58" i="9"/>
  <c r="X58" i="5" s="1"/>
  <c r="Y58" i="9"/>
  <c r="Y58" i="5" s="1"/>
  <c r="Z58" i="9"/>
  <c r="Z58" i="5" s="1"/>
  <c r="AA58" i="9"/>
  <c r="AA58" i="5" s="1"/>
  <c r="AB58" i="9"/>
  <c r="AB58" i="5" s="1"/>
  <c r="AC58" i="9"/>
  <c r="AC58" i="5" s="1"/>
  <c r="AD58" i="9"/>
  <c r="AD58" i="5" s="1"/>
  <c r="AE58" i="9"/>
  <c r="AE58" i="5" s="1"/>
  <c r="AF58" i="9"/>
  <c r="AF58" i="5" s="1"/>
  <c r="AG58" i="9"/>
  <c r="AG58" i="5" s="1"/>
  <c r="AH58" i="9"/>
  <c r="AH58" i="5" s="1"/>
  <c r="D59" i="9"/>
  <c r="D59" i="5" s="1"/>
  <c r="E59" i="9"/>
  <c r="E59" i="5" s="1"/>
  <c r="F59" i="9"/>
  <c r="F59" i="5" s="1"/>
  <c r="G59" i="9"/>
  <c r="G59" i="5" s="1"/>
  <c r="H59" i="9"/>
  <c r="H59" i="5" s="1"/>
  <c r="I59" i="9"/>
  <c r="I59" i="5" s="1"/>
  <c r="J59" i="9"/>
  <c r="J59" i="5" s="1"/>
  <c r="K59" i="9"/>
  <c r="K59" i="5" s="1"/>
  <c r="L59" i="9"/>
  <c r="L59" i="5" s="1"/>
  <c r="M59" i="9"/>
  <c r="M59" i="5" s="1"/>
  <c r="N59" i="9"/>
  <c r="N59" i="5" s="1"/>
  <c r="O59" i="9"/>
  <c r="O59" i="5" s="1"/>
  <c r="P59" i="9"/>
  <c r="P59" i="5" s="1"/>
  <c r="Q59" i="9"/>
  <c r="Q59" i="5" s="1"/>
  <c r="R59" i="9"/>
  <c r="R59" i="5" s="1"/>
  <c r="S59" i="9"/>
  <c r="S59" i="5" s="1"/>
  <c r="T59" i="9"/>
  <c r="T59" i="5" s="1"/>
  <c r="U59" i="9"/>
  <c r="U59" i="5" s="1"/>
  <c r="V59" i="9"/>
  <c r="V59" i="5" s="1"/>
  <c r="W59" i="9"/>
  <c r="W59" i="5" s="1"/>
  <c r="X59" i="9"/>
  <c r="X59" i="5" s="1"/>
  <c r="Y59" i="9"/>
  <c r="Y59" i="5" s="1"/>
  <c r="Z59" i="9"/>
  <c r="Z59" i="5" s="1"/>
  <c r="AA59" i="9"/>
  <c r="AA59" i="5" s="1"/>
  <c r="AB59" i="9"/>
  <c r="AB59" i="5" s="1"/>
  <c r="AC59" i="9"/>
  <c r="AC59" i="5" s="1"/>
  <c r="AD59" i="9"/>
  <c r="AD59" i="5" s="1"/>
  <c r="AE59" i="9"/>
  <c r="AE59" i="5" s="1"/>
  <c r="AF59" i="9"/>
  <c r="AF59" i="5" s="1"/>
  <c r="AG59" i="9"/>
  <c r="AG59" i="5" s="1"/>
  <c r="AH59" i="9"/>
  <c r="AH59" i="5" s="1"/>
  <c r="D60" i="9"/>
  <c r="D60" i="5" s="1"/>
  <c r="E60" i="9"/>
  <c r="E60" i="5" s="1"/>
  <c r="F60" i="9"/>
  <c r="F60" i="5" s="1"/>
  <c r="G60" i="9"/>
  <c r="G60" i="5" s="1"/>
  <c r="H60" i="9"/>
  <c r="H60" i="5" s="1"/>
  <c r="I60" i="9"/>
  <c r="I60" i="5" s="1"/>
  <c r="J60" i="9"/>
  <c r="J60" i="5" s="1"/>
  <c r="K60" i="9"/>
  <c r="K60" i="5" s="1"/>
  <c r="L60" i="9"/>
  <c r="L60" i="5" s="1"/>
  <c r="M60" i="9"/>
  <c r="M60" i="5" s="1"/>
  <c r="N60" i="9"/>
  <c r="N60" i="5" s="1"/>
  <c r="O60" i="9"/>
  <c r="O60" i="5" s="1"/>
  <c r="P60" i="9"/>
  <c r="P60" i="5" s="1"/>
  <c r="Q60" i="9"/>
  <c r="Q60" i="5" s="1"/>
  <c r="R60" i="9"/>
  <c r="R60" i="5" s="1"/>
  <c r="S60" i="9"/>
  <c r="S60" i="5" s="1"/>
  <c r="T60" i="9"/>
  <c r="T60" i="5" s="1"/>
  <c r="U60" i="9"/>
  <c r="U60" i="5" s="1"/>
  <c r="V60" i="9"/>
  <c r="V60" i="5" s="1"/>
  <c r="W60" i="9"/>
  <c r="W60" i="5" s="1"/>
  <c r="X60" i="9"/>
  <c r="X60" i="5" s="1"/>
  <c r="Y60" i="9"/>
  <c r="Y60" i="5" s="1"/>
  <c r="Z60" i="9"/>
  <c r="Z60" i="5" s="1"/>
  <c r="AA60" i="9"/>
  <c r="AA60" i="5" s="1"/>
  <c r="AB60" i="9"/>
  <c r="AB60" i="5" s="1"/>
  <c r="AC60" i="9"/>
  <c r="AC60" i="5" s="1"/>
  <c r="AD60" i="9"/>
  <c r="AD60" i="5" s="1"/>
  <c r="AE60" i="9"/>
  <c r="AE60" i="5" s="1"/>
  <c r="AF60" i="9"/>
  <c r="AF60" i="5" s="1"/>
  <c r="AG60" i="9"/>
  <c r="AG60" i="5" s="1"/>
  <c r="AH60" i="9"/>
  <c r="AH60" i="5" s="1"/>
  <c r="D61" i="9"/>
  <c r="D61" i="5" s="1"/>
  <c r="E61" i="9"/>
  <c r="E61" i="5" s="1"/>
  <c r="F61" i="9"/>
  <c r="F61" i="5" s="1"/>
  <c r="G61" i="9"/>
  <c r="G61" i="5" s="1"/>
  <c r="H61" i="9"/>
  <c r="H61" i="5" s="1"/>
  <c r="I61" i="9"/>
  <c r="I61" i="5" s="1"/>
  <c r="J61" i="9"/>
  <c r="J61" i="5" s="1"/>
  <c r="K61" i="9"/>
  <c r="K61" i="5" s="1"/>
  <c r="L61" i="9"/>
  <c r="L61" i="5" s="1"/>
  <c r="M61" i="9"/>
  <c r="M61" i="5" s="1"/>
  <c r="N61" i="9"/>
  <c r="N61" i="5" s="1"/>
  <c r="O61" i="9"/>
  <c r="O61" i="5" s="1"/>
  <c r="P61" i="9"/>
  <c r="P61" i="5" s="1"/>
  <c r="Q61" i="9"/>
  <c r="Q61" i="5" s="1"/>
  <c r="R61" i="9"/>
  <c r="R61" i="5" s="1"/>
  <c r="S61" i="9"/>
  <c r="S61" i="5" s="1"/>
  <c r="T61" i="9"/>
  <c r="T61" i="5" s="1"/>
  <c r="U61" i="9"/>
  <c r="U61" i="5" s="1"/>
  <c r="V61" i="9"/>
  <c r="V61" i="5" s="1"/>
  <c r="W61" i="9"/>
  <c r="W61" i="5" s="1"/>
  <c r="X61" i="9"/>
  <c r="X61" i="5" s="1"/>
  <c r="Y61" i="9"/>
  <c r="Y61" i="5" s="1"/>
  <c r="Z61" i="9"/>
  <c r="Z61" i="5" s="1"/>
  <c r="AA61" i="9"/>
  <c r="AA61" i="5" s="1"/>
  <c r="AB61" i="9"/>
  <c r="AB61" i="5" s="1"/>
  <c r="AC61" i="9"/>
  <c r="AC61" i="5" s="1"/>
  <c r="AD61" i="9"/>
  <c r="AD61" i="5" s="1"/>
  <c r="AE61" i="9"/>
  <c r="AE61" i="5" s="1"/>
  <c r="AF61" i="9"/>
  <c r="AF61" i="5" s="1"/>
  <c r="AG61" i="9"/>
  <c r="AG61" i="5" s="1"/>
  <c r="AH61" i="9"/>
  <c r="AH61" i="5" s="1"/>
  <c r="D62" i="9"/>
  <c r="D62" i="5" s="1"/>
  <c r="E62" i="9"/>
  <c r="E62" i="5" s="1"/>
  <c r="F62" i="9"/>
  <c r="F62" i="5" s="1"/>
  <c r="G62" i="9"/>
  <c r="G62" i="5" s="1"/>
  <c r="H62" i="9"/>
  <c r="H62" i="5" s="1"/>
  <c r="I62" i="9"/>
  <c r="I62" i="5" s="1"/>
  <c r="J62" i="9"/>
  <c r="J62" i="5" s="1"/>
  <c r="K62" i="9"/>
  <c r="K62" i="5" s="1"/>
  <c r="L62" i="9"/>
  <c r="L62" i="5" s="1"/>
  <c r="M62" i="9"/>
  <c r="M62" i="5" s="1"/>
  <c r="N62" i="9"/>
  <c r="N62" i="5" s="1"/>
  <c r="O62" i="9"/>
  <c r="O62" i="5" s="1"/>
  <c r="P62" i="9"/>
  <c r="P62" i="5" s="1"/>
  <c r="Q62" i="9"/>
  <c r="Q62" i="5" s="1"/>
  <c r="R62" i="9"/>
  <c r="R62" i="5" s="1"/>
  <c r="S62" i="9"/>
  <c r="S62" i="5" s="1"/>
  <c r="T62" i="9"/>
  <c r="T62" i="5" s="1"/>
  <c r="U62" i="9"/>
  <c r="U62" i="5" s="1"/>
  <c r="V62" i="9"/>
  <c r="V62" i="5" s="1"/>
  <c r="W62" i="9"/>
  <c r="W62" i="5" s="1"/>
  <c r="X62" i="9"/>
  <c r="X62" i="5" s="1"/>
  <c r="Y62" i="9"/>
  <c r="Y62" i="5" s="1"/>
  <c r="Z62" i="9"/>
  <c r="Z62" i="5" s="1"/>
  <c r="AA62" i="9"/>
  <c r="AA62" i="5" s="1"/>
  <c r="AB62" i="9"/>
  <c r="AB62" i="5" s="1"/>
  <c r="AC62" i="9"/>
  <c r="AC62" i="5" s="1"/>
  <c r="AD62" i="9"/>
  <c r="AD62" i="5" s="1"/>
  <c r="AE62" i="9"/>
  <c r="AE62" i="5" s="1"/>
  <c r="AF62" i="9"/>
  <c r="AF62" i="5" s="1"/>
  <c r="AG62" i="9"/>
  <c r="AG62" i="5" s="1"/>
  <c r="AH62" i="9"/>
  <c r="AH62" i="5" s="1"/>
  <c r="E63" i="9"/>
  <c r="E63" i="5" s="1"/>
  <c r="F63" i="9"/>
  <c r="F63" i="5" s="1"/>
  <c r="G63" i="9"/>
  <c r="G63" i="5" s="1"/>
  <c r="H63" i="9"/>
  <c r="H63" i="5" s="1"/>
  <c r="I63" i="9"/>
  <c r="I63" i="5" s="1"/>
  <c r="J63" i="9"/>
  <c r="J63" i="5" s="1"/>
  <c r="K63" i="9"/>
  <c r="K63" i="5" s="1"/>
  <c r="L63" i="9"/>
  <c r="L63" i="5" s="1"/>
  <c r="M63" i="9"/>
  <c r="M63" i="5" s="1"/>
  <c r="N63" i="9"/>
  <c r="N63" i="5" s="1"/>
  <c r="O63" i="9"/>
  <c r="O63" i="5" s="1"/>
  <c r="P63" i="9"/>
  <c r="P63" i="5" s="1"/>
  <c r="Q63" i="9"/>
  <c r="Q63" i="5" s="1"/>
  <c r="R63" i="9"/>
  <c r="R63" i="5" s="1"/>
  <c r="S63" i="9"/>
  <c r="S63" i="5" s="1"/>
  <c r="T63" i="9"/>
  <c r="T63" i="5" s="1"/>
  <c r="U63" i="9"/>
  <c r="U63" i="5" s="1"/>
  <c r="V63" i="9"/>
  <c r="V63" i="5" s="1"/>
  <c r="W63" i="9"/>
  <c r="W63" i="5" s="1"/>
  <c r="X63" i="9"/>
  <c r="X63" i="5" s="1"/>
  <c r="Y63" i="9"/>
  <c r="Y63" i="5" s="1"/>
  <c r="Z63" i="9"/>
  <c r="Z63" i="5" s="1"/>
  <c r="AA63" i="9"/>
  <c r="AA63" i="5" s="1"/>
  <c r="AB63" i="9"/>
  <c r="AB63" i="5" s="1"/>
  <c r="AC63" i="9"/>
  <c r="AC63" i="5" s="1"/>
  <c r="AD63" i="9"/>
  <c r="AD63" i="5" s="1"/>
  <c r="AE63" i="9"/>
  <c r="AE63" i="5" s="1"/>
  <c r="AF63" i="9"/>
  <c r="AF63" i="5" s="1"/>
  <c r="AG63" i="9"/>
  <c r="AG63" i="5" s="1"/>
  <c r="AH63" i="9"/>
  <c r="AH63" i="5" s="1"/>
  <c r="D64" i="9"/>
  <c r="D64" i="5" s="1"/>
  <c r="E64" i="9"/>
  <c r="E64" i="5" s="1"/>
  <c r="F64" i="9"/>
  <c r="F64" i="5" s="1"/>
  <c r="G64" i="9"/>
  <c r="G64" i="5" s="1"/>
  <c r="H64" i="9"/>
  <c r="H64" i="5" s="1"/>
  <c r="I64" i="9"/>
  <c r="I64" i="5" s="1"/>
  <c r="J64" i="9"/>
  <c r="J64" i="5" s="1"/>
  <c r="K64" i="9"/>
  <c r="K64" i="5" s="1"/>
  <c r="L64" i="9"/>
  <c r="L64" i="5" s="1"/>
  <c r="M64" i="9"/>
  <c r="M64" i="5" s="1"/>
  <c r="N64" i="9"/>
  <c r="N64" i="5" s="1"/>
  <c r="O64" i="9"/>
  <c r="O64" i="5" s="1"/>
  <c r="P64" i="9"/>
  <c r="P64" i="5" s="1"/>
  <c r="Q64" i="9"/>
  <c r="Q64" i="5" s="1"/>
  <c r="R64" i="9"/>
  <c r="R64" i="5" s="1"/>
  <c r="S64" i="9"/>
  <c r="S64" i="5" s="1"/>
  <c r="T64" i="9"/>
  <c r="T64" i="5" s="1"/>
  <c r="U64" i="9"/>
  <c r="U64" i="5" s="1"/>
  <c r="V64" i="9"/>
  <c r="V64" i="5" s="1"/>
  <c r="W64" i="9"/>
  <c r="W64" i="5" s="1"/>
  <c r="X64" i="9"/>
  <c r="X64" i="5" s="1"/>
  <c r="Y64" i="9"/>
  <c r="Y64" i="5" s="1"/>
  <c r="Z64" i="9"/>
  <c r="Z64" i="5" s="1"/>
  <c r="AA64" i="9"/>
  <c r="AA64" i="5" s="1"/>
  <c r="AB64" i="9"/>
  <c r="AB64" i="5" s="1"/>
  <c r="AC64" i="9"/>
  <c r="AC64" i="5" s="1"/>
  <c r="AD64" i="9"/>
  <c r="AD64" i="5" s="1"/>
  <c r="AE64" i="9"/>
  <c r="AE64" i="5" s="1"/>
  <c r="AF64" i="9"/>
  <c r="AF64" i="5" s="1"/>
  <c r="AG64" i="9"/>
  <c r="AG64" i="5" s="1"/>
  <c r="AH64" i="9"/>
  <c r="AH64" i="5" s="1"/>
  <c r="D65" i="9"/>
  <c r="D65" i="5" s="1"/>
  <c r="E65" i="9"/>
  <c r="E65" i="5" s="1"/>
  <c r="F65" i="9"/>
  <c r="F65" i="5" s="1"/>
  <c r="G65" i="9"/>
  <c r="G65" i="5" s="1"/>
  <c r="H65" i="9"/>
  <c r="H65" i="5" s="1"/>
  <c r="I65" i="9"/>
  <c r="I65" i="5" s="1"/>
  <c r="J65" i="9"/>
  <c r="J65" i="5" s="1"/>
  <c r="K65" i="9"/>
  <c r="K65" i="5" s="1"/>
  <c r="L65" i="9"/>
  <c r="L65" i="5" s="1"/>
  <c r="M65" i="9"/>
  <c r="M65" i="5" s="1"/>
  <c r="N65" i="9"/>
  <c r="N65" i="5" s="1"/>
  <c r="O65" i="9"/>
  <c r="O65" i="5" s="1"/>
  <c r="P65" i="9"/>
  <c r="P65" i="5" s="1"/>
  <c r="Q65" i="9"/>
  <c r="Q65" i="5" s="1"/>
  <c r="R65" i="9"/>
  <c r="R65" i="5" s="1"/>
  <c r="S65" i="9"/>
  <c r="S65" i="5" s="1"/>
  <c r="T65" i="9"/>
  <c r="T65" i="5" s="1"/>
  <c r="U65" i="9"/>
  <c r="U65" i="5" s="1"/>
  <c r="V65" i="9"/>
  <c r="V65" i="5" s="1"/>
  <c r="W65" i="9"/>
  <c r="W65" i="5" s="1"/>
  <c r="X65" i="9"/>
  <c r="X65" i="5" s="1"/>
  <c r="Y65" i="9"/>
  <c r="Y65" i="5" s="1"/>
  <c r="Z65" i="9"/>
  <c r="Z65" i="5" s="1"/>
  <c r="AA65" i="9"/>
  <c r="AA65" i="5" s="1"/>
  <c r="AB65" i="9"/>
  <c r="AB65" i="5" s="1"/>
  <c r="AC65" i="9"/>
  <c r="AC65" i="5" s="1"/>
  <c r="AD65" i="9"/>
  <c r="AD65" i="5" s="1"/>
  <c r="AE65" i="9"/>
  <c r="AE65" i="5" s="1"/>
  <c r="AF65" i="9"/>
  <c r="AF65" i="5" s="1"/>
  <c r="AG65" i="9"/>
  <c r="AG65" i="5" s="1"/>
  <c r="AH65" i="9"/>
  <c r="AH65" i="5" s="1"/>
  <c r="D66" i="9"/>
  <c r="D66" i="5" s="1"/>
  <c r="E66" i="9"/>
  <c r="E66" i="5" s="1"/>
  <c r="F66" i="9"/>
  <c r="F66" i="5" s="1"/>
  <c r="G66" i="9"/>
  <c r="G66" i="5" s="1"/>
  <c r="H66" i="9"/>
  <c r="H66" i="5" s="1"/>
  <c r="I66" i="9"/>
  <c r="I66" i="5" s="1"/>
  <c r="J66" i="9"/>
  <c r="J66" i="5" s="1"/>
  <c r="K66" i="9"/>
  <c r="K66" i="5" s="1"/>
  <c r="L66" i="9"/>
  <c r="L66" i="5" s="1"/>
  <c r="M66" i="9"/>
  <c r="M66" i="5" s="1"/>
  <c r="N66" i="9"/>
  <c r="N66" i="5" s="1"/>
  <c r="O66" i="9"/>
  <c r="O66" i="5" s="1"/>
  <c r="P66" i="9"/>
  <c r="P66" i="5" s="1"/>
  <c r="Q66" i="9"/>
  <c r="Q66" i="5" s="1"/>
  <c r="R66" i="9"/>
  <c r="R66" i="5" s="1"/>
  <c r="S66" i="9"/>
  <c r="S66" i="5" s="1"/>
  <c r="T66" i="9"/>
  <c r="T66" i="5" s="1"/>
  <c r="U66" i="9"/>
  <c r="U66" i="5" s="1"/>
  <c r="V66" i="9"/>
  <c r="V66" i="5" s="1"/>
  <c r="W66" i="9"/>
  <c r="W66" i="5" s="1"/>
  <c r="X66" i="9"/>
  <c r="X66" i="5" s="1"/>
  <c r="Y66" i="9"/>
  <c r="Y66" i="5" s="1"/>
  <c r="Z66" i="9"/>
  <c r="Z66" i="5" s="1"/>
  <c r="AA66" i="9"/>
  <c r="AA66" i="5" s="1"/>
  <c r="AB66" i="9"/>
  <c r="AB66" i="5" s="1"/>
  <c r="AC66" i="9"/>
  <c r="AC66" i="5" s="1"/>
  <c r="AD66" i="9"/>
  <c r="AD66" i="5" s="1"/>
  <c r="AE66" i="9"/>
  <c r="AE66" i="5" s="1"/>
  <c r="AF66" i="9"/>
  <c r="AF66" i="5" s="1"/>
  <c r="AG66" i="9"/>
  <c r="AG66" i="5" s="1"/>
  <c r="AH66" i="9"/>
  <c r="AH66" i="5" s="1"/>
  <c r="D67" i="9"/>
  <c r="D67" i="5" s="1"/>
  <c r="E67" i="9"/>
  <c r="E67" i="5" s="1"/>
  <c r="F67" i="9"/>
  <c r="F67" i="5" s="1"/>
  <c r="G67" i="9"/>
  <c r="G67" i="5" s="1"/>
  <c r="H67" i="9"/>
  <c r="H67" i="5" s="1"/>
  <c r="I67" i="9"/>
  <c r="I67" i="5" s="1"/>
  <c r="J67" i="9"/>
  <c r="J67" i="5" s="1"/>
  <c r="K67" i="9"/>
  <c r="K67" i="5" s="1"/>
  <c r="L67" i="9"/>
  <c r="L67" i="5" s="1"/>
  <c r="M67" i="9"/>
  <c r="M67" i="5" s="1"/>
  <c r="N67" i="9"/>
  <c r="N67" i="5" s="1"/>
  <c r="O67" i="9"/>
  <c r="O67" i="5" s="1"/>
  <c r="P67" i="9"/>
  <c r="P67" i="5" s="1"/>
  <c r="Q67" i="9"/>
  <c r="Q67" i="5" s="1"/>
  <c r="R67" i="9"/>
  <c r="R67" i="5" s="1"/>
  <c r="S67" i="9"/>
  <c r="S67" i="5" s="1"/>
  <c r="T67" i="9"/>
  <c r="T67" i="5" s="1"/>
  <c r="U67" i="9"/>
  <c r="U67" i="5" s="1"/>
  <c r="V67" i="9"/>
  <c r="V67" i="5" s="1"/>
  <c r="W67" i="9"/>
  <c r="W67" i="5" s="1"/>
  <c r="X67" i="9"/>
  <c r="X67" i="5" s="1"/>
  <c r="Y67" i="9"/>
  <c r="Y67" i="5" s="1"/>
  <c r="Z67" i="9"/>
  <c r="Z67" i="5" s="1"/>
  <c r="AA67" i="9"/>
  <c r="AA67" i="5" s="1"/>
  <c r="AB67" i="9"/>
  <c r="AB67" i="5" s="1"/>
  <c r="AC67" i="9"/>
  <c r="AC67" i="5" s="1"/>
  <c r="AD67" i="9"/>
  <c r="AD67" i="5" s="1"/>
  <c r="AE67" i="9"/>
  <c r="AE67" i="5" s="1"/>
  <c r="AF67" i="9"/>
  <c r="AF67" i="5" s="1"/>
  <c r="AG67" i="9"/>
  <c r="AG67" i="5" s="1"/>
  <c r="AH67" i="9"/>
  <c r="AH67" i="5" s="1"/>
  <c r="D68" i="9"/>
  <c r="D68" i="5" s="1"/>
  <c r="E68" i="9"/>
  <c r="E68" i="5" s="1"/>
  <c r="F68" i="9"/>
  <c r="F68" i="5" s="1"/>
  <c r="G68" i="9"/>
  <c r="G68" i="5" s="1"/>
  <c r="H68" i="9"/>
  <c r="H68" i="5" s="1"/>
  <c r="I68" i="9"/>
  <c r="I68" i="5" s="1"/>
  <c r="J68" i="9"/>
  <c r="J68" i="5" s="1"/>
  <c r="K68" i="9"/>
  <c r="K68" i="5" s="1"/>
  <c r="L68" i="9"/>
  <c r="L68" i="5" s="1"/>
  <c r="M68" i="9"/>
  <c r="M68" i="5" s="1"/>
  <c r="N68" i="9"/>
  <c r="N68" i="5" s="1"/>
  <c r="O68" i="9"/>
  <c r="O68" i="5" s="1"/>
  <c r="P68" i="9"/>
  <c r="P68" i="5" s="1"/>
  <c r="Q68" i="9"/>
  <c r="Q68" i="5" s="1"/>
  <c r="R68" i="9"/>
  <c r="R68" i="5" s="1"/>
  <c r="S68" i="9"/>
  <c r="S68" i="5" s="1"/>
  <c r="T68" i="9"/>
  <c r="T68" i="5" s="1"/>
  <c r="U68" i="9"/>
  <c r="U68" i="5" s="1"/>
  <c r="V68" i="9"/>
  <c r="V68" i="5" s="1"/>
  <c r="W68" i="9"/>
  <c r="W68" i="5" s="1"/>
  <c r="X68" i="9"/>
  <c r="X68" i="5" s="1"/>
  <c r="Y68" i="9"/>
  <c r="Y68" i="5" s="1"/>
  <c r="Z68" i="9"/>
  <c r="Z68" i="5" s="1"/>
  <c r="AA68" i="9"/>
  <c r="AA68" i="5" s="1"/>
  <c r="AB68" i="9"/>
  <c r="AB68" i="5" s="1"/>
  <c r="AC68" i="9"/>
  <c r="AC68" i="5" s="1"/>
  <c r="AD68" i="9"/>
  <c r="AD68" i="5" s="1"/>
  <c r="AE68" i="9"/>
  <c r="AE68" i="5" s="1"/>
  <c r="AF68" i="9"/>
  <c r="AF68" i="5" s="1"/>
  <c r="AG68" i="9"/>
  <c r="AG68" i="5" s="1"/>
  <c r="AH68" i="9"/>
  <c r="AH68" i="5" s="1"/>
  <c r="D69" i="9"/>
  <c r="D69" i="5" s="1"/>
  <c r="E69" i="9"/>
  <c r="E69" i="5" s="1"/>
  <c r="F69" i="9"/>
  <c r="F69" i="5" s="1"/>
  <c r="G69" i="9"/>
  <c r="G69" i="5" s="1"/>
  <c r="H69" i="9"/>
  <c r="H69" i="5" s="1"/>
  <c r="I69" i="9"/>
  <c r="I69" i="5" s="1"/>
  <c r="J69" i="9"/>
  <c r="J69" i="5" s="1"/>
  <c r="K69" i="9"/>
  <c r="K69" i="5" s="1"/>
  <c r="L69" i="9"/>
  <c r="L69" i="5" s="1"/>
  <c r="M69" i="9"/>
  <c r="M69" i="5" s="1"/>
  <c r="N69" i="9"/>
  <c r="N69" i="5" s="1"/>
  <c r="O69" i="9"/>
  <c r="O69" i="5" s="1"/>
  <c r="P69" i="9"/>
  <c r="P69" i="5" s="1"/>
  <c r="Q69" i="9"/>
  <c r="Q69" i="5" s="1"/>
  <c r="R69" i="9"/>
  <c r="R69" i="5" s="1"/>
  <c r="S69" i="9"/>
  <c r="S69" i="5" s="1"/>
  <c r="T69" i="9"/>
  <c r="T69" i="5" s="1"/>
  <c r="U69" i="9"/>
  <c r="U69" i="5" s="1"/>
  <c r="V69" i="9"/>
  <c r="V69" i="5" s="1"/>
  <c r="W69" i="9"/>
  <c r="W69" i="5" s="1"/>
  <c r="X69" i="9"/>
  <c r="X69" i="5" s="1"/>
  <c r="Y69" i="9"/>
  <c r="Y69" i="5" s="1"/>
  <c r="Z69" i="9"/>
  <c r="Z69" i="5" s="1"/>
  <c r="AA69" i="9"/>
  <c r="AA69" i="5" s="1"/>
  <c r="AB69" i="9"/>
  <c r="AB69" i="5" s="1"/>
  <c r="AC69" i="9"/>
  <c r="AC69" i="5" s="1"/>
  <c r="AD69" i="9"/>
  <c r="AD69" i="5" s="1"/>
  <c r="AE69" i="9"/>
  <c r="AE69" i="5" s="1"/>
  <c r="AF69" i="9"/>
  <c r="AF69" i="5" s="1"/>
  <c r="AG69" i="9"/>
  <c r="AG69" i="5" s="1"/>
  <c r="AH69" i="9"/>
  <c r="AH69" i="5" s="1"/>
  <c r="D70" i="9"/>
  <c r="D70" i="5" s="1"/>
  <c r="E70" i="9"/>
  <c r="E70" i="5" s="1"/>
  <c r="F70" i="9"/>
  <c r="F70" i="5" s="1"/>
  <c r="G70" i="9"/>
  <c r="G70" i="5" s="1"/>
  <c r="H70" i="9"/>
  <c r="H70" i="5" s="1"/>
  <c r="I70" i="9"/>
  <c r="I70" i="5" s="1"/>
  <c r="J70" i="9"/>
  <c r="J70" i="5" s="1"/>
  <c r="K70" i="9"/>
  <c r="K70" i="5" s="1"/>
  <c r="L70" i="9"/>
  <c r="L70" i="5" s="1"/>
  <c r="M70" i="9"/>
  <c r="M70" i="5" s="1"/>
  <c r="N70" i="9"/>
  <c r="N70" i="5" s="1"/>
  <c r="O70" i="9"/>
  <c r="O70" i="5" s="1"/>
  <c r="P70" i="9"/>
  <c r="P70" i="5" s="1"/>
  <c r="Q70" i="9"/>
  <c r="Q70" i="5" s="1"/>
  <c r="R70" i="9"/>
  <c r="R70" i="5" s="1"/>
  <c r="S70" i="9"/>
  <c r="S70" i="5" s="1"/>
  <c r="T70" i="9"/>
  <c r="T70" i="5" s="1"/>
  <c r="U70" i="9"/>
  <c r="U70" i="5" s="1"/>
  <c r="V70" i="9"/>
  <c r="V70" i="5" s="1"/>
  <c r="W70" i="9"/>
  <c r="W70" i="5" s="1"/>
  <c r="X70" i="9"/>
  <c r="X70" i="5" s="1"/>
  <c r="Y70" i="9"/>
  <c r="Y70" i="5" s="1"/>
  <c r="Z70" i="9"/>
  <c r="Z70" i="5" s="1"/>
  <c r="AA70" i="9"/>
  <c r="AA70" i="5" s="1"/>
  <c r="AB70" i="9"/>
  <c r="AB70" i="5" s="1"/>
  <c r="AC70" i="9"/>
  <c r="AC70" i="5" s="1"/>
  <c r="AD70" i="9"/>
  <c r="AD70" i="5" s="1"/>
  <c r="AE70" i="9"/>
  <c r="AE70" i="5" s="1"/>
  <c r="AF70" i="9"/>
  <c r="AF70" i="5" s="1"/>
  <c r="AG70" i="9"/>
  <c r="AG70" i="5" s="1"/>
  <c r="AH70" i="9"/>
  <c r="AH70" i="5" s="1"/>
  <c r="D71" i="9"/>
  <c r="D71" i="5" s="1"/>
  <c r="E71" i="9"/>
  <c r="E71" i="5" s="1"/>
  <c r="F71" i="9"/>
  <c r="F71" i="5" s="1"/>
  <c r="G71" i="9"/>
  <c r="G71" i="5" s="1"/>
  <c r="H71" i="9"/>
  <c r="H71" i="5" s="1"/>
  <c r="I71" i="9"/>
  <c r="I71" i="5" s="1"/>
  <c r="J71" i="9"/>
  <c r="J71" i="5" s="1"/>
  <c r="K71" i="9"/>
  <c r="K71" i="5" s="1"/>
  <c r="L71" i="9"/>
  <c r="L71" i="5" s="1"/>
  <c r="M71" i="9"/>
  <c r="M71" i="5" s="1"/>
  <c r="N71" i="9"/>
  <c r="N71" i="5" s="1"/>
  <c r="O71" i="9"/>
  <c r="O71" i="5" s="1"/>
  <c r="P71" i="9"/>
  <c r="P71" i="5" s="1"/>
  <c r="Q71" i="9"/>
  <c r="Q71" i="5" s="1"/>
  <c r="R71" i="9"/>
  <c r="R71" i="5" s="1"/>
  <c r="S71" i="9"/>
  <c r="S71" i="5" s="1"/>
  <c r="T71" i="9"/>
  <c r="T71" i="5" s="1"/>
  <c r="U71" i="9"/>
  <c r="U71" i="5" s="1"/>
  <c r="V71" i="9"/>
  <c r="V71" i="5" s="1"/>
  <c r="W71" i="9"/>
  <c r="W71" i="5" s="1"/>
  <c r="X71" i="9"/>
  <c r="X71" i="5" s="1"/>
  <c r="Y71" i="9"/>
  <c r="Y71" i="5" s="1"/>
  <c r="Z71" i="9"/>
  <c r="Z71" i="5" s="1"/>
  <c r="AA71" i="9"/>
  <c r="AA71" i="5" s="1"/>
  <c r="AB71" i="9"/>
  <c r="AB71" i="5" s="1"/>
  <c r="AC71" i="9"/>
  <c r="AC71" i="5" s="1"/>
  <c r="AD71" i="9"/>
  <c r="AD71" i="5" s="1"/>
  <c r="AE71" i="9"/>
  <c r="AE71" i="5" s="1"/>
  <c r="AF71" i="9"/>
  <c r="AF71" i="5" s="1"/>
  <c r="AG71" i="9"/>
  <c r="AG71" i="5" s="1"/>
  <c r="AH71" i="9"/>
  <c r="AH71" i="5" s="1"/>
  <c r="D72" i="9"/>
  <c r="D72" i="5" s="1"/>
  <c r="E72" i="9"/>
  <c r="E72" i="5" s="1"/>
  <c r="F72" i="9"/>
  <c r="F72" i="5" s="1"/>
  <c r="G72" i="9"/>
  <c r="G72" i="5" s="1"/>
  <c r="H72" i="9"/>
  <c r="H72" i="5" s="1"/>
  <c r="I72" i="9"/>
  <c r="I72" i="5" s="1"/>
  <c r="J72" i="9"/>
  <c r="J72" i="5" s="1"/>
  <c r="K72" i="9"/>
  <c r="K72" i="5" s="1"/>
  <c r="L72" i="9"/>
  <c r="L72" i="5" s="1"/>
  <c r="M72" i="9"/>
  <c r="M72" i="5" s="1"/>
  <c r="N72" i="9"/>
  <c r="N72" i="5" s="1"/>
  <c r="O72" i="9"/>
  <c r="O72" i="5" s="1"/>
  <c r="P72" i="9"/>
  <c r="P72" i="5" s="1"/>
  <c r="Q72" i="9"/>
  <c r="Q72" i="5" s="1"/>
  <c r="R72" i="9"/>
  <c r="R72" i="5" s="1"/>
  <c r="S72" i="9"/>
  <c r="S72" i="5" s="1"/>
  <c r="T72" i="9"/>
  <c r="T72" i="5" s="1"/>
  <c r="U72" i="9"/>
  <c r="U72" i="5" s="1"/>
  <c r="V72" i="9"/>
  <c r="V72" i="5" s="1"/>
  <c r="W72" i="9"/>
  <c r="W72" i="5" s="1"/>
  <c r="X72" i="9"/>
  <c r="X72" i="5" s="1"/>
  <c r="Y72" i="9"/>
  <c r="Y72" i="5" s="1"/>
  <c r="Z72" i="9"/>
  <c r="Z72" i="5" s="1"/>
  <c r="AA72" i="9"/>
  <c r="AA72" i="5" s="1"/>
  <c r="AB72" i="9"/>
  <c r="AB72" i="5" s="1"/>
  <c r="AC72" i="9"/>
  <c r="AC72" i="5" s="1"/>
  <c r="AD72" i="9"/>
  <c r="AD72" i="5" s="1"/>
  <c r="AE72" i="9"/>
  <c r="AE72" i="5" s="1"/>
  <c r="AF72" i="9"/>
  <c r="AF72" i="5" s="1"/>
  <c r="AG72" i="9"/>
  <c r="AG72" i="5" s="1"/>
  <c r="AH72" i="9"/>
  <c r="AH72" i="5" s="1"/>
  <c r="D73" i="9"/>
  <c r="D73" i="5" s="1"/>
  <c r="E73" i="9"/>
  <c r="E73" i="5" s="1"/>
  <c r="F73" i="9"/>
  <c r="F73" i="5" s="1"/>
  <c r="G73" i="9"/>
  <c r="G73" i="5" s="1"/>
  <c r="H73" i="9"/>
  <c r="H73" i="5" s="1"/>
  <c r="I73" i="9"/>
  <c r="I73" i="5" s="1"/>
  <c r="J73" i="9"/>
  <c r="J73" i="5" s="1"/>
  <c r="K73" i="9"/>
  <c r="K73" i="5" s="1"/>
  <c r="L73" i="9"/>
  <c r="L73" i="5" s="1"/>
  <c r="M73" i="9"/>
  <c r="M73" i="5" s="1"/>
  <c r="N73" i="9"/>
  <c r="N73" i="5" s="1"/>
  <c r="O73" i="9"/>
  <c r="O73" i="5" s="1"/>
  <c r="P73" i="9"/>
  <c r="P73" i="5" s="1"/>
  <c r="Q73" i="9"/>
  <c r="Q73" i="5" s="1"/>
  <c r="R73" i="9"/>
  <c r="R73" i="5" s="1"/>
  <c r="S73" i="9"/>
  <c r="S73" i="5" s="1"/>
  <c r="T73" i="9"/>
  <c r="T73" i="5" s="1"/>
  <c r="U73" i="9"/>
  <c r="U73" i="5" s="1"/>
  <c r="V73" i="9"/>
  <c r="V73" i="5" s="1"/>
  <c r="W73" i="9"/>
  <c r="W73" i="5" s="1"/>
  <c r="X73" i="9"/>
  <c r="X73" i="5" s="1"/>
  <c r="Y73" i="9"/>
  <c r="Y73" i="5" s="1"/>
  <c r="Z73" i="9"/>
  <c r="Z73" i="5" s="1"/>
  <c r="AA73" i="9"/>
  <c r="AA73" i="5" s="1"/>
  <c r="AB73" i="9"/>
  <c r="AB73" i="5" s="1"/>
  <c r="AC73" i="9"/>
  <c r="AC73" i="5" s="1"/>
  <c r="AD73" i="9"/>
  <c r="AD73" i="5" s="1"/>
  <c r="AE73" i="9"/>
  <c r="AE73" i="5" s="1"/>
  <c r="AF73" i="9"/>
  <c r="AF73" i="5" s="1"/>
  <c r="AG73" i="9"/>
  <c r="AG73" i="5" s="1"/>
  <c r="AH73" i="9"/>
  <c r="AH73" i="5" s="1"/>
  <c r="D74" i="9"/>
  <c r="D74" i="5" s="1"/>
  <c r="E74" i="9"/>
  <c r="E74" i="5" s="1"/>
  <c r="F74" i="9"/>
  <c r="F74" i="5" s="1"/>
  <c r="G74" i="9"/>
  <c r="G74" i="5" s="1"/>
  <c r="H74" i="9"/>
  <c r="H74" i="5" s="1"/>
  <c r="I74" i="9"/>
  <c r="I74" i="5" s="1"/>
  <c r="J74" i="9"/>
  <c r="J74" i="5" s="1"/>
  <c r="K74" i="9"/>
  <c r="K74" i="5" s="1"/>
  <c r="L74" i="9"/>
  <c r="L74" i="5" s="1"/>
  <c r="M74" i="9"/>
  <c r="M74" i="5" s="1"/>
  <c r="N74" i="9"/>
  <c r="N74" i="5" s="1"/>
  <c r="O74" i="9"/>
  <c r="O74" i="5" s="1"/>
  <c r="P74" i="9"/>
  <c r="P74" i="5" s="1"/>
  <c r="Q74" i="9"/>
  <c r="Q74" i="5" s="1"/>
  <c r="R74" i="9"/>
  <c r="R74" i="5" s="1"/>
  <c r="S74" i="9"/>
  <c r="S74" i="5" s="1"/>
  <c r="T74" i="9"/>
  <c r="T74" i="5" s="1"/>
  <c r="U74" i="9"/>
  <c r="U74" i="5" s="1"/>
  <c r="V74" i="9"/>
  <c r="V74" i="5" s="1"/>
  <c r="W74" i="9"/>
  <c r="W74" i="5" s="1"/>
  <c r="X74" i="9"/>
  <c r="X74" i="5" s="1"/>
  <c r="Y74" i="9"/>
  <c r="Y74" i="5" s="1"/>
  <c r="Z74" i="9"/>
  <c r="Z74" i="5" s="1"/>
  <c r="AA74" i="9"/>
  <c r="AA74" i="5" s="1"/>
  <c r="AB74" i="9"/>
  <c r="AB74" i="5" s="1"/>
  <c r="AC74" i="9"/>
  <c r="AC74" i="5" s="1"/>
  <c r="AD74" i="9"/>
  <c r="AD74" i="5" s="1"/>
  <c r="AE74" i="9"/>
  <c r="AE74" i="5" s="1"/>
  <c r="AF74" i="9"/>
  <c r="AF74" i="5" s="1"/>
  <c r="AG74" i="9"/>
  <c r="AG74" i="5" s="1"/>
  <c r="AH74" i="9"/>
  <c r="AH74" i="5" s="1"/>
  <c r="D75" i="9"/>
  <c r="D75" i="5" s="1"/>
  <c r="E75" i="9"/>
  <c r="E75" i="5" s="1"/>
  <c r="F75" i="9"/>
  <c r="F75" i="5" s="1"/>
  <c r="G75" i="9"/>
  <c r="G75" i="5" s="1"/>
  <c r="H75" i="9"/>
  <c r="H75" i="5" s="1"/>
  <c r="I75" i="9"/>
  <c r="I75" i="5" s="1"/>
  <c r="J75" i="9"/>
  <c r="J75" i="5" s="1"/>
  <c r="K75" i="9"/>
  <c r="K75" i="5" s="1"/>
  <c r="L75" i="9"/>
  <c r="L75" i="5" s="1"/>
  <c r="M75" i="9"/>
  <c r="M75" i="5" s="1"/>
  <c r="N75" i="9"/>
  <c r="N75" i="5" s="1"/>
  <c r="O75" i="9"/>
  <c r="O75" i="5" s="1"/>
  <c r="P75" i="9"/>
  <c r="P75" i="5" s="1"/>
  <c r="Q75" i="9"/>
  <c r="Q75" i="5" s="1"/>
  <c r="R75" i="9"/>
  <c r="R75" i="5" s="1"/>
  <c r="S75" i="9"/>
  <c r="S75" i="5" s="1"/>
  <c r="T75" i="9"/>
  <c r="T75" i="5" s="1"/>
  <c r="U75" i="9"/>
  <c r="U75" i="5" s="1"/>
  <c r="V75" i="9"/>
  <c r="V75" i="5" s="1"/>
  <c r="W75" i="9"/>
  <c r="W75" i="5" s="1"/>
  <c r="X75" i="9"/>
  <c r="X75" i="5" s="1"/>
  <c r="Y75" i="9"/>
  <c r="Y75" i="5" s="1"/>
  <c r="Z75" i="9"/>
  <c r="Z75" i="5" s="1"/>
  <c r="AA75" i="9"/>
  <c r="AA75" i="5" s="1"/>
  <c r="AB75" i="9"/>
  <c r="AB75" i="5" s="1"/>
  <c r="AC75" i="9"/>
  <c r="AC75" i="5" s="1"/>
  <c r="AD75" i="9"/>
  <c r="AD75" i="5" s="1"/>
  <c r="AE75" i="9"/>
  <c r="AE75" i="5" s="1"/>
  <c r="AF75" i="9"/>
  <c r="AF75" i="5" s="1"/>
  <c r="AG75" i="9"/>
  <c r="AG75" i="5" s="1"/>
  <c r="AH75" i="9"/>
  <c r="AH75" i="5" s="1"/>
  <c r="D76" i="9"/>
  <c r="D76" i="5" s="1"/>
  <c r="E76" i="9"/>
  <c r="E76" i="5" s="1"/>
  <c r="F76" i="9"/>
  <c r="F76" i="5" s="1"/>
  <c r="G76" i="9"/>
  <c r="G76" i="5" s="1"/>
  <c r="H76" i="9"/>
  <c r="H76" i="5" s="1"/>
  <c r="I76" i="9"/>
  <c r="I76" i="5" s="1"/>
  <c r="J76" i="9"/>
  <c r="J76" i="5" s="1"/>
  <c r="K76" i="9"/>
  <c r="K76" i="5" s="1"/>
  <c r="L76" i="9"/>
  <c r="L76" i="5" s="1"/>
  <c r="M76" i="9"/>
  <c r="M76" i="5" s="1"/>
  <c r="N76" i="9"/>
  <c r="N76" i="5" s="1"/>
  <c r="O76" i="9"/>
  <c r="O76" i="5" s="1"/>
  <c r="P76" i="9"/>
  <c r="P76" i="5" s="1"/>
  <c r="Q76" i="9"/>
  <c r="Q76" i="5" s="1"/>
  <c r="R76" i="9"/>
  <c r="R76" i="5" s="1"/>
  <c r="S76" i="9"/>
  <c r="S76" i="5" s="1"/>
  <c r="T76" i="9"/>
  <c r="T76" i="5" s="1"/>
  <c r="U76" i="9"/>
  <c r="U76" i="5" s="1"/>
  <c r="V76" i="9"/>
  <c r="V76" i="5" s="1"/>
  <c r="W76" i="9"/>
  <c r="W76" i="5" s="1"/>
  <c r="X76" i="9"/>
  <c r="X76" i="5" s="1"/>
  <c r="Y76" i="9"/>
  <c r="Y76" i="5" s="1"/>
  <c r="Z76" i="9"/>
  <c r="Z76" i="5" s="1"/>
  <c r="AA76" i="9"/>
  <c r="AA76" i="5" s="1"/>
  <c r="AB76" i="9"/>
  <c r="AB76" i="5" s="1"/>
  <c r="AC76" i="9"/>
  <c r="AC76" i="5" s="1"/>
  <c r="AD76" i="9"/>
  <c r="AD76" i="5" s="1"/>
  <c r="AE76" i="9"/>
  <c r="AE76" i="5" s="1"/>
  <c r="AF76" i="9"/>
  <c r="AF76" i="5" s="1"/>
  <c r="AG76" i="9"/>
  <c r="AG76" i="5" s="1"/>
  <c r="AH76" i="9"/>
  <c r="AH76" i="5" s="1"/>
  <c r="E3" i="9"/>
  <c r="E3" i="5" s="1"/>
  <c r="F3" i="9"/>
  <c r="F3" i="5" s="1"/>
  <c r="G3" i="9"/>
  <c r="G3" i="5" s="1"/>
  <c r="H3" i="9"/>
  <c r="H3" i="5" s="1"/>
  <c r="I3" i="9"/>
  <c r="I3" i="5" s="1"/>
  <c r="J3" i="9"/>
  <c r="J3" i="5" s="1"/>
  <c r="K3" i="9"/>
  <c r="K3" i="5" s="1"/>
  <c r="L3" i="9"/>
  <c r="L3" i="5" s="1"/>
  <c r="M3" i="9"/>
  <c r="M3" i="5" s="1"/>
  <c r="N3" i="9"/>
  <c r="N3" i="5" s="1"/>
  <c r="O3" i="9"/>
  <c r="O3" i="5" s="1"/>
  <c r="P3" i="9"/>
  <c r="P3" i="5" s="1"/>
  <c r="Q3" i="9"/>
  <c r="Q3" i="5" s="1"/>
  <c r="R3" i="9"/>
  <c r="R3" i="5" s="1"/>
  <c r="S3" i="9"/>
  <c r="S3" i="5" s="1"/>
  <c r="T3" i="9"/>
  <c r="T3" i="5" s="1"/>
  <c r="U3" i="9"/>
  <c r="U3" i="5" s="1"/>
  <c r="V3" i="9"/>
  <c r="V3" i="5" s="1"/>
  <c r="W3" i="9"/>
  <c r="W3" i="5" s="1"/>
  <c r="X3" i="9"/>
  <c r="X3" i="5" s="1"/>
  <c r="Y3" i="9"/>
  <c r="Y3" i="5" s="1"/>
  <c r="Z3" i="9"/>
  <c r="Z3" i="5" s="1"/>
  <c r="AA3" i="9"/>
  <c r="AA3" i="5" s="1"/>
  <c r="AB3" i="9"/>
  <c r="AB3" i="5" s="1"/>
  <c r="AC3" i="9"/>
  <c r="AC3" i="5" s="1"/>
  <c r="AD3" i="9"/>
  <c r="AD3" i="5" s="1"/>
  <c r="AE3" i="9"/>
  <c r="AE3" i="5" s="1"/>
  <c r="AF3" i="9"/>
  <c r="AF3" i="5" s="1"/>
  <c r="AG3" i="9"/>
  <c r="AG3" i="5" s="1"/>
  <c r="AH3" i="9"/>
  <c r="AH3" i="5" s="1"/>
  <c r="D3" i="9"/>
  <c r="B4" i="9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B44" i="9"/>
  <c r="C44" i="9" s="1"/>
  <c r="B45" i="9"/>
  <c r="C45" i="9" s="1"/>
  <c r="B46" i="9"/>
  <c r="C46" i="9" s="1"/>
  <c r="B47" i="9"/>
  <c r="C47" i="9" s="1"/>
  <c r="B48" i="9"/>
  <c r="C48" i="9" s="1"/>
  <c r="B49" i="9"/>
  <c r="C49" i="9" s="1"/>
  <c r="B50" i="9"/>
  <c r="C50" i="9" s="1"/>
  <c r="B51" i="9"/>
  <c r="C51" i="9" s="1"/>
  <c r="B52" i="9"/>
  <c r="C52" i="9" s="1"/>
  <c r="B53" i="9"/>
  <c r="C53" i="9" s="1"/>
  <c r="B54" i="9"/>
  <c r="C54" i="9" s="1"/>
  <c r="B55" i="9"/>
  <c r="C55" i="9" s="1"/>
  <c r="B56" i="9"/>
  <c r="C56" i="9" s="1"/>
  <c r="B57" i="9"/>
  <c r="C57" i="9" s="1"/>
  <c r="B58" i="9"/>
  <c r="C58" i="9" s="1"/>
  <c r="B59" i="9"/>
  <c r="C59" i="9" s="1"/>
  <c r="B60" i="9"/>
  <c r="C60" i="9" s="1"/>
  <c r="B61" i="9"/>
  <c r="C61" i="9" s="1"/>
  <c r="B62" i="9"/>
  <c r="C62" i="9" s="1"/>
  <c r="B63" i="9"/>
  <c r="C63" i="9" s="1"/>
  <c r="B64" i="9"/>
  <c r="C64" i="9" s="1"/>
  <c r="B65" i="9"/>
  <c r="C65" i="9" s="1"/>
  <c r="B66" i="9"/>
  <c r="C66" i="9" s="1"/>
  <c r="B67" i="9"/>
  <c r="C67" i="9" s="1"/>
  <c r="B68" i="9"/>
  <c r="C68" i="9" s="1"/>
  <c r="B69" i="9"/>
  <c r="C69" i="9" s="1"/>
  <c r="B70" i="9"/>
  <c r="C70" i="9" s="1"/>
  <c r="B71" i="9"/>
  <c r="C71" i="9" s="1"/>
  <c r="B72" i="9"/>
  <c r="C72" i="9" s="1"/>
  <c r="B73" i="9"/>
  <c r="C73" i="9" s="1"/>
  <c r="B74" i="9"/>
  <c r="C74" i="9" s="1"/>
  <c r="B75" i="9"/>
  <c r="C75" i="9" s="1"/>
  <c r="B76" i="9"/>
  <c r="C76" i="9" s="1"/>
  <c r="BB3" i="4"/>
  <c r="BA3" i="4" s="1"/>
  <c r="BC3" i="4"/>
  <c r="BE3" i="4"/>
  <c r="BD3" i="4" s="1"/>
  <c r="BF3" i="4"/>
  <c r="BG3" i="4"/>
  <c r="BH3" i="4"/>
  <c r="BI3" i="4"/>
  <c r="BJ3" i="4" a="1"/>
  <c r="BJ3" i="4" s="1"/>
  <c r="BK3" i="4" a="1"/>
  <c r="BK3" i="4" s="1"/>
  <c r="BL3" i="4" a="1"/>
  <c r="BL3" i="4" s="1"/>
  <c r="BN3" i="4" a="1"/>
  <c r="BN3" i="4" s="1"/>
  <c r="BO3" i="4" a="1"/>
  <c r="BO3" i="4" s="1"/>
  <c r="BP3" i="4" a="1"/>
  <c r="BP3" i="4" s="1"/>
  <c r="BQ3" i="4" a="1"/>
  <c r="BQ3" i="4" s="1"/>
  <c r="BR3" i="4" a="1"/>
  <c r="BR3" i="4" s="1"/>
  <c r="BS3" i="4" a="1"/>
  <c r="BS3" i="4" s="1"/>
  <c r="BB4" i="4"/>
  <c r="BA4" i="4" s="1"/>
  <c r="BC4" i="4"/>
  <c r="BE4" i="4"/>
  <c r="BD4" i="4" s="1"/>
  <c r="BF4" i="4"/>
  <c r="BG4" i="4"/>
  <c r="BH4" i="4"/>
  <c r="BI4" i="4"/>
  <c r="BJ4" i="4" a="1"/>
  <c r="BJ4" i="4" s="1"/>
  <c r="BK4" i="4" a="1"/>
  <c r="BK4" i="4" s="1"/>
  <c r="BL4" i="4" a="1"/>
  <c r="BL4" i="4" s="1"/>
  <c r="BN4" i="4" a="1"/>
  <c r="BN4" i="4" s="1"/>
  <c r="BO4" i="4" a="1"/>
  <c r="BO4" i="4" s="1"/>
  <c r="BP4" i="4" a="1"/>
  <c r="BP4" i="4" s="1"/>
  <c r="BQ4" i="4" a="1"/>
  <c r="BQ4" i="4" s="1"/>
  <c r="BR4" i="4" a="1"/>
  <c r="BR4" i="4" s="1"/>
  <c r="BS4" i="4" a="1"/>
  <c r="BS4" i="4" s="1"/>
  <c r="BB5" i="4"/>
  <c r="BA5" i="4" s="1"/>
  <c r="BC5" i="4"/>
  <c r="BE5" i="4"/>
  <c r="BD5" i="4" s="1"/>
  <c r="BF5" i="4"/>
  <c r="BG5" i="4"/>
  <c r="BH5" i="4"/>
  <c r="BI5" i="4"/>
  <c r="BJ5" i="4" a="1"/>
  <c r="BJ5" i="4" s="1"/>
  <c r="BK5" i="4" a="1"/>
  <c r="BK5" i="4" s="1"/>
  <c r="BL5" i="4" a="1"/>
  <c r="BL5" i="4" s="1"/>
  <c r="BN5" i="4" a="1"/>
  <c r="BN5" i="4" s="1"/>
  <c r="BO5" i="4" a="1"/>
  <c r="BO5" i="4" s="1"/>
  <c r="BP5" i="4" a="1"/>
  <c r="BP5" i="4" s="1"/>
  <c r="BQ5" i="4" a="1"/>
  <c r="BQ5" i="4" s="1"/>
  <c r="BR5" i="4" a="1"/>
  <c r="BR5" i="4" s="1"/>
  <c r="BS5" i="4" a="1"/>
  <c r="BS5" i="4" s="1"/>
  <c r="BB6" i="4"/>
  <c r="BA6" i="4" s="1"/>
  <c r="BC6" i="4"/>
  <c r="BE6" i="4"/>
  <c r="BD6" i="4" s="1"/>
  <c r="BF6" i="4"/>
  <c r="BG6" i="4"/>
  <c r="BH6" i="4"/>
  <c r="BI6" i="4"/>
  <c r="BJ6" i="4" a="1"/>
  <c r="BJ6" i="4" s="1"/>
  <c r="BK6" i="4" a="1"/>
  <c r="BK6" i="4" s="1"/>
  <c r="BL6" i="4" a="1"/>
  <c r="BL6" i="4" s="1"/>
  <c r="BN6" i="4" a="1"/>
  <c r="BN6" i="4" s="1"/>
  <c r="BO6" i="4" a="1"/>
  <c r="BO6" i="4" s="1"/>
  <c r="BP6" i="4" a="1"/>
  <c r="BP6" i="4" s="1"/>
  <c r="BQ6" i="4" a="1"/>
  <c r="BQ6" i="4" s="1"/>
  <c r="BR6" i="4" a="1"/>
  <c r="BR6" i="4" s="1"/>
  <c r="BS6" i="4" a="1"/>
  <c r="BS6" i="4" s="1"/>
  <c r="BB7" i="4"/>
  <c r="BA7" i="4" s="1"/>
  <c r="BC7" i="4"/>
  <c r="BE7" i="4"/>
  <c r="BD7" i="4" s="1"/>
  <c r="BF7" i="4"/>
  <c r="BG7" i="4"/>
  <c r="BH7" i="4"/>
  <c r="BI7" i="4"/>
  <c r="BJ7" i="4" a="1"/>
  <c r="BJ7" i="4" s="1"/>
  <c r="BK7" i="4" a="1"/>
  <c r="BK7" i="4" s="1"/>
  <c r="BL7" i="4" a="1"/>
  <c r="BL7" i="4" s="1"/>
  <c r="BN7" i="4" a="1"/>
  <c r="BN7" i="4" s="1"/>
  <c r="BO7" i="4" a="1"/>
  <c r="BO7" i="4" s="1"/>
  <c r="BP7" i="4" a="1"/>
  <c r="BP7" i="4" s="1"/>
  <c r="BQ7" i="4" a="1"/>
  <c r="BQ7" i="4" s="1"/>
  <c r="BR7" i="4" a="1"/>
  <c r="BR7" i="4" s="1"/>
  <c r="BS7" i="4" a="1"/>
  <c r="BS7" i="4" s="1"/>
  <c r="BB8" i="4"/>
  <c r="BA8" i="4" s="1"/>
  <c r="BC8" i="4"/>
  <c r="BE8" i="4"/>
  <c r="BD8" i="4" s="1"/>
  <c r="BF8" i="4"/>
  <c r="BG8" i="4"/>
  <c r="BH8" i="4"/>
  <c r="BI8" i="4"/>
  <c r="BJ8" i="4" a="1"/>
  <c r="BJ8" i="4" s="1"/>
  <c r="BK8" i="4" a="1"/>
  <c r="BK8" i="4" s="1"/>
  <c r="BL8" i="4" a="1"/>
  <c r="BL8" i="4" s="1"/>
  <c r="BN8" i="4" a="1"/>
  <c r="BN8" i="4" s="1"/>
  <c r="BO8" i="4" a="1"/>
  <c r="BO8" i="4" s="1"/>
  <c r="BP8" i="4" a="1"/>
  <c r="BP8" i="4" s="1"/>
  <c r="BQ8" i="4" a="1"/>
  <c r="BQ8" i="4" s="1"/>
  <c r="BR8" i="4" a="1"/>
  <c r="BR8" i="4" s="1"/>
  <c r="BS8" i="4" a="1"/>
  <c r="BS8" i="4" s="1"/>
  <c r="BB9" i="4"/>
  <c r="BA9" i="4" s="1"/>
  <c r="BC9" i="4"/>
  <c r="BE9" i="4"/>
  <c r="BD9" i="4" s="1"/>
  <c r="BF9" i="4"/>
  <c r="BG9" i="4"/>
  <c r="BH9" i="4"/>
  <c r="BI9" i="4"/>
  <c r="BJ9" i="4" a="1"/>
  <c r="BJ9" i="4" s="1"/>
  <c r="BK9" i="4" a="1"/>
  <c r="BK9" i="4" s="1"/>
  <c r="BL9" i="4" a="1"/>
  <c r="BL9" i="4" s="1"/>
  <c r="BN9" i="4" a="1"/>
  <c r="BN9" i="4" s="1"/>
  <c r="BO9" i="4" a="1"/>
  <c r="BO9" i="4" s="1"/>
  <c r="BP9" i="4" a="1"/>
  <c r="BP9" i="4" s="1"/>
  <c r="BQ9" i="4" a="1"/>
  <c r="BQ9" i="4" s="1"/>
  <c r="BR9" i="4" a="1"/>
  <c r="BR9" i="4" s="1"/>
  <c r="BS9" i="4" a="1"/>
  <c r="BS9" i="4" s="1"/>
  <c r="BB10" i="4"/>
  <c r="BA10" i="4" s="1"/>
  <c r="BC10" i="4"/>
  <c r="BE10" i="4"/>
  <c r="BD10" i="4" s="1"/>
  <c r="BF10" i="4"/>
  <c r="BG10" i="4"/>
  <c r="BH10" i="4"/>
  <c r="BI10" i="4"/>
  <c r="BJ10" i="4" a="1"/>
  <c r="BJ10" i="4" s="1"/>
  <c r="BK10" i="4" a="1"/>
  <c r="BK10" i="4" s="1"/>
  <c r="BL10" i="4" a="1"/>
  <c r="BL10" i="4" s="1"/>
  <c r="BN10" i="4" a="1"/>
  <c r="BN10" i="4" s="1"/>
  <c r="BO10" i="4" a="1"/>
  <c r="BO10" i="4" s="1"/>
  <c r="BP10" i="4" a="1"/>
  <c r="BP10" i="4" s="1"/>
  <c r="BQ10" i="4" a="1"/>
  <c r="BQ10" i="4" s="1"/>
  <c r="BR10" i="4" a="1"/>
  <c r="BR10" i="4" s="1"/>
  <c r="BS10" i="4" a="1"/>
  <c r="BS10" i="4" s="1"/>
  <c r="BB11" i="4"/>
  <c r="BA11" i="4" s="1"/>
  <c r="BC11" i="4"/>
  <c r="BE11" i="4"/>
  <c r="BD11" i="4" s="1"/>
  <c r="BF11" i="4"/>
  <c r="BG11" i="4"/>
  <c r="BH11" i="4"/>
  <c r="BI11" i="4"/>
  <c r="BJ11" i="4" a="1"/>
  <c r="BJ11" i="4" s="1"/>
  <c r="BK11" i="4" a="1"/>
  <c r="BK11" i="4" s="1"/>
  <c r="BL11" i="4" a="1"/>
  <c r="BL11" i="4" s="1"/>
  <c r="BN11" i="4" a="1"/>
  <c r="BN11" i="4" s="1"/>
  <c r="BO11" i="4" a="1"/>
  <c r="BO11" i="4" s="1"/>
  <c r="BP11" i="4" a="1"/>
  <c r="BP11" i="4" s="1"/>
  <c r="BQ11" i="4" a="1"/>
  <c r="BQ11" i="4" s="1"/>
  <c r="BR11" i="4" a="1"/>
  <c r="BR11" i="4" s="1"/>
  <c r="BS11" i="4" a="1"/>
  <c r="BS11" i="4" s="1"/>
  <c r="BB12" i="4"/>
  <c r="BA12" i="4" s="1"/>
  <c r="BC12" i="4"/>
  <c r="BE12" i="4"/>
  <c r="BD12" i="4" s="1"/>
  <c r="BF12" i="4"/>
  <c r="BG12" i="4"/>
  <c r="BH12" i="4"/>
  <c r="BI12" i="4"/>
  <c r="BJ12" i="4" a="1"/>
  <c r="BJ12" i="4" s="1"/>
  <c r="BK12" i="4" a="1"/>
  <c r="BK12" i="4" s="1"/>
  <c r="BL12" i="4" a="1"/>
  <c r="BL12" i="4" s="1"/>
  <c r="BN12" i="4" a="1"/>
  <c r="BN12" i="4" s="1"/>
  <c r="BO12" i="4" a="1"/>
  <c r="BO12" i="4" s="1"/>
  <c r="BP12" i="4" a="1"/>
  <c r="BP12" i="4" s="1"/>
  <c r="BQ12" i="4" a="1"/>
  <c r="BQ12" i="4" s="1"/>
  <c r="BR12" i="4" a="1"/>
  <c r="BR12" i="4" s="1"/>
  <c r="BS12" i="4" a="1"/>
  <c r="BS12" i="4" s="1"/>
  <c r="BB13" i="4"/>
  <c r="BA13" i="4" s="1"/>
  <c r="BC13" i="4"/>
  <c r="BE13" i="4"/>
  <c r="BD13" i="4" s="1"/>
  <c r="BF13" i="4"/>
  <c r="BG13" i="4"/>
  <c r="BH13" i="4"/>
  <c r="BI13" i="4"/>
  <c r="BJ13" i="4" a="1"/>
  <c r="BJ13" i="4" s="1"/>
  <c r="BK13" i="4" a="1"/>
  <c r="BK13" i="4" s="1"/>
  <c r="BL13" i="4" a="1"/>
  <c r="BL13" i="4" s="1"/>
  <c r="BN13" i="4" a="1"/>
  <c r="BN13" i="4" s="1"/>
  <c r="BO13" i="4" a="1"/>
  <c r="BO13" i="4" s="1"/>
  <c r="BP13" i="4" a="1"/>
  <c r="BP13" i="4" s="1"/>
  <c r="BQ13" i="4" a="1"/>
  <c r="BQ13" i="4" s="1"/>
  <c r="BR13" i="4" a="1"/>
  <c r="BR13" i="4" s="1"/>
  <c r="BS13" i="4" a="1"/>
  <c r="BS13" i="4" s="1"/>
  <c r="BB14" i="4"/>
  <c r="BA14" i="4" s="1"/>
  <c r="BC14" i="4"/>
  <c r="BE14" i="4"/>
  <c r="BD14" i="4" s="1"/>
  <c r="BF14" i="4"/>
  <c r="BG14" i="4"/>
  <c r="BH14" i="4"/>
  <c r="BI14" i="4"/>
  <c r="BJ14" i="4" a="1"/>
  <c r="BJ14" i="4" s="1"/>
  <c r="BK14" i="4" a="1"/>
  <c r="BK14" i="4" s="1"/>
  <c r="BL14" i="4" a="1"/>
  <c r="BL14" i="4" s="1"/>
  <c r="BN14" i="4" a="1"/>
  <c r="BN14" i="4" s="1"/>
  <c r="BO14" i="4" a="1"/>
  <c r="BO14" i="4" s="1"/>
  <c r="BP14" i="4" a="1"/>
  <c r="BP14" i="4" s="1"/>
  <c r="BQ14" i="4" a="1"/>
  <c r="BQ14" i="4" s="1"/>
  <c r="BR14" i="4" a="1"/>
  <c r="BR14" i="4" s="1"/>
  <c r="BS14" i="4" a="1"/>
  <c r="BS14" i="4" s="1"/>
  <c r="BB15" i="4"/>
  <c r="BA15" i="4" s="1"/>
  <c r="BC15" i="4"/>
  <c r="BE15" i="4"/>
  <c r="BD15" i="4" s="1"/>
  <c r="BF15" i="4"/>
  <c r="BG15" i="4"/>
  <c r="BH15" i="4"/>
  <c r="BI15" i="4"/>
  <c r="BJ15" i="4" a="1"/>
  <c r="BJ15" i="4" s="1"/>
  <c r="BK15" i="4" a="1"/>
  <c r="BK15" i="4" s="1"/>
  <c r="BL15" i="4" a="1"/>
  <c r="BL15" i="4" s="1"/>
  <c r="BN15" i="4" a="1"/>
  <c r="BN15" i="4" s="1"/>
  <c r="BO15" i="4" a="1"/>
  <c r="BO15" i="4" s="1"/>
  <c r="BP15" i="4" a="1"/>
  <c r="BP15" i="4" s="1"/>
  <c r="BQ15" i="4" a="1"/>
  <c r="BQ15" i="4" s="1"/>
  <c r="BR15" i="4" a="1"/>
  <c r="BR15" i="4" s="1"/>
  <c r="BS15" i="4" a="1"/>
  <c r="BS15" i="4" s="1"/>
  <c r="BB16" i="4"/>
  <c r="BA16" i="4" s="1"/>
  <c r="BC16" i="4"/>
  <c r="BE16" i="4"/>
  <c r="BD16" i="4" s="1"/>
  <c r="BF16" i="4"/>
  <c r="BG16" i="4"/>
  <c r="BH16" i="4"/>
  <c r="BI16" i="4"/>
  <c r="BJ16" i="4" a="1"/>
  <c r="BJ16" i="4" s="1"/>
  <c r="BK16" i="4" a="1"/>
  <c r="BK16" i="4" s="1"/>
  <c r="BL16" i="4" a="1"/>
  <c r="BL16" i="4" s="1"/>
  <c r="BN16" i="4" a="1"/>
  <c r="BN16" i="4" s="1"/>
  <c r="BO16" i="4" a="1"/>
  <c r="BO16" i="4" s="1"/>
  <c r="BP16" i="4" a="1"/>
  <c r="BP16" i="4" s="1"/>
  <c r="BQ16" i="4" a="1"/>
  <c r="BQ16" i="4" s="1"/>
  <c r="BR16" i="4" a="1"/>
  <c r="BR16" i="4" s="1"/>
  <c r="BS16" i="4" a="1"/>
  <c r="BS16" i="4" s="1"/>
  <c r="BB17" i="4"/>
  <c r="BA17" i="4" s="1"/>
  <c r="BC17" i="4"/>
  <c r="BE17" i="4"/>
  <c r="BD17" i="4" s="1"/>
  <c r="BF17" i="4"/>
  <c r="BG17" i="4"/>
  <c r="BH17" i="4"/>
  <c r="BI17" i="4"/>
  <c r="BJ17" i="4" a="1"/>
  <c r="BJ17" i="4" s="1"/>
  <c r="BK17" i="4" a="1"/>
  <c r="BK17" i="4" s="1"/>
  <c r="BL17" i="4" a="1"/>
  <c r="BL17" i="4" s="1"/>
  <c r="BN17" i="4" a="1"/>
  <c r="BN17" i="4" s="1"/>
  <c r="BO17" i="4" a="1"/>
  <c r="BO17" i="4" s="1"/>
  <c r="BP17" i="4" a="1"/>
  <c r="BP17" i="4" s="1"/>
  <c r="BQ17" i="4" a="1"/>
  <c r="BQ17" i="4" s="1"/>
  <c r="BR17" i="4" a="1"/>
  <c r="BR17" i="4" s="1"/>
  <c r="BS17" i="4" a="1"/>
  <c r="BS17" i="4" s="1"/>
  <c r="BB18" i="4"/>
  <c r="BA18" i="4" s="1"/>
  <c r="BC18" i="4"/>
  <c r="BE18" i="4"/>
  <c r="BD18" i="4" s="1"/>
  <c r="BF18" i="4"/>
  <c r="BG18" i="4"/>
  <c r="BH18" i="4"/>
  <c r="BI18" i="4"/>
  <c r="BJ18" i="4" a="1"/>
  <c r="BJ18" i="4" s="1"/>
  <c r="BK18" i="4" a="1"/>
  <c r="BK18" i="4" s="1"/>
  <c r="BL18" i="4" a="1"/>
  <c r="BL18" i="4" s="1"/>
  <c r="BN18" i="4" a="1"/>
  <c r="BN18" i="4" s="1"/>
  <c r="BO18" i="4" a="1"/>
  <c r="BO18" i="4" s="1"/>
  <c r="BP18" i="4" a="1"/>
  <c r="BP18" i="4" s="1"/>
  <c r="BQ18" i="4" a="1"/>
  <c r="BQ18" i="4" s="1"/>
  <c r="BR18" i="4" a="1"/>
  <c r="BR18" i="4" s="1"/>
  <c r="BS18" i="4" a="1"/>
  <c r="BS18" i="4" s="1"/>
  <c r="BB19" i="4"/>
  <c r="BA19" i="4" s="1"/>
  <c r="BC19" i="4"/>
  <c r="BE19" i="4"/>
  <c r="BD19" i="4" s="1"/>
  <c r="BF19" i="4"/>
  <c r="BG19" i="4"/>
  <c r="BH19" i="4"/>
  <c r="BI19" i="4"/>
  <c r="BJ19" i="4" a="1"/>
  <c r="BJ19" i="4" s="1"/>
  <c r="BK19" i="4" a="1"/>
  <c r="BK19" i="4" s="1"/>
  <c r="BL19" i="4" a="1"/>
  <c r="BL19" i="4" s="1"/>
  <c r="BN19" i="4" a="1"/>
  <c r="BN19" i="4" s="1"/>
  <c r="BO19" i="4" a="1"/>
  <c r="BO19" i="4" s="1"/>
  <c r="BP19" i="4" a="1"/>
  <c r="BP19" i="4" s="1"/>
  <c r="BQ19" i="4" a="1"/>
  <c r="BQ19" i="4" s="1"/>
  <c r="BR19" i="4" a="1"/>
  <c r="BR19" i="4" s="1"/>
  <c r="BS19" i="4" a="1"/>
  <c r="BS19" i="4" s="1"/>
  <c r="BB20" i="4"/>
  <c r="BA20" i="4" s="1"/>
  <c r="BC20" i="4"/>
  <c r="BE20" i="4"/>
  <c r="BD20" i="4" s="1"/>
  <c r="BF20" i="4"/>
  <c r="BG20" i="4"/>
  <c r="BH20" i="4"/>
  <c r="BI20" i="4"/>
  <c r="BJ20" i="4" a="1"/>
  <c r="BJ20" i="4" s="1"/>
  <c r="BK20" i="4" a="1"/>
  <c r="BK20" i="4" s="1"/>
  <c r="BL20" i="4" a="1"/>
  <c r="BL20" i="4" s="1"/>
  <c r="BN20" i="4" a="1"/>
  <c r="BN20" i="4"/>
  <c r="BO20" i="4" a="1"/>
  <c r="BO20" i="4" s="1"/>
  <c r="BP20" i="4" a="1"/>
  <c r="BP20" i="4" s="1"/>
  <c r="BQ20" i="4" a="1"/>
  <c r="BQ20" i="4" s="1"/>
  <c r="BR20" i="4" a="1"/>
  <c r="BR20" i="4" s="1"/>
  <c r="BS20" i="4" a="1"/>
  <c r="BS20" i="4" s="1"/>
  <c r="BB21" i="4"/>
  <c r="BA21" i="4" s="1"/>
  <c r="BC21" i="4"/>
  <c r="BE21" i="4"/>
  <c r="BD21" i="4" s="1"/>
  <c r="BF21" i="4"/>
  <c r="BG21" i="4"/>
  <c r="BH21" i="4"/>
  <c r="BI21" i="4"/>
  <c r="BJ21" i="4" a="1"/>
  <c r="BJ21" i="4" s="1"/>
  <c r="BK21" i="4" a="1"/>
  <c r="BK21" i="4" s="1"/>
  <c r="BL21" i="4" a="1"/>
  <c r="BL21" i="4" s="1"/>
  <c r="BN21" i="4" a="1"/>
  <c r="BN21" i="4" s="1"/>
  <c r="BO21" i="4" a="1"/>
  <c r="BO21" i="4" s="1"/>
  <c r="BP21" i="4" a="1"/>
  <c r="BP21" i="4" s="1"/>
  <c r="BQ21" i="4" a="1"/>
  <c r="BQ21" i="4" s="1"/>
  <c r="BR21" i="4" a="1"/>
  <c r="BR21" i="4" s="1"/>
  <c r="BS21" i="4" a="1"/>
  <c r="BS21" i="4" s="1"/>
  <c r="BB22" i="4"/>
  <c r="BA22" i="4" s="1"/>
  <c r="BC22" i="4"/>
  <c r="BE22" i="4"/>
  <c r="BD22" i="4" s="1"/>
  <c r="BF22" i="4"/>
  <c r="BG22" i="4"/>
  <c r="BH22" i="4"/>
  <c r="BI22" i="4"/>
  <c r="BJ22" i="4" a="1"/>
  <c r="BJ22" i="4" s="1"/>
  <c r="BK22" i="4" a="1"/>
  <c r="BK22" i="4" s="1"/>
  <c r="BL22" i="4" a="1"/>
  <c r="BL22" i="4" s="1"/>
  <c r="BN22" i="4" a="1"/>
  <c r="BN22" i="4" s="1"/>
  <c r="BO22" i="4" a="1"/>
  <c r="BO22" i="4" s="1"/>
  <c r="BP22" i="4" a="1"/>
  <c r="BP22" i="4" s="1"/>
  <c r="BQ22" i="4" a="1"/>
  <c r="BQ22" i="4" s="1"/>
  <c r="BR22" i="4" a="1"/>
  <c r="BR22" i="4" s="1"/>
  <c r="BS22" i="4" a="1"/>
  <c r="BS22" i="4" s="1"/>
  <c r="BB23" i="4"/>
  <c r="BA23" i="4" s="1"/>
  <c r="BC23" i="4"/>
  <c r="BE23" i="4"/>
  <c r="BD23" i="4" s="1"/>
  <c r="BF23" i="4"/>
  <c r="BG23" i="4"/>
  <c r="BH23" i="4"/>
  <c r="BI23" i="4"/>
  <c r="BJ23" i="4" a="1"/>
  <c r="BJ23" i="4" s="1"/>
  <c r="BK23" i="4" a="1"/>
  <c r="BK23" i="4" s="1"/>
  <c r="BL23" i="4" a="1"/>
  <c r="BL23" i="4" s="1"/>
  <c r="BN23" i="4" a="1"/>
  <c r="BN23" i="4" s="1"/>
  <c r="BO23" i="4" a="1"/>
  <c r="BO23" i="4" s="1"/>
  <c r="BP23" i="4" a="1"/>
  <c r="BP23" i="4" s="1"/>
  <c r="BQ23" i="4" a="1"/>
  <c r="BQ23" i="4" s="1"/>
  <c r="BR23" i="4" a="1"/>
  <c r="BR23" i="4" s="1"/>
  <c r="BS23" i="4" a="1"/>
  <c r="BS23" i="4" s="1"/>
  <c r="BB24" i="4"/>
  <c r="BA24" i="4" s="1"/>
  <c r="BC24" i="4"/>
  <c r="BE24" i="4"/>
  <c r="BD24" i="4" s="1"/>
  <c r="BF24" i="4"/>
  <c r="BG24" i="4"/>
  <c r="BH24" i="4"/>
  <c r="BI24" i="4"/>
  <c r="BJ24" i="4" a="1"/>
  <c r="BJ24" i="4" s="1"/>
  <c r="BK24" i="4" a="1"/>
  <c r="BK24" i="4" s="1"/>
  <c r="BL24" i="4" a="1"/>
  <c r="BL24" i="4" s="1"/>
  <c r="BN24" i="4" a="1"/>
  <c r="BN24" i="4" s="1"/>
  <c r="BO24" i="4" a="1"/>
  <c r="BO24" i="4" s="1"/>
  <c r="BP24" i="4" a="1"/>
  <c r="BP24" i="4" s="1"/>
  <c r="BQ24" i="4" a="1"/>
  <c r="BQ24" i="4" s="1"/>
  <c r="BR24" i="4" a="1"/>
  <c r="BR24" i="4" s="1"/>
  <c r="BS24" i="4" a="1"/>
  <c r="BS24" i="4" s="1"/>
  <c r="AW10" i="4"/>
  <c r="AY10" i="4" s="1"/>
  <c r="AX10" i="4"/>
  <c r="AZ10" i="4" s="1"/>
  <c r="AW11" i="4"/>
  <c r="AY11" i="4" s="1"/>
  <c r="AX11" i="4"/>
  <c r="AZ11" i="4" s="1"/>
  <c r="AW12" i="4"/>
  <c r="AY12" i="4" s="1"/>
  <c r="AX12" i="4"/>
  <c r="AZ12" i="4" s="1"/>
  <c r="AW13" i="4"/>
  <c r="AY13" i="4" s="1"/>
  <c r="AX13" i="4"/>
  <c r="AZ13" i="4" s="1"/>
  <c r="AW14" i="4"/>
  <c r="AY14" i="4" s="1"/>
  <c r="AX14" i="4"/>
  <c r="AZ14" i="4" s="1"/>
  <c r="AW15" i="4"/>
  <c r="AY15" i="4" s="1"/>
  <c r="AX15" i="4"/>
  <c r="AZ15" i="4" s="1"/>
  <c r="AW16" i="4"/>
  <c r="AY16" i="4" s="1"/>
  <c r="AX16" i="4"/>
  <c r="AZ16" i="4" s="1"/>
  <c r="AW17" i="4"/>
  <c r="AY17" i="4" s="1"/>
  <c r="AX17" i="4"/>
  <c r="AZ17" i="4" s="1"/>
  <c r="AW18" i="4"/>
  <c r="AY18" i="4" s="1"/>
  <c r="AX18" i="4"/>
  <c r="AZ18" i="4" s="1"/>
  <c r="AW19" i="4"/>
  <c r="AY19" i="4" s="1"/>
  <c r="AX19" i="4"/>
  <c r="AZ19" i="4" s="1"/>
  <c r="AW20" i="4"/>
  <c r="AY20" i="4" s="1"/>
  <c r="AX20" i="4"/>
  <c r="AZ20" i="4" s="1"/>
  <c r="AT10" i="4"/>
  <c r="BT5" i="4" l="1"/>
  <c r="BM21" i="4"/>
  <c r="BM20" i="4"/>
  <c r="BT21" i="4"/>
  <c r="BM14" i="4"/>
  <c r="BM11" i="4"/>
  <c r="BM23" i="4"/>
  <c r="BM24" i="4"/>
  <c r="BM17" i="4"/>
  <c r="BM18" i="4"/>
  <c r="BM10" i="4"/>
  <c r="BM6" i="4"/>
  <c r="BT16" i="4"/>
  <c r="BM3" i="4"/>
  <c r="BM5" i="4"/>
  <c r="BT9" i="4"/>
  <c r="BT24" i="4"/>
  <c r="BM22" i="4"/>
  <c r="BM15" i="4"/>
  <c r="BT10" i="4"/>
  <c r="BM8" i="4"/>
  <c r="BT17" i="4"/>
  <c r="BT11" i="4"/>
  <c r="BM4" i="4"/>
  <c r="BT18" i="4"/>
  <c r="BT13" i="4"/>
  <c r="BM9" i="4"/>
  <c r="BT12" i="4"/>
  <c r="BM16" i="4"/>
  <c r="BT6" i="4"/>
  <c r="BT19" i="4"/>
  <c r="BT7" i="4"/>
  <c r="BT14" i="4"/>
  <c r="BM12" i="4"/>
  <c r="BT3" i="4"/>
  <c r="BT23" i="4"/>
  <c r="BT15" i="4"/>
  <c r="BM13" i="4"/>
  <c r="BT20" i="4"/>
  <c r="BT8" i="4"/>
  <c r="BM7" i="4"/>
  <c r="BT4" i="4"/>
  <c r="BT22" i="4"/>
  <c r="BM19" i="4"/>
  <c r="AW3" i="4" l="1"/>
  <c r="AX3" i="4"/>
  <c r="AW4" i="4"/>
  <c r="AX4" i="4"/>
  <c r="AW5" i="4"/>
  <c r="AX5" i="4"/>
  <c r="AW6" i="4"/>
  <c r="AX6" i="4"/>
  <c r="AW7" i="4"/>
  <c r="AX7" i="4"/>
  <c r="AW8" i="4"/>
  <c r="AX8" i="4"/>
  <c r="AW9" i="4"/>
  <c r="AX9" i="4"/>
  <c r="AW21" i="4"/>
  <c r="AX21" i="4"/>
  <c r="AW22" i="4"/>
  <c r="AX22" i="4"/>
  <c r="AW23" i="4"/>
  <c r="AX23" i="4"/>
  <c r="AW24" i="4"/>
  <c r="AX24" i="4"/>
  <c r="AM34" i="4" l="1"/>
  <c r="AN34" i="4"/>
  <c r="AO34" i="4"/>
  <c r="AP34" i="4"/>
  <c r="AQ34" i="4"/>
  <c r="AR34" i="4"/>
  <c r="AS34" i="4"/>
  <c r="AM35" i="4"/>
  <c r="AN35" i="4"/>
  <c r="AO35" i="4"/>
  <c r="AP35" i="4"/>
  <c r="AQ35" i="4"/>
  <c r="AR35" i="4"/>
  <c r="AS35" i="4"/>
  <c r="AM36" i="4"/>
  <c r="AN36" i="4"/>
  <c r="AO36" i="4"/>
  <c r="AP36" i="4"/>
  <c r="AQ36" i="4"/>
  <c r="AR36" i="4"/>
  <c r="AS36" i="4"/>
  <c r="AM37" i="4"/>
  <c r="AN37" i="4"/>
  <c r="AO37" i="4"/>
  <c r="AP37" i="4"/>
  <c r="AQ37" i="4"/>
  <c r="AR37" i="4"/>
  <c r="AS37" i="4"/>
  <c r="AM38" i="4"/>
  <c r="AN38" i="4"/>
  <c r="AO38" i="4"/>
  <c r="AP38" i="4"/>
  <c r="AQ38" i="4"/>
  <c r="AR38" i="4"/>
  <c r="AS38" i="4"/>
  <c r="AM39" i="4"/>
  <c r="AN39" i="4"/>
  <c r="AO39" i="4"/>
  <c r="AP39" i="4"/>
  <c r="AQ39" i="4"/>
  <c r="AR39" i="4"/>
  <c r="AS39" i="4"/>
  <c r="AM40" i="4"/>
  <c r="AN40" i="4"/>
  <c r="AO40" i="4"/>
  <c r="AP40" i="4"/>
  <c r="AQ40" i="4"/>
  <c r="AR40" i="4"/>
  <c r="AS40" i="4"/>
  <c r="E1" i="4"/>
  <c r="F1" i="4" s="1"/>
  <c r="G1" i="4" s="1"/>
  <c r="H1" i="4" s="1"/>
  <c r="I1" i="4" s="1"/>
  <c r="L1" i="4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M2" i="4" s="1"/>
  <c r="AM33" i="4" s="1"/>
  <c r="AM32" i="4" l="1"/>
  <c r="AN1" i="4"/>
  <c r="AN32" i="4" s="1"/>
  <c r="AO1" i="4" l="1"/>
  <c r="AO32" i="4" s="1"/>
  <c r="AN2" i="4"/>
  <c r="AN33" i="4" s="1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N1" i="5"/>
  <c r="AO1" i="5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P1" i="4" l="1"/>
  <c r="AP32" i="4" s="1"/>
  <c r="AO2" i="4"/>
  <c r="AO33" i="4" s="1"/>
  <c r="R84" i="9"/>
  <c r="R99" i="9"/>
  <c r="R91" i="9"/>
  <c r="R86" i="9"/>
  <c r="R101" i="9"/>
  <c r="R81" i="9"/>
  <c r="R96" i="9"/>
  <c r="R95" i="9" s="1"/>
  <c r="R108" i="9"/>
  <c r="R88" i="9"/>
  <c r="R103" i="9"/>
  <c r="R83" i="9"/>
  <c r="R98" i="9"/>
  <c r="R85" i="9"/>
  <c r="R100" i="9"/>
  <c r="R87" i="9"/>
  <c r="R102" i="9"/>
  <c r="R82" i="9"/>
  <c r="R109" i="9"/>
  <c r="R90" i="9"/>
  <c r="R104" i="9"/>
  <c r="R105" i="9"/>
  <c r="R107" i="9"/>
  <c r="R106" i="9"/>
  <c r="R89" i="9"/>
  <c r="R97" i="9"/>
  <c r="R94" i="9"/>
  <c r="R93" i="9"/>
  <c r="R92" i="9" s="1"/>
  <c r="AD84" i="9"/>
  <c r="AD99" i="9"/>
  <c r="AD91" i="9"/>
  <c r="AD86" i="9"/>
  <c r="AD101" i="9"/>
  <c r="AD81" i="9"/>
  <c r="AD96" i="9"/>
  <c r="AD95" i="9" s="1"/>
  <c r="AD108" i="9"/>
  <c r="AD88" i="9"/>
  <c r="AD103" i="9"/>
  <c r="AD83" i="9"/>
  <c r="AD98" i="9"/>
  <c r="AD85" i="9"/>
  <c r="AD100" i="9"/>
  <c r="AD87" i="9"/>
  <c r="AD102" i="9"/>
  <c r="AD97" i="9"/>
  <c r="AD82" i="9"/>
  <c r="AD93" i="9"/>
  <c r="AD92" i="9" s="1"/>
  <c r="AD94" i="9"/>
  <c r="AD90" i="9"/>
  <c r="AD104" i="9"/>
  <c r="AD105" i="9"/>
  <c r="AD109" i="9"/>
  <c r="AD106" i="9"/>
  <c r="AD107" i="9"/>
  <c r="AD89" i="9"/>
  <c r="F84" i="9"/>
  <c r="F99" i="9"/>
  <c r="F91" i="9"/>
  <c r="F86" i="9"/>
  <c r="F101" i="9"/>
  <c r="F81" i="9"/>
  <c r="F96" i="9"/>
  <c r="F95" i="9" s="1"/>
  <c r="F108" i="9"/>
  <c r="F88" i="9"/>
  <c r="F103" i="9"/>
  <c r="F83" i="9"/>
  <c r="F98" i="9"/>
  <c r="F85" i="9"/>
  <c r="F100" i="9"/>
  <c r="F87" i="9"/>
  <c r="F102" i="9"/>
  <c r="F97" i="9"/>
  <c r="F89" i="9"/>
  <c r="F107" i="9"/>
  <c r="F94" i="9"/>
  <c r="F93" i="9"/>
  <c r="F92" i="9" s="1"/>
  <c r="F90" i="9"/>
  <c r="F82" i="9"/>
  <c r="F104" i="9"/>
  <c r="F105" i="9"/>
  <c r="F109" i="9"/>
  <c r="F106" i="9"/>
  <c r="AC91" i="9"/>
  <c r="AC106" i="9"/>
  <c r="AC86" i="9"/>
  <c r="AC81" i="9"/>
  <c r="AC96" i="9"/>
  <c r="AC95" i="9" s="1"/>
  <c r="AC88" i="9"/>
  <c r="AC103" i="9"/>
  <c r="AC83" i="9"/>
  <c r="AC98" i="9"/>
  <c r="AC90" i="9"/>
  <c r="AC94" i="9"/>
  <c r="AC105" i="9"/>
  <c r="AC107" i="9"/>
  <c r="AC87" i="9"/>
  <c r="AC82" i="9"/>
  <c r="AC97" i="9"/>
  <c r="AC109" i="9"/>
  <c r="AC85" i="9"/>
  <c r="AC99" i="9"/>
  <c r="AC100" i="9"/>
  <c r="AC93" i="9"/>
  <c r="AC92" i="9" s="1"/>
  <c r="AC104" i="9"/>
  <c r="AC108" i="9"/>
  <c r="AC84" i="9"/>
  <c r="AC89" i="9"/>
  <c r="AC101" i="9"/>
  <c r="AC102" i="9"/>
  <c r="Q91" i="9"/>
  <c r="Q106" i="9"/>
  <c r="Q86" i="9"/>
  <c r="Q81" i="9"/>
  <c r="Q96" i="9"/>
  <c r="Q95" i="9" s="1"/>
  <c r="Q88" i="9"/>
  <c r="Q103" i="9"/>
  <c r="Q83" i="9"/>
  <c r="Q98" i="9"/>
  <c r="Q90" i="9"/>
  <c r="Q94" i="9"/>
  <c r="Q105" i="9"/>
  <c r="Q107" i="9"/>
  <c r="Q87" i="9"/>
  <c r="Q82" i="9"/>
  <c r="Q97" i="9"/>
  <c r="Q109" i="9"/>
  <c r="Q104" i="9"/>
  <c r="Q84" i="9"/>
  <c r="Q101" i="9"/>
  <c r="Q89" i="9"/>
  <c r="Q85" i="9"/>
  <c r="Q108" i="9"/>
  <c r="Q99" i="9"/>
  <c r="Q100" i="9"/>
  <c r="Q102" i="9"/>
  <c r="Q93" i="9"/>
  <c r="Q92" i="9" s="1"/>
  <c r="E91" i="9"/>
  <c r="E106" i="9"/>
  <c r="E86" i="9"/>
  <c r="E81" i="9"/>
  <c r="E96" i="9"/>
  <c r="E95" i="9" s="1"/>
  <c r="E88" i="9"/>
  <c r="E103" i="9"/>
  <c r="E83" i="9"/>
  <c r="E98" i="9"/>
  <c r="E90" i="9"/>
  <c r="E94" i="9"/>
  <c r="E105" i="9"/>
  <c r="E107" i="9"/>
  <c r="E87" i="9"/>
  <c r="E82" i="9"/>
  <c r="E97" i="9"/>
  <c r="E109" i="9"/>
  <c r="E84" i="9"/>
  <c r="E100" i="9"/>
  <c r="E89" i="9"/>
  <c r="E93" i="9"/>
  <c r="E92" i="9" s="1"/>
  <c r="E101" i="9"/>
  <c r="E102" i="9"/>
  <c r="E85" i="9"/>
  <c r="E104" i="9"/>
  <c r="E99" i="9"/>
  <c r="E108" i="9"/>
  <c r="AF82" i="9"/>
  <c r="AF97" i="9"/>
  <c r="AF89" i="9"/>
  <c r="AF84" i="9"/>
  <c r="AF99" i="9"/>
  <c r="AF91" i="9"/>
  <c r="AF106" i="9"/>
  <c r="AF86" i="9"/>
  <c r="AF101" i="9"/>
  <c r="AF81" i="9"/>
  <c r="AF96" i="9"/>
  <c r="AF95" i="9" s="1"/>
  <c r="AF108" i="9"/>
  <c r="AF83" i="9"/>
  <c r="AF98" i="9"/>
  <c r="AF90" i="9"/>
  <c r="AF85" i="9"/>
  <c r="AF100" i="9"/>
  <c r="AF107" i="9"/>
  <c r="AF88" i="9"/>
  <c r="AF109" i="9"/>
  <c r="AF93" i="9"/>
  <c r="AF92" i="9" s="1"/>
  <c r="AF94" i="9"/>
  <c r="AF105" i="9"/>
  <c r="AF102" i="9"/>
  <c r="AF103" i="9"/>
  <c r="AF87" i="9"/>
  <c r="AF104" i="9"/>
  <c r="AB86" i="9"/>
  <c r="AB101" i="9"/>
  <c r="AB81" i="9"/>
  <c r="AB88" i="9"/>
  <c r="AB103" i="9"/>
  <c r="AB83" i="9"/>
  <c r="AB98" i="9"/>
  <c r="AB90" i="9"/>
  <c r="AB94" i="9"/>
  <c r="AB105" i="9"/>
  <c r="AB85" i="9"/>
  <c r="AB100" i="9"/>
  <c r="AB87" i="9"/>
  <c r="AB102" i="9"/>
  <c r="AB82" i="9"/>
  <c r="AB89" i="9"/>
  <c r="AB93" i="9"/>
  <c r="AB92" i="9" s="1"/>
  <c r="AB104" i="9"/>
  <c r="AB91" i="9"/>
  <c r="AB99" i="9"/>
  <c r="AB108" i="9"/>
  <c r="AB84" i="9"/>
  <c r="AB96" i="9"/>
  <c r="AB95" i="9" s="1"/>
  <c r="AB106" i="9"/>
  <c r="AB107" i="9"/>
  <c r="AB97" i="9"/>
  <c r="AB109" i="9"/>
  <c r="P86" i="9"/>
  <c r="P101" i="9"/>
  <c r="P81" i="9"/>
  <c r="P88" i="9"/>
  <c r="P103" i="9"/>
  <c r="P83" i="9"/>
  <c r="P98" i="9"/>
  <c r="P90" i="9"/>
  <c r="P94" i="9"/>
  <c r="P105" i="9"/>
  <c r="P85" i="9"/>
  <c r="P100" i="9"/>
  <c r="P87" i="9"/>
  <c r="P102" i="9"/>
  <c r="P82" i="9"/>
  <c r="P89" i="9"/>
  <c r="P93" i="9"/>
  <c r="P92" i="9" s="1"/>
  <c r="P104" i="9"/>
  <c r="P109" i="9"/>
  <c r="P84" i="9"/>
  <c r="P106" i="9"/>
  <c r="P96" i="9"/>
  <c r="P95" i="9" s="1"/>
  <c r="P97" i="9"/>
  <c r="P99" i="9"/>
  <c r="P107" i="9"/>
  <c r="P91" i="9"/>
  <c r="P108" i="9"/>
  <c r="D86" i="9"/>
  <c r="D101" i="9"/>
  <c r="D81" i="9"/>
  <c r="D88" i="9"/>
  <c r="D103" i="9"/>
  <c r="D83" i="9"/>
  <c r="D98" i="9"/>
  <c r="D90" i="9"/>
  <c r="D94" i="9"/>
  <c r="D105" i="9"/>
  <c r="D85" i="9"/>
  <c r="D100" i="9"/>
  <c r="D87" i="9"/>
  <c r="D102" i="9"/>
  <c r="D82" i="9"/>
  <c r="D89" i="9"/>
  <c r="D93" i="9"/>
  <c r="D92" i="9" s="1"/>
  <c r="D104" i="9"/>
  <c r="D84" i="9"/>
  <c r="D96" i="9"/>
  <c r="D95" i="9" s="1"/>
  <c r="D97" i="9"/>
  <c r="D108" i="9"/>
  <c r="D99" i="9"/>
  <c r="D109" i="9"/>
  <c r="D91" i="9"/>
  <c r="D106" i="9"/>
  <c r="D107" i="9"/>
  <c r="AA81" i="9"/>
  <c r="AA96" i="9"/>
  <c r="AA95" i="9" s="1"/>
  <c r="AA88" i="9"/>
  <c r="AA83" i="9"/>
  <c r="AA98" i="9"/>
  <c r="AA90" i="9"/>
  <c r="AA94" i="9"/>
  <c r="AA105" i="9"/>
  <c r="AA85" i="9"/>
  <c r="AA100" i="9"/>
  <c r="AA107" i="9"/>
  <c r="AA82" i="9"/>
  <c r="AA97" i="9"/>
  <c r="AA109" i="9"/>
  <c r="AA89" i="9"/>
  <c r="AA84" i="9"/>
  <c r="AA99" i="9"/>
  <c r="AA91" i="9"/>
  <c r="AA93" i="9"/>
  <c r="AA92" i="9" s="1"/>
  <c r="AA101" i="9"/>
  <c r="AA102" i="9"/>
  <c r="AA87" i="9"/>
  <c r="AA103" i="9"/>
  <c r="AA104" i="9"/>
  <c r="AA108" i="9"/>
  <c r="AA106" i="9"/>
  <c r="AA86" i="9"/>
  <c r="O81" i="9"/>
  <c r="O96" i="9"/>
  <c r="O95" i="9" s="1"/>
  <c r="O88" i="9"/>
  <c r="O83" i="9"/>
  <c r="O98" i="9"/>
  <c r="O90" i="9"/>
  <c r="O94" i="9"/>
  <c r="O105" i="9"/>
  <c r="O85" i="9"/>
  <c r="O100" i="9"/>
  <c r="O107" i="9"/>
  <c r="O82" i="9"/>
  <c r="O97" i="9"/>
  <c r="O109" i="9"/>
  <c r="O89" i="9"/>
  <c r="O93" i="9"/>
  <c r="O92" i="9" s="1"/>
  <c r="O84" i="9"/>
  <c r="O99" i="9"/>
  <c r="O103" i="9"/>
  <c r="O104" i="9"/>
  <c r="O87" i="9"/>
  <c r="O106" i="9"/>
  <c r="O86" i="9"/>
  <c r="O91" i="9"/>
  <c r="O108" i="9"/>
  <c r="O101" i="9"/>
  <c r="O102" i="9"/>
  <c r="T82" i="9"/>
  <c r="T97" i="9"/>
  <c r="T89" i="9"/>
  <c r="T84" i="9"/>
  <c r="T99" i="9"/>
  <c r="T91" i="9"/>
  <c r="T106" i="9"/>
  <c r="T86" i="9"/>
  <c r="T101" i="9"/>
  <c r="T81" i="9"/>
  <c r="T96" i="9"/>
  <c r="T95" i="9" s="1"/>
  <c r="T108" i="9"/>
  <c r="T83" i="9"/>
  <c r="T98" i="9"/>
  <c r="T90" i="9"/>
  <c r="T85" i="9"/>
  <c r="T100" i="9"/>
  <c r="T93" i="9"/>
  <c r="T92" i="9" s="1"/>
  <c r="T94" i="9"/>
  <c r="T102" i="9"/>
  <c r="T103" i="9"/>
  <c r="T104" i="9"/>
  <c r="T105" i="9"/>
  <c r="T87" i="9"/>
  <c r="T109" i="9"/>
  <c r="T107" i="9"/>
  <c r="T88" i="9"/>
  <c r="AE89" i="9"/>
  <c r="AE93" i="9"/>
  <c r="AE92" i="9" s="1"/>
  <c r="AE104" i="9"/>
  <c r="AE84" i="9"/>
  <c r="AE91" i="9"/>
  <c r="AE106" i="9"/>
  <c r="AE86" i="9"/>
  <c r="AE101" i="9"/>
  <c r="AE108" i="9"/>
  <c r="AE81" i="9"/>
  <c r="AE96" i="9"/>
  <c r="AE95" i="9" s="1"/>
  <c r="AE88" i="9"/>
  <c r="AE103" i="9"/>
  <c r="AE90" i="9"/>
  <c r="AE94" i="9"/>
  <c r="AE105" i="9"/>
  <c r="AE85" i="9"/>
  <c r="AE107" i="9"/>
  <c r="AE97" i="9"/>
  <c r="AE98" i="9"/>
  <c r="AE99" i="9"/>
  <c r="AE100" i="9"/>
  <c r="AE82" i="9"/>
  <c r="AE102" i="9"/>
  <c r="AE109" i="9"/>
  <c r="AE87" i="9"/>
  <c r="AE83" i="9"/>
  <c r="S89" i="9"/>
  <c r="S93" i="9"/>
  <c r="S92" i="9" s="1"/>
  <c r="S104" i="9"/>
  <c r="S84" i="9"/>
  <c r="S91" i="9"/>
  <c r="S106" i="9"/>
  <c r="S86" i="9"/>
  <c r="S101" i="9"/>
  <c r="S81" i="9"/>
  <c r="S96" i="9"/>
  <c r="S95" i="9" s="1"/>
  <c r="S108" i="9"/>
  <c r="S88" i="9"/>
  <c r="S103" i="9"/>
  <c r="S90" i="9"/>
  <c r="S94" i="9"/>
  <c r="S105" i="9"/>
  <c r="S85" i="9"/>
  <c r="S107" i="9"/>
  <c r="S102" i="9"/>
  <c r="S82" i="9"/>
  <c r="S87" i="9"/>
  <c r="S109" i="9"/>
  <c r="S83" i="9"/>
  <c r="S97" i="9"/>
  <c r="S98" i="9"/>
  <c r="S99" i="9"/>
  <c r="S100" i="9"/>
  <c r="G89" i="9"/>
  <c r="G93" i="9"/>
  <c r="G92" i="9" s="1"/>
  <c r="G104" i="9"/>
  <c r="G84" i="9"/>
  <c r="G91" i="9"/>
  <c r="G106" i="9"/>
  <c r="G86" i="9"/>
  <c r="G101" i="9"/>
  <c r="G108" i="9"/>
  <c r="G81" i="9"/>
  <c r="G96" i="9"/>
  <c r="G95" i="9" s="1"/>
  <c r="G88" i="9"/>
  <c r="G103" i="9"/>
  <c r="G90" i="9"/>
  <c r="G94" i="9"/>
  <c r="G105" i="9"/>
  <c r="G85" i="9"/>
  <c r="G107" i="9"/>
  <c r="G87" i="9"/>
  <c r="G97" i="9"/>
  <c r="G98" i="9"/>
  <c r="G83" i="9"/>
  <c r="G99" i="9"/>
  <c r="G100" i="9"/>
  <c r="G102" i="9"/>
  <c r="G82" i="9"/>
  <c r="G109" i="9"/>
  <c r="Y83" i="9"/>
  <c r="Y98" i="9"/>
  <c r="Y90" i="9"/>
  <c r="Y85" i="9"/>
  <c r="Y100" i="9"/>
  <c r="Y107" i="9"/>
  <c r="Y87" i="9"/>
  <c r="Y102" i="9"/>
  <c r="Y82" i="9"/>
  <c r="Y97" i="9"/>
  <c r="Y109" i="9"/>
  <c r="Y84" i="9"/>
  <c r="Y99" i="9"/>
  <c r="Y91" i="9"/>
  <c r="Y86" i="9"/>
  <c r="Y101" i="9"/>
  <c r="Y88" i="9"/>
  <c r="Y93" i="9"/>
  <c r="Y92" i="9" s="1"/>
  <c r="Y108" i="9"/>
  <c r="Y94" i="9"/>
  <c r="Y103" i="9"/>
  <c r="Y81" i="9"/>
  <c r="Y105" i="9"/>
  <c r="Y106" i="9"/>
  <c r="Y104" i="9"/>
  <c r="Y89" i="9"/>
  <c r="Y96" i="9"/>
  <c r="Y95" i="9" s="1"/>
  <c r="M83" i="9"/>
  <c r="M98" i="9"/>
  <c r="M90" i="9"/>
  <c r="M85" i="9"/>
  <c r="M100" i="9"/>
  <c r="M107" i="9"/>
  <c r="M87" i="9"/>
  <c r="M102" i="9"/>
  <c r="M82" i="9"/>
  <c r="M97" i="9"/>
  <c r="M109" i="9"/>
  <c r="M84" i="9"/>
  <c r="M99" i="9"/>
  <c r="M91" i="9"/>
  <c r="M86" i="9"/>
  <c r="M101" i="9"/>
  <c r="M105" i="9"/>
  <c r="M106" i="9"/>
  <c r="M81" i="9"/>
  <c r="M96" i="9"/>
  <c r="M95" i="9" s="1"/>
  <c r="M89" i="9"/>
  <c r="M103" i="9"/>
  <c r="M108" i="9"/>
  <c r="M104" i="9"/>
  <c r="M93" i="9"/>
  <c r="M92" i="9" s="1"/>
  <c r="M88" i="9"/>
  <c r="M94" i="9"/>
  <c r="H82" i="9"/>
  <c r="H97" i="9"/>
  <c r="H89" i="9"/>
  <c r="H84" i="9"/>
  <c r="H99" i="9"/>
  <c r="H91" i="9"/>
  <c r="H106" i="9"/>
  <c r="H86" i="9"/>
  <c r="H101" i="9"/>
  <c r="H81" i="9"/>
  <c r="H96" i="9"/>
  <c r="H95" i="9" s="1"/>
  <c r="H108" i="9"/>
  <c r="H83" i="9"/>
  <c r="H98" i="9"/>
  <c r="H90" i="9"/>
  <c r="H85" i="9"/>
  <c r="H100" i="9"/>
  <c r="H107" i="9"/>
  <c r="H87" i="9"/>
  <c r="H102" i="9"/>
  <c r="H103" i="9"/>
  <c r="H94" i="9"/>
  <c r="H109" i="9"/>
  <c r="H88" i="9"/>
  <c r="H93" i="9"/>
  <c r="H92" i="9" s="1"/>
  <c r="H104" i="9"/>
  <c r="H105" i="9"/>
  <c r="Z88" i="9"/>
  <c r="Z103" i="9"/>
  <c r="Z83" i="9"/>
  <c r="Z90" i="9"/>
  <c r="Z94" i="9"/>
  <c r="Z105" i="9"/>
  <c r="Z85" i="9"/>
  <c r="Z100" i="9"/>
  <c r="Z107" i="9"/>
  <c r="Z87" i="9"/>
  <c r="Z102" i="9"/>
  <c r="Z89" i="9"/>
  <c r="Z93" i="9"/>
  <c r="Z92" i="9" s="1"/>
  <c r="Z104" i="9"/>
  <c r="Z84" i="9"/>
  <c r="Z91" i="9"/>
  <c r="Z106" i="9"/>
  <c r="Z98" i="9"/>
  <c r="Z99" i="9"/>
  <c r="Z82" i="9"/>
  <c r="Z101" i="9"/>
  <c r="Z108" i="9"/>
  <c r="Z109" i="9"/>
  <c r="Z81" i="9"/>
  <c r="Z86" i="9"/>
  <c r="Z96" i="9"/>
  <c r="Z95" i="9" s="1"/>
  <c r="Z97" i="9"/>
  <c r="N88" i="9"/>
  <c r="N103" i="9"/>
  <c r="N83" i="9"/>
  <c r="N90" i="9"/>
  <c r="N94" i="9"/>
  <c r="N105" i="9"/>
  <c r="N85" i="9"/>
  <c r="N100" i="9"/>
  <c r="N107" i="9"/>
  <c r="N87" i="9"/>
  <c r="N102" i="9"/>
  <c r="N89" i="9"/>
  <c r="N93" i="9"/>
  <c r="N92" i="9" s="1"/>
  <c r="N104" i="9"/>
  <c r="N84" i="9"/>
  <c r="N91" i="9"/>
  <c r="N106" i="9"/>
  <c r="N109" i="9"/>
  <c r="N81" i="9"/>
  <c r="N96" i="9"/>
  <c r="N95" i="9" s="1"/>
  <c r="N97" i="9"/>
  <c r="N108" i="9"/>
  <c r="N82" i="9"/>
  <c r="N86" i="9"/>
  <c r="N98" i="9"/>
  <c r="N99" i="9"/>
  <c r="N101" i="9"/>
  <c r="X90" i="9"/>
  <c r="X94" i="9"/>
  <c r="X105" i="9"/>
  <c r="X85" i="9"/>
  <c r="X107" i="9"/>
  <c r="X87" i="9"/>
  <c r="X102" i="9"/>
  <c r="X82" i="9"/>
  <c r="X97" i="9"/>
  <c r="X89" i="9"/>
  <c r="X93" i="9"/>
  <c r="X92" i="9" s="1"/>
  <c r="X104" i="9"/>
  <c r="X91" i="9"/>
  <c r="X106" i="9"/>
  <c r="X86" i="9"/>
  <c r="X81" i="9"/>
  <c r="X96" i="9"/>
  <c r="X95" i="9" s="1"/>
  <c r="X108" i="9"/>
  <c r="X88" i="9"/>
  <c r="X100" i="9"/>
  <c r="X101" i="9"/>
  <c r="X103" i="9"/>
  <c r="X84" i="9"/>
  <c r="X98" i="9"/>
  <c r="X99" i="9"/>
  <c r="X109" i="9"/>
  <c r="X83" i="9"/>
  <c r="L90" i="9"/>
  <c r="L94" i="9"/>
  <c r="L105" i="9"/>
  <c r="L85" i="9"/>
  <c r="L107" i="9"/>
  <c r="L87" i="9"/>
  <c r="L102" i="9"/>
  <c r="L82" i="9"/>
  <c r="L97" i="9"/>
  <c r="L109" i="9"/>
  <c r="L89" i="9"/>
  <c r="L93" i="9"/>
  <c r="L92" i="9" s="1"/>
  <c r="L104" i="9"/>
  <c r="L91" i="9"/>
  <c r="L106" i="9"/>
  <c r="L86" i="9"/>
  <c r="L81" i="9"/>
  <c r="L96" i="9"/>
  <c r="L95" i="9" s="1"/>
  <c r="L108" i="9"/>
  <c r="L84" i="9"/>
  <c r="L98" i="9"/>
  <c r="L99" i="9"/>
  <c r="L83" i="9"/>
  <c r="L100" i="9"/>
  <c r="L101" i="9"/>
  <c r="L88" i="9"/>
  <c r="L103" i="9"/>
  <c r="W85" i="9"/>
  <c r="W100" i="9"/>
  <c r="W87" i="9"/>
  <c r="W102" i="9"/>
  <c r="W82" i="9"/>
  <c r="W97" i="9"/>
  <c r="W109" i="9"/>
  <c r="W89" i="9"/>
  <c r="W93" i="9"/>
  <c r="W92" i="9" s="1"/>
  <c r="W104" i="9"/>
  <c r="W84" i="9"/>
  <c r="W99" i="9"/>
  <c r="W86" i="9"/>
  <c r="W101" i="9"/>
  <c r="W81" i="9"/>
  <c r="W88" i="9"/>
  <c r="W103" i="9"/>
  <c r="W94" i="9"/>
  <c r="W90" i="9"/>
  <c r="W105" i="9"/>
  <c r="W106" i="9"/>
  <c r="W91" i="9"/>
  <c r="W96" i="9"/>
  <c r="W95" i="9" s="1"/>
  <c r="W83" i="9"/>
  <c r="W107" i="9"/>
  <c r="W108" i="9"/>
  <c r="W98" i="9"/>
  <c r="K85" i="9"/>
  <c r="K100" i="9"/>
  <c r="K87" i="9"/>
  <c r="K102" i="9"/>
  <c r="K82" i="9"/>
  <c r="K97" i="9"/>
  <c r="K109" i="9"/>
  <c r="K89" i="9"/>
  <c r="K93" i="9"/>
  <c r="K92" i="9" s="1"/>
  <c r="K104" i="9"/>
  <c r="K84" i="9"/>
  <c r="K99" i="9"/>
  <c r="K86" i="9"/>
  <c r="K101" i="9"/>
  <c r="K81" i="9"/>
  <c r="K88" i="9"/>
  <c r="K103" i="9"/>
  <c r="K105" i="9"/>
  <c r="K106" i="9"/>
  <c r="K90" i="9"/>
  <c r="K96" i="9"/>
  <c r="K95" i="9" s="1"/>
  <c r="K107" i="9"/>
  <c r="K98" i="9"/>
  <c r="K108" i="9"/>
  <c r="K83" i="9"/>
  <c r="K91" i="9"/>
  <c r="K94" i="9"/>
  <c r="AH98" i="9"/>
  <c r="AH102" i="9"/>
  <c r="AH106" i="9"/>
  <c r="AH81" i="9"/>
  <c r="AH85" i="9"/>
  <c r="AH89" i="9"/>
  <c r="AH94" i="9"/>
  <c r="AH99" i="9"/>
  <c r="AH103" i="9"/>
  <c r="AH107" i="9"/>
  <c r="AH82" i="9"/>
  <c r="AH86" i="9"/>
  <c r="AH90" i="9"/>
  <c r="AH100" i="9"/>
  <c r="AH96" i="9"/>
  <c r="AH95" i="9" s="1"/>
  <c r="AH104" i="9"/>
  <c r="AH83" i="9"/>
  <c r="AH87" i="9"/>
  <c r="AH91" i="9"/>
  <c r="AH97" i="9"/>
  <c r="AH101" i="9"/>
  <c r="AH105" i="9"/>
  <c r="AH109" i="9"/>
  <c r="AH84" i="9"/>
  <c r="AH88" i="9"/>
  <c r="AH93" i="9"/>
  <c r="AH92" i="9" s="1"/>
  <c r="AH108" i="9"/>
  <c r="V87" i="9"/>
  <c r="V82" i="9"/>
  <c r="V97" i="9"/>
  <c r="V89" i="9"/>
  <c r="V93" i="9"/>
  <c r="V92" i="9" s="1"/>
  <c r="V104" i="9"/>
  <c r="V84" i="9"/>
  <c r="V99" i="9"/>
  <c r="V91" i="9"/>
  <c r="V106" i="9"/>
  <c r="V81" i="9"/>
  <c r="V96" i="9"/>
  <c r="V95" i="9" s="1"/>
  <c r="V108" i="9"/>
  <c r="V88" i="9"/>
  <c r="V83" i="9"/>
  <c r="V98" i="9"/>
  <c r="V100" i="9"/>
  <c r="V101" i="9"/>
  <c r="V85" i="9"/>
  <c r="V94" i="9"/>
  <c r="V102" i="9"/>
  <c r="V103" i="9"/>
  <c r="V90" i="9"/>
  <c r="V105" i="9"/>
  <c r="V107" i="9"/>
  <c r="V86" i="9"/>
  <c r="V109" i="9"/>
  <c r="J87" i="9"/>
  <c r="J82" i="9"/>
  <c r="J97" i="9"/>
  <c r="J89" i="9"/>
  <c r="J93" i="9"/>
  <c r="J92" i="9" s="1"/>
  <c r="J104" i="9"/>
  <c r="J84" i="9"/>
  <c r="J99" i="9"/>
  <c r="J91" i="9"/>
  <c r="J106" i="9"/>
  <c r="J81" i="9"/>
  <c r="J96" i="9"/>
  <c r="J95" i="9" s="1"/>
  <c r="J108" i="9"/>
  <c r="J88" i="9"/>
  <c r="J83" i="9"/>
  <c r="J98" i="9"/>
  <c r="J90" i="9"/>
  <c r="J107" i="9"/>
  <c r="J86" i="9"/>
  <c r="J100" i="9"/>
  <c r="J101" i="9"/>
  <c r="J105" i="9"/>
  <c r="J109" i="9"/>
  <c r="J94" i="9"/>
  <c r="J102" i="9"/>
  <c r="J103" i="9"/>
  <c r="J85" i="9"/>
  <c r="AG81" i="9"/>
  <c r="AG85" i="9"/>
  <c r="AG89" i="9"/>
  <c r="AG94" i="9"/>
  <c r="AG99" i="9"/>
  <c r="AG103" i="9"/>
  <c r="AG107" i="9"/>
  <c r="AG82" i="9"/>
  <c r="AG86" i="9"/>
  <c r="AG90" i="9"/>
  <c r="AG96" i="9"/>
  <c r="AG95" i="9" s="1"/>
  <c r="AG100" i="9"/>
  <c r="AG104" i="9"/>
  <c r="AG108" i="9"/>
  <c r="AG83" i="9"/>
  <c r="AG87" i="9"/>
  <c r="AG91" i="9"/>
  <c r="AG97" i="9"/>
  <c r="AG101" i="9"/>
  <c r="AG105" i="9"/>
  <c r="AG109" i="9"/>
  <c r="AG84" i="9"/>
  <c r="AG88" i="9"/>
  <c r="AG93" i="9"/>
  <c r="AG92" i="9" s="1"/>
  <c r="AG98" i="9"/>
  <c r="AG102" i="9"/>
  <c r="AG106" i="9"/>
  <c r="U87" i="9"/>
  <c r="U102" i="9"/>
  <c r="U82" i="9"/>
  <c r="U89" i="9"/>
  <c r="U93" i="9"/>
  <c r="U92" i="9" s="1"/>
  <c r="U104" i="9"/>
  <c r="U84" i="9"/>
  <c r="U99" i="9"/>
  <c r="U91" i="9"/>
  <c r="U106" i="9"/>
  <c r="U86" i="9"/>
  <c r="U101" i="9"/>
  <c r="U88" i="9"/>
  <c r="U103" i="9"/>
  <c r="U83" i="9"/>
  <c r="U90" i="9"/>
  <c r="U94" i="9"/>
  <c r="U105" i="9"/>
  <c r="U85" i="9"/>
  <c r="U108" i="9"/>
  <c r="U81" i="9"/>
  <c r="U96" i="9"/>
  <c r="U95" i="9" s="1"/>
  <c r="U107" i="9"/>
  <c r="U109" i="9"/>
  <c r="U100" i="9"/>
  <c r="U97" i="9"/>
  <c r="U98" i="9"/>
  <c r="I87" i="9"/>
  <c r="I102" i="9"/>
  <c r="I82" i="9"/>
  <c r="I89" i="9"/>
  <c r="I93" i="9"/>
  <c r="I92" i="9" s="1"/>
  <c r="I104" i="9"/>
  <c r="I84" i="9"/>
  <c r="I99" i="9"/>
  <c r="I91" i="9"/>
  <c r="I106" i="9"/>
  <c r="I86" i="9"/>
  <c r="I101" i="9"/>
  <c r="I88" i="9"/>
  <c r="I103" i="9"/>
  <c r="I83" i="9"/>
  <c r="I90" i="9"/>
  <c r="I94" i="9"/>
  <c r="I105" i="9"/>
  <c r="I109" i="9"/>
  <c r="I98" i="9"/>
  <c r="I107" i="9"/>
  <c r="I81" i="9"/>
  <c r="I96" i="9"/>
  <c r="I95" i="9" s="1"/>
  <c r="I97" i="9"/>
  <c r="I108" i="9"/>
  <c r="I100" i="9"/>
  <c r="I85" i="9"/>
  <c r="D3" i="5"/>
  <c r="AQ1" i="4" l="1"/>
  <c r="AQ32" i="4" s="1"/>
  <c r="AP2" i="4"/>
  <c r="AP33" i="4" s="1"/>
  <c r="BW3" i="4" a="1"/>
  <c r="BW3" i="4" s="1"/>
  <c r="AT3" i="4" s="1"/>
  <c r="BW4" i="4" a="1"/>
  <c r="BW4" i="4" s="1"/>
  <c r="AT4" i="4" s="1"/>
  <c r="BW5" i="4" a="1"/>
  <c r="BW5" i="4" s="1"/>
  <c r="AT5" i="4" s="1"/>
  <c r="BW6" i="4" a="1"/>
  <c r="BW6" i="4" s="1"/>
  <c r="AT6" i="4" s="1"/>
  <c r="BW7" i="4" a="1"/>
  <c r="BW7" i="4" s="1"/>
  <c r="AT7" i="4" s="1"/>
  <c r="BW8" i="4" a="1"/>
  <c r="BW8" i="4" s="1"/>
  <c r="AT8" i="4" s="1"/>
  <c r="BW9" i="4" a="1"/>
  <c r="BW9" i="4" s="1"/>
  <c r="AT9" i="4" s="1"/>
  <c r="BW11" i="4" a="1"/>
  <c r="BW11" i="4" s="1"/>
  <c r="AT11" i="4" s="1"/>
  <c r="BW12" i="4" a="1"/>
  <c r="BW12" i="4" s="1"/>
  <c r="AT12" i="4" s="1"/>
  <c r="BW13" i="4" a="1"/>
  <c r="BW13" i="4" s="1"/>
  <c r="AT13" i="4" s="1"/>
  <c r="BW14" i="4" a="1"/>
  <c r="BW14" i="4" s="1"/>
  <c r="AT14" i="4" s="1"/>
  <c r="BW15" i="4" a="1"/>
  <c r="BW15" i="4" s="1"/>
  <c r="AT15" i="4" s="1"/>
  <c r="BW16" i="4" a="1"/>
  <c r="BW16" i="4" s="1"/>
  <c r="AT16" i="4" s="1"/>
  <c r="BW17" i="4" a="1"/>
  <c r="BW17" i="4" s="1"/>
  <c r="AT17" i="4" s="1"/>
  <c r="BW18" i="4" a="1"/>
  <c r="BW18" i="4" s="1"/>
  <c r="AT18" i="4" s="1"/>
  <c r="BW19" i="4" a="1"/>
  <c r="BW19" i="4" s="1"/>
  <c r="AT19" i="4" s="1"/>
  <c r="BW20" i="4" a="1"/>
  <c r="BW20" i="4" s="1"/>
  <c r="AT20" i="4" s="1"/>
  <c r="BW21" i="4" a="1"/>
  <c r="BW21" i="4" s="1"/>
  <c r="AT21" i="4" s="1"/>
  <c r="BW22" i="4" a="1"/>
  <c r="BW22" i="4" s="1"/>
  <c r="AT22" i="4" s="1"/>
  <c r="BW23" i="4" a="1"/>
  <c r="BW23" i="4" s="1"/>
  <c r="AT23" i="4" s="1"/>
  <c r="BW24" i="4" a="1"/>
  <c r="BW24" i="4" s="1"/>
  <c r="AT24" i="4" s="1"/>
  <c r="AR1" i="4" l="1"/>
  <c r="AR32" i="4" s="1"/>
  <c r="AQ2" i="4"/>
  <c r="AQ33" i="4" s="1"/>
  <c r="AR2" i="4" l="1"/>
  <c r="AR33" i="4" s="1"/>
  <c r="AS1" i="4"/>
  <c r="AS2" i="4" l="1"/>
  <c r="AS33" i="4" s="1"/>
  <c r="AS32" i="4"/>
  <c r="AY21" i="4"/>
  <c r="AZ21" i="4"/>
  <c r="AY22" i="4"/>
  <c r="AZ22" i="4"/>
  <c r="AY23" i="4"/>
  <c r="AZ23" i="4"/>
  <c r="AY24" i="4"/>
  <c r="AZ24" i="4"/>
  <c r="AY4" i="4" l="1"/>
  <c r="AZ4" i="4"/>
  <c r="AY3" i="4"/>
  <c r="AZ3" i="4"/>
  <c r="AY5" i="4"/>
  <c r="AZ5" i="4"/>
  <c r="AY6" i="4"/>
  <c r="AZ6" i="4"/>
  <c r="AY7" i="4"/>
  <c r="AZ7" i="4"/>
  <c r="AY8" i="4"/>
  <c r="AZ8" i="4"/>
  <c r="AY9" i="4"/>
  <c r="AZ9" i="4"/>
  <c r="K2" i="4" l="1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H34" i="4" l="1"/>
  <c r="AI34" i="4"/>
  <c r="AJ34" i="4"/>
  <c r="AK34" i="4"/>
  <c r="AL34" i="4"/>
  <c r="AH35" i="4"/>
  <c r="AI35" i="4"/>
  <c r="AJ35" i="4"/>
  <c r="AK35" i="4"/>
  <c r="AL35" i="4"/>
  <c r="AH36" i="4"/>
  <c r="AI36" i="4"/>
  <c r="AJ36" i="4"/>
  <c r="AK36" i="4"/>
  <c r="AL36" i="4"/>
  <c r="AH37" i="4"/>
  <c r="AI37" i="4"/>
  <c r="AJ37" i="4"/>
  <c r="AK37" i="4"/>
  <c r="AL37" i="4"/>
  <c r="AH38" i="4"/>
  <c r="AI38" i="4"/>
  <c r="AJ38" i="4"/>
  <c r="AK38" i="4"/>
  <c r="AL38" i="4"/>
  <c r="AH39" i="4"/>
  <c r="AI39" i="4"/>
  <c r="AJ39" i="4"/>
  <c r="AK39" i="4"/>
  <c r="AL39" i="4"/>
  <c r="AH40" i="4"/>
  <c r="AI40" i="4"/>
  <c r="AJ40" i="4"/>
  <c r="AK40" i="4"/>
  <c r="AL40" i="4"/>
  <c r="L35" i="4" l="1"/>
  <c r="Q34" i="4" l="1"/>
  <c r="L37" i="4" l="1"/>
  <c r="G2" i="4" l="1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H34" i="4" l="1"/>
  <c r="I34" i="4"/>
  <c r="J34" i="4"/>
  <c r="K34" i="4"/>
  <c r="L34" i="4"/>
  <c r="M34" i="4"/>
  <c r="N34" i="4"/>
  <c r="O34" i="4"/>
  <c r="P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H35" i="4"/>
  <c r="I35" i="4"/>
  <c r="J35" i="4"/>
  <c r="K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H37" i="4"/>
  <c r="I37" i="4"/>
  <c r="J37" i="4"/>
  <c r="K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D32" i="4"/>
  <c r="E32" i="4"/>
  <c r="F32" i="4"/>
  <c r="G32" i="4"/>
  <c r="D2" i="4"/>
  <c r="D33" i="4" s="1"/>
  <c r="E2" i="4"/>
  <c r="E33" i="4" s="1"/>
  <c r="F2" i="4"/>
  <c r="F33" i="4" s="1"/>
  <c r="G33" i="4"/>
  <c r="H2" i="4"/>
  <c r="H33" i="4" s="1"/>
  <c r="H32" i="4" l="1"/>
  <c r="I2" i="4" l="1"/>
  <c r="I33" i="4" s="1"/>
  <c r="I32" i="4"/>
  <c r="J32" i="4"/>
  <c r="K32" i="4" l="1"/>
  <c r="J2" i="4"/>
  <c r="J33" i="4" s="1"/>
  <c r="G39" i="4"/>
  <c r="G37" i="4"/>
  <c r="K33" i="4" l="1"/>
  <c r="L32" i="4"/>
  <c r="L33" i="4" l="1"/>
  <c r="M32" i="4"/>
  <c r="M33" i="4" l="1"/>
  <c r="N32" i="4"/>
  <c r="O32" i="4" l="1"/>
  <c r="N33" i="4"/>
  <c r="P32" i="4" l="1"/>
  <c r="O33" i="4"/>
  <c r="P33" i="4" l="1"/>
  <c r="Q32" i="4"/>
  <c r="Q33" i="4" l="1"/>
  <c r="R32" i="4"/>
  <c r="R33" i="4" l="1"/>
  <c r="S32" i="4"/>
  <c r="S33" i="4" l="1"/>
  <c r="T32" i="4"/>
  <c r="T33" i="4" l="1"/>
  <c r="U32" i="4"/>
  <c r="U33" i="4" l="1"/>
  <c r="V32" i="4"/>
  <c r="V33" i="4" l="1"/>
  <c r="W32" i="4"/>
  <c r="W33" i="4" l="1"/>
  <c r="X32" i="4"/>
  <c r="X33" i="4" l="1"/>
  <c r="Y32" i="4"/>
  <c r="Y33" i="4" l="1"/>
  <c r="Z32" i="4"/>
  <c r="Z33" i="4" l="1"/>
  <c r="AA32" i="4"/>
  <c r="AA33" i="4" l="1"/>
  <c r="AB32" i="4"/>
  <c r="AB33" i="4" l="1"/>
  <c r="AC32" i="4"/>
  <c r="AC33" i="4" l="1"/>
  <c r="AD32" i="4"/>
  <c r="AD33" i="4" l="1"/>
  <c r="AE32" i="4"/>
  <c r="AE33" i="4" l="1"/>
  <c r="AF32" i="4"/>
  <c r="B3" i="9"/>
  <c r="C3" i="9" s="1"/>
  <c r="AF33" i="4" l="1"/>
  <c r="AG32" i="4"/>
  <c r="AH32" i="4"/>
  <c r="AG33" i="4"/>
  <c r="AH33" i="4" l="1"/>
  <c r="AI32" i="4"/>
  <c r="AJ32" i="4" l="1"/>
  <c r="AI33" i="4"/>
  <c r="AJ33" i="4" l="1"/>
  <c r="AL33" i="4" l="1"/>
  <c r="AK32" i="4"/>
  <c r="AK33" i="4"/>
  <c r="AL32" i="4" l="1"/>
  <c r="B3" i="5" l="1"/>
  <c r="C3" i="5" s="1"/>
  <c r="D2" i="5" l="1"/>
  <c r="E2" i="5" l="1"/>
  <c r="F2" i="5" l="1"/>
  <c r="G2" i="5" l="1"/>
  <c r="H2" i="5" l="1"/>
  <c r="I2" i="5" l="1"/>
  <c r="J2" i="5" l="1"/>
  <c r="K2" i="5" l="1"/>
  <c r="L2" i="5" l="1"/>
  <c r="M2" i="5" l="1"/>
  <c r="AH2" i="5" l="1"/>
  <c r="N2" i="5"/>
  <c r="O2" i="5" l="1"/>
  <c r="P2" i="5" l="1"/>
  <c r="Q2" i="5" l="1"/>
  <c r="R2" i="5" l="1"/>
  <c r="S2" i="5" l="1"/>
  <c r="T2" i="5" l="1"/>
  <c r="U2" i="5" l="1"/>
  <c r="V2" i="5" l="1"/>
  <c r="W2" i="5" l="1"/>
  <c r="X2" i="5" l="1"/>
  <c r="Y2" i="5" l="1"/>
  <c r="AA2" i="5" l="1"/>
  <c r="Z2" i="5"/>
  <c r="AB2" i="5" l="1"/>
  <c r="G36" i="4"/>
  <c r="G40" i="4"/>
  <c r="G34" i="4"/>
  <c r="G38" i="4"/>
  <c r="G35" i="4"/>
  <c r="AC2" i="5" l="1"/>
  <c r="AD2" i="5" l="1"/>
  <c r="AE2" i="5" l="1"/>
  <c r="AF2" i="5" l="1"/>
  <c r="AG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<sst xmlns="http://schemas.openxmlformats.org/spreadsheetml/2006/main" count="537" uniqueCount="219">
  <si>
    <t>員編
ID No.</t>
  </si>
  <si>
    <t>日</t>
  </si>
  <si>
    <t>中</t>
  </si>
  <si>
    <t>午</t>
  </si>
  <si>
    <t>夜</t>
  </si>
  <si>
    <t>T</t>
  </si>
  <si>
    <t>L</t>
  </si>
  <si>
    <t>R</t>
  </si>
  <si>
    <t>r</t>
  </si>
  <si>
    <t>P</t>
  </si>
  <si>
    <t>休假
日數</t>
  </si>
  <si>
    <t>A1</t>
  </si>
  <si>
    <t>T00509</t>
  </si>
  <si>
    <t>郭秋儀</t>
  </si>
  <si>
    <t>T01028</t>
  </si>
  <si>
    <t>T01029</t>
  </si>
  <si>
    <t>T00929</t>
  </si>
  <si>
    <t>簡婉蓁</t>
  </si>
  <si>
    <t>林禹丞</t>
  </si>
  <si>
    <t>T01734</t>
  </si>
  <si>
    <t>黃冠銘</t>
  </si>
  <si>
    <t>T01795</t>
  </si>
  <si>
    <t>黃羿綾</t>
  </si>
  <si>
    <t>A2</t>
  </si>
  <si>
    <t>A3</t>
  </si>
  <si>
    <t>A4</t>
  </si>
  <si>
    <t>A5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</si>
  <si>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</si>
  <si>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</si>
  <si>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</si>
  <si>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</si>
  <si>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</si>
  <si>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</si>
  <si>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</si>
  <si>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</si>
  <si>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</si>
  <si>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A3中A</t>
  </si>
  <si>
    <t>A3午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</si>
  <si>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</si>
  <si>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</si>
  <si>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</si>
  <si>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</si>
  <si>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</si>
  <si>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</si>
  <si>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</si>
  <si>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</si>
  <si>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</si>
  <si>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</si>
  <si>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</si>
  <si>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</si>
  <si>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</si>
  <si>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 xml:space="preserve">          日期
          星期                   
姓名</t>
    <phoneticPr fontId="1" type="noConversion"/>
  </si>
  <si>
    <t>北
段
辦</t>
    <phoneticPr fontId="1" type="noConversion"/>
  </si>
  <si>
    <t>備註</t>
    <phoneticPr fontId="1" type="noConversion"/>
  </si>
  <si>
    <t>T01600</t>
  </si>
  <si>
    <t>陳奎羽</t>
  </si>
  <si>
    <t>早A</t>
    <phoneticPr fontId="1" type="noConversion"/>
  </si>
  <si>
    <t>午F</t>
    <phoneticPr fontId="1" type="noConversion"/>
  </si>
  <si>
    <t>R</t>
    <phoneticPr fontId="1" type="noConversion"/>
  </si>
  <si>
    <t>請輸入年度</t>
    <phoneticPr fontId="1" type="noConversion"/>
  </si>
  <si>
    <t>請輸入月份</t>
    <phoneticPr fontId="1" type="noConversion"/>
  </si>
  <si>
    <t>41早</t>
  </si>
  <si>
    <t>r'</t>
  </si>
  <si>
    <t>41午</t>
  </si>
  <si>
    <t>41夜</t>
  </si>
  <si>
    <t>02早</t>
  </si>
  <si>
    <t>02午</t>
  </si>
  <si>
    <t>02夜</t>
  </si>
  <si>
    <t>03午</t>
  </si>
  <si>
    <t>03夜</t>
  </si>
  <si>
    <t>03早A</t>
  </si>
  <si>
    <t>03午F</t>
  </si>
  <si>
    <t>04夜</t>
  </si>
  <si>
    <t>04午</t>
  </si>
  <si>
    <t>04早</t>
  </si>
  <si>
    <t>04中A</t>
  </si>
  <si>
    <t>05夜</t>
  </si>
  <si>
    <t>05早</t>
  </si>
  <si>
    <t>05午</t>
  </si>
  <si>
    <t>05中A</t>
  </si>
  <si>
    <t>06午</t>
  </si>
  <si>
    <t>06早</t>
  </si>
  <si>
    <t>06夜</t>
  </si>
  <si>
    <t>06中A</t>
  </si>
  <si>
    <t>41早</t>
    <phoneticPr fontId="1" type="noConversion"/>
  </si>
  <si>
    <t>41中A</t>
    <phoneticPr fontId="1" type="noConversion"/>
  </si>
  <si>
    <t>41午</t>
    <phoneticPr fontId="1" type="noConversion"/>
  </si>
  <si>
    <t>41夜</t>
    <phoneticPr fontId="1" type="noConversion"/>
  </si>
  <si>
    <t>A3早A</t>
    <phoneticPr fontId="1" type="noConversion"/>
  </si>
  <si>
    <t>A3午F</t>
    <phoneticPr fontId="1" type="noConversion"/>
  </si>
  <si>
    <t>01中A</t>
  </si>
  <si>
    <t>05</t>
  </si>
  <si>
    <t>07</t>
  </si>
  <si>
    <t>02中A</t>
  </si>
  <si>
    <t>03中A</t>
  </si>
  <si>
    <t>01早</t>
    <phoneticPr fontId="1" type="noConversion"/>
  </si>
  <si>
    <t>03早</t>
    <phoneticPr fontId="1" type="noConversion"/>
  </si>
  <si>
    <t>01夜</t>
    <phoneticPr fontId="1" type="noConversion"/>
  </si>
  <si>
    <t>23d</t>
  </si>
  <si>
    <t>34d</t>
  </si>
  <si>
    <t>早</t>
    <phoneticPr fontId="1" type="noConversion"/>
  </si>
  <si>
    <t>41日</t>
    <phoneticPr fontId="1" type="noConversion"/>
  </si>
  <si>
    <t>P</t>
    <phoneticPr fontId="1" type="noConversion"/>
  </si>
  <si>
    <t>01午</t>
    <phoneticPr fontId="1" type="noConversion"/>
  </si>
  <si>
    <t>r'(03午F)</t>
    <phoneticPr fontId="1" type="noConversion"/>
  </si>
  <si>
    <t>T</t>
    <phoneticPr fontId="1" type="noConversion"/>
  </si>
  <si>
    <t>05</t>
    <phoneticPr fontId="1" type="noConversion"/>
  </si>
  <si>
    <t>92B</t>
    <phoneticPr fontId="1" type="noConversion"/>
  </si>
  <si>
    <t>01日</t>
    <phoneticPr fontId="1" type="noConversion"/>
  </si>
  <si>
    <t>r'(04早)</t>
    <phoneticPr fontId="1" type="noConversion"/>
  </si>
  <si>
    <t>92C</t>
    <phoneticPr fontId="1" type="noConversion"/>
  </si>
  <si>
    <t>r'(03午)</t>
    <phoneticPr fontId="1" type="noConversion"/>
  </si>
  <si>
    <t>r'(01早)</t>
    <phoneticPr fontId="1" type="noConversion"/>
  </si>
  <si>
    <t>02午P</t>
    <phoneticPr fontId="1" type="noConversion"/>
  </si>
  <si>
    <t>41夜.</t>
    <phoneticPr fontId="1" type="noConversion"/>
  </si>
  <si>
    <t>01日.</t>
    <phoneticPr fontId="1" type="noConversion"/>
  </si>
  <si>
    <t>T02233</t>
  </si>
  <si>
    <t>簡悅如</t>
  </si>
  <si>
    <t>07午</t>
    <phoneticPr fontId="1" type="noConversion"/>
  </si>
  <si>
    <t>21早</t>
    <phoneticPr fontId="1" type="noConversion"/>
  </si>
  <si>
    <t>07早</t>
    <phoneticPr fontId="1" type="noConversion"/>
  </si>
  <si>
    <t>41早Q</t>
    <phoneticPr fontId="1" type="noConversion"/>
  </si>
  <si>
    <t>r'(02早)</t>
    <phoneticPr fontId="1" type="noConversion"/>
  </si>
  <si>
    <t>r'(03早A)</t>
    <phoneticPr fontId="1" type="noConversion"/>
  </si>
  <si>
    <t>06午P</t>
    <phoneticPr fontId="1" type="noConversion"/>
  </si>
  <si>
    <t>41早K</t>
    <phoneticPr fontId="1" type="noConversion"/>
  </si>
  <si>
    <t>03午P</t>
    <phoneticPr fontId="1" type="noConversion"/>
  </si>
  <si>
    <t>03</t>
    <phoneticPr fontId="1" type="noConversion"/>
  </si>
  <si>
    <t>06日</t>
    <phoneticPr fontId="1" type="noConversion"/>
  </si>
  <si>
    <t>41早G</t>
    <phoneticPr fontId="1" type="noConversion"/>
  </si>
  <si>
    <t>04早Q</t>
    <phoneticPr fontId="1" type="noConversion"/>
  </si>
  <si>
    <t>r'(06午)</t>
    <phoneticPr fontId="1" type="noConversion"/>
  </si>
  <si>
    <t>r'(06夜)</t>
    <phoneticPr fontId="1" type="noConversion"/>
  </si>
  <si>
    <t>r'(06早)</t>
    <phoneticPr fontId="1" type="noConversion"/>
  </si>
  <si>
    <t>05午P</t>
    <phoneticPr fontId="1" type="noConversion"/>
  </si>
  <si>
    <t>T00557</t>
  </si>
  <si>
    <t>陳志明</t>
  </si>
  <si>
    <t>T01459</t>
  </si>
  <si>
    <t>日</t>
    <phoneticPr fontId="1" type="noConversion"/>
  </si>
  <si>
    <t>T02359</t>
  </si>
  <si>
    <t>陳佳婷</t>
  </si>
  <si>
    <t>T02363</t>
  </si>
  <si>
    <t>T02287</t>
  </si>
  <si>
    <t>T02613</t>
  </si>
  <si>
    <t>張雅荃</t>
  </si>
  <si>
    <t>r'(01夜)</t>
    <phoneticPr fontId="1" type="noConversion"/>
  </si>
  <si>
    <t>02日</t>
    <phoneticPr fontId="1" type="noConversion"/>
  </si>
  <si>
    <t>92D</t>
    <phoneticPr fontId="1" type="noConversion"/>
  </si>
  <si>
    <t>03日</t>
    <phoneticPr fontId="1" type="noConversion"/>
  </si>
  <si>
    <t>04日</t>
    <phoneticPr fontId="1" type="noConversion"/>
  </si>
  <si>
    <t>05日</t>
    <phoneticPr fontId="1" type="noConversion"/>
  </si>
  <si>
    <t>r</t>
    <phoneticPr fontId="1" type="noConversion"/>
  </si>
  <si>
    <t>03早</t>
  </si>
  <si>
    <t>r'(05午)</t>
    <phoneticPr fontId="1" type="noConversion"/>
  </si>
  <si>
    <t>r'(05早)</t>
    <phoneticPr fontId="1" type="noConversion"/>
  </si>
  <si>
    <t>r'(03早)</t>
    <phoneticPr fontId="1" type="noConversion"/>
  </si>
  <si>
    <t>班別代號:
OO早A：0620~1520(9hr)  OO早：0630~1430(8hr)  OO早G：0730~1530(8hr) OO早Q：0930~1730(8hr)  OO中A：1100~1900(8hr) OO午P：1400~2200(8hr)  OO午：1410~2210(8hr)  OO午F：1500~2400(9hr)  OO夜：2150~0650(9hr)
OO代表車站、段辦(例如：A17早班，代碼17早。A17正常班，代碼17日。中心正常班，代碼日。北段段辦正常班，代號41日。中段段辦正常班，代號42日。南段段辦正常班，代號43日。)
T：訓練 0830~1730      日：0830~1730      R：例假      L：其他休假　r：休假　P：國定假日</t>
    <phoneticPr fontId="1" type="noConversion"/>
  </si>
  <si>
    <t>r'(02午)</t>
    <phoneticPr fontId="1" type="noConversion"/>
  </si>
  <si>
    <t>P(05早)</t>
    <phoneticPr fontId="1" type="noConversion"/>
  </si>
  <si>
    <t>林雯琳</t>
    <phoneticPr fontId="1" type="noConversion"/>
  </si>
  <si>
    <t>林金緗</t>
    <phoneticPr fontId="1" type="noConversion"/>
  </si>
  <si>
    <t>林孟錡</t>
    <phoneticPr fontId="1" type="noConversion"/>
  </si>
  <si>
    <t>林江玉</t>
    <phoneticPr fontId="1" type="noConversion"/>
  </si>
  <si>
    <t>05早Q</t>
    <phoneticPr fontId="1" type="noConversion"/>
  </si>
  <si>
    <t>T02222</t>
    <phoneticPr fontId="1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</si>
  <si>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1" type="noConversion"/>
  </si>
  <si>
    <t>A1</t>
    <phoneticPr fontId="1" type="noConversion"/>
  </si>
  <si>
    <t>T02763</t>
  </si>
  <si>
    <t>T02769</t>
  </si>
  <si>
    <t>T02776</t>
    <phoneticPr fontId="1" type="noConversion"/>
  </si>
  <si>
    <t>陳怡臻</t>
    <phoneticPr fontId="1" type="noConversion"/>
  </si>
  <si>
    <t>T02777</t>
    <phoneticPr fontId="1" type="noConversion"/>
  </si>
  <si>
    <t>彭裕涵</t>
    <phoneticPr fontId="1" type="noConversion"/>
  </si>
  <si>
    <t>T02758</t>
    <phoneticPr fontId="1" type="noConversion"/>
  </si>
  <si>
    <t>王映心</t>
    <phoneticPr fontId="1" type="noConversion"/>
  </si>
  <si>
    <t>T02762</t>
    <phoneticPr fontId="1" type="noConversion"/>
  </si>
  <si>
    <t>周怡萍</t>
    <phoneticPr fontId="1" type="noConversion"/>
  </si>
  <si>
    <t>陳佑融</t>
    <phoneticPr fontId="1" type="noConversion"/>
  </si>
  <si>
    <t>吳東翰</t>
    <phoneticPr fontId="1" type="noConversion"/>
  </si>
  <si>
    <t>7/19~8/1
實際休假天數</t>
    <phoneticPr fontId="1" type="noConversion"/>
  </si>
  <si>
    <t>8/2~9/5
實際休假天數</t>
    <phoneticPr fontId="1" type="noConversion"/>
  </si>
  <si>
    <t>9/6~9/12
剩餘休假天數</t>
    <phoneticPr fontId="1" type="noConversion"/>
  </si>
  <si>
    <t>8份班別小計</t>
    <phoneticPr fontId="1" type="noConversion"/>
  </si>
  <si>
    <t>8月份</t>
    <phoneticPr fontId="1" type="noConversion"/>
  </si>
  <si>
    <t>1/1~9/5
P班天數</t>
    <phoneticPr fontId="1" type="noConversion"/>
  </si>
  <si>
    <t>7/26~8/1</t>
    <phoneticPr fontId="1" type="noConversion"/>
  </si>
  <si>
    <t>8/2~8/8</t>
    <phoneticPr fontId="1" type="noConversion"/>
  </si>
  <si>
    <t>8/9~8/15</t>
    <phoneticPr fontId="1" type="noConversion"/>
  </si>
  <si>
    <t>8/16~8/22</t>
    <phoneticPr fontId="1" type="noConversion"/>
  </si>
  <si>
    <t>8/23~8/29</t>
    <phoneticPr fontId="1" type="noConversion"/>
  </si>
  <si>
    <t>8/30~9/5</t>
    <phoneticPr fontId="1" type="noConversion"/>
  </si>
  <si>
    <t>1/1~8/1
P班天數</t>
    <phoneticPr fontId="1" type="noConversion"/>
  </si>
  <si>
    <t>8/2~9/5
P班天數</t>
    <phoneticPr fontId="1" type="noConversion"/>
  </si>
  <si>
    <t>8月天數</t>
    <phoneticPr fontId="1" type="noConversion"/>
  </si>
  <si>
    <t>T02505</t>
  </si>
  <si>
    <t>李慧盺</t>
  </si>
  <si>
    <t>01午M</t>
  </si>
  <si>
    <t>01午m</t>
  </si>
  <si>
    <t>01早M</t>
  </si>
  <si>
    <t>01早m</t>
  </si>
  <si>
    <t>01早M(減壓課)</t>
  </si>
  <si>
    <t>01夜B2</t>
  </si>
  <si>
    <t>01夜B1</t>
  </si>
  <si>
    <t>01早B1</t>
  </si>
  <si>
    <t>01早m(減壓課)</t>
  </si>
  <si>
    <t>01午B1</t>
  </si>
  <si>
    <t>01午B2</t>
  </si>
  <si>
    <t>01早B2</t>
  </si>
  <si>
    <t>01早B1(減壓課)</t>
  </si>
  <si>
    <t>01早B2(減壓課)</t>
  </si>
  <si>
    <t xml:space="preserve"> </t>
  </si>
  <si>
    <t>L</t>
    <phoneticPr fontId="1" type="noConversion"/>
  </si>
  <si>
    <t>R</t>
    <phoneticPr fontId="1" type="noConversion"/>
  </si>
  <si>
    <t>P</t>
    <phoneticPr fontId="1" type="noConversion"/>
  </si>
  <si>
    <t>01早B2</t>
    <phoneticPr fontId="1" type="noConversion"/>
  </si>
  <si>
    <t>01午B2</t>
    <phoneticPr fontId="1" type="noConversion"/>
  </si>
  <si>
    <t>r'</t>
    <phoneticPr fontId="1" type="noConversion"/>
  </si>
  <si>
    <t>R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</si>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</sst>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m&quot;月&quot;d&quot;日&quot;"/>
    <numFmt numFmtId="177" formatCode="m/d;@"/>
    <numFmt numFmtId="178" formatCode="d"/>
    <numFmt numFmtId="179" formatCode="[DBNum1][$-404]General"/>
  </numFmts>
  <fonts count="3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12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8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24"/>
      <name val="微軟正黑體"/>
      <family val="1"/>
      <charset val="136"/>
    </font>
    <font>
      <sz val="12"/>
      <name val="新細明體"/>
      <family val="2"/>
      <charset val="136"/>
      <scheme val="minor"/>
    </font>
    <font>
      <sz val="20"/>
      <name val="微軟正黑體"/>
      <family val="2"/>
      <charset val="136"/>
    </font>
    <font>
      <sz val="24"/>
      <color rgb="FF00B05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24"/>
      <name val="細明體-ExtB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7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8" fillId="0" borderId="0">
      <alignment vertical="center"/>
    </xf>
    <xf numFmtId="0" fontId="5" fillId="0" borderId="0">
      <alignment vertical="center"/>
    </xf>
    <xf numFmtId="0" fontId="5" fillId="0" borderId="0"/>
    <xf numFmtId="0" fontId="10" fillId="0" borderId="0"/>
    <xf numFmtId="0" fontId="11" fillId="0" borderId="0"/>
    <xf numFmtId="0" fontId="12" fillId="0" borderId="0"/>
    <xf numFmtId="0" fontId="12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3" fillId="0" borderId="0"/>
    <xf numFmtId="0" fontId="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15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Fill="1" applyBorder="1" applyAlignment="1" applyProtection="1">
      <alignment horizontal="center" vertical="center"/>
    </xf>
    <xf numFmtId="176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>
      <alignment vertical="center"/>
    </xf>
    <xf numFmtId="0" fontId="2" fillId="0" borderId="23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25" xfId="0" applyFont="1" applyFill="1" applyBorder="1" applyAlignment="1">
      <alignment horizontal="left" vertical="center" wrapText="1"/>
    </xf>
    <xf numFmtId="0" fontId="3" fillId="0" borderId="25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27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3" fillId="0" borderId="27" xfId="0" applyFont="1" applyFill="1" applyBorder="1">
      <alignment vertical="center"/>
    </xf>
    <xf numFmtId="178" fontId="4" fillId="0" borderId="5" xfId="0" applyNumberFormat="1" applyFont="1" applyFill="1" applyBorder="1" applyAlignment="1">
      <alignment horizontal="center" vertical="center"/>
    </xf>
    <xf numFmtId="0" fontId="3" fillId="0" borderId="0" xfId="0" applyFont="1" applyFill="1" applyProtection="1">
      <alignment vertical="center"/>
    </xf>
    <xf numFmtId="0" fontId="0" fillId="0" borderId="0" xfId="0" applyFill="1" applyProtection="1">
      <alignment vertical="center"/>
    </xf>
    <xf numFmtId="0" fontId="0" fillId="0" borderId="0" xfId="0" applyProtection="1">
      <alignment vertical="center"/>
    </xf>
    <xf numFmtId="0" fontId="16" fillId="0" borderId="0" xfId="0" applyFont="1" applyFill="1" applyProtection="1">
      <alignment vertical="center"/>
    </xf>
    <xf numFmtId="0" fontId="16" fillId="0" borderId="0" xfId="0" applyFont="1" applyFill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17" fillId="0" borderId="0" xfId="0" applyFont="1" applyFill="1" applyProtection="1">
      <alignment vertical="center"/>
    </xf>
    <xf numFmtId="0" fontId="17" fillId="0" borderId="0" xfId="0" applyFo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</xf>
    <xf numFmtId="0" fontId="16" fillId="0" borderId="22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vertical="center" wrapText="1"/>
    </xf>
    <xf numFmtId="179" fontId="4" fillId="0" borderId="3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179" fontId="4" fillId="0" borderId="3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4" fillId="0" borderId="36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6" fillId="0" borderId="29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27" xfId="0" applyFont="1" applyFill="1" applyBorder="1" applyAlignment="1">
      <alignment horizontal="left" vertical="center" wrapText="1"/>
    </xf>
    <xf numFmtId="0" fontId="18" fillId="0" borderId="0" xfId="0" applyFont="1" applyFill="1" applyProtection="1">
      <alignment vertical="center"/>
    </xf>
    <xf numFmtId="0" fontId="24" fillId="0" borderId="0" xfId="0" applyFont="1" applyFill="1" applyProtection="1">
      <alignment vertical="center"/>
    </xf>
    <xf numFmtId="0" fontId="24" fillId="0" borderId="0" xfId="0" applyFont="1" applyFill="1">
      <alignment vertical="center"/>
    </xf>
    <xf numFmtId="0" fontId="0" fillId="0" borderId="0" xfId="0" applyFont="1" applyFill="1" applyProtection="1">
      <alignment vertical="center"/>
    </xf>
    <xf numFmtId="0" fontId="0" fillId="0" borderId="0" xfId="0" applyFont="1" applyFill="1">
      <alignment vertical="center"/>
    </xf>
    <xf numFmtId="0" fontId="2" fillId="5" borderId="0" xfId="0" applyFont="1" applyFill="1" applyBorder="1" applyAlignment="1">
      <alignment horizontal="left" vertical="center" wrapText="1"/>
    </xf>
    <xf numFmtId="0" fontId="3" fillId="5" borderId="0" xfId="0" applyFont="1" applyFill="1" applyBorder="1">
      <alignment vertical="center"/>
    </xf>
    <xf numFmtId="0" fontId="3" fillId="5" borderId="0" xfId="0" applyFont="1" applyFill="1" applyProtection="1">
      <alignment vertical="center"/>
    </xf>
    <xf numFmtId="0" fontId="0" fillId="5" borderId="0" xfId="0" applyFill="1" applyProtection="1">
      <alignment vertical="center"/>
    </xf>
    <xf numFmtId="0" fontId="0" fillId="5" borderId="0" xfId="0" applyFill="1">
      <alignment vertical="center"/>
    </xf>
    <xf numFmtId="0" fontId="3" fillId="5" borderId="25" xfId="0" applyFont="1" applyFill="1" applyBorder="1">
      <alignment vertical="center"/>
    </xf>
    <xf numFmtId="0" fontId="3" fillId="5" borderId="27" xfId="0" applyFont="1" applyFill="1" applyBorder="1">
      <alignment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76" fontId="2" fillId="6" borderId="20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 wrapText="1"/>
    </xf>
    <xf numFmtId="179" fontId="2" fillId="6" borderId="12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8" fontId="2" fillId="7" borderId="5" xfId="0" applyNumberFormat="1" applyFont="1" applyFill="1" applyBorder="1" applyAlignment="1">
      <alignment horizontal="center" vertical="center" wrapText="1"/>
    </xf>
    <xf numFmtId="179" fontId="4" fillId="8" borderId="9" xfId="0" applyNumberFormat="1" applyFont="1" applyFill="1" applyBorder="1" applyAlignment="1">
      <alignment horizontal="center" vertical="center"/>
    </xf>
    <xf numFmtId="178" fontId="2" fillId="8" borderId="5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9" fontId="4" fillId="0" borderId="23" xfId="0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176" fontId="6" fillId="0" borderId="5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  <xf numFmtId="0" fontId="2" fillId="8" borderId="1" xfId="0" applyFont="1" applyFill="1" applyBorder="1" applyAlignment="1" applyProtection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</xf>
    <xf numFmtId="179" fontId="4" fillId="7" borderId="9" xfId="0" applyNumberFormat="1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179" fontId="4" fillId="0" borderId="9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3" fillId="0" borderId="45" xfId="0" applyFont="1" applyFill="1" applyBorder="1" applyAlignment="1">
      <alignment horizontal="center" vertical="center"/>
    </xf>
    <xf numFmtId="0" fontId="23" fillId="0" borderId="5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78" fontId="2" fillId="8" borderId="20" xfId="0" applyNumberFormat="1" applyFont="1" applyFill="1" applyBorder="1" applyAlignment="1">
      <alignment horizontal="center" vertical="center" wrapText="1"/>
    </xf>
    <xf numFmtId="179" fontId="4" fillId="8" borderId="19" xfId="0" applyNumberFormat="1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horizontal="center" vertical="center"/>
    </xf>
    <xf numFmtId="0" fontId="4" fillId="8" borderId="2" xfId="5" applyNumberFormat="1" applyFont="1" applyFill="1" applyBorder="1" applyAlignment="1" applyProtection="1">
      <alignment horizontal="center" vertical="center"/>
    </xf>
    <xf numFmtId="0" fontId="4" fillId="9" borderId="2" xfId="5" applyNumberFormat="1" applyFont="1" applyFill="1" applyBorder="1" applyAlignment="1" applyProtection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>
      <alignment vertical="center"/>
    </xf>
    <xf numFmtId="179" fontId="4" fillId="7" borderId="10" xfId="0" applyNumberFormat="1" applyFont="1" applyFill="1" applyBorder="1" applyAlignment="1">
      <alignment horizontal="center" vertical="center"/>
    </xf>
    <xf numFmtId="179" fontId="4" fillId="0" borderId="10" xfId="0" applyNumberFormat="1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8" borderId="45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55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79" fontId="4" fillId="8" borderId="56" xfId="0" applyNumberFormat="1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 wrapText="1"/>
    </xf>
    <xf numFmtId="176" fontId="6" fillId="0" borderId="48" xfId="0" applyNumberFormat="1" applyFont="1" applyBorder="1" applyAlignment="1">
      <alignment horizontal="center" vertical="center" wrapText="1"/>
    </xf>
    <xf numFmtId="0" fontId="26" fillId="0" borderId="14" xfId="0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1" xfId="0" quotePrefix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6" fillId="7" borderId="14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55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" xfId="0" quotePrefix="1" applyFont="1" applyFill="1" applyBorder="1" applyAlignment="1">
      <alignment horizontal="center" vertical="center"/>
    </xf>
    <xf numFmtId="0" fontId="26" fillId="7" borderId="56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26" fillId="7" borderId="38" xfId="0" applyFont="1" applyFill="1" applyBorder="1" applyAlignment="1">
      <alignment horizontal="center" vertical="center"/>
    </xf>
    <xf numFmtId="0" fontId="26" fillId="7" borderId="45" xfId="0" applyFont="1" applyFill="1" applyBorder="1" applyAlignment="1">
      <alignment horizontal="center" vertical="center"/>
    </xf>
    <xf numFmtId="0" fontId="26" fillId="7" borderId="6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5" xfId="0" applyFont="1" applyFill="1" applyBorder="1" applyAlignment="1">
      <alignment horizontal="left" vertical="center" wrapText="1"/>
    </xf>
    <xf numFmtId="0" fontId="2" fillId="0" borderId="29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31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177" fontId="9" fillId="9" borderId="46" xfId="5" applyNumberFormat="1" applyFont="1" applyFill="1" applyBorder="1" applyAlignment="1" applyProtection="1">
      <alignment horizontal="center" vertical="center" wrapText="1"/>
    </xf>
    <xf numFmtId="177" fontId="9" fillId="9" borderId="48" xfId="5" applyNumberFormat="1" applyFont="1" applyFill="1" applyBorder="1" applyAlignment="1" applyProtection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178" fontId="25" fillId="0" borderId="16" xfId="0" applyNumberFormat="1" applyFont="1" applyFill="1" applyBorder="1" applyAlignment="1">
      <alignment horizontal="center" vertical="center" wrapText="1"/>
    </xf>
    <xf numFmtId="177" fontId="9" fillId="8" borderId="46" xfId="5" applyNumberFormat="1" applyFont="1" applyFill="1" applyBorder="1" applyAlignment="1" applyProtection="1">
      <alignment horizontal="center" vertical="center" wrapText="1"/>
    </xf>
    <xf numFmtId="177" fontId="9" fillId="8" borderId="48" xfId="5" applyNumberFormat="1" applyFont="1" applyFill="1" applyBorder="1" applyAlignment="1" applyProtection="1">
      <alignment horizontal="center" vertical="center" wrapText="1"/>
    </xf>
    <xf numFmtId="0" fontId="2" fillId="0" borderId="25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175">
    <cellStyle name="Normal_OJT DOCS" xfId="19" xr:uid="{00000000-0005-0000-0000-000000000000}"/>
    <cellStyle name="TableStyleLight1" xfId="6" xr:uid="{00000000-0005-0000-0000-000001000000}"/>
    <cellStyle name="一般" xfId="0" builtinId="0"/>
    <cellStyle name="一般 10" xfId="3" xr:uid="{00000000-0005-0000-0000-000003000000}"/>
    <cellStyle name="一般 10 2" xfId="7" xr:uid="{00000000-0005-0000-0000-000004000000}"/>
    <cellStyle name="一般 10 3" xfId="52" xr:uid="{00000000-0005-0000-0000-000005000000}"/>
    <cellStyle name="一般 11" xfId="8" xr:uid="{00000000-0005-0000-0000-000006000000}"/>
    <cellStyle name="一般 2" xfId="9" xr:uid="{00000000-0005-0000-0000-000007000000}"/>
    <cellStyle name="一般 2 2" xfId="10" xr:uid="{00000000-0005-0000-0000-000008000000}"/>
    <cellStyle name="一般 2 3" xfId="11" xr:uid="{00000000-0005-0000-0000-000009000000}"/>
    <cellStyle name="一般 3" xfId="12" xr:uid="{00000000-0005-0000-0000-00000A000000}"/>
    <cellStyle name="一般 3 2" xfId="20" xr:uid="{00000000-0005-0000-0000-00000B000000}"/>
    <cellStyle name="一般 3 2 2" xfId="21" xr:uid="{00000000-0005-0000-0000-00000C000000}"/>
    <cellStyle name="一般 3 2 3" xfId="22" xr:uid="{00000000-0005-0000-0000-00000D000000}"/>
    <cellStyle name="一般 3 2_個人班表小月曆" xfId="23" xr:uid="{00000000-0005-0000-0000-00000E000000}"/>
    <cellStyle name="一般 3 3" xfId="24" xr:uid="{00000000-0005-0000-0000-00000F000000}"/>
    <cellStyle name="一般 3 4" xfId="25" xr:uid="{00000000-0005-0000-0000-000010000000}"/>
    <cellStyle name="一般 3_個人班表小月曆" xfId="26" xr:uid="{00000000-0005-0000-0000-000011000000}"/>
    <cellStyle name="一般 4" xfId="13" xr:uid="{00000000-0005-0000-0000-000012000000}"/>
    <cellStyle name="一般 4 2" xfId="27" xr:uid="{00000000-0005-0000-0000-000013000000}"/>
    <cellStyle name="一般 4 2 2" xfId="28" xr:uid="{00000000-0005-0000-0000-000014000000}"/>
    <cellStyle name="一般 4 3" xfId="29" xr:uid="{00000000-0005-0000-0000-000015000000}"/>
    <cellStyle name="一般 4 3 2" xfId="30" xr:uid="{00000000-0005-0000-0000-000016000000}"/>
    <cellStyle name="一般 4 3_個人班表小月曆" xfId="31" xr:uid="{00000000-0005-0000-0000-000017000000}"/>
    <cellStyle name="一般 4 4" xfId="32" xr:uid="{00000000-0005-0000-0000-000018000000}"/>
    <cellStyle name="一般 4 5" xfId="33" xr:uid="{00000000-0005-0000-0000-000019000000}"/>
    <cellStyle name="一般 4_個人班表小月曆" xfId="34" xr:uid="{00000000-0005-0000-0000-00001A000000}"/>
    <cellStyle name="一般 5" xfId="14" xr:uid="{00000000-0005-0000-0000-00001B000000}"/>
    <cellStyle name="一般 5 2" xfId="35" xr:uid="{00000000-0005-0000-0000-00001C000000}"/>
    <cellStyle name="一般 5 2 2" xfId="36" xr:uid="{00000000-0005-0000-0000-00001D000000}"/>
    <cellStyle name="一般 5 2 3" xfId="37" xr:uid="{00000000-0005-0000-0000-00001E000000}"/>
    <cellStyle name="一般 5 2_個人班表小月曆" xfId="38" xr:uid="{00000000-0005-0000-0000-00001F000000}"/>
    <cellStyle name="一般 5 3" xfId="39" xr:uid="{00000000-0005-0000-0000-000020000000}"/>
    <cellStyle name="一般 5 4" xfId="40" xr:uid="{00000000-0005-0000-0000-000021000000}"/>
    <cellStyle name="一般 5_個人班表小月曆" xfId="41" xr:uid="{00000000-0005-0000-0000-000022000000}"/>
    <cellStyle name="一般 6" xfId="15" xr:uid="{00000000-0005-0000-0000-000023000000}"/>
    <cellStyle name="一般 6 2" xfId="42" xr:uid="{00000000-0005-0000-0000-000024000000}"/>
    <cellStyle name="一般 6 3" xfId="43" xr:uid="{00000000-0005-0000-0000-000025000000}"/>
    <cellStyle name="一般 6 4" xfId="44" xr:uid="{00000000-0005-0000-0000-000026000000}"/>
    <cellStyle name="一般 6_個人班表小月曆" xfId="45" xr:uid="{00000000-0005-0000-0000-000027000000}"/>
    <cellStyle name="一般 7" xfId="1" xr:uid="{00000000-0005-0000-0000-000028000000}"/>
    <cellStyle name="一般 8" xfId="16" xr:uid="{00000000-0005-0000-0000-000029000000}"/>
    <cellStyle name="一般 9" xfId="4" xr:uid="{00000000-0005-0000-0000-00002A000000}"/>
    <cellStyle name="一般 9 3 2" xfId="17" xr:uid="{00000000-0005-0000-0000-00002B000000}"/>
    <cellStyle name="一般 9 4" xfId="18" xr:uid="{00000000-0005-0000-0000-00002C000000}"/>
    <cellStyle name="一般 9 7 2 2 2 2 2 2" xfId="48" xr:uid="{00000000-0005-0000-0000-00002D000000}"/>
    <cellStyle name="一般_AB班表早晚班交錯POR_2007-roster_2007-roster" xfId="5" xr:uid="{00000000-0005-0000-0000-00002E000000}"/>
    <cellStyle name="一般_AB班表早晚班交錯POR_PC SHIFT ROSTER OF AUG 2006 25-8-2006 revised UPDATED" xfId="2" xr:uid="{00000000-0005-0000-0000-00002F000000}"/>
    <cellStyle name="千分位 2" xfId="49" xr:uid="{00000000-0005-0000-0000-000030000000}"/>
    <cellStyle name="千分位 2 2" xfId="51" xr:uid="{00000000-0005-0000-0000-000031000000}"/>
    <cellStyle name="千分位 2 2 2" xfId="56" xr:uid="{00000000-0005-0000-0000-000032000000}"/>
    <cellStyle name="千分位 2 2 2 2" xfId="64" xr:uid="{00000000-0005-0000-0000-000033000000}"/>
    <cellStyle name="千分位 2 2 2 2 2" xfId="95" xr:uid="{00000000-0005-0000-0000-000034000000}"/>
    <cellStyle name="千分位 2 2 2 2 2 2" xfId="158" xr:uid="{00000000-0005-0000-0000-000035000000}"/>
    <cellStyle name="千分位 2 2 2 2 3" xfId="79" xr:uid="{00000000-0005-0000-0000-000036000000}"/>
    <cellStyle name="千分位 2 2 2 2 3 2" xfId="142" xr:uid="{00000000-0005-0000-0000-000037000000}"/>
    <cellStyle name="千分位 2 2 2 2 4" xfId="111" xr:uid="{00000000-0005-0000-0000-000038000000}"/>
    <cellStyle name="千分位 2 2 2 2 4 2" xfId="174" xr:uid="{00000000-0005-0000-0000-000039000000}"/>
    <cellStyle name="千分位 2 2 2 2 5" xfId="127" xr:uid="{00000000-0005-0000-0000-00003A000000}"/>
    <cellStyle name="千分位 2 2 2 3" xfId="87" xr:uid="{00000000-0005-0000-0000-00003B000000}"/>
    <cellStyle name="千分位 2 2 2 3 2" xfId="150" xr:uid="{00000000-0005-0000-0000-00003C000000}"/>
    <cellStyle name="千分位 2 2 2 4" xfId="71" xr:uid="{00000000-0005-0000-0000-00003D000000}"/>
    <cellStyle name="千分位 2 2 2 4 2" xfId="134" xr:uid="{00000000-0005-0000-0000-00003E000000}"/>
    <cellStyle name="千分位 2 2 2 5" xfId="103" xr:uid="{00000000-0005-0000-0000-00003F000000}"/>
    <cellStyle name="千分位 2 2 2 5 2" xfId="166" xr:uid="{00000000-0005-0000-0000-000040000000}"/>
    <cellStyle name="千分位 2 2 2 6" xfId="119" xr:uid="{00000000-0005-0000-0000-000041000000}"/>
    <cellStyle name="千分位 2 2 3" xfId="60" xr:uid="{00000000-0005-0000-0000-000042000000}"/>
    <cellStyle name="千分位 2 2 3 2" xfId="91" xr:uid="{00000000-0005-0000-0000-000043000000}"/>
    <cellStyle name="千分位 2 2 3 2 2" xfId="154" xr:uid="{00000000-0005-0000-0000-000044000000}"/>
    <cellStyle name="千分位 2 2 3 3" xfId="75" xr:uid="{00000000-0005-0000-0000-000045000000}"/>
    <cellStyle name="千分位 2 2 3 3 2" xfId="138" xr:uid="{00000000-0005-0000-0000-000046000000}"/>
    <cellStyle name="千分位 2 2 3 4" xfId="107" xr:uid="{00000000-0005-0000-0000-000047000000}"/>
    <cellStyle name="千分位 2 2 3 4 2" xfId="170" xr:uid="{00000000-0005-0000-0000-000048000000}"/>
    <cellStyle name="千分位 2 2 3 5" xfId="123" xr:uid="{00000000-0005-0000-0000-000049000000}"/>
    <cellStyle name="千分位 2 2 4" xfId="83" xr:uid="{00000000-0005-0000-0000-00004A000000}"/>
    <cellStyle name="千分位 2 2 4 2" xfId="146" xr:uid="{00000000-0005-0000-0000-00004B000000}"/>
    <cellStyle name="千分位 2 2 5" xfId="67" xr:uid="{00000000-0005-0000-0000-00004C000000}"/>
    <cellStyle name="千分位 2 2 5 2" xfId="130" xr:uid="{00000000-0005-0000-0000-00004D000000}"/>
    <cellStyle name="千分位 2 2 6" xfId="99" xr:uid="{00000000-0005-0000-0000-00004E000000}"/>
    <cellStyle name="千分位 2 2 6 2" xfId="162" xr:uid="{00000000-0005-0000-0000-00004F000000}"/>
    <cellStyle name="千分位 2 2 7" xfId="115" xr:uid="{00000000-0005-0000-0000-000050000000}"/>
    <cellStyle name="千分位 2 3" xfId="54" xr:uid="{00000000-0005-0000-0000-000051000000}"/>
    <cellStyle name="千分位 2 3 2" xfId="62" xr:uid="{00000000-0005-0000-0000-000052000000}"/>
    <cellStyle name="千分位 2 3 2 2" xfId="93" xr:uid="{00000000-0005-0000-0000-000053000000}"/>
    <cellStyle name="千分位 2 3 2 2 2" xfId="156" xr:uid="{00000000-0005-0000-0000-000054000000}"/>
    <cellStyle name="千分位 2 3 2 3" xfId="77" xr:uid="{00000000-0005-0000-0000-000055000000}"/>
    <cellStyle name="千分位 2 3 2 3 2" xfId="140" xr:uid="{00000000-0005-0000-0000-000056000000}"/>
    <cellStyle name="千分位 2 3 2 4" xfId="109" xr:uid="{00000000-0005-0000-0000-000057000000}"/>
    <cellStyle name="千分位 2 3 2 4 2" xfId="172" xr:uid="{00000000-0005-0000-0000-000058000000}"/>
    <cellStyle name="千分位 2 3 2 5" xfId="125" xr:uid="{00000000-0005-0000-0000-000059000000}"/>
    <cellStyle name="千分位 2 3 3" xfId="85" xr:uid="{00000000-0005-0000-0000-00005A000000}"/>
    <cellStyle name="千分位 2 3 3 2" xfId="148" xr:uid="{00000000-0005-0000-0000-00005B000000}"/>
    <cellStyle name="千分位 2 3 4" xfId="69" xr:uid="{00000000-0005-0000-0000-00005C000000}"/>
    <cellStyle name="千分位 2 3 4 2" xfId="132" xr:uid="{00000000-0005-0000-0000-00005D000000}"/>
    <cellStyle name="千分位 2 3 5" xfId="101" xr:uid="{00000000-0005-0000-0000-00005E000000}"/>
    <cellStyle name="千分位 2 3 5 2" xfId="164" xr:uid="{00000000-0005-0000-0000-00005F000000}"/>
    <cellStyle name="千分位 2 3 6" xfId="117" xr:uid="{00000000-0005-0000-0000-000060000000}"/>
    <cellStyle name="千分位 2 4" xfId="58" xr:uid="{00000000-0005-0000-0000-000061000000}"/>
    <cellStyle name="千分位 2 4 2" xfId="89" xr:uid="{00000000-0005-0000-0000-000062000000}"/>
    <cellStyle name="千分位 2 4 2 2" xfId="152" xr:uid="{00000000-0005-0000-0000-000063000000}"/>
    <cellStyle name="千分位 2 4 3" xfId="73" xr:uid="{00000000-0005-0000-0000-000064000000}"/>
    <cellStyle name="千分位 2 4 3 2" xfId="136" xr:uid="{00000000-0005-0000-0000-000065000000}"/>
    <cellStyle name="千分位 2 4 4" xfId="105" xr:uid="{00000000-0005-0000-0000-000066000000}"/>
    <cellStyle name="千分位 2 4 4 2" xfId="168" xr:uid="{00000000-0005-0000-0000-000067000000}"/>
    <cellStyle name="千分位 2 4 5" xfId="121" xr:uid="{00000000-0005-0000-0000-000068000000}"/>
    <cellStyle name="千分位 2 5" xfId="81" xr:uid="{00000000-0005-0000-0000-000069000000}"/>
    <cellStyle name="千分位 2 5 2" xfId="144" xr:uid="{00000000-0005-0000-0000-00006A000000}"/>
    <cellStyle name="千分位 2 6" xfId="65" xr:uid="{00000000-0005-0000-0000-00006B000000}"/>
    <cellStyle name="千分位 2 6 2" xfId="128" xr:uid="{00000000-0005-0000-0000-00006C000000}"/>
    <cellStyle name="千分位 2 7" xfId="97" xr:uid="{00000000-0005-0000-0000-00006D000000}"/>
    <cellStyle name="千分位 2 7 2" xfId="160" xr:uid="{00000000-0005-0000-0000-00006E000000}"/>
    <cellStyle name="千分位 2 8" xfId="113" xr:uid="{00000000-0005-0000-0000-00006F000000}"/>
    <cellStyle name="千分位 3" xfId="50" xr:uid="{00000000-0005-0000-0000-000070000000}"/>
    <cellStyle name="千分位 3 2" xfId="55" xr:uid="{00000000-0005-0000-0000-000071000000}"/>
    <cellStyle name="千分位 3 2 2" xfId="63" xr:uid="{00000000-0005-0000-0000-000072000000}"/>
    <cellStyle name="千分位 3 2 2 2" xfId="94" xr:uid="{00000000-0005-0000-0000-000073000000}"/>
    <cellStyle name="千分位 3 2 2 2 2" xfId="157" xr:uid="{00000000-0005-0000-0000-000074000000}"/>
    <cellStyle name="千分位 3 2 2 3" xfId="78" xr:uid="{00000000-0005-0000-0000-000075000000}"/>
    <cellStyle name="千分位 3 2 2 3 2" xfId="141" xr:uid="{00000000-0005-0000-0000-000076000000}"/>
    <cellStyle name="千分位 3 2 2 4" xfId="110" xr:uid="{00000000-0005-0000-0000-000077000000}"/>
    <cellStyle name="千分位 3 2 2 4 2" xfId="173" xr:uid="{00000000-0005-0000-0000-000078000000}"/>
    <cellStyle name="千分位 3 2 2 5" xfId="126" xr:uid="{00000000-0005-0000-0000-000079000000}"/>
    <cellStyle name="千分位 3 2 3" xfId="86" xr:uid="{00000000-0005-0000-0000-00007A000000}"/>
    <cellStyle name="千分位 3 2 3 2" xfId="149" xr:uid="{00000000-0005-0000-0000-00007B000000}"/>
    <cellStyle name="千分位 3 2 4" xfId="70" xr:uid="{00000000-0005-0000-0000-00007C000000}"/>
    <cellStyle name="千分位 3 2 4 2" xfId="133" xr:uid="{00000000-0005-0000-0000-00007D000000}"/>
    <cellStyle name="千分位 3 2 5" xfId="102" xr:uid="{00000000-0005-0000-0000-00007E000000}"/>
    <cellStyle name="千分位 3 2 5 2" xfId="165" xr:uid="{00000000-0005-0000-0000-00007F000000}"/>
    <cellStyle name="千分位 3 2 6" xfId="118" xr:uid="{00000000-0005-0000-0000-000080000000}"/>
    <cellStyle name="千分位 3 3" xfId="59" xr:uid="{00000000-0005-0000-0000-000081000000}"/>
    <cellStyle name="千分位 3 3 2" xfId="90" xr:uid="{00000000-0005-0000-0000-000082000000}"/>
    <cellStyle name="千分位 3 3 2 2" xfId="153" xr:uid="{00000000-0005-0000-0000-000083000000}"/>
    <cellStyle name="千分位 3 3 3" xfId="74" xr:uid="{00000000-0005-0000-0000-000084000000}"/>
    <cellStyle name="千分位 3 3 3 2" xfId="137" xr:uid="{00000000-0005-0000-0000-000085000000}"/>
    <cellStyle name="千分位 3 3 4" xfId="106" xr:uid="{00000000-0005-0000-0000-000086000000}"/>
    <cellStyle name="千分位 3 3 4 2" xfId="169" xr:uid="{00000000-0005-0000-0000-000087000000}"/>
    <cellStyle name="千分位 3 3 5" xfId="122" xr:uid="{00000000-0005-0000-0000-000088000000}"/>
    <cellStyle name="千分位 3 4" xfId="82" xr:uid="{00000000-0005-0000-0000-000089000000}"/>
    <cellStyle name="千分位 3 4 2" xfId="145" xr:uid="{00000000-0005-0000-0000-00008A000000}"/>
    <cellStyle name="千分位 3 5" xfId="66" xr:uid="{00000000-0005-0000-0000-00008B000000}"/>
    <cellStyle name="千分位 3 5 2" xfId="129" xr:uid="{00000000-0005-0000-0000-00008C000000}"/>
    <cellStyle name="千分位 3 6" xfId="98" xr:uid="{00000000-0005-0000-0000-00008D000000}"/>
    <cellStyle name="千分位 3 6 2" xfId="161" xr:uid="{00000000-0005-0000-0000-00008E000000}"/>
    <cellStyle name="千分位 3 7" xfId="114" xr:uid="{00000000-0005-0000-0000-00008F000000}"/>
    <cellStyle name="千分位 4" xfId="53" xr:uid="{00000000-0005-0000-0000-000090000000}"/>
    <cellStyle name="千分位 4 2" xfId="61" xr:uid="{00000000-0005-0000-0000-000091000000}"/>
    <cellStyle name="千分位 4 2 2" xfId="92" xr:uid="{00000000-0005-0000-0000-000092000000}"/>
    <cellStyle name="千分位 4 2 2 2" xfId="155" xr:uid="{00000000-0005-0000-0000-000093000000}"/>
    <cellStyle name="千分位 4 2 3" xfId="76" xr:uid="{00000000-0005-0000-0000-000094000000}"/>
    <cellStyle name="千分位 4 2 3 2" xfId="139" xr:uid="{00000000-0005-0000-0000-000095000000}"/>
    <cellStyle name="千分位 4 2 4" xfId="108" xr:uid="{00000000-0005-0000-0000-000096000000}"/>
    <cellStyle name="千分位 4 2 4 2" xfId="171" xr:uid="{00000000-0005-0000-0000-000097000000}"/>
    <cellStyle name="千分位 4 2 5" xfId="124" xr:uid="{00000000-0005-0000-0000-000098000000}"/>
    <cellStyle name="千分位 4 3" xfId="84" xr:uid="{00000000-0005-0000-0000-000099000000}"/>
    <cellStyle name="千分位 4 3 2" xfId="147" xr:uid="{00000000-0005-0000-0000-00009A000000}"/>
    <cellStyle name="千分位 4 4" xfId="68" xr:uid="{00000000-0005-0000-0000-00009B000000}"/>
    <cellStyle name="千分位 4 4 2" xfId="131" xr:uid="{00000000-0005-0000-0000-00009C000000}"/>
    <cellStyle name="千分位 4 5" xfId="100" xr:uid="{00000000-0005-0000-0000-00009D000000}"/>
    <cellStyle name="千分位 4 5 2" xfId="163" xr:uid="{00000000-0005-0000-0000-00009E000000}"/>
    <cellStyle name="千分位 4 6" xfId="116" xr:uid="{00000000-0005-0000-0000-00009F000000}"/>
    <cellStyle name="千分位 5" xfId="57" xr:uid="{00000000-0005-0000-0000-0000A0000000}"/>
    <cellStyle name="千分位 5 2" xfId="88" xr:uid="{00000000-0005-0000-0000-0000A1000000}"/>
    <cellStyle name="千分位 5 2 2" xfId="151" xr:uid="{00000000-0005-0000-0000-0000A2000000}"/>
    <cellStyle name="千分位 5 3" xfId="72" xr:uid="{00000000-0005-0000-0000-0000A3000000}"/>
    <cellStyle name="千分位 5 3 2" xfId="135" xr:uid="{00000000-0005-0000-0000-0000A4000000}"/>
    <cellStyle name="千分位 5 4" xfId="104" xr:uid="{00000000-0005-0000-0000-0000A5000000}"/>
    <cellStyle name="千分位 5 4 2" xfId="167" xr:uid="{00000000-0005-0000-0000-0000A6000000}"/>
    <cellStyle name="千分位 5 5" xfId="120" xr:uid="{00000000-0005-0000-0000-0000A7000000}"/>
    <cellStyle name="千分位 6" xfId="80" xr:uid="{00000000-0005-0000-0000-0000A8000000}"/>
    <cellStyle name="千分位 6 2" xfId="143" xr:uid="{00000000-0005-0000-0000-0000A9000000}"/>
    <cellStyle name="千分位 7" xfId="96" xr:uid="{00000000-0005-0000-0000-0000AA000000}"/>
    <cellStyle name="千分位 7 2" xfId="159" xr:uid="{00000000-0005-0000-0000-0000AB000000}"/>
    <cellStyle name="千分位 8" xfId="112" xr:uid="{00000000-0005-0000-0000-0000AC000000}"/>
    <cellStyle name="好_個人班表小月曆" xfId="46" xr:uid="{00000000-0005-0000-0000-0000AD000000}"/>
    <cellStyle name="壞_個人班表小月曆" xfId="47" xr:uid="{00000000-0005-0000-0000-0000AE000000}"/>
  </cellStyles>
  <dxfs count="27"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B050"/>
      <color rgb="FFFF00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6" fmlaLink="工作表1!$C$1" max="2030" min="2021" page="10" val="2026"/>
</file>

<file path=xl/ctrlProps/ctrlProp2.xml><?xml version="1.0" encoding="utf-8"?>
<formControlPr xmlns="http://schemas.microsoft.com/office/spreadsheetml/2009/9/main" objectType="Spin" dx="26" fmlaLink="$H$1" max="12" min="1" page="10" val="4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25</xdr:row>
      <xdr:rowOff>184375</xdr:rowOff>
    </xdr:from>
    <xdr:to>
      <xdr:col>24</xdr:col>
      <xdr:colOff>400050</xdr:colOff>
      <xdr:row>29</xdr:row>
      <xdr:rowOff>164270</xdr:rowOff>
    </xdr:to>
    <xdr:pic>
      <xdr:nvPicPr>
        <xdr:cNvPr id="3" name="圖片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6161" y="41822232"/>
          <a:ext cx="34860139" cy="1510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0</xdr:row>
          <xdr:rowOff>28575</xdr:rowOff>
        </xdr:from>
        <xdr:to>
          <xdr:col>3</xdr:col>
          <xdr:colOff>447675</xdr:colOff>
          <xdr:row>1</xdr:row>
          <xdr:rowOff>0</xdr:rowOff>
        </xdr:to>
        <xdr:sp macro="" textlink="">
          <xdr:nvSpPr>
            <xdr:cNvPr id="17409" name="Spinner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0</xdr:row>
          <xdr:rowOff>9525</xdr:rowOff>
        </xdr:from>
        <xdr:to>
          <xdr:col>8</xdr:col>
          <xdr:colOff>438150</xdr:colOff>
          <xdr:row>1</xdr:row>
          <xdr:rowOff>0</xdr:rowOff>
        </xdr:to>
        <xdr:sp macro="" textlink="">
          <xdr:nvSpPr>
            <xdr:cNvPr id="17410" name="Spinner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3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</xdr:colOff>
          <xdr:row>0</xdr:row>
          <xdr:rowOff>57150</xdr:rowOff>
        </xdr:from>
        <xdr:to>
          <xdr:col>11</xdr:col>
          <xdr:colOff>133350</xdr:colOff>
          <xdr:row>1</xdr:row>
          <xdr:rowOff>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3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613;&#23567;&#32160;/2.&#24046;&#21220;/0.&#21271;&#27573;&#29677;&#34920;/112&#24180;/&#31684;&#203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工作表1"/>
      <sheetName val="工作表2"/>
      <sheetName val="範例"/>
    </sheetNames>
    <definedNames>
      <definedName name="清除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D44"/>
  <sheetViews>
    <sheetView tabSelected="1" zoomScale="55" zoomScaleNormal="55" zoomScaleSheetLayoutView="40" zoomScalePageLayoutView="85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Y21" sqref="Y21"/>
    </sheetView>
  </sheetViews>
  <sheetFormatPr defaultColWidth="8.875" defaultRowHeight="16.5" x14ac:dyDescent="0.25"/>
  <cols>
    <col min="1" max="1" width="11.875" style="5" customWidth="1"/>
    <col min="2" max="2" width="20.125" style="5" bestFit="1" customWidth="1"/>
    <col min="3" max="3" width="18.875" style="5" customWidth="1"/>
    <col min="4" max="6" width="24.75" style="36" customWidth="1"/>
    <col min="7" max="7" width="34.75" style="10" customWidth="1"/>
    <col min="8" max="8" width="24.75" style="10" customWidth="1"/>
    <col min="9" max="10" width="20.75" style="10" customWidth="1"/>
    <col min="11" max="16" width="23.375" style="10" customWidth="1"/>
    <col min="17" max="17" width="23.375" style="60" customWidth="1"/>
    <col min="18" max="18" width="23.375" style="58" customWidth="1"/>
    <col min="19" max="24" width="23.375" style="10" customWidth="1"/>
    <col min="25" max="25" width="23.375" style="5" customWidth="1"/>
    <col min="26" max="28" width="23.375" style="65" customWidth="1"/>
    <col min="29" max="32" width="23.375" style="10" customWidth="1"/>
    <col min="33" max="45" width="23.375" style="65" customWidth="1"/>
    <col min="46" max="46" width="16.75" style="10" customWidth="1"/>
    <col min="47" max="48" width="8.5" style="21" customWidth="1"/>
    <col min="49" max="52" width="8" style="21" customWidth="1"/>
    <col min="53" max="65" width="7.375" style="71" customWidth="1"/>
    <col min="66" max="71" width="8.125" style="71" customWidth="1"/>
    <col min="72" max="72" width="7.875" style="71" customWidth="1"/>
    <col min="73" max="73" width="8.875" style="5" customWidth="1"/>
    <col min="74" max="75" width="8.375" style="5" customWidth="1"/>
    <col min="76" max="16384" width="8.875" style="5"/>
  </cols>
  <sheetData>
    <row r="1" spans="1:82" ht="63.75" customHeight="1" thickBot="1" x14ac:dyDescent="0.3">
      <c r="A1" s="163"/>
      <c r="B1" s="165" t="s">
        <v>0</v>
      </c>
      <c r="C1" s="187" t="s">
        <v>51</v>
      </c>
      <c r="D1" s="115">
        <v>46229</v>
      </c>
      <c r="E1" s="87">
        <f>D1+1</f>
        <v>46230</v>
      </c>
      <c r="F1" s="87">
        <f t="shared" ref="F1:I1" si="0">E1+1</f>
        <v>46231</v>
      </c>
      <c r="G1" s="87">
        <f t="shared" si="0"/>
        <v>46232</v>
      </c>
      <c r="H1" s="87">
        <f t="shared" si="0"/>
        <v>46233</v>
      </c>
      <c r="I1" s="87">
        <f t="shared" si="0"/>
        <v>46234</v>
      </c>
      <c r="J1" s="87">
        <v>46235</v>
      </c>
      <c r="K1" s="85">
        <v>46236</v>
      </c>
      <c r="L1" s="83">
        <f>K1+1</f>
        <v>46237</v>
      </c>
      <c r="M1" s="83">
        <f t="shared" ref="M1:P1" si="1">L1+1</f>
        <v>46238</v>
      </c>
      <c r="N1" s="83">
        <f t="shared" si="1"/>
        <v>46239</v>
      </c>
      <c r="O1" s="83">
        <f t="shared" si="1"/>
        <v>46240</v>
      </c>
      <c r="P1" s="83">
        <f t="shared" si="1"/>
        <v>46241</v>
      </c>
      <c r="Q1" s="85">
        <f>P1+1</f>
        <v>46242</v>
      </c>
      <c r="R1" s="85">
        <f>Q1+1</f>
        <v>46243</v>
      </c>
      <c r="S1" s="83">
        <f>R1+1</f>
        <v>46244</v>
      </c>
      <c r="T1" s="83">
        <f t="shared" ref="T1:AK1" si="2">S1+1</f>
        <v>46245</v>
      </c>
      <c r="U1" s="83">
        <f t="shared" si="2"/>
        <v>46246</v>
      </c>
      <c r="V1" s="83">
        <f t="shared" si="2"/>
        <v>46247</v>
      </c>
      <c r="W1" s="83">
        <f t="shared" si="2"/>
        <v>46248</v>
      </c>
      <c r="X1" s="85">
        <f t="shared" si="2"/>
        <v>46249</v>
      </c>
      <c r="Y1" s="85">
        <f t="shared" si="2"/>
        <v>46250</v>
      </c>
      <c r="Z1" s="83">
        <f t="shared" si="2"/>
        <v>46251</v>
      </c>
      <c r="AA1" s="83">
        <f t="shared" si="2"/>
        <v>46252</v>
      </c>
      <c r="AB1" s="83">
        <f t="shared" si="2"/>
        <v>46253</v>
      </c>
      <c r="AC1" s="83">
        <f t="shared" si="2"/>
        <v>46254</v>
      </c>
      <c r="AD1" s="83">
        <f t="shared" si="2"/>
        <v>46255</v>
      </c>
      <c r="AE1" s="85">
        <f t="shared" si="2"/>
        <v>46256</v>
      </c>
      <c r="AF1" s="85">
        <f t="shared" si="2"/>
        <v>46257</v>
      </c>
      <c r="AG1" s="83">
        <f t="shared" si="2"/>
        <v>46258</v>
      </c>
      <c r="AH1" s="83">
        <f t="shared" si="2"/>
        <v>46259</v>
      </c>
      <c r="AI1" s="83">
        <f t="shared" si="2"/>
        <v>46260</v>
      </c>
      <c r="AJ1" s="83">
        <f t="shared" si="2"/>
        <v>46261</v>
      </c>
      <c r="AK1" s="83">
        <f t="shared" si="2"/>
        <v>46262</v>
      </c>
      <c r="AL1" s="85">
        <f>AK1+1</f>
        <v>46263</v>
      </c>
      <c r="AM1" s="85">
        <f t="shared" ref="AM1:AS1" si="3">AL1+1</f>
        <v>46264</v>
      </c>
      <c r="AN1" s="83">
        <f t="shared" si="3"/>
        <v>46265</v>
      </c>
      <c r="AO1" s="83">
        <f t="shared" si="3"/>
        <v>46266</v>
      </c>
      <c r="AP1" s="83">
        <f t="shared" si="3"/>
        <v>46267</v>
      </c>
      <c r="AQ1" s="83">
        <f t="shared" si="3"/>
        <v>46268</v>
      </c>
      <c r="AR1" s="83">
        <f t="shared" si="3"/>
        <v>46269</v>
      </c>
      <c r="AS1" s="85">
        <f t="shared" si="3"/>
        <v>46270</v>
      </c>
      <c r="AT1" s="189" t="s">
        <v>184</v>
      </c>
      <c r="AU1" s="190" t="s">
        <v>179</v>
      </c>
      <c r="AV1" s="191"/>
      <c r="AW1" s="182" t="s">
        <v>180</v>
      </c>
      <c r="AX1" s="183"/>
      <c r="AY1" s="182" t="s">
        <v>181</v>
      </c>
      <c r="AZ1" s="183"/>
      <c r="BA1" s="171" t="s">
        <v>182</v>
      </c>
      <c r="BB1" s="172"/>
      <c r="BC1" s="172"/>
      <c r="BD1" s="172"/>
      <c r="BE1" s="172"/>
      <c r="BF1" s="172"/>
      <c r="BG1" s="172"/>
      <c r="BH1" s="173"/>
      <c r="BI1" s="171" t="s">
        <v>183</v>
      </c>
      <c r="BJ1" s="172"/>
      <c r="BK1" s="172"/>
      <c r="BL1" s="172"/>
      <c r="BM1" s="173"/>
      <c r="BN1" s="139" t="s">
        <v>185</v>
      </c>
      <c r="BO1" s="91" t="s">
        <v>186</v>
      </c>
      <c r="BP1" s="92" t="s">
        <v>187</v>
      </c>
      <c r="BQ1" s="93" t="s">
        <v>188</v>
      </c>
      <c r="BR1" s="93" t="s">
        <v>189</v>
      </c>
      <c r="BS1" s="140" t="s">
        <v>190</v>
      </c>
      <c r="BT1" s="169" t="s">
        <v>193</v>
      </c>
      <c r="BV1" s="94" t="s">
        <v>191</v>
      </c>
      <c r="BW1" s="94" t="s">
        <v>192</v>
      </c>
    </row>
    <row r="2" spans="1:82" ht="43.5" customHeight="1" thickBot="1" x14ac:dyDescent="0.3">
      <c r="A2" s="164"/>
      <c r="B2" s="166"/>
      <c r="C2" s="188"/>
      <c r="D2" s="116" t="str">
        <f t="shared" ref="D2:F2" si="4">RIGHT(TEXT(D1,"[$-404]aaaa;@"),1)</f>
        <v>日</v>
      </c>
      <c r="E2" s="86" t="str">
        <f t="shared" si="4"/>
        <v>一</v>
      </c>
      <c r="F2" s="86" t="str">
        <f t="shared" si="4"/>
        <v>二</v>
      </c>
      <c r="G2" s="86" t="str">
        <f>RIGHT(TEXT(G1,"[$-404]aaaa;@"),1)</f>
        <v>三</v>
      </c>
      <c r="H2" s="136" t="str">
        <f t="shared" ref="H2:AL2" si="5">RIGHT(TEXT(H1,"[$-404]aaaa;@"),1)</f>
        <v>四</v>
      </c>
      <c r="I2" s="86" t="str">
        <f t="shared" si="5"/>
        <v>五</v>
      </c>
      <c r="J2" s="86" t="str">
        <f t="shared" si="5"/>
        <v>六</v>
      </c>
      <c r="K2" s="99" t="str">
        <f t="shared" si="5"/>
        <v>日</v>
      </c>
      <c r="L2" s="107" t="str">
        <f t="shared" si="5"/>
        <v>一</v>
      </c>
      <c r="M2" s="107" t="str">
        <f t="shared" si="5"/>
        <v>二</v>
      </c>
      <c r="N2" s="107" t="str">
        <f t="shared" si="5"/>
        <v>三</v>
      </c>
      <c r="O2" s="107" t="str">
        <f t="shared" si="5"/>
        <v>四</v>
      </c>
      <c r="P2" s="107" t="str">
        <f t="shared" si="5"/>
        <v>五</v>
      </c>
      <c r="Q2" s="99" t="str">
        <f t="shared" si="5"/>
        <v>六</v>
      </c>
      <c r="R2" s="99" t="str">
        <f t="shared" si="5"/>
        <v>日</v>
      </c>
      <c r="S2" s="107" t="str">
        <f t="shared" si="5"/>
        <v>一</v>
      </c>
      <c r="T2" s="107" t="str">
        <f t="shared" si="5"/>
        <v>二</v>
      </c>
      <c r="U2" s="107" t="str">
        <f t="shared" si="5"/>
        <v>三</v>
      </c>
      <c r="V2" s="107" t="str">
        <f t="shared" si="5"/>
        <v>四</v>
      </c>
      <c r="W2" s="107" t="str">
        <f t="shared" si="5"/>
        <v>五</v>
      </c>
      <c r="X2" s="99" t="str">
        <f t="shared" si="5"/>
        <v>六</v>
      </c>
      <c r="Y2" s="99" t="str">
        <f t="shared" si="5"/>
        <v>日</v>
      </c>
      <c r="Z2" s="107" t="str">
        <f t="shared" si="5"/>
        <v>一</v>
      </c>
      <c r="AA2" s="107" t="str">
        <f t="shared" si="5"/>
        <v>二</v>
      </c>
      <c r="AB2" s="107" t="str">
        <f t="shared" si="5"/>
        <v>三</v>
      </c>
      <c r="AC2" s="107" t="str">
        <f t="shared" si="5"/>
        <v>四</v>
      </c>
      <c r="AD2" s="107" t="str">
        <f t="shared" si="5"/>
        <v>五</v>
      </c>
      <c r="AE2" s="99" t="str">
        <f t="shared" si="5"/>
        <v>六</v>
      </c>
      <c r="AF2" s="99" t="str">
        <f t="shared" si="5"/>
        <v>日</v>
      </c>
      <c r="AG2" s="107" t="str">
        <f t="shared" si="5"/>
        <v>一</v>
      </c>
      <c r="AH2" s="107" t="str">
        <f t="shared" si="5"/>
        <v>二</v>
      </c>
      <c r="AI2" s="107" t="str">
        <f t="shared" si="5"/>
        <v>三</v>
      </c>
      <c r="AJ2" s="107" t="str">
        <f t="shared" si="5"/>
        <v>四</v>
      </c>
      <c r="AK2" s="107" t="str">
        <f t="shared" si="5"/>
        <v>五</v>
      </c>
      <c r="AL2" s="129" t="str">
        <f t="shared" si="5"/>
        <v>六</v>
      </c>
      <c r="AM2" s="129" t="str">
        <f t="shared" ref="AM2:AS2" si="6">RIGHT(TEXT(AM1,"[$-404]aaaa;@"),1)</f>
        <v>日</v>
      </c>
      <c r="AN2" s="130" t="str">
        <f t="shared" si="6"/>
        <v>一</v>
      </c>
      <c r="AO2" s="130" t="str">
        <f t="shared" si="6"/>
        <v>二</v>
      </c>
      <c r="AP2" s="130" t="str">
        <f t="shared" si="6"/>
        <v>三</v>
      </c>
      <c r="AQ2" s="130" t="str">
        <f t="shared" si="6"/>
        <v>四</v>
      </c>
      <c r="AR2" s="130" t="str">
        <f t="shared" si="6"/>
        <v>五</v>
      </c>
      <c r="AS2" s="129" t="str">
        <f t="shared" si="6"/>
        <v>六</v>
      </c>
      <c r="AT2" s="189"/>
      <c r="AU2" s="121" t="s">
        <v>151</v>
      </c>
      <c r="AV2" s="121" t="s">
        <v>58</v>
      </c>
      <c r="AW2" s="122" t="s">
        <v>151</v>
      </c>
      <c r="AX2" s="122" t="s">
        <v>58</v>
      </c>
      <c r="AY2" s="122" t="s">
        <v>151</v>
      </c>
      <c r="AZ2" s="122" t="s">
        <v>58</v>
      </c>
      <c r="BA2" s="89" t="s">
        <v>100</v>
      </c>
      <c r="BB2" s="78" t="s">
        <v>56</v>
      </c>
      <c r="BC2" s="79" t="s">
        <v>2</v>
      </c>
      <c r="BD2" s="79" t="s">
        <v>3</v>
      </c>
      <c r="BE2" s="79" t="s">
        <v>57</v>
      </c>
      <c r="BF2" s="79" t="s">
        <v>4</v>
      </c>
      <c r="BG2" s="79" t="s">
        <v>5</v>
      </c>
      <c r="BH2" s="90" t="s">
        <v>1</v>
      </c>
      <c r="BI2" s="80" t="s">
        <v>6</v>
      </c>
      <c r="BJ2" s="79" t="s">
        <v>7</v>
      </c>
      <c r="BK2" s="79" t="s">
        <v>8</v>
      </c>
      <c r="BL2" s="79" t="s">
        <v>9</v>
      </c>
      <c r="BM2" s="81" t="s">
        <v>10</v>
      </c>
      <c r="BN2" s="78" t="s">
        <v>7</v>
      </c>
      <c r="BO2" s="79" t="s">
        <v>7</v>
      </c>
      <c r="BP2" s="79" t="s">
        <v>58</v>
      </c>
      <c r="BQ2" s="79" t="s">
        <v>58</v>
      </c>
      <c r="BR2" s="79" t="s">
        <v>58</v>
      </c>
      <c r="BS2" s="138" t="s">
        <v>58</v>
      </c>
      <c r="BT2" s="170"/>
    </row>
    <row r="3" spans="1:82" s="36" customFormat="1" ht="39.75" customHeight="1" x14ac:dyDescent="0.25">
      <c r="A3" s="184" t="s">
        <v>166</v>
      </c>
      <c r="B3" s="108" t="s">
        <v>14</v>
      </c>
      <c r="C3" s="110" t="s">
        <v>160</v>
      </c>
      <c r="D3" s="117" t="s">
        <v>196</v>
      </c>
      <c r="E3" s="101" t="s">
        <v>6</v>
      </c>
      <c r="F3" s="101" t="s">
        <v>6</v>
      </c>
      <c r="G3" s="101" t="s">
        <v>6</v>
      </c>
      <c r="H3" s="131" t="s">
        <v>7</v>
      </c>
      <c r="I3" s="101" t="s">
        <v>197</v>
      </c>
      <c r="J3" s="101" t="s">
        <v>196</v>
      </c>
      <c r="K3" s="100"/>
      <c r="L3" s="123"/>
      <c r="M3" s="123" t="s">
        <v>7</v>
      </c>
      <c r="N3" s="123"/>
      <c r="O3" s="123"/>
      <c r="P3" s="123"/>
      <c r="Q3" s="100"/>
      <c r="R3" s="100"/>
      <c r="S3" s="123"/>
      <c r="T3" s="123"/>
      <c r="U3" s="123"/>
      <c r="V3" s="123"/>
      <c r="W3" s="123"/>
      <c r="X3" s="100" t="s">
        <v>7</v>
      </c>
      <c r="Y3" s="100"/>
      <c r="Z3" s="123"/>
      <c r="AA3" s="123"/>
      <c r="AB3" s="123"/>
      <c r="AC3" s="123"/>
      <c r="AD3" s="123"/>
      <c r="AE3" s="100"/>
      <c r="AF3" s="100"/>
      <c r="AG3" s="123"/>
      <c r="AH3" s="123"/>
      <c r="AI3" s="123" t="s">
        <v>62</v>
      </c>
      <c r="AJ3" s="123"/>
      <c r="AK3" s="123"/>
      <c r="AL3" s="137" t="s">
        <v>7</v>
      </c>
      <c r="AM3" s="100"/>
      <c r="AN3" s="123"/>
      <c r="AO3" s="123"/>
      <c r="AP3" s="123"/>
      <c r="AQ3" s="123"/>
      <c r="AR3" s="123"/>
      <c r="AS3" s="158"/>
      <c r="AT3" s="97">
        <f t="shared" ref="AT3:AT24" si="7">BV3+BW3</f>
        <v>11</v>
      </c>
      <c r="AU3" s="96">
        <v>2</v>
      </c>
      <c r="AV3" s="96">
        <v>2</v>
      </c>
      <c r="AW3" s="98">
        <f t="shared" ref="AW3:AW24" si="8">COUNTIF(K3:AS3,"r'*")</f>
        <v>1</v>
      </c>
      <c r="AX3" s="98">
        <f t="shared" ref="AX3:AX24" si="9">COUNTIF(K3:AS3,"R")</f>
        <v>3</v>
      </c>
      <c r="AY3" s="98">
        <f t="shared" ref="AY3:AY24" si="10">8-AU3-AW3</f>
        <v>5</v>
      </c>
      <c r="AZ3" s="98">
        <f t="shared" ref="AZ3:AZ24" si="11">8-AV3-AX3</f>
        <v>3</v>
      </c>
      <c r="BA3" s="72">
        <f t="shared" ref="BA3:BA24" si="12">COUNTIF(J3:AN3,"*早*")-BB3</f>
        <v>0</v>
      </c>
      <c r="BB3" s="72">
        <f t="shared" ref="BB3:BB24" si="13">COUNTIF(J3:AN3,"*早A")</f>
        <v>0</v>
      </c>
      <c r="BC3" s="72">
        <f t="shared" ref="BC3:BC24" si="14">COUNTIF(J3:AN3,"*中*")</f>
        <v>0</v>
      </c>
      <c r="BD3" s="72">
        <f t="shared" ref="BD3:BD24" si="15">COUNTIF(J3:AN3,"*午*")-BE3</f>
        <v>1</v>
      </c>
      <c r="BE3" s="72">
        <f t="shared" ref="BE3:BE24" si="16">COUNTIF(J3:AN3,"*午F")</f>
        <v>0</v>
      </c>
      <c r="BF3" s="72">
        <f t="shared" ref="BF3:BF24" si="17">COUNTIF(J3:AN3,"*夜*")</f>
        <v>0</v>
      </c>
      <c r="BG3" s="72">
        <f t="shared" ref="BG3:BG24" si="18">COUNTIF(J3:AN3,"*T*")</f>
        <v>0</v>
      </c>
      <c r="BH3" s="72">
        <f t="shared" ref="BH3:BH24" si="19">COUNTIF(J3:AN3,"*日*")</f>
        <v>0</v>
      </c>
      <c r="BI3" s="72">
        <f t="shared" ref="BI3:BI24" si="20">COUNTIF(J3:AN3,"L")</f>
        <v>0</v>
      </c>
      <c r="BJ3" s="72" cm="1">
        <f t="array" ref="BJ3">SUMPRODUCT(1*ISNUMBER(FIND("R",J3:AN3)))</f>
        <v>3</v>
      </c>
      <c r="BK3" s="72" cm="1">
        <f t="array" ref="BK3">SUMPRODUCT(1*ISNUMBER(FIND("r",J3:AN3)))</f>
        <v>1</v>
      </c>
      <c r="BL3" s="72" cm="1">
        <f t="array" ref="BL3">SUMPRODUCT(1*ISNUMBER(FIND("P",J3:AN3)))-SUMPRODUCT(1*ISNUMBER(FIND("午P",G3:AK3)))</f>
        <v>0</v>
      </c>
      <c r="BM3" s="72">
        <f t="shared" ref="BM3:BM24" si="21">SUM(BJ3:BL3)</f>
        <v>4</v>
      </c>
      <c r="BN3" s="72" cm="1">
        <f t="array" ref="BN3">SUMPRODUCT(1*ISNUMBER(FIND("R",D3:J3)))</f>
        <v>1</v>
      </c>
      <c r="BO3" s="72" cm="1">
        <f t="array" ref="BO3">SUMPRODUCT(1*ISNUMBER(FIND("R",K3:Q3)))</f>
        <v>1</v>
      </c>
      <c r="BP3" s="72" cm="1">
        <f t="array" ref="BP3">SUMPRODUCT(1*ISNUMBER(FIND("R",R3:X3)))</f>
        <v>1</v>
      </c>
      <c r="BQ3" s="72" cm="1">
        <f t="array" ref="BQ3">SUMPRODUCT(1*ISNUMBER(FIND("R",Y3:AE3)))</f>
        <v>0</v>
      </c>
      <c r="BR3" s="72" cm="1">
        <f t="array" ref="BR3">SUMPRODUCT(1*ISNUMBER(FIND("R",AF3:AL3)))</f>
        <v>1</v>
      </c>
      <c r="BS3" s="72" cm="1">
        <f t="array" ref="BS3">SUMPRODUCT(1*ISNUMBER(FIND("R",AM3:AS3)))</f>
        <v>0</v>
      </c>
      <c r="BT3" s="72">
        <f t="shared" ref="BT3:BT24" si="22">SUM(BA3:BL3)</f>
        <v>5</v>
      </c>
      <c r="BV3" s="88">
        <v>11</v>
      </c>
      <c r="BW3" s="88" cm="1">
        <f t="array" ref="BW3">SUMPRODUCT(1*ISNUMBER(FIND("P",K3:AL3)))-SUMPRODUCT(1*ISNUMBER(FIND("午P",K3:AL3)))</f>
        <v>0</v>
      </c>
      <c r="BY3" s="71"/>
      <c r="BZ3" s="71"/>
      <c r="CC3" s="71"/>
      <c r="CD3" s="71"/>
    </row>
    <row r="4" spans="1:82" s="36" customFormat="1" ht="39.75" customHeight="1" x14ac:dyDescent="0.25">
      <c r="A4" s="185"/>
      <c r="B4" s="76" t="s">
        <v>12</v>
      </c>
      <c r="C4" s="111" t="s">
        <v>13</v>
      </c>
      <c r="D4" s="106" t="s">
        <v>62</v>
      </c>
      <c r="E4" s="125" t="s">
        <v>198</v>
      </c>
      <c r="F4" s="125" t="s">
        <v>199</v>
      </c>
      <c r="G4" s="125" t="s">
        <v>200</v>
      </c>
      <c r="H4" s="132" t="s">
        <v>7</v>
      </c>
      <c r="I4" s="125" t="s">
        <v>198</v>
      </c>
      <c r="J4" s="125" t="s">
        <v>197</v>
      </c>
      <c r="K4" s="144"/>
      <c r="L4" s="147"/>
      <c r="M4" s="147"/>
      <c r="N4" s="147" t="s">
        <v>6</v>
      </c>
      <c r="O4" s="147"/>
      <c r="P4" s="147"/>
      <c r="Q4" s="144"/>
      <c r="R4" s="144"/>
      <c r="S4" s="147"/>
      <c r="T4" s="147"/>
      <c r="U4" s="147"/>
      <c r="V4" s="147"/>
      <c r="W4" s="147"/>
      <c r="X4" s="144"/>
      <c r="Y4" s="144"/>
      <c r="Z4" s="147"/>
      <c r="AA4" s="147" t="s">
        <v>62</v>
      </c>
      <c r="AB4" s="147" t="s">
        <v>6</v>
      </c>
      <c r="AC4" s="147" t="s">
        <v>62</v>
      </c>
      <c r="AD4" s="147" t="s">
        <v>62</v>
      </c>
      <c r="AE4" s="144" t="s">
        <v>7</v>
      </c>
      <c r="AF4" s="144" t="s">
        <v>7</v>
      </c>
      <c r="AG4" s="147"/>
      <c r="AH4" s="147"/>
      <c r="AI4" s="147"/>
      <c r="AJ4" s="147"/>
      <c r="AK4" s="147"/>
      <c r="AL4" s="157"/>
      <c r="AM4" s="144"/>
      <c r="AN4" s="147"/>
      <c r="AO4" s="147"/>
      <c r="AP4" s="147"/>
      <c r="AQ4" s="147"/>
      <c r="AR4" s="147"/>
      <c r="AS4" s="155"/>
      <c r="AT4" s="97">
        <f t="shared" si="7"/>
        <v>11</v>
      </c>
      <c r="AU4" s="96">
        <v>2</v>
      </c>
      <c r="AV4" s="96">
        <v>2</v>
      </c>
      <c r="AW4" s="98">
        <f t="shared" si="8"/>
        <v>3</v>
      </c>
      <c r="AX4" s="98">
        <f t="shared" si="9"/>
        <v>2</v>
      </c>
      <c r="AY4" s="98">
        <f t="shared" si="10"/>
        <v>3</v>
      </c>
      <c r="AZ4" s="98">
        <f t="shared" si="11"/>
        <v>4</v>
      </c>
      <c r="BA4" s="72">
        <f t="shared" si="12"/>
        <v>0</v>
      </c>
      <c r="BB4" s="72">
        <f t="shared" si="13"/>
        <v>0</v>
      </c>
      <c r="BC4" s="72">
        <f t="shared" si="14"/>
        <v>0</v>
      </c>
      <c r="BD4" s="72">
        <f t="shared" si="15"/>
        <v>1</v>
      </c>
      <c r="BE4" s="72">
        <f t="shared" si="16"/>
        <v>0</v>
      </c>
      <c r="BF4" s="72">
        <f t="shared" si="17"/>
        <v>0</v>
      </c>
      <c r="BG4" s="72">
        <f t="shared" si="18"/>
        <v>0</v>
      </c>
      <c r="BH4" s="72">
        <f t="shared" si="19"/>
        <v>0</v>
      </c>
      <c r="BI4" s="72">
        <f t="shared" si="20"/>
        <v>2</v>
      </c>
      <c r="BJ4" s="72" cm="1">
        <f t="array" ref="BJ4">SUMPRODUCT(1*ISNUMBER(FIND("R",J4:AN4)))</f>
        <v>2</v>
      </c>
      <c r="BK4" s="72" cm="1">
        <f t="array" ref="BK4">SUMPRODUCT(1*ISNUMBER(FIND("r",J4:AN4)))</f>
        <v>3</v>
      </c>
      <c r="BL4" s="72" cm="1">
        <f t="array" ref="BL4">SUMPRODUCT(1*ISNUMBER(FIND("P",J4:AN4)))-SUMPRODUCT(1*ISNUMBER(FIND("午P",G4:AK4)))</f>
        <v>0</v>
      </c>
      <c r="BM4" s="72">
        <f t="shared" si="21"/>
        <v>5</v>
      </c>
      <c r="BN4" s="72" cm="1">
        <f t="array" ref="BN4">SUMPRODUCT(1*ISNUMBER(FIND("R",D4:J4)))</f>
        <v>1</v>
      </c>
      <c r="BO4" s="72" cm="1">
        <f t="array" ref="BO4">SUMPRODUCT(1*ISNUMBER(FIND("R",K4:Q4)))</f>
        <v>0</v>
      </c>
      <c r="BP4" s="72" cm="1">
        <f t="array" ref="BP4">SUMPRODUCT(1*ISNUMBER(FIND("R",R4:X4)))</f>
        <v>0</v>
      </c>
      <c r="BQ4" s="72" cm="1">
        <f t="array" ref="BQ4">SUMPRODUCT(1*ISNUMBER(FIND("R",Y4:AE4)))</f>
        <v>1</v>
      </c>
      <c r="BR4" s="72" cm="1">
        <f t="array" ref="BR4">SUMPRODUCT(1*ISNUMBER(FIND("R",AF4:AL4)))</f>
        <v>1</v>
      </c>
      <c r="BS4" s="72" cm="1">
        <f t="array" ref="BS4">SUMPRODUCT(1*ISNUMBER(FIND("R",AM4:AS4)))</f>
        <v>0</v>
      </c>
      <c r="BT4" s="72">
        <f t="shared" si="22"/>
        <v>8</v>
      </c>
      <c r="BV4" s="88">
        <v>11</v>
      </c>
      <c r="BW4" s="88" cm="1">
        <f t="array" ref="BW4">SUMPRODUCT(1*ISNUMBER(FIND("P",K4:AL4)))-SUMPRODUCT(1*ISNUMBER(FIND("午P",K4:AL4)))</f>
        <v>0</v>
      </c>
      <c r="BY4" s="71"/>
      <c r="BZ4" s="71"/>
      <c r="CC4" s="71"/>
      <c r="CD4" s="71"/>
    </row>
    <row r="5" spans="1:82" s="36" customFormat="1" ht="33.75" customHeight="1" x14ac:dyDescent="0.25">
      <c r="A5" s="185"/>
      <c r="B5" s="76" t="s">
        <v>15</v>
      </c>
      <c r="C5" s="111" t="s">
        <v>159</v>
      </c>
      <c r="D5" s="106" t="s">
        <v>6</v>
      </c>
      <c r="E5" s="125" t="s">
        <v>62</v>
      </c>
      <c r="F5" s="125" t="s">
        <v>9</v>
      </c>
      <c r="G5" s="125" t="s">
        <v>7</v>
      </c>
      <c r="H5" s="132" t="s">
        <v>201</v>
      </c>
      <c r="I5" s="125" t="s">
        <v>202</v>
      </c>
      <c r="J5" s="125" t="s">
        <v>201</v>
      </c>
      <c r="K5" s="144"/>
      <c r="L5" s="147"/>
      <c r="M5" s="147"/>
      <c r="N5" s="147"/>
      <c r="O5" s="147"/>
      <c r="P5" s="147"/>
      <c r="Q5" s="144"/>
      <c r="R5" s="144"/>
      <c r="S5" s="147"/>
      <c r="T5" s="147"/>
      <c r="U5" s="147"/>
      <c r="V5" s="147"/>
      <c r="W5" s="147"/>
      <c r="X5" s="144"/>
      <c r="Y5" s="144"/>
      <c r="Z5" s="147"/>
      <c r="AA5" s="147" t="s">
        <v>6</v>
      </c>
      <c r="AB5" s="147" t="s">
        <v>6</v>
      </c>
      <c r="AC5" s="147" t="s">
        <v>62</v>
      </c>
      <c r="AD5" s="147" t="s">
        <v>212</v>
      </c>
      <c r="AE5" s="144" t="s">
        <v>6</v>
      </c>
      <c r="AF5" s="144" t="s">
        <v>6</v>
      </c>
      <c r="AG5" s="147"/>
      <c r="AH5" s="147"/>
      <c r="AI5" s="147"/>
      <c r="AJ5" s="147"/>
      <c r="AK5" s="147" t="s">
        <v>212</v>
      </c>
      <c r="AL5" s="157"/>
      <c r="AM5" s="144"/>
      <c r="AN5" s="147"/>
      <c r="AO5" s="147"/>
      <c r="AP5" s="147"/>
      <c r="AQ5" s="147"/>
      <c r="AR5" s="147"/>
      <c r="AS5" s="155"/>
      <c r="AT5" s="97">
        <f t="shared" si="7"/>
        <v>11</v>
      </c>
      <c r="AU5" s="96">
        <v>2</v>
      </c>
      <c r="AV5" s="96">
        <v>2</v>
      </c>
      <c r="AW5" s="98">
        <f t="shared" si="8"/>
        <v>1</v>
      </c>
      <c r="AX5" s="98">
        <f t="shared" si="9"/>
        <v>2</v>
      </c>
      <c r="AY5" s="98">
        <f t="shared" si="10"/>
        <v>5</v>
      </c>
      <c r="AZ5" s="98">
        <f t="shared" si="11"/>
        <v>4</v>
      </c>
      <c r="BA5" s="72">
        <f t="shared" si="12"/>
        <v>0</v>
      </c>
      <c r="BB5" s="72">
        <f t="shared" si="13"/>
        <v>0</v>
      </c>
      <c r="BC5" s="72">
        <f t="shared" si="14"/>
        <v>0</v>
      </c>
      <c r="BD5" s="72">
        <f t="shared" si="15"/>
        <v>0</v>
      </c>
      <c r="BE5" s="72">
        <f t="shared" si="16"/>
        <v>0</v>
      </c>
      <c r="BF5" s="72">
        <f t="shared" si="17"/>
        <v>1</v>
      </c>
      <c r="BG5" s="72">
        <f t="shared" si="18"/>
        <v>0</v>
      </c>
      <c r="BH5" s="72">
        <f t="shared" si="19"/>
        <v>0</v>
      </c>
      <c r="BI5" s="72">
        <f t="shared" si="20"/>
        <v>4</v>
      </c>
      <c r="BJ5" s="72" cm="1">
        <f t="array" ref="BJ5">SUMPRODUCT(1*ISNUMBER(FIND("R",J5:AN5)))</f>
        <v>2</v>
      </c>
      <c r="BK5" s="72" cm="1">
        <f t="array" ref="BK5">SUMPRODUCT(1*ISNUMBER(FIND("r",J5:AN5)))</f>
        <v>1</v>
      </c>
      <c r="BL5" s="72" cm="1">
        <f t="array" ref="BL5">SUMPRODUCT(1*ISNUMBER(FIND("P",J5:AN5)))-SUMPRODUCT(1*ISNUMBER(FIND("午P",G5:AK5)))</f>
        <v>0</v>
      </c>
      <c r="BM5" s="72">
        <f t="shared" si="21"/>
        <v>3</v>
      </c>
      <c r="BN5" s="72" cm="1">
        <f t="array" ref="BN5">SUMPRODUCT(1*ISNUMBER(FIND("R",D5:J5)))</f>
        <v>1</v>
      </c>
      <c r="BO5" s="72" cm="1">
        <f t="array" ref="BO5">SUMPRODUCT(1*ISNUMBER(FIND("R",K5:Q5)))</f>
        <v>0</v>
      </c>
      <c r="BP5" s="72" cm="1">
        <f t="array" ref="BP5">SUMPRODUCT(1*ISNUMBER(FIND("R",R5:X5)))</f>
        <v>0</v>
      </c>
      <c r="BQ5" s="72" cm="1">
        <f t="array" ref="BQ5">SUMPRODUCT(1*ISNUMBER(FIND("R",Y5:AE5)))</f>
        <v>1</v>
      </c>
      <c r="BR5" s="72" cm="1">
        <f t="array" ref="BR5">SUMPRODUCT(1*ISNUMBER(FIND("R",AF5:AL5)))</f>
        <v>1</v>
      </c>
      <c r="BS5" s="72" cm="1">
        <f t="array" ref="BS5">SUMPRODUCT(1*ISNUMBER(FIND("R",AM5:AS5)))</f>
        <v>0</v>
      </c>
      <c r="BT5" s="72">
        <f t="shared" si="22"/>
        <v>8</v>
      </c>
      <c r="BV5" s="88">
        <v>11</v>
      </c>
      <c r="BW5" s="88" cm="1">
        <f t="array" ref="BW5">SUMPRODUCT(1*ISNUMBER(FIND("P",K5:AL5)))-SUMPRODUCT(1*ISNUMBER(FIND("午P",K5:AL5)))</f>
        <v>0</v>
      </c>
      <c r="BY5" s="71"/>
      <c r="BZ5" s="71"/>
      <c r="CC5" s="71"/>
      <c r="CD5" s="71"/>
    </row>
    <row r="6" spans="1:82" s="36" customFormat="1" ht="39.75" customHeight="1" x14ac:dyDescent="0.25">
      <c r="A6" s="185"/>
      <c r="B6" s="76" t="s">
        <v>19</v>
      </c>
      <c r="C6" s="111" t="s">
        <v>20</v>
      </c>
      <c r="D6" s="106" t="s">
        <v>62</v>
      </c>
      <c r="E6" s="125" t="s">
        <v>62</v>
      </c>
      <c r="F6" s="125" t="s">
        <v>9</v>
      </c>
      <c r="G6" s="125" t="s">
        <v>9</v>
      </c>
      <c r="H6" s="132" t="s">
        <v>7</v>
      </c>
      <c r="I6" s="125" t="s">
        <v>199</v>
      </c>
      <c r="J6" s="125" t="s">
        <v>198</v>
      </c>
      <c r="K6" s="144"/>
      <c r="L6" s="147"/>
      <c r="M6" s="147"/>
      <c r="N6" s="147"/>
      <c r="O6" s="147"/>
      <c r="P6" s="147"/>
      <c r="Q6" s="144"/>
      <c r="R6" s="144"/>
      <c r="S6" s="147"/>
      <c r="T6" s="147"/>
      <c r="U6" s="147"/>
      <c r="V6" s="147"/>
      <c r="W6" s="147"/>
      <c r="X6" s="144"/>
      <c r="Y6" s="144"/>
      <c r="Z6" s="147"/>
      <c r="AA6" s="147"/>
      <c r="AB6" s="147"/>
      <c r="AC6" s="147"/>
      <c r="AD6" s="147"/>
      <c r="AE6" s="144"/>
      <c r="AF6" s="144"/>
      <c r="AG6" s="147"/>
      <c r="AH6" s="147"/>
      <c r="AI6" s="147"/>
      <c r="AJ6" s="147"/>
      <c r="AK6" s="147"/>
      <c r="AL6" s="157"/>
      <c r="AM6" s="144"/>
      <c r="AN6" s="147"/>
      <c r="AO6" s="147" t="s">
        <v>62</v>
      </c>
      <c r="AP6" s="147" t="s">
        <v>62</v>
      </c>
      <c r="AQ6" s="147" t="s">
        <v>212</v>
      </c>
      <c r="AR6" s="147" t="s">
        <v>211</v>
      </c>
      <c r="AS6" s="155" t="s">
        <v>211</v>
      </c>
      <c r="AT6" s="97">
        <f t="shared" si="7"/>
        <v>11</v>
      </c>
      <c r="AU6" s="96">
        <v>2</v>
      </c>
      <c r="AV6" s="96">
        <v>2</v>
      </c>
      <c r="AW6" s="98">
        <f t="shared" si="8"/>
        <v>2</v>
      </c>
      <c r="AX6" s="98">
        <f t="shared" si="9"/>
        <v>1</v>
      </c>
      <c r="AY6" s="98">
        <f t="shared" si="10"/>
        <v>4</v>
      </c>
      <c r="AZ6" s="98">
        <f t="shared" si="11"/>
        <v>5</v>
      </c>
      <c r="BA6" s="72">
        <f t="shared" si="12"/>
        <v>1</v>
      </c>
      <c r="BB6" s="72">
        <f t="shared" si="13"/>
        <v>0</v>
      </c>
      <c r="BC6" s="72">
        <f t="shared" si="14"/>
        <v>0</v>
      </c>
      <c r="BD6" s="72">
        <f t="shared" si="15"/>
        <v>0</v>
      </c>
      <c r="BE6" s="72">
        <f t="shared" si="16"/>
        <v>0</v>
      </c>
      <c r="BF6" s="72">
        <f t="shared" si="17"/>
        <v>0</v>
      </c>
      <c r="BG6" s="72">
        <f t="shared" si="18"/>
        <v>0</v>
      </c>
      <c r="BH6" s="72">
        <f t="shared" si="19"/>
        <v>0</v>
      </c>
      <c r="BI6" s="72">
        <f t="shared" si="20"/>
        <v>0</v>
      </c>
      <c r="BJ6" s="72" cm="1">
        <f t="array" ref="BJ6">SUMPRODUCT(1*ISNUMBER(FIND("R",J6:AN6)))</f>
        <v>0</v>
      </c>
      <c r="BK6" s="72" cm="1">
        <f t="array" ref="BK6">SUMPRODUCT(1*ISNUMBER(FIND("r",J6:AN6)))</f>
        <v>0</v>
      </c>
      <c r="BL6" s="72" cm="1">
        <f t="array" ref="BL6">SUMPRODUCT(1*ISNUMBER(FIND("P",J6:AN6)))-SUMPRODUCT(1*ISNUMBER(FIND("午P",G6:AK6)))</f>
        <v>0</v>
      </c>
      <c r="BM6" s="72">
        <f t="shared" si="21"/>
        <v>0</v>
      </c>
      <c r="BN6" s="72" cm="1">
        <f t="array" ref="BN6">SUMPRODUCT(1*ISNUMBER(FIND("R",D6:J6)))</f>
        <v>1</v>
      </c>
      <c r="BO6" s="72" cm="1">
        <f t="array" ref="BO6">SUMPRODUCT(1*ISNUMBER(FIND("R",K6:Q6)))</f>
        <v>0</v>
      </c>
      <c r="BP6" s="72" cm="1">
        <f t="array" ref="BP6">SUMPRODUCT(1*ISNUMBER(FIND("R",R6:X6)))</f>
        <v>0</v>
      </c>
      <c r="BQ6" s="72" cm="1">
        <f t="array" ref="BQ6">SUMPRODUCT(1*ISNUMBER(FIND("R",Y6:AE6)))</f>
        <v>0</v>
      </c>
      <c r="BR6" s="72" cm="1">
        <f t="array" ref="BR6">SUMPRODUCT(1*ISNUMBER(FIND("R",AF6:AL6)))</f>
        <v>0</v>
      </c>
      <c r="BS6" s="72" cm="1">
        <f t="array" ref="BS6">SUMPRODUCT(1*ISNUMBER(FIND("R",AM6:AS6)))</f>
        <v>1</v>
      </c>
      <c r="BT6" s="72">
        <f t="shared" si="22"/>
        <v>1</v>
      </c>
      <c r="BV6" s="88">
        <v>11</v>
      </c>
      <c r="BW6" s="88" cm="1">
        <f t="array" ref="BW6">SUMPRODUCT(1*ISNUMBER(FIND("P",K6:AL6)))-SUMPRODUCT(1*ISNUMBER(FIND("午P",K6:AL6)))</f>
        <v>0</v>
      </c>
      <c r="BY6" s="71"/>
      <c r="BZ6" s="71"/>
      <c r="CC6" s="71"/>
      <c r="CD6" s="71"/>
    </row>
    <row r="7" spans="1:82" s="36" customFormat="1" ht="39.75" customHeight="1" x14ac:dyDescent="0.25">
      <c r="A7" s="185"/>
      <c r="B7" s="76" t="s">
        <v>142</v>
      </c>
      <c r="C7" s="111" t="s">
        <v>162</v>
      </c>
      <c r="D7" s="106" t="s">
        <v>201</v>
      </c>
      <c r="E7" s="125" t="s">
        <v>202</v>
      </c>
      <c r="F7" s="125" t="s">
        <v>201</v>
      </c>
      <c r="G7" s="125" t="s">
        <v>202</v>
      </c>
      <c r="H7" s="132" t="s">
        <v>7</v>
      </c>
      <c r="I7" s="125" t="s">
        <v>62</v>
      </c>
      <c r="J7" s="125" t="s">
        <v>203</v>
      </c>
      <c r="K7" s="144"/>
      <c r="L7" s="147"/>
      <c r="M7" s="147" t="s">
        <v>6</v>
      </c>
      <c r="N7" s="147" t="s">
        <v>6</v>
      </c>
      <c r="O7" s="147" t="s">
        <v>6</v>
      </c>
      <c r="P7" s="147" t="s">
        <v>6</v>
      </c>
      <c r="Q7" s="144" t="s">
        <v>7</v>
      </c>
      <c r="R7" s="144" t="s">
        <v>7</v>
      </c>
      <c r="S7" s="147" t="s">
        <v>6</v>
      </c>
      <c r="T7" s="147" t="s">
        <v>6</v>
      </c>
      <c r="U7" s="147"/>
      <c r="V7" s="147"/>
      <c r="W7" s="147"/>
      <c r="X7" s="144"/>
      <c r="Y7" s="144"/>
      <c r="Z7" s="147"/>
      <c r="AA7" s="147"/>
      <c r="AB7" s="147"/>
      <c r="AC7" s="147"/>
      <c r="AD7" s="147"/>
      <c r="AE7" s="144"/>
      <c r="AF7" s="144" t="s">
        <v>7</v>
      </c>
      <c r="AG7" s="147" t="s">
        <v>62</v>
      </c>
      <c r="AH7" s="147"/>
      <c r="AI7" s="147"/>
      <c r="AJ7" s="147"/>
      <c r="AK7" s="147"/>
      <c r="AL7" s="157"/>
      <c r="AM7" s="144" t="s">
        <v>7</v>
      </c>
      <c r="AN7" s="147" t="s">
        <v>62</v>
      </c>
      <c r="AO7" s="147"/>
      <c r="AP7" s="147"/>
      <c r="AQ7" s="147"/>
      <c r="AR7" s="147"/>
      <c r="AS7" s="155"/>
      <c r="AT7" s="97">
        <f t="shared" si="7"/>
        <v>11</v>
      </c>
      <c r="AU7" s="96">
        <v>2</v>
      </c>
      <c r="AV7" s="96">
        <v>2</v>
      </c>
      <c r="AW7" s="98">
        <f t="shared" si="8"/>
        <v>2</v>
      </c>
      <c r="AX7" s="98">
        <f t="shared" si="9"/>
        <v>4</v>
      </c>
      <c r="AY7" s="98">
        <f t="shared" si="10"/>
        <v>4</v>
      </c>
      <c r="AZ7" s="98">
        <f t="shared" si="11"/>
        <v>2</v>
      </c>
      <c r="BA7" s="72">
        <f t="shared" si="12"/>
        <v>1</v>
      </c>
      <c r="BB7" s="72">
        <f t="shared" si="13"/>
        <v>0</v>
      </c>
      <c r="BC7" s="72">
        <f t="shared" si="14"/>
        <v>0</v>
      </c>
      <c r="BD7" s="72">
        <f t="shared" si="15"/>
        <v>0</v>
      </c>
      <c r="BE7" s="72">
        <f t="shared" si="16"/>
        <v>0</v>
      </c>
      <c r="BF7" s="72">
        <f t="shared" si="17"/>
        <v>0</v>
      </c>
      <c r="BG7" s="72">
        <f t="shared" si="18"/>
        <v>0</v>
      </c>
      <c r="BH7" s="72">
        <f t="shared" si="19"/>
        <v>0</v>
      </c>
      <c r="BI7" s="72">
        <f t="shared" si="20"/>
        <v>6</v>
      </c>
      <c r="BJ7" s="72" cm="1">
        <f t="array" ref="BJ7">SUMPRODUCT(1*ISNUMBER(FIND("R",J7:AN7)))</f>
        <v>4</v>
      </c>
      <c r="BK7" s="72" cm="1">
        <f t="array" ref="BK7">SUMPRODUCT(1*ISNUMBER(FIND("r",J7:AN7)))</f>
        <v>2</v>
      </c>
      <c r="BL7" s="72" cm="1">
        <f t="array" ref="BL7">SUMPRODUCT(1*ISNUMBER(FIND("P",J7:AN7)))-SUMPRODUCT(1*ISNUMBER(FIND("午P",G7:AK7)))</f>
        <v>0</v>
      </c>
      <c r="BM7" s="72">
        <f t="shared" si="21"/>
        <v>6</v>
      </c>
      <c r="BN7" s="72" cm="1">
        <f t="array" ref="BN7">SUMPRODUCT(1*ISNUMBER(FIND("R",D7:J7)))</f>
        <v>1</v>
      </c>
      <c r="BO7" s="72" cm="1">
        <f t="array" ref="BO7">SUMPRODUCT(1*ISNUMBER(FIND("R",K7:Q7)))</f>
        <v>1</v>
      </c>
      <c r="BP7" s="72" cm="1">
        <f t="array" ref="BP7">SUMPRODUCT(1*ISNUMBER(FIND("R",R7:X7)))</f>
        <v>1</v>
      </c>
      <c r="BQ7" s="72" cm="1">
        <f t="array" ref="BQ7">SUMPRODUCT(1*ISNUMBER(FIND("R",Y7:AE7)))</f>
        <v>0</v>
      </c>
      <c r="BR7" s="72" cm="1">
        <f t="array" ref="BR7">SUMPRODUCT(1*ISNUMBER(FIND("R",AF7:AL7)))</f>
        <v>1</v>
      </c>
      <c r="BS7" s="72" cm="1">
        <f t="array" ref="BS7">SUMPRODUCT(1*ISNUMBER(FIND("R",AM7:AS7)))</f>
        <v>1</v>
      </c>
      <c r="BT7" s="72">
        <f t="shared" si="22"/>
        <v>13</v>
      </c>
      <c r="BV7" s="88">
        <v>11</v>
      </c>
      <c r="BW7" s="88" cm="1">
        <f t="array" ref="BW7">SUMPRODUCT(1*ISNUMBER(FIND("P",K7:AL7)))-SUMPRODUCT(1*ISNUMBER(FIND("午P",K7:AL7)))</f>
        <v>0</v>
      </c>
      <c r="BY7" s="71"/>
      <c r="BZ7" s="71"/>
      <c r="CC7" s="71"/>
      <c r="CD7" s="71"/>
    </row>
    <row r="8" spans="1:82" s="36" customFormat="1" ht="39.75" customHeight="1" x14ac:dyDescent="0.25">
      <c r="A8" s="185"/>
      <c r="B8" s="73" t="s">
        <v>139</v>
      </c>
      <c r="C8" s="112" t="s">
        <v>140</v>
      </c>
      <c r="D8" s="106" t="s">
        <v>81</v>
      </c>
      <c r="E8" s="125" t="s">
        <v>81</v>
      </c>
      <c r="F8" s="125" t="s">
        <v>7</v>
      </c>
      <c r="G8" s="125" t="s">
        <v>204</v>
      </c>
      <c r="H8" s="132" t="s">
        <v>198</v>
      </c>
      <c r="I8" s="125" t="s">
        <v>203</v>
      </c>
      <c r="J8" s="125" t="s">
        <v>199</v>
      </c>
      <c r="K8" s="144"/>
      <c r="L8" s="147"/>
      <c r="M8" s="147"/>
      <c r="N8" s="147"/>
      <c r="O8" s="147"/>
      <c r="P8" s="147"/>
      <c r="Q8" s="144" t="s">
        <v>7</v>
      </c>
      <c r="R8" s="144" t="s">
        <v>7</v>
      </c>
      <c r="S8" s="147"/>
      <c r="T8" s="147"/>
      <c r="U8" s="147"/>
      <c r="V8" s="147"/>
      <c r="W8" s="147"/>
      <c r="X8" s="144"/>
      <c r="Y8" s="144"/>
      <c r="Z8" s="147"/>
      <c r="AA8" s="147"/>
      <c r="AB8" s="147"/>
      <c r="AC8" s="147"/>
      <c r="AD8" s="147"/>
      <c r="AE8" s="144"/>
      <c r="AF8" s="144"/>
      <c r="AG8" s="147"/>
      <c r="AH8" s="147"/>
      <c r="AI8" s="147"/>
      <c r="AJ8" s="147"/>
      <c r="AK8" s="147"/>
      <c r="AL8" s="157"/>
      <c r="AM8" s="144"/>
      <c r="AN8" s="147"/>
      <c r="AO8" s="147"/>
      <c r="AP8" s="147" t="s">
        <v>7</v>
      </c>
      <c r="AQ8" s="147"/>
      <c r="AR8" s="147"/>
      <c r="AS8" s="155"/>
      <c r="AT8" s="97">
        <f t="shared" si="7"/>
        <v>11</v>
      </c>
      <c r="AU8" s="96">
        <v>2</v>
      </c>
      <c r="AV8" s="96">
        <v>2</v>
      </c>
      <c r="AW8" s="98">
        <f t="shared" si="8"/>
        <v>0</v>
      </c>
      <c r="AX8" s="98">
        <f t="shared" si="9"/>
        <v>3</v>
      </c>
      <c r="AY8" s="98">
        <f t="shared" si="10"/>
        <v>6</v>
      </c>
      <c r="AZ8" s="98">
        <f t="shared" si="11"/>
        <v>3</v>
      </c>
      <c r="BA8" s="72">
        <f t="shared" si="12"/>
        <v>1</v>
      </c>
      <c r="BB8" s="72">
        <f t="shared" si="13"/>
        <v>0</v>
      </c>
      <c r="BC8" s="72">
        <f t="shared" si="14"/>
        <v>0</v>
      </c>
      <c r="BD8" s="72">
        <f t="shared" si="15"/>
        <v>0</v>
      </c>
      <c r="BE8" s="72">
        <f t="shared" si="16"/>
        <v>0</v>
      </c>
      <c r="BF8" s="72">
        <f t="shared" si="17"/>
        <v>0</v>
      </c>
      <c r="BG8" s="72">
        <f t="shared" si="18"/>
        <v>0</v>
      </c>
      <c r="BH8" s="72">
        <f t="shared" si="19"/>
        <v>0</v>
      </c>
      <c r="BI8" s="72">
        <f t="shared" si="20"/>
        <v>0</v>
      </c>
      <c r="BJ8" s="72" cm="1">
        <f t="array" ref="BJ8">SUMPRODUCT(1*ISNUMBER(FIND("R",J8:AN8)))</f>
        <v>2</v>
      </c>
      <c r="BK8" s="72" cm="1">
        <f t="array" ref="BK8">SUMPRODUCT(1*ISNUMBER(FIND("r",J8:AN8)))</f>
        <v>0</v>
      </c>
      <c r="BL8" s="72" cm="1">
        <f t="array" ref="BL8">SUMPRODUCT(1*ISNUMBER(FIND("P",J8:AN8)))-SUMPRODUCT(1*ISNUMBER(FIND("午P",G8:AK8)))</f>
        <v>0</v>
      </c>
      <c r="BM8" s="72">
        <f t="shared" si="21"/>
        <v>2</v>
      </c>
      <c r="BN8" s="72" cm="1">
        <f t="array" ref="BN8">SUMPRODUCT(1*ISNUMBER(FIND("R",D8:J8)))</f>
        <v>1</v>
      </c>
      <c r="BO8" s="72" cm="1">
        <f t="array" ref="BO8">SUMPRODUCT(1*ISNUMBER(FIND("R",K8:Q8)))</f>
        <v>1</v>
      </c>
      <c r="BP8" s="72" cm="1">
        <f t="array" ref="BP8">SUMPRODUCT(1*ISNUMBER(FIND("R",R8:X8)))</f>
        <v>1</v>
      </c>
      <c r="BQ8" s="72" cm="1">
        <f t="array" ref="BQ8">SUMPRODUCT(1*ISNUMBER(FIND("R",Y8:AE8)))</f>
        <v>0</v>
      </c>
      <c r="BR8" s="72" cm="1">
        <f t="array" ref="BR8">SUMPRODUCT(1*ISNUMBER(FIND("R",AF8:AL8)))</f>
        <v>0</v>
      </c>
      <c r="BS8" s="72" cm="1">
        <f t="array" ref="BS8">SUMPRODUCT(1*ISNUMBER(FIND("R",AM8:AS8)))</f>
        <v>1</v>
      </c>
      <c r="BT8" s="72">
        <f t="shared" si="22"/>
        <v>3</v>
      </c>
      <c r="BV8" s="88">
        <v>11</v>
      </c>
      <c r="BW8" s="88" cm="1">
        <f t="array" ref="BW8">SUMPRODUCT(1*ISNUMBER(FIND("P",K8:AL8)))-SUMPRODUCT(1*ISNUMBER(FIND("午P",K8:AL8)))</f>
        <v>0</v>
      </c>
      <c r="BY8" s="71"/>
      <c r="BZ8" s="71"/>
      <c r="CC8" s="71"/>
      <c r="CD8" s="71"/>
    </row>
    <row r="9" spans="1:82" s="71" customFormat="1" ht="39.75" customHeight="1" x14ac:dyDescent="0.25">
      <c r="A9" s="185"/>
      <c r="B9" s="73" t="s">
        <v>141</v>
      </c>
      <c r="C9" s="112" t="s">
        <v>161</v>
      </c>
      <c r="D9" s="106" t="s">
        <v>202</v>
      </c>
      <c r="E9" s="125" t="s">
        <v>201</v>
      </c>
      <c r="F9" s="125" t="s">
        <v>202</v>
      </c>
      <c r="G9" s="125" t="s">
        <v>62</v>
      </c>
      <c r="H9" s="132" t="s">
        <v>9</v>
      </c>
      <c r="I9" s="125" t="s">
        <v>62</v>
      </c>
      <c r="J9" s="125" t="s">
        <v>7</v>
      </c>
      <c r="K9" s="144" t="s">
        <v>216</v>
      </c>
      <c r="L9" s="147" t="s">
        <v>217</v>
      </c>
      <c r="M9" s="147" t="s">
        <v>218</v>
      </c>
      <c r="N9" s="147" t="s">
        <v>218</v>
      </c>
      <c r="O9" s="147" t="s">
        <v>218</v>
      </c>
      <c r="P9" s="147" t="s">
        <v>62</v>
      </c>
      <c r="Q9" s="144" t="s">
        <v>201</v>
      </c>
      <c r="R9" s="144" t="s">
        <v>202</v>
      </c>
      <c r="S9" s="147" t="s">
        <v>201</v>
      </c>
      <c r="T9" s="147" t="s">
        <v>202</v>
      </c>
      <c r="U9" s="147" t="s">
        <v>201</v>
      </c>
      <c r="V9" s="147" t="s">
        <v>202</v>
      </c>
      <c r="W9" s="147" t="s">
        <v>217</v>
      </c>
      <c r="X9" s="144" t="s">
        <v>211</v>
      </c>
      <c r="Y9" s="144" t="s">
        <v>217</v>
      </c>
      <c r="Z9" s="147" t="s">
        <v>201</v>
      </c>
      <c r="AA9" s="147" t="s">
        <v>202</v>
      </c>
      <c r="AB9" s="147" t="s">
        <v>201</v>
      </c>
      <c r="AC9" s="147" t="s">
        <v>202</v>
      </c>
      <c r="AD9" s="147" t="s">
        <v>201</v>
      </c>
      <c r="AE9" s="144" t="s">
        <v>202</v>
      </c>
      <c r="AF9" s="144" t="s">
        <v>201</v>
      </c>
      <c r="AG9" s="147" t="s">
        <v>217</v>
      </c>
      <c r="AH9" s="147" t="s">
        <v>202</v>
      </c>
      <c r="AI9" s="147" t="s">
        <v>201</v>
      </c>
      <c r="AJ9" s="147" t="s">
        <v>202</v>
      </c>
      <c r="AK9" s="147" t="s">
        <v>201</v>
      </c>
      <c r="AL9" s="157" t="s">
        <v>202</v>
      </c>
      <c r="AM9" s="144" t="s">
        <v>201</v>
      </c>
      <c r="AN9" s="147"/>
      <c r="AO9" s="147"/>
      <c r="AP9" s="147"/>
      <c r="AQ9" s="147"/>
      <c r="AR9" s="147"/>
      <c r="AS9" s="155"/>
      <c r="AT9" s="97">
        <f t="shared" si="7"/>
        <v>11</v>
      </c>
      <c r="AU9" s="96">
        <v>2</v>
      </c>
      <c r="AV9" s="96">
        <v>2</v>
      </c>
      <c r="AW9" s="98">
        <f t="shared" si="8"/>
        <v>2</v>
      </c>
      <c r="AX9" s="98">
        <f t="shared" si="9"/>
        <v>4</v>
      </c>
      <c r="AY9" s="98">
        <f t="shared" si="10"/>
        <v>4</v>
      </c>
      <c r="AZ9" s="98">
        <f t="shared" si="11"/>
        <v>2</v>
      </c>
      <c r="BA9" s="72">
        <f t="shared" si="12"/>
        <v>0</v>
      </c>
      <c r="BB9" s="72">
        <f t="shared" si="13"/>
        <v>0</v>
      </c>
      <c r="BC9" s="72">
        <f t="shared" si="14"/>
        <v>0</v>
      </c>
      <c r="BD9" s="72">
        <f t="shared" si="15"/>
        <v>0</v>
      </c>
      <c r="BE9" s="72">
        <f t="shared" si="16"/>
        <v>0</v>
      </c>
      <c r="BF9" s="72">
        <f t="shared" si="17"/>
        <v>19</v>
      </c>
      <c r="BG9" s="72">
        <f t="shared" si="18"/>
        <v>0</v>
      </c>
      <c r="BH9" s="72">
        <f t="shared" si="19"/>
        <v>0</v>
      </c>
      <c r="BI9" s="72">
        <f t="shared" si="20"/>
        <v>4</v>
      </c>
      <c r="BJ9" s="72" cm="1">
        <f t="array" ref="BJ9">SUMPRODUCT(1*ISNUMBER(FIND("R",J9:AN9)))</f>
        <v>5</v>
      </c>
      <c r="BK9" s="72" cm="1">
        <f t="array" ref="BK9">SUMPRODUCT(1*ISNUMBER(FIND("r",J9:AN9)))</f>
        <v>2</v>
      </c>
      <c r="BL9" s="72" cm="1">
        <f t="array" ref="BL9">SUMPRODUCT(1*ISNUMBER(FIND("P",J9:AN9)))-SUMPRODUCT(1*ISNUMBER(FIND("午P",G9:AK9)))</f>
        <v>0</v>
      </c>
      <c r="BM9" s="72">
        <f t="shared" si="21"/>
        <v>7</v>
      </c>
      <c r="BN9" s="72" cm="1">
        <f t="array" ref="BN9">SUMPRODUCT(1*ISNUMBER(FIND("R",D9:J9)))</f>
        <v>1</v>
      </c>
      <c r="BO9" s="72" cm="1">
        <f t="array" ref="BO9">SUMPRODUCT(1*ISNUMBER(FIND("R",K9:Q9)))</f>
        <v>1</v>
      </c>
      <c r="BP9" s="72" cm="1">
        <f t="array" ref="BP9">SUMPRODUCT(1*ISNUMBER(FIND("R",R9:X9)))</f>
        <v>1</v>
      </c>
      <c r="BQ9" s="72" cm="1">
        <f t="array" ref="BQ9">SUMPRODUCT(1*ISNUMBER(FIND("R",Y9:AE9)))</f>
        <v>1</v>
      </c>
      <c r="BR9" s="72" cm="1">
        <f t="array" ref="BR9">SUMPRODUCT(1*ISNUMBER(FIND("R",AF9:AL9)))</f>
        <v>1</v>
      </c>
      <c r="BS9" s="72" cm="1">
        <f t="array" ref="BS9">SUMPRODUCT(1*ISNUMBER(FIND("R",AM9:AS9)))</f>
        <v>0</v>
      </c>
      <c r="BT9" s="72">
        <f t="shared" si="22"/>
        <v>30</v>
      </c>
      <c r="BV9" s="88">
        <v>11</v>
      </c>
      <c r="BW9" s="88" cm="1">
        <f t="array" ref="BW9">SUMPRODUCT(1*ISNUMBER(FIND("P",K9:AL9)))-SUMPRODUCT(1*ISNUMBER(FIND("午P",K9:AL9)))</f>
        <v>0</v>
      </c>
    </row>
    <row r="10" spans="1:82" s="71" customFormat="1" ht="39.75" customHeight="1" x14ac:dyDescent="0.25">
      <c r="A10" s="185"/>
      <c r="B10" s="73" t="s">
        <v>194</v>
      </c>
      <c r="C10" s="112" t="s">
        <v>195</v>
      </c>
      <c r="D10" s="106" t="s">
        <v>62</v>
      </c>
      <c r="E10" s="125" t="s">
        <v>196</v>
      </c>
      <c r="F10" s="125" t="s">
        <v>197</v>
      </c>
      <c r="G10" s="125" t="s">
        <v>62</v>
      </c>
      <c r="H10" s="132" t="s">
        <v>196</v>
      </c>
      <c r="I10" s="125" t="s">
        <v>205</v>
      </c>
      <c r="J10" s="125" t="s">
        <v>7</v>
      </c>
      <c r="K10" s="144"/>
      <c r="L10" s="147"/>
      <c r="M10" s="147"/>
      <c r="N10" s="147"/>
      <c r="O10" s="147"/>
      <c r="P10" s="147"/>
      <c r="Q10" s="144"/>
      <c r="R10" s="144"/>
      <c r="S10" s="147"/>
      <c r="T10" s="147"/>
      <c r="U10" s="147"/>
      <c r="V10" s="147"/>
      <c r="W10" s="147"/>
      <c r="X10" s="144"/>
      <c r="Y10" s="144"/>
      <c r="Z10" s="147"/>
      <c r="AA10" s="147"/>
      <c r="AB10" s="147"/>
      <c r="AC10" s="147" t="s">
        <v>62</v>
      </c>
      <c r="AD10" s="147" t="s">
        <v>62</v>
      </c>
      <c r="AE10" s="144" t="s">
        <v>7</v>
      </c>
      <c r="AF10" s="144" t="s">
        <v>7</v>
      </c>
      <c r="AG10" s="147"/>
      <c r="AH10" s="147"/>
      <c r="AI10" s="147"/>
      <c r="AJ10" s="147"/>
      <c r="AK10" s="147"/>
      <c r="AL10" s="157"/>
      <c r="AM10" s="144"/>
      <c r="AN10" s="147"/>
      <c r="AO10" s="147"/>
      <c r="AP10" s="147"/>
      <c r="AQ10" s="147"/>
      <c r="AR10" s="147"/>
      <c r="AS10" s="155"/>
      <c r="AT10" s="97">
        <f t="shared" si="7"/>
        <v>11</v>
      </c>
      <c r="AU10" s="96">
        <v>2</v>
      </c>
      <c r="AV10" s="96">
        <v>2</v>
      </c>
      <c r="AW10" s="98">
        <f t="shared" ref="AW10:AW20" si="23">COUNTIF(K10:AS10,"r'*")</f>
        <v>2</v>
      </c>
      <c r="AX10" s="98">
        <f t="shared" ref="AX10:AX20" si="24">COUNTIF(K10:AS10,"R")</f>
        <v>2</v>
      </c>
      <c r="AY10" s="98">
        <f t="shared" ref="AY10:AY20" si="25">8-AU10-AW10</f>
        <v>4</v>
      </c>
      <c r="AZ10" s="98">
        <f t="shared" ref="AZ10:AZ20" si="26">8-AV10-AX10</f>
        <v>4</v>
      </c>
      <c r="BA10" s="72">
        <f t="shared" si="12"/>
        <v>0</v>
      </c>
      <c r="BB10" s="72">
        <f t="shared" si="13"/>
        <v>0</v>
      </c>
      <c r="BC10" s="72">
        <f t="shared" si="14"/>
        <v>0</v>
      </c>
      <c r="BD10" s="72">
        <f t="shared" si="15"/>
        <v>0</v>
      </c>
      <c r="BE10" s="72">
        <f t="shared" si="16"/>
        <v>0</v>
      </c>
      <c r="BF10" s="72">
        <f t="shared" si="17"/>
        <v>0</v>
      </c>
      <c r="BG10" s="72">
        <f t="shared" si="18"/>
        <v>0</v>
      </c>
      <c r="BH10" s="72">
        <f t="shared" si="19"/>
        <v>0</v>
      </c>
      <c r="BI10" s="72">
        <f t="shared" si="20"/>
        <v>0</v>
      </c>
      <c r="BJ10" s="72" cm="1">
        <f t="array" ref="BJ10">SUMPRODUCT(1*ISNUMBER(FIND("R",J10:AN10)))</f>
        <v>3</v>
      </c>
      <c r="BK10" s="72" cm="1">
        <f t="array" ref="BK10">SUMPRODUCT(1*ISNUMBER(FIND("r",J10:AN10)))</f>
        <v>2</v>
      </c>
      <c r="BL10" s="72" cm="1">
        <f t="array" ref="BL10">SUMPRODUCT(1*ISNUMBER(FIND("P",J10:AN10)))-SUMPRODUCT(1*ISNUMBER(FIND("午P",G10:AK10)))</f>
        <v>0</v>
      </c>
      <c r="BM10" s="72">
        <f t="shared" si="21"/>
        <v>5</v>
      </c>
      <c r="BN10" s="72" cm="1">
        <f t="array" ref="BN10">SUMPRODUCT(1*ISNUMBER(FIND("R",D10:J10)))</f>
        <v>1</v>
      </c>
      <c r="BO10" s="72" cm="1">
        <f t="array" ref="BO10">SUMPRODUCT(1*ISNUMBER(FIND("R",K10:Q10)))</f>
        <v>0</v>
      </c>
      <c r="BP10" s="72" cm="1">
        <f t="array" ref="BP10">SUMPRODUCT(1*ISNUMBER(FIND("R",R10:X10)))</f>
        <v>0</v>
      </c>
      <c r="BQ10" s="72" cm="1">
        <f t="array" ref="BQ10">SUMPRODUCT(1*ISNUMBER(FIND("R",Y10:AE10)))</f>
        <v>1</v>
      </c>
      <c r="BR10" s="72" cm="1">
        <f t="array" ref="BR10">SUMPRODUCT(1*ISNUMBER(FIND("R",AF10:AL10)))</f>
        <v>1</v>
      </c>
      <c r="BS10" s="72" cm="1">
        <f t="array" ref="BS10">SUMPRODUCT(1*ISNUMBER(FIND("R",AM10:AS10)))</f>
        <v>0</v>
      </c>
      <c r="BT10" s="72">
        <f t="shared" si="22"/>
        <v>5</v>
      </c>
      <c r="BV10" s="88">
        <v>11</v>
      </c>
      <c r="BW10" s="88"/>
    </row>
    <row r="11" spans="1:82" s="71" customFormat="1" ht="39.75" customHeight="1" x14ac:dyDescent="0.25">
      <c r="A11" s="185"/>
      <c r="B11" s="73" t="s">
        <v>169</v>
      </c>
      <c r="C11" s="112" t="s">
        <v>170</v>
      </c>
      <c r="D11" s="106" t="s">
        <v>197</v>
      </c>
      <c r="E11" s="125" t="s">
        <v>197</v>
      </c>
      <c r="F11" s="125" t="s">
        <v>196</v>
      </c>
      <c r="G11" s="125" t="s">
        <v>196</v>
      </c>
      <c r="H11" s="132" t="s">
        <v>7</v>
      </c>
      <c r="I11" s="125" t="s">
        <v>201</v>
      </c>
      <c r="J11" s="125" t="s">
        <v>202</v>
      </c>
      <c r="K11" s="144"/>
      <c r="L11" s="147"/>
      <c r="M11" s="147"/>
      <c r="N11" s="147" t="s">
        <v>210</v>
      </c>
      <c r="O11" s="147"/>
      <c r="P11" s="147" t="s">
        <v>7</v>
      </c>
      <c r="Q11" s="144"/>
      <c r="R11" s="144"/>
      <c r="S11" s="147"/>
      <c r="T11" s="147"/>
      <c r="U11" s="147"/>
      <c r="V11" s="147"/>
      <c r="W11" s="147"/>
      <c r="X11" s="144"/>
      <c r="Y11" s="144"/>
      <c r="Z11" s="147"/>
      <c r="AA11" s="147"/>
      <c r="AB11" s="147"/>
      <c r="AC11" s="147"/>
      <c r="AD11" s="147"/>
      <c r="AE11" s="144" t="s">
        <v>7</v>
      </c>
      <c r="AF11" s="144" t="s">
        <v>7</v>
      </c>
      <c r="AG11" s="147" t="s">
        <v>62</v>
      </c>
      <c r="AH11" s="147"/>
      <c r="AI11" s="147"/>
      <c r="AJ11" s="147"/>
      <c r="AK11" s="147"/>
      <c r="AL11" s="157"/>
      <c r="AM11" s="144"/>
      <c r="AN11" s="147"/>
      <c r="AO11" s="147"/>
      <c r="AP11" s="147"/>
      <c r="AQ11" s="147"/>
      <c r="AR11" s="147"/>
      <c r="AS11" s="155"/>
      <c r="AT11" s="97">
        <f t="shared" si="7"/>
        <v>11</v>
      </c>
      <c r="AU11" s="96">
        <v>3</v>
      </c>
      <c r="AV11" s="96">
        <v>2</v>
      </c>
      <c r="AW11" s="98">
        <f t="shared" si="23"/>
        <v>1</v>
      </c>
      <c r="AX11" s="98">
        <f t="shared" si="24"/>
        <v>3</v>
      </c>
      <c r="AY11" s="98">
        <f t="shared" si="25"/>
        <v>4</v>
      </c>
      <c r="AZ11" s="98">
        <f t="shared" si="26"/>
        <v>3</v>
      </c>
      <c r="BA11" s="72">
        <f t="shared" si="12"/>
        <v>0</v>
      </c>
      <c r="BB11" s="72">
        <f t="shared" si="13"/>
        <v>0</v>
      </c>
      <c r="BC11" s="72">
        <f t="shared" si="14"/>
        <v>0</v>
      </c>
      <c r="BD11" s="72">
        <f t="shared" si="15"/>
        <v>0</v>
      </c>
      <c r="BE11" s="72">
        <f t="shared" si="16"/>
        <v>0</v>
      </c>
      <c r="BF11" s="72">
        <f t="shared" si="17"/>
        <v>1</v>
      </c>
      <c r="BG11" s="72">
        <f t="shared" si="18"/>
        <v>0</v>
      </c>
      <c r="BH11" s="72">
        <f t="shared" si="19"/>
        <v>0</v>
      </c>
      <c r="BI11" s="72">
        <f t="shared" si="20"/>
        <v>0</v>
      </c>
      <c r="BJ11" s="72" cm="1">
        <f t="array" ref="BJ11">SUMPRODUCT(1*ISNUMBER(FIND("R",J11:AN11)))</f>
        <v>3</v>
      </c>
      <c r="BK11" s="72" cm="1">
        <f t="array" ref="BK11">SUMPRODUCT(1*ISNUMBER(FIND("r",J11:AN11)))</f>
        <v>1</v>
      </c>
      <c r="BL11" s="72" cm="1">
        <f t="array" ref="BL11">SUMPRODUCT(1*ISNUMBER(FIND("P",J11:AN11)))-SUMPRODUCT(1*ISNUMBER(FIND("午P",G11:AK11)))</f>
        <v>0</v>
      </c>
      <c r="BM11" s="72">
        <f t="shared" si="21"/>
        <v>4</v>
      </c>
      <c r="BN11" s="72" cm="1">
        <f t="array" ref="BN11">SUMPRODUCT(1*ISNUMBER(FIND("R",D11:J11)))</f>
        <v>1</v>
      </c>
      <c r="BO11" s="72" cm="1">
        <f t="array" ref="BO11">SUMPRODUCT(1*ISNUMBER(FIND("R",K11:Q11)))</f>
        <v>1</v>
      </c>
      <c r="BP11" s="72" cm="1">
        <f t="array" ref="BP11">SUMPRODUCT(1*ISNUMBER(FIND("R",R11:X11)))</f>
        <v>0</v>
      </c>
      <c r="BQ11" s="72" cm="1">
        <f t="array" ref="BQ11">SUMPRODUCT(1*ISNUMBER(FIND("R",Y11:AE11)))</f>
        <v>1</v>
      </c>
      <c r="BR11" s="72" cm="1">
        <f t="array" ref="BR11">SUMPRODUCT(1*ISNUMBER(FIND("R",AF11:AL11)))</f>
        <v>1</v>
      </c>
      <c r="BS11" s="72" cm="1">
        <f t="array" ref="BS11">SUMPRODUCT(1*ISNUMBER(FIND("R",AM11:AS11)))</f>
        <v>0</v>
      </c>
      <c r="BT11" s="72">
        <f t="shared" si="22"/>
        <v>5</v>
      </c>
      <c r="BV11" s="88">
        <v>11</v>
      </c>
      <c r="BW11" s="88" cm="1">
        <f t="array" ref="BW11">SUMPRODUCT(1*ISNUMBER(FIND("P",K11:AL11)))-SUMPRODUCT(1*ISNUMBER(FIND("午P",K11:AL11)))</f>
        <v>0</v>
      </c>
    </row>
    <row r="12" spans="1:82" s="71" customFormat="1" ht="39.75" customHeight="1" thickBot="1" x14ac:dyDescent="0.3">
      <c r="A12" s="185"/>
      <c r="B12" s="75" t="s">
        <v>171</v>
      </c>
      <c r="C12" s="113" t="s">
        <v>172</v>
      </c>
      <c r="D12" s="120" t="s">
        <v>198</v>
      </c>
      <c r="E12" s="104" t="s">
        <v>7</v>
      </c>
      <c r="F12" s="104" t="s">
        <v>198</v>
      </c>
      <c r="G12" s="104" t="s">
        <v>201</v>
      </c>
      <c r="H12" s="134" t="s">
        <v>202</v>
      </c>
      <c r="I12" s="104" t="s">
        <v>62</v>
      </c>
      <c r="J12" s="104" t="s">
        <v>62</v>
      </c>
      <c r="K12" s="149"/>
      <c r="L12" s="141"/>
      <c r="M12" s="141"/>
      <c r="N12" s="141"/>
      <c r="O12" s="141"/>
      <c r="P12" s="141"/>
      <c r="Q12" s="149"/>
      <c r="R12" s="149"/>
      <c r="S12" s="141"/>
      <c r="T12" s="141"/>
      <c r="U12" s="141"/>
      <c r="V12" s="141"/>
      <c r="W12" s="141"/>
      <c r="X12" s="149"/>
      <c r="Y12" s="149"/>
      <c r="Z12" s="141"/>
      <c r="AA12" s="141"/>
      <c r="AB12" s="141"/>
      <c r="AC12" s="141"/>
      <c r="AD12" s="141"/>
      <c r="AE12" s="149"/>
      <c r="AF12" s="149"/>
      <c r="AG12" s="141" t="s">
        <v>62</v>
      </c>
      <c r="AH12" s="141" t="s">
        <v>7</v>
      </c>
      <c r="AI12" s="141" t="s">
        <v>213</v>
      </c>
      <c r="AJ12" s="141" t="s">
        <v>62</v>
      </c>
      <c r="AK12" s="141"/>
      <c r="AL12" s="151"/>
      <c r="AM12" s="149"/>
      <c r="AN12" s="141"/>
      <c r="AO12" s="141"/>
      <c r="AP12" s="141"/>
      <c r="AQ12" s="141"/>
      <c r="AR12" s="141"/>
      <c r="AS12" s="156"/>
      <c r="AT12" s="97">
        <f t="shared" si="7"/>
        <v>12</v>
      </c>
      <c r="AU12" s="96">
        <v>3</v>
      </c>
      <c r="AV12" s="96">
        <v>2</v>
      </c>
      <c r="AW12" s="98">
        <f t="shared" si="23"/>
        <v>2</v>
      </c>
      <c r="AX12" s="98">
        <f t="shared" si="24"/>
        <v>1</v>
      </c>
      <c r="AY12" s="98">
        <f t="shared" si="25"/>
        <v>3</v>
      </c>
      <c r="AZ12" s="98">
        <f t="shared" si="26"/>
        <v>5</v>
      </c>
      <c r="BA12" s="72">
        <f t="shared" si="12"/>
        <v>0</v>
      </c>
      <c r="BB12" s="72">
        <f t="shared" si="13"/>
        <v>0</v>
      </c>
      <c r="BC12" s="72">
        <f t="shared" si="14"/>
        <v>0</v>
      </c>
      <c r="BD12" s="72">
        <f t="shared" si="15"/>
        <v>0</v>
      </c>
      <c r="BE12" s="72">
        <f t="shared" si="16"/>
        <v>0</v>
      </c>
      <c r="BF12" s="72">
        <f t="shared" si="17"/>
        <v>0</v>
      </c>
      <c r="BG12" s="72">
        <f t="shared" si="18"/>
        <v>0</v>
      </c>
      <c r="BH12" s="72">
        <f t="shared" si="19"/>
        <v>0</v>
      </c>
      <c r="BI12" s="72">
        <f t="shared" si="20"/>
        <v>0</v>
      </c>
      <c r="BJ12" s="72" cm="1">
        <f t="array" ref="BJ12">SUMPRODUCT(1*ISNUMBER(FIND("R",J12:AN12)))</f>
        <v>1</v>
      </c>
      <c r="BK12" s="72" cm="1">
        <f t="array" ref="BK12">SUMPRODUCT(1*ISNUMBER(FIND("r",J12:AN12)))</f>
        <v>3</v>
      </c>
      <c r="BL12" s="72" cm="1">
        <f t="array" ref="BL12">SUMPRODUCT(1*ISNUMBER(FIND("P",J12:AN12)))-SUMPRODUCT(1*ISNUMBER(FIND("午P",G12:AK12)))</f>
        <v>1</v>
      </c>
      <c r="BM12" s="72">
        <f t="shared" si="21"/>
        <v>5</v>
      </c>
      <c r="BN12" s="72" cm="1">
        <f t="array" ref="BN12">SUMPRODUCT(1*ISNUMBER(FIND("R",D12:J12)))</f>
        <v>1</v>
      </c>
      <c r="BO12" s="72" cm="1">
        <f t="array" ref="BO12">SUMPRODUCT(1*ISNUMBER(FIND("R",K12:Q12)))</f>
        <v>0</v>
      </c>
      <c r="BP12" s="72" cm="1">
        <f t="array" ref="BP12">SUMPRODUCT(1*ISNUMBER(FIND("R",R12:X12)))</f>
        <v>0</v>
      </c>
      <c r="BQ12" s="72" cm="1">
        <f t="array" ref="BQ12">SUMPRODUCT(1*ISNUMBER(FIND("R",Y12:AE12)))</f>
        <v>0</v>
      </c>
      <c r="BR12" s="72" cm="1">
        <f t="array" ref="BR12">SUMPRODUCT(1*ISNUMBER(FIND("R",AF12:AL12)))</f>
        <v>1</v>
      </c>
      <c r="BS12" s="72" cm="1">
        <f t="array" ref="BS12">SUMPRODUCT(1*ISNUMBER(FIND("R",AM12:AS12)))</f>
        <v>0</v>
      </c>
      <c r="BT12" s="72">
        <f t="shared" si="22"/>
        <v>5</v>
      </c>
      <c r="BV12" s="88">
        <v>11</v>
      </c>
      <c r="BW12" s="88" cm="1">
        <f t="array" ref="BW12">SUMPRODUCT(1*ISNUMBER(FIND("P",K12:AL12)))-SUMPRODUCT(1*ISNUMBER(FIND("午P",K12:AL12)))</f>
        <v>1</v>
      </c>
    </row>
    <row r="13" spans="1:82" s="36" customFormat="1" ht="39.75" customHeight="1" thickTop="1" x14ac:dyDescent="0.25">
      <c r="A13" s="185"/>
      <c r="B13" s="49" t="s">
        <v>135</v>
      </c>
      <c r="C13" s="114" t="s">
        <v>136</v>
      </c>
      <c r="D13" s="118" t="s">
        <v>152</v>
      </c>
      <c r="E13" s="102" t="s">
        <v>62</v>
      </c>
      <c r="F13" s="102" t="s">
        <v>205</v>
      </c>
      <c r="G13" s="102" t="s">
        <v>206</v>
      </c>
      <c r="H13" s="133" t="s">
        <v>7</v>
      </c>
      <c r="I13" s="102" t="s">
        <v>205</v>
      </c>
      <c r="J13" s="102" t="s">
        <v>206</v>
      </c>
      <c r="K13" s="145"/>
      <c r="L13" s="148"/>
      <c r="M13" s="148"/>
      <c r="N13" s="148"/>
      <c r="O13" s="148"/>
      <c r="P13" s="148" t="s">
        <v>6</v>
      </c>
      <c r="Q13" s="145" t="s">
        <v>7</v>
      </c>
      <c r="R13" s="145"/>
      <c r="S13" s="148"/>
      <c r="T13" s="148"/>
      <c r="U13" s="148"/>
      <c r="V13" s="148"/>
      <c r="W13" s="148"/>
      <c r="X13" s="145"/>
      <c r="Y13" s="145"/>
      <c r="Z13" s="148"/>
      <c r="AA13" s="148"/>
      <c r="AB13" s="148"/>
      <c r="AC13" s="148"/>
      <c r="AD13" s="148" t="s">
        <v>62</v>
      </c>
      <c r="AE13" s="145" t="s">
        <v>7</v>
      </c>
      <c r="AF13" s="145"/>
      <c r="AG13" s="148"/>
      <c r="AH13" s="148"/>
      <c r="AI13" s="148"/>
      <c r="AJ13" s="148"/>
      <c r="AK13" s="148"/>
      <c r="AL13" s="150"/>
      <c r="AM13" s="145"/>
      <c r="AN13" s="148"/>
      <c r="AO13" s="148"/>
      <c r="AP13" s="148"/>
      <c r="AQ13" s="148"/>
      <c r="AR13" s="148"/>
      <c r="AS13" s="159"/>
      <c r="AT13" s="97">
        <f t="shared" si="7"/>
        <v>10</v>
      </c>
      <c r="AU13" s="96">
        <v>2</v>
      </c>
      <c r="AV13" s="96">
        <v>2</v>
      </c>
      <c r="AW13" s="98">
        <f t="shared" si="23"/>
        <v>1</v>
      </c>
      <c r="AX13" s="98">
        <f t="shared" si="24"/>
        <v>2</v>
      </c>
      <c r="AY13" s="98">
        <f t="shared" si="25"/>
        <v>5</v>
      </c>
      <c r="AZ13" s="98">
        <f t="shared" si="26"/>
        <v>4</v>
      </c>
      <c r="BA13" s="72">
        <f t="shared" si="12"/>
        <v>0</v>
      </c>
      <c r="BB13" s="72">
        <f t="shared" si="13"/>
        <v>0</v>
      </c>
      <c r="BC13" s="72">
        <f t="shared" si="14"/>
        <v>0</v>
      </c>
      <c r="BD13" s="72">
        <f t="shared" si="15"/>
        <v>1</v>
      </c>
      <c r="BE13" s="72">
        <f t="shared" si="16"/>
        <v>0</v>
      </c>
      <c r="BF13" s="72">
        <f t="shared" si="17"/>
        <v>0</v>
      </c>
      <c r="BG13" s="72">
        <f t="shared" si="18"/>
        <v>0</v>
      </c>
      <c r="BH13" s="72">
        <f t="shared" si="19"/>
        <v>0</v>
      </c>
      <c r="BI13" s="72">
        <f t="shared" si="20"/>
        <v>1</v>
      </c>
      <c r="BJ13" s="72" cm="1">
        <f t="array" ref="BJ13">SUMPRODUCT(1*ISNUMBER(FIND("R",J13:AN13)))</f>
        <v>2</v>
      </c>
      <c r="BK13" s="72" cm="1">
        <f t="array" ref="BK13">SUMPRODUCT(1*ISNUMBER(FIND("r",J13:AN13)))</f>
        <v>1</v>
      </c>
      <c r="BL13" s="72" cm="1">
        <f t="array" ref="BL13">SUMPRODUCT(1*ISNUMBER(FIND("P",J13:AN13)))-SUMPRODUCT(1*ISNUMBER(FIND("午P",G13:AK13)))</f>
        <v>0</v>
      </c>
      <c r="BM13" s="72">
        <f t="shared" si="21"/>
        <v>3</v>
      </c>
      <c r="BN13" s="72" cm="1">
        <f t="array" ref="BN13">SUMPRODUCT(1*ISNUMBER(FIND("R",D13:J13)))</f>
        <v>1</v>
      </c>
      <c r="BO13" s="72" cm="1">
        <f t="array" ref="BO13">SUMPRODUCT(1*ISNUMBER(FIND("R",K13:Q13)))</f>
        <v>1</v>
      </c>
      <c r="BP13" s="72" cm="1">
        <f t="array" ref="BP13">SUMPRODUCT(1*ISNUMBER(FIND("R",R13:X13)))</f>
        <v>0</v>
      </c>
      <c r="BQ13" s="72" cm="1">
        <f t="array" ref="BQ13">SUMPRODUCT(1*ISNUMBER(FIND("R",Y13:AE13)))</f>
        <v>1</v>
      </c>
      <c r="BR13" s="72" cm="1">
        <f t="array" ref="BR13">SUMPRODUCT(1*ISNUMBER(FIND("R",AF13:AL13)))</f>
        <v>0</v>
      </c>
      <c r="BS13" s="72" cm="1">
        <f t="array" ref="BS13">SUMPRODUCT(1*ISNUMBER(FIND("R",AM13:AS13)))</f>
        <v>0</v>
      </c>
      <c r="BT13" s="72">
        <f t="shared" si="22"/>
        <v>5</v>
      </c>
      <c r="BV13" s="95">
        <v>10</v>
      </c>
      <c r="BW13" s="88" cm="1">
        <f t="array" ref="BW13">SUMPRODUCT(1*ISNUMBER(FIND("P",K13:AL13)))-SUMPRODUCT(1*ISNUMBER(FIND("午P",K13:AL13)))</f>
        <v>0</v>
      </c>
      <c r="BY13" s="71"/>
      <c r="BZ13" s="71"/>
      <c r="CC13" s="71"/>
      <c r="CD13" s="71"/>
    </row>
    <row r="14" spans="1:82" s="36" customFormat="1" ht="39.75" customHeight="1" x14ac:dyDescent="0.25">
      <c r="A14" s="185"/>
      <c r="B14" s="76" t="s">
        <v>16</v>
      </c>
      <c r="C14" s="111" t="s">
        <v>17</v>
      </c>
      <c r="D14" s="106" t="s">
        <v>207</v>
      </c>
      <c r="E14" s="125" t="s">
        <v>203</v>
      </c>
      <c r="F14" s="125" t="s">
        <v>207</v>
      </c>
      <c r="G14" s="125" t="s">
        <v>208</v>
      </c>
      <c r="H14" s="132" t="s">
        <v>207</v>
      </c>
      <c r="I14" s="125" t="s">
        <v>7</v>
      </c>
      <c r="J14" s="125" t="s">
        <v>203</v>
      </c>
      <c r="K14" s="144"/>
      <c r="L14" s="147"/>
      <c r="M14" s="147"/>
      <c r="N14" s="147" t="s">
        <v>203</v>
      </c>
      <c r="O14" s="147"/>
      <c r="P14" s="147"/>
      <c r="Q14" s="144" t="s">
        <v>207</v>
      </c>
      <c r="R14" s="144"/>
      <c r="S14" s="147"/>
      <c r="T14" s="147"/>
      <c r="U14" s="147" t="s">
        <v>203</v>
      </c>
      <c r="V14" s="147"/>
      <c r="W14" s="147"/>
      <c r="X14" s="144" t="s">
        <v>207</v>
      </c>
      <c r="Y14" s="144" t="s">
        <v>7</v>
      </c>
      <c r="Z14" s="147" t="s">
        <v>62</v>
      </c>
      <c r="AA14" s="147"/>
      <c r="AB14" s="147" t="s">
        <v>203</v>
      </c>
      <c r="AC14" s="147"/>
      <c r="AD14" s="147"/>
      <c r="AE14" s="144"/>
      <c r="AF14" s="144"/>
      <c r="AG14" s="147"/>
      <c r="AH14" s="147"/>
      <c r="AI14" s="147" t="s">
        <v>214</v>
      </c>
      <c r="AJ14" s="147"/>
      <c r="AK14" s="147"/>
      <c r="AL14" s="157"/>
      <c r="AM14" s="144"/>
      <c r="AN14" s="147" t="s">
        <v>7</v>
      </c>
      <c r="AO14" s="147"/>
      <c r="AP14" s="147"/>
      <c r="AQ14" s="147"/>
      <c r="AR14" s="147"/>
      <c r="AS14" s="155" t="s">
        <v>62</v>
      </c>
      <c r="AT14" s="97">
        <f t="shared" si="7"/>
        <v>10</v>
      </c>
      <c r="AU14" s="96">
        <v>2</v>
      </c>
      <c r="AV14" s="96">
        <v>2</v>
      </c>
      <c r="AW14" s="98">
        <f t="shared" si="23"/>
        <v>2</v>
      </c>
      <c r="AX14" s="98">
        <f t="shared" si="24"/>
        <v>2</v>
      </c>
      <c r="AY14" s="98">
        <f t="shared" si="25"/>
        <v>4</v>
      </c>
      <c r="AZ14" s="98">
        <f t="shared" si="26"/>
        <v>4</v>
      </c>
      <c r="BA14" s="72">
        <f t="shared" si="12"/>
        <v>7</v>
      </c>
      <c r="BB14" s="72">
        <f t="shared" si="13"/>
        <v>0</v>
      </c>
      <c r="BC14" s="72">
        <f t="shared" si="14"/>
        <v>0</v>
      </c>
      <c r="BD14" s="72">
        <f t="shared" si="15"/>
        <v>0</v>
      </c>
      <c r="BE14" s="72">
        <f t="shared" si="16"/>
        <v>0</v>
      </c>
      <c r="BF14" s="72">
        <f t="shared" si="17"/>
        <v>0</v>
      </c>
      <c r="BG14" s="72">
        <f t="shared" si="18"/>
        <v>0</v>
      </c>
      <c r="BH14" s="72">
        <f t="shared" si="19"/>
        <v>0</v>
      </c>
      <c r="BI14" s="72">
        <f t="shared" si="20"/>
        <v>0</v>
      </c>
      <c r="BJ14" s="72" cm="1">
        <f t="array" ref="BJ14">SUMPRODUCT(1*ISNUMBER(FIND("R",J14:AN14)))</f>
        <v>2</v>
      </c>
      <c r="BK14" s="72" cm="1">
        <f t="array" ref="BK14">SUMPRODUCT(1*ISNUMBER(FIND("r",J14:AN14)))</f>
        <v>1</v>
      </c>
      <c r="BL14" s="72" cm="1">
        <f t="array" ref="BL14">SUMPRODUCT(1*ISNUMBER(FIND("P",J14:AN14)))-SUMPRODUCT(1*ISNUMBER(FIND("午P",G14:AK14)))</f>
        <v>0</v>
      </c>
      <c r="BM14" s="72">
        <f t="shared" si="21"/>
        <v>3</v>
      </c>
      <c r="BN14" s="72" cm="1">
        <f t="array" ref="BN14">SUMPRODUCT(1*ISNUMBER(FIND("R",D14:J14)))</f>
        <v>1</v>
      </c>
      <c r="BO14" s="72" cm="1">
        <f t="array" ref="BO14">SUMPRODUCT(1*ISNUMBER(FIND("R",K14:Q14)))</f>
        <v>0</v>
      </c>
      <c r="BP14" s="72" cm="1">
        <f t="array" ref="BP14">SUMPRODUCT(1*ISNUMBER(FIND("R",R14:X14)))</f>
        <v>0</v>
      </c>
      <c r="BQ14" s="72" cm="1">
        <f t="array" ref="BQ14">SUMPRODUCT(1*ISNUMBER(FIND("R",Y14:AE14)))</f>
        <v>1</v>
      </c>
      <c r="BR14" s="72" cm="1">
        <f t="array" ref="BR14">SUMPRODUCT(1*ISNUMBER(FIND("R",AF14:AL14)))</f>
        <v>0</v>
      </c>
      <c r="BS14" s="72" cm="1">
        <f t="array" ref="BS14">SUMPRODUCT(1*ISNUMBER(FIND("R",AM14:AS14)))</f>
        <v>1</v>
      </c>
      <c r="BT14" s="72">
        <f t="shared" si="22"/>
        <v>10</v>
      </c>
      <c r="BV14" s="88">
        <v>10</v>
      </c>
      <c r="BW14" s="88" cm="1">
        <f t="array" ref="BW14">SUMPRODUCT(1*ISNUMBER(FIND("P",K14:AL14)))-SUMPRODUCT(1*ISNUMBER(FIND("午P",K14:AL14)))</f>
        <v>0</v>
      </c>
      <c r="BY14" s="71"/>
      <c r="BZ14" s="71"/>
      <c r="CC14" s="71"/>
      <c r="CD14" s="71"/>
    </row>
    <row r="15" spans="1:82" s="36" customFormat="1" ht="39.75" customHeight="1" x14ac:dyDescent="0.25">
      <c r="A15" s="185"/>
      <c r="B15" s="76" t="s">
        <v>137</v>
      </c>
      <c r="C15" s="111" t="s">
        <v>18</v>
      </c>
      <c r="D15" s="106" t="s">
        <v>7</v>
      </c>
      <c r="E15" s="125" t="s">
        <v>6</v>
      </c>
      <c r="F15" s="125" t="s">
        <v>62</v>
      </c>
      <c r="G15" s="125" t="s">
        <v>209</v>
      </c>
      <c r="H15" s="132" t="s">
        <v>203</v>
      </c>
      <c r="I15" s="125" t="s">
        <v>207</v>
      </c>
      <c r="J15" s="125" t="s">
        <v>207</v>
      </c>
      <c r="K15" s="144" t="s">
        <v>62</v>
      </c>
      <c r="L15" s="147" t="s">
        <v>7</v>
      </c>
      <c r="M15" s="147"/>
      <c r="N15" s="147"/>
      <c r="O15" s="147"/>
      <c r="P15" s="147"/>
      <c r="Q15" s="144"/>
      <c r="R15" s="144" t="s">
        <v>62</v>
      </c>
      <c r="S15" s="147" t="s">
        <v>7</v>
      </c>
      <c r="T15" s="147"/>
      <c r="U15" s="147"/>
      <c r="V15" s="147"/>
      <c r="W15" s="147"/>
      <c r="X15" s="144"/>
      <c r="Y15" s="144" t="s">
        <v>62</v>
      </c>
      <c r="Z15" s="147" t="s">
        <v>7</v>
      </c>
      <c r="AA15" s="147"/>
      <c r="AB15" s="147"/>
      <c r="AC15" s="147"/>
      <c r="AD15" s="147"/>
      <c r="AE15" s="144" t="s">
        <v>6</v>
      </c>
      <c r="AF15" s="144" t="s">
        <v>6</v>
      </c>
      <c r="AG15" s="147" t="s">
        <v>7</v>
      </c>
      <c r="AH15" s="147"/>
      <c r="AI15" s="147"/>
      <c r="AJ15" s="147"/>
      <c r="AK15" s="147"/>
      <c r="AL15" s="157"/>
      <c r="AM15" s="144" t="s">
        <v>62</v>
      </c>
      <c r="AN15" s="147" t="s">
        <v>7</v>
      </c>
      <c r="AO15" s="147"/>
      <c r="AP15" s="147"/>
      <c r="AQ15" s="147"/>
      <c r="AR15" s="147"/>
      <c r="AS15" s="155"/>
      <c r="AT15" s="97">
        <f t="shared" si="7"/>
        <v>11</v>
      </c>
      <c r="AU15" s="96">
        <v>2</v>
      </c>
      <c r="AV15" s="96">
        <v>2</v>
      </c>
      <c r="AW15" s="98">
        <f t="shared" si="23"/>
        <v>4</v>
      </c>
      <c r="AX15" s="98">
        <f t="shared" si="24"/>
        <v>5</v>
      </c>
      <c r="AY15" s="98">
        <f t="shared" si="25"/>
        <v>2</v>
      </c>
      <c r="AZ15" s="98">
        <f t="shared" si="26"/>
        <v>1</v>
      </c>
      <c r="BA15" s="72">
        <f t="shared" si="12"/>
        <v>1</v>
      </c>
      <c r="BB15" s="72">
        <f t="shared" si="13"/>
        <v>0</v>
      </c>
      <c r="BC15" s="72">
        <f t="shared" si="14"/>
        <v>0</v>
      </c>
      <c r="BD15" s="72">
        <f t="shared" si="15"/>
        <v>0</v>
      </c>
      <c r="BE15" s="72">
        <f t="shared" si="16"/>
        <v>0</v>
      </c>
      <c r="BF15" s="72">
        <f t="shared" si="17"/>
        <v>0</v>
      </c>
      <c r="BG15" s="72">
        <f t="shared" si="18"/>
        <v>0</v>
      </c>
      <c r="BH15" s="72">
        <f t="shared" si="19"/>
        <v>0</v>
      </c>
      <c r="BI15" s="72">
        <f t="shared" si="20"/>
        <v>2</v>
      </c>
      <c r="BJ15" s="72" cm="1">
        <f t="array" ref="BJ15">SUMPRODUCT(1*ISNUMBER(FIND("R",J15:AN15)))</f>
        <v>5</v>
      </c>
      <c r="BK15" s="72" cm="1">
        <f t="array" ref="BK15">SUMPRODUCT(1*ISNUMBER(FIND("r",J15:AN15)))</f>
        <v>4</v>
      </c>
      <c r="BL15" s="72" cm="1">
        <f t="array" ref="BL15">SUMPRODUCT(1*ISNUMBER(FIND("P",J15:AN15)))-SUMPRODUCT(1*ISNUMBER(FIND("午P",G15:AK15)))</f>
        <v>0</v>
      </c>
      <c r="BM15" s="72">
        <f t="shared" si="21"/>
        <v>9</v>
      </c>
      <c r="BN15" s="72" cm="1">
        <f t="array" ref="BN15">SUMPRODUCT(1*ISNUMBER(FIND("R",D15:J15)))</f>
        <v>1</v>
      </c>
      <c r="BO15" s="72" cm="1">
        <f t="array" ref="BO15">SUMPRODUCT(1*ISNUMBER(FIND("R",K15:Q15)))</f>
        <v>1</v>
      </c>
      <c r="BP15" s="72" cm="1">
        <f t="array" ref="BP15">SUMPRODUCT(1*ISNUMBER(FIND("R",R15:X15)))</f>
        <v>1</v>
      </c>
      <c r="BQ15" s="72" cm="1">
        <f t="array" ref="BQ15">SUMPRODUCT(1*ISNUMBER(FIND("R",Y15:AE15)))</f>
        <v>1</v>
      </c>
      <c r="BR15" s="72" cm="1">
        <f t="array" ref="BR15">SUMPRODUCT(1*ISNUMBER(FIND("R",AF15:AL15)))</f>
        <v>1</v>
      </c>
      <c r="BS15" s="72" cm="1">
        <f t="array" ref="BS15">SUMPRODUCT(1*ISNUMBER(FIND("R",AM15:AS15)))</f>
        <v>1</v>
      </c>
      <c r="BT15" s="72">
        <f t="shared" si="22"/>
        <v>12</v>
      </c>
      <c r="BV15" s="88">
        <v>11</v>
      </c>
      <c r="BW15" s="88" cm="1">
        <f t="array" ref="BW15">SUMPRODUCT(1*ISNUMBER(FIND("P",K15:AL15)))-SUMPRODUCT(1*ISNUMBER(FIND("午P",K15:AL15)))</f>
        <v>0</v>
      </c>
      <c r="BY15" s="71"/>
      <c r="BZ15" s="71"/>
      <c r="CC15" s="71"/>
      <c r="CD15" s="71"/>
    </row>
    <row r="16" spans="1:82" s="71" customFormat="1" ht="39.75" customHeight="1" x14ac:dyDescent="0.25">
      <c r="A16" s="185"/>
      <c r="B16" s="73" t="s">
        <v>54</v>
      </c>
      <c r="C16" s="105" t="s">
        <v>55</v>
      </c>
      <c r="D16" s="106" t="s">
        <v>6</v>
      </c>
      <c r="E16" s="125" t="s">
        <v>7</v>
      </c>
      <c r="F16" s="125" t="s">
        <v>203</v>
      </c>
      <c r="G16" s="125" t="s">
        <v>208</v>
      </c>
      <c r="H16" s="132" t="s">
        <v>207</v>
      </c>
      <c r="I16" s="125" t="s">
        <v>62</v>
      </c>
      <c r="J16" s="125" t="s">
        <v>6</v>
      </c>
      <c r="K16" s="144" t="s">
        <v>62</v>
      </c>
      <c r="L16" s="147" t="s">
        <v>7</v>
      </c>
      <c r="M16" s="147"/>
      <c r="N16" s="147"/>
      <c r="O16" s="147"/>
      <c r="P16" s="147"/>
      <c r="Q16" s="144"/>
      <c r="R16" s="144"/>
      <c r="S16" s="147"/>
      <c r="T16" s="147"/>
      <c r="U16" s="147"/>
      <c r="V16" s="147"/>
      <c r="W16" s="147" t="s">
        <v>62</v>
      </c>
      <c r="X16" s="144" t="s">
        <v>7</v>
      </c>
      <c r="Y16" s="144"/>
      <c r="Z16" s="147"/>
      <c r="AA16" s="147"/>
      <c r="AB16" s="147"/>
      <c r="AC16" s="147"/>
      <c r="AD16" s="147"/>
      <c r="AE16" s="144"/>
      <c r="AF16" s="144"/>
      <c r="AG16" s="147"/>
      <c r="AH16" s="147"/>
      <c r="AI16" s="147"/>
      <c r="AJ16" s="147"/>
      <c r="AK16" s="147"/>
      <c r="AL16" s="157"/>
      <c r="AM16" s="144"/>
      <c r="AN16" s="147"/>
      <c r="AO16" s="147"/>
      <c r="AP16" s="147"/>
      <c r="AQ16" s="147"/>
      <c r="AR16" s="147"/>
      <c r="AS16" s="155"/>
      <c r="AT16" s="97">
        <f t="shared" si="7"/>
        <v>11</v>
      </c>
      <c r="AU16" s="96">
        <v>2</v>
      </c>
      <c r="AV16" s="96">
        <v>2</v>
      </c>
      <c r="AW16" s="98">
        <f t="shared" si="23"/>
        <v>2</v>
      </c>
      <c r="AX16" s="98">
        <f t="shared" si="24"/>
        <v>2</v>
      </c>
      <c r="AY16" s="98">
        <f t="shared" si="25"/>
        <v>4</v>
      </c>
      <c r="AZ16" s="98">
        <f t="shared" si="26"/>
        <v>4</v>
      </c>
      <c r="BA16" s="72">
        <f t="shared" si="12"/>
        <v>0</v>
      </c>
      <c r="BB16" s="72">
        <f t="shared" si="13"/>
        <v>0</v>
      </c>
      <c r="BC16" s="72">
        <f t="shared" si="14"/>
        <v>0</v>
      </c>
      <c r="BD16" s="72">
        <f t="shared" si="15"/>
        <v>0</v>
      </c>
      <c r="BE16" s="72">
        <f t="shared" si="16"/>
        <v>0</v>
      </c>
      <c r="BF16" s="72">
        <f t="shared" si="17"/>
        <v>0</v>
      </c>
      <c r="BG16" s="72">
        <f t="shared" si="18"/>
        <v>0</v>
      </c>
      <c r="BH16" s="72">
        <f t="shared" si="19"/>
        <v>0</v>
      </c>
      <c r="BI16" s="72">
        <f t="shared" si="20"/>
        <v>1</v>
      </c>
      <c r="BJ16" s="72" cm="1">
        <f t="array" ref="BJ16">SUMPRODUCT(1*ISNUMBER(FIND("R",J16:AN16)))</f>
        <v>2</v>
      </c>
      <c r="BK16" s="72" cm="1">
        <f t="array" ref="BK16">SUMPRODUCT(1*ISNUMBER(FIND("r",J16:AN16)))</f>
        <v>2</v>
      </c>
      <c r="BL16" s="72" cm="1">
        <f t="array" ref="BL16">SUMPRODUCT(1*ISNUMBER(FIND("P",J16:AN16)))-SUMPRODUCT(1*ISNUMBER(FIND("午P",G16:AK16)))</f>
        <v>0</v>
      </c>
      <c r="BM16" s="72">
        <f t="shared" si="21"/>
        <v>4</v>
      </c>
      <c r="BN16" s="72" cm="1">
        <f t="array" ref="BN16">SUMPRODUCT(1*ISNUMBER(FIND("R",D16:J16)))</f>
        <v>1</v>
      </c>
      <c r="BO16" s="72" cm="1">
        <f t="array" ref="BO16">SUMPRODUCT(1*ISNUMBER(FIND("R",K16:Q16)))</f>
        <v>1</v>
      </c>
      <c r="BP16" s="72" cm="1">
        <f t="array" ref="BP16">SUMPRODUCT(1*ISNUMBER(FIND("R",R16:X16)))</f>
        <v>1</v>
      </c>
      <c r="BQ16" s="72" cm="1">
        <f t="array" ref="BQ16">SUMPRODUCT(1*ISNUMBER(FIND("R",Y16:AE16)))</f>
        <v>0</v>
      </c>
      <c r="BR16" s="72" cm="1">
        <f t="array" ref="BR16">SUMPRODUCT(1*ISNUMBER(FIND("R",AF16:AL16)))</f>
        <v>0</v>
      </c>
      <c r="BS16" s="72" cm="1">
        <f t="array" ref="BS16">SUMPRODUCT(1*ISNUMBER(FIND("R",AM16:AS16)))</f>
        <v>0</v>
      </c>
      <c r="BT16" s="72">
        <f t="shared" si="22"/>
        <v>5</v>
      </c>
      <c r="BV16" s="88">
        <v>11</v>
      </c>
      <c r="BW16" s="88" cm="1">
        <f t="array" ref="BW16">SUMPRODUCT(1*ISNUMBER(FIND("P",K16:AL16)))-SUMPRODUCT(1*ISNUMBER(FIND("午P",K16:AL16)))</f>
        <v>0</v>
      </c>
    </row>
    <row r="17" spans="1:82" s="36" customFormat="1" ht="39.75" customHeight="1" x14ac:dyDescent="0.25">
      <c r="A17" s="185"/>
      <c r="B17" s="76" t="s">
        <v>21</v>
      </c>
      <c r="C17" s="111" t="s">
        <v>22</v>
      </c>
      <c r="D17" s="106" t="s">
        <v>206</v>
      </c>
      <c r="E17" s="125" t="s">
        <v>205</v>
      </c>
      <c r="F17" s="125" t="s">
        <v>9</v>
      </c>
      <c r="G17" s="125" t="s">
        <v>205</v>
      </c>
      <c r="H17" s="132" t="s">
        <v>205</v>
      </c>
      <c r="I17" s="125" t="s">
        <v>62</v>
      </c>
      <c r="J17" s="125" t="s">
        <v>7</v>
      </c>
      <c r="K17" s="144" t="s">
        <v>62</v>
      </c>
      <c r="L17" s="147" t="s">
        <v>7</v>
      </c>
      <c r="M17" s="147" t="s">
        <v>62</v>
      </c>
      <c r="N17" s="147"/>
      <c r="O17" s="147"/>
      <c r="P17" s="147"/>
      <c r="Q17" s="144"/>
      <c r="R17" s="144"/>
      <c r="S17" s="147"/>
      <c r="T17" s="147"/>
      <c r="U17" s="147"/>
      <c r="V17" s="143"/>
      <c r="W17" s="147"/>
      <c r="X17" s="153"/>
      <c r="Y17" s="153" t="s">
        <v>7</v>
      </c>
      <c r="Z17" s="143" t="s">
        <v>215</v>
      </c>
      <c r="AA17" s="147"/>
      <c r="AB17" s="147"/>
      <c r="AC17" s="147"/>
      <c r="AD17" s="147"/>
      <c r="AE17" s="144"/>
      <c r="AF17" s="144"/>
      <c r="AG17" s="147"/>
      <c r="AH17" s="147"/>
      <c r="AI17" s="147"/>
      <c r="AJ17" s="147"/>
      <c r="AK17" s="147"/>
      <c r="AL17" s="157"/>
      <c r="AM17" s="144"/>
      <c r="AN17" s="147"/>
      <c r="AO17" s="147"/>
      <c r="AP17" s="147"/>
      <c r="AQ17" s="147"/>
      <c r="AR17" s="147" t="s">
        <v>7</v>
      </c>
      <c r="AS17" s="155" t="s">
        <v>62</v>
      </c>
      <c r="AT17" s="97">
        <f t="shared" si="7"/>
        <v>11</v>
      </c>
      <c r="AU17" s="96">
        <v>2</v>
      </c>
      <c r="AV17" s="96">
        <v>2</v>
      </c>
      <c r="AW17" s="98">
        <f t="shared" si="23"/>
        <v>3</v>
      </c>
      <c r="AX17" s="98">
        <f t="shared" si="24"/>
        <v>3</v>
      </c>
      <c r="AY17" s="98">
        <f t="shared" si="25"/>
        <v>3</v>
      </c>
      <c r="AZ17" s="98">
        <f t="shared" si="26"/>
        <v>3</v>
      </c>
      <c r="BA17" s="72">
        <f t="shared" si="12"/>
        <v>0</v>
      </c>
      <c r="BB17" s="72">
        <f t="shared" si="13"/>
        <v>0</v>
      </c>
      <c r="BC17" s="72">
        <f t="shared" si="14"/>
        <v>0</v>
      </c>
      <c r="BD17" s="72">
        <f t="shared" si="15"/>
        <v>1</v>
      </c>
      <c r="BE17" s="72">
        <f t="shared" si="16"/>
        <v>0</v>
      </c>
      <c r="BF17" s="72">
        <f t="shared" si="17"/>
        <v>0</v>
      </c>
      <c r="BG17" s="72">
        <f t="shared" si="18"/>
        <v>0</v>
      </c>
      <c r="BH17" s="72">
        <f t="shared" si="19"/>
        <v>0</v>
      </c>
      <c r="BI17" s="72">
        <f t="shared" si="20"/>
        <v>0</v>
      </c>
      <c r="BJ17" s="72" cm="1">
        <f t="array" ref="BJ17">SUMPRODUCT(1*ISNUMBER(FIND("R",J17:AN17)))</f>
        <v>3</v>
      </c>
      <c r="BK17" s="72" cm="1">
        <f t="array" ref="BK17">SUMPRODUCT(1*ISNUMBER(FIND("r",J17:AN17)))</f>
        <v>2</v>
      </c>
      <c r="BL17" s="72" cm="1">
        <f t="array" ref="BL17">SUMPRODUCT(1*ISNUMBER(FIND("P",J17:AN17)))-SUMPRODUCT(1*ISNUMBER(FIND("午P",G17:AK17)))</f>
        <v>0</v>
      </c>
      <c r="BM17" s="72">
        <f t="shared" si="21"/>
        <v>5</v>
      </c>
      <c r="BN17" s="72" cm="1">
        <f t="array" ref="BN17">SUMPRODUCT(1*ISNUMBER(FIND("R",D17:J17)))</f>
        <v>1</v>
      </c>
      <c r="BO17" s="72" cm="1">
        <f t="array" ref="BO17">SUMPRODUCT(1*ISNUMBER(FIND("R",K17:Q17)))</f>
        <v>1</v>
      </c>
      <c r="BP17" s="72" cm="1">
        <f t="array" ref="BP17">SUMPRODUCT(1*ISNUMBER(FIND("R",R17:X17)))</f>
        <v>0</v>
      </c>
      <c r="BQ17" s="72" cm="1">
        <f t="array" ref="BQ17">SUMPRODUCT(1*ISNUMBER(FIND("R",Y17:AE17)))</f>
        <v>1</v>
      </c>
      <c r="BR17" s="72" cm="1">
        <f t="array" ref="BR17">SUMPRODUCT(1*ISNUMBER(FIND("R",AF17:AL17)))</f>
        <v>0</v>
      </c>
      <c r="BS17" s="72" cm="1">
        <f t="array" ref="BS17">SUMPRODUCT(1*ISNUMBER(FIND("R",AM17:AS17)))</f>
        <v>1</v>
      </c>
      <c r="BT17" s="72">
        <f t="shared" si="22"/>
        <v>6</v>
      </c>
      <c r="BV17" s="88">
        <v>11</v>
      </c>
      <c r="BW17" s="88" cm="1">
        <f t="array" ref="BW17">SUMPRODUCT(1*ISNUMBER(FIND("P",K17:AL17)))-SUMPRODUCT(1*ISNUMBER(FIND("午P",K17:AL17)))</f>
        <v>0</v>
      </c>
      <c r="BY17" s="71"/>
      <c r="BZ17" s="71"/>
      <c r="CC17" s="71"/>
      <c r="CD17" s="71"/>
    </row>
    <row r="18" spans="1:82" s="71" customFormat="1" ht="39.75" customHeight="1" x14ac:dyDescent="0.25">
      <c r="A18" s="185"/>
      <c r="B18" s="73" t="s">
        <v>164</v>
      </c>
      <c r="C18" s="112" t="s">
        <v>165</v>
      </c>
      <c r="D18" s="106" t="s">
        <v>7</v>
      </c>
      <c r="E18" s="125" t="s">
        <v>9</v>
      </c>
      <c r="F18" s="125" t="s">
        <v>203</v>
      </c>
      <c r="G18" s="125" t="s">
        <v>209</v>
      </c>
      <c r="H18" s="132" t="s">
        <v>207</v>
      </c>
      <c r="I18" s="125" t="s">
        <v>203</v>
      </c>
      <c r="J18" s="125" t="s">
        <v>62</v>
      </c>
      <c r="K18" s="144"/>
      <c r="L18" s="147"/>
      <c r="M18" s="147"/>
      <c r="N18" s="147"/>
      <c r="O18" s="147"/>
      <c r="P18" s="147"/>
      <c r="Q18" s="144"/>
      <c r="R18" s="144" t="s">
        <v>7</v>
      </c>
      <c r="S18" s="147" t="s">
        <v>62</v>
      </c>
      <c r="T18" s="147"/>
      <c r="U18" s="147"/>
      <c r="V18" s="147"/>
      <c r="W18" s="147"/>
      <c r="X18" s="144"/>
      <c r="Y18" s="144"/>
      <c r="Z18" s="147"/>
      <c r="AA18" s="147"/>
      <c r="AB18" s="147"/>
      <c r="AC18" s="147"/>
      <c r="AD18" s="147"/>
      <c r="AE18" s="144"/>
      <c r="AF18" s="144"/>
      <c r="AG18" s="147"/>
      <c r="AH18" s="147"/>
      <c r="AI18" s="147"/>
      <c r="AJ18" s="147"/>
      <c r="AK18" s="147" t="s">
        <v>7</v>
      </c>
      <c r="AL18" s="157" t="s">
        <v>62</v>
      </c>
      <c r="AM18" s="144"/>
      <c r="AN18" s="147"/>
      <c r="AO18" s="147"/>
      <c r="AP18" s="147"/>
      <c r="AQ18" s="147"/>
      <c r="AR18" s="147"/>
      <c r="AS18" s="155"/>
      <c r="AT18" s="97">
        <f t="shared" si="7"/>
        <v>11</v>
      </c>
      <c r="AU18" s="96">
        <v>2</v>
      </c>
      <c r="AV18" s="96">
        <v>2</v>
      </c>
      <c r="AW18" s="98">
        <f t="shared" si="23"/>
        <v>2</v>
      </c>
      <c r="AX18" s="98">
        <f t="shared" si="24"/>
        <v>2</v>
      </c>
      <c r="AY18" s="98">
        <f t="shared" si="25"/>
        <v>4</v>
      </c>
      <c r="AZ18" s="98">
        <f t="shared" si="26"/>
        <v>4</v>
      </c>
      <c r="BA18" s="72">
        <f t="shared" si="12"/>
        <v>0</v>
      </c>
      <c r="BB18" s="72">
        <f t="shared" si="13"/>
        <v>0</v>
      </c>
      <c r="BC18" s="72">
        <f t="shared" si="14"/>
        <v>0</v>
      </c>
      <c r="BD18" s="72">
        <f t="shared" si="15"/>
        <v>0</v>
      </c>
      <c r="BE18" s="72">
        <f t="shared" si="16"/>
        <v>0</v>
      </c>
      <c r="BF18" s="72">
        <f t="shared" si="17"/>
        <v>0</v>
      </c>
      <c r="BG18" s="72">
        <f t="shared" si="18"/>
        <v>0</v>
      </c>
      <c r="BH18" s="72">
        <f t="shared" si="19"/>
        <v>0</v>
      </c>
      <c r="BI18" s="72">
        <f t="shared" si="20"/>
        <v>0</v>
      </c>
      <c r="BJ18" s="72" cm="1">
        <f t="array" ref="BJ18">SUMPRODUCT(1*ISNUMBER(FIND("R",J18:AN18)))</f>
        <v>2</v>
      </c>
      <c r="BK18" s="72" cm="1">
        <f t="array" ref="BK18">SUMPRODUCT(1*ISNUMBER(FIND("r",J18:AN18)))</f>
        <v>3</v>
      </c>
      <c r="BL18" s="72" cm="1">
        <f t="array" ref="BL18">SUMPRODUCT(1*ISNUMBER(FIND("P",J18:AN18)))-SUMPRODUCT(1*ISNUMBER(FIND("午P",G18:AK18)))</f>
        <v>0</v>
      </c>
      <c r="BM18" s="72">
        <f t="shared" si="21"/>
        <v>5</v>
      </c>
      <c r="BN18" s="72" cm="1">
        <f t="array" ref="BN18">SUMPRODUCT(1*ISNUMBER(FIND("R",D18:J18)))</f>
        <v>1</v>
      </c>
      <c r="BO18" s="72" cm="1">
        <f t="array" ref="BO18">SUMPRODUCT(1*ISNUMBER(FIND("R",K18:Q18)))</f>
        <v>0</v>
      </c>
      <c r="BP18" s="72" cm="1">
        <f t="array" ref="BP18">SUMPRODUCT(1*ISNUMBER(FIND("R",R18:X18)))</f>
        <v>1</v>
      </c>
      <c r="BQ18" s="72" cm="1">
        <f t="array" ref="BQ18">SUMPRODUCT(1*ISNUMBER(FIND("R",Y18:AE18)))</f>
        <v>0</v>
      </c>
      <c r="BR18" s="72" cm="1">
        <f t="array" ref="BR18">SUMPRODUCT(1*ISNUMBER(FIND("R",AF18:AL18)))</f>
        <v>1</v>
      </c>
      <c r="BS18" s="72" cm="1">
        <f t="array" ref="BS18">SUMPRODUCT(1*ISNUMBER(FIND("R",AM18:AS18)))</f>
        <v>0</v>
      </c>
      <c r="BT18" s="72">
        <f t="shared" si="22"/>
        <v>5</v>
      </c>
      <c r="BV18" s="88">
        <v>11</v>
      </c>
      <c r="BW18" s="88" cm="1">
        <f t="array" ref="BW18">SUMPRODUCT(1*ISNUMBER(FIND("P",K18:AL18)))-SUMPRODUCT(1*ISNUMBER(FIND("午P",K18:AL18)))</f>
        <v>0</v>
      </c>
    </row>
    <row r="19" spans="1:82" s="36" customFormat="1" ht="39.75" customHeight="1" x14ac:dyDescent="0.25">
      <c r="A19" s="185"/>
      <c r="B19" s="73" t="s">
        <v>116</v>
      </c>
      <c r="C19" s="105" t="s">
        <v>117</v>
      </c>
      <c r="D19" s="106" t="s">
        <v>203</v>
      </c>
      <c r="E19" s="125" t="s">
        <v>207</v>
      </c>
      <c r="F19" s="125" t="s">
        <v>9</v>
      </c>
      <c r="G19" s="125" t="s">
        <v>7</v>
      </c>
      <c r="H19" s="132" t="s">
        <v>62</v>
      </c>
      <c r="I19" s="125" t="s">
        <v>62</v>
      </c>
      <c r="J19" s="125" t="s">
        <v>207</v>
      </c>
      <c r="K19" s="144"/>
      <c r="L19" s="147"/>
      <c r="M19" s="147"/>
      <c r="N19" s="147"/>
      <c r="O19" s="147"/>
      <c r="P19" s="147"/>
      <c r="Q19" s="144"/>
      <c r="R19" s="144"/>
      <c r="S19" s="147"/>
      <c r="T19" s="147"/>
      <c r="U19" s="147"/>
      <c r="V19" s="147"/>
      <c r="W19" s="147"/>
      <c r="X19" s="144" t="s">
        <v>7</v>
      </c>
      <c r="Y19" s="144" t="s">
        <v>7</v>
      </c>
      <c r="Z19" s="147"/>
      <c r="AA19" s="147"/>
      <c r="AB19" s="147"/>
      <c r="AC19" s="147"/>
      <c r="AD19" s="147" t="s">
        <v>6</v>
      </c>
      <c r="AE19" s="144"/>
      <c r="AF19" s="144"/>
      <c r="AG19" s="147"/>
      <c r="AH19" s="147"/>
      <c r="AI19" s="147"/>
      <c r="AJ19" s="147"/>
      <c r="AK19" s="147"/>
      <c r="AL19" s="157"/>
      <c r="AM19" s="144"/>
      <c r="AN19" s="147"/>
      <c r="AO19" s="147" t="s">
        <v>7</v>
      </c>
      <c r="AP19" s="147"/>
      <c r="AQ19" s="147"/>
      <c r="AR19" s="147"/>
      <c r="AS19" s="155"/>
      <c r="AT19" s="97">
        <f t="shared" si="7"/>
        <v>11</v>
      </c>
      <c r="AU19" s="96">
        <v>2</v>
      </c>
      <c r="AV19" s="96">
        <v>2</v>
      </c>
      <c r="AW19" s="98">
        <f t="shared" si="23"/>
        <v>0</v>
      </c>
      <c r="AX19" s="98">
        <f t="shared" si="24"/>
        <v>3</v>
      </c>
      <c r="AY19" s="98">
        <f t="shared" si="25"/>
        <v>6</v>
      </c>
      <c r="AZ19" s="98">
        <f t="shared" si="26"/>
        <v>3</v>
      </c>
      <c r="BA19" s="72">
        <f t="shared" si="12"/>
        <v>1</v>
      </c>
      <c r="BB19" s="72">
        <f t="shared" si="13"/>
        <v>0</v>
      </c>
      <c r="BC19" s="72">
        <f t="shared" si="14"/>
        <v>0</v>
      </c>
      <c r="BD19" s="72">
        <f t="shared" si="15"/>
        <v>0</v>
      </c>
      <c r="BE19" s="72">
        <f t="shared" si="16"/>
        <v>0</v>
      </c>
      <c r="BF19" s="72">
        <f t="shared" si="17"/>
        <v>0</v>
      </c>
      <c r="BG19" s="72">
        <f t="shared" si="18"/>
        <v>0</v>
      </c>
      <c r="BH19" s="72">
        <f t="shared" si="19"/>
        <v>0</v>
      </c>
      <c r="BI19" s="72">
        <f t="shared" si="20"/>
        <v>1</v>
      </c>
      <c r="BJ19" s="72" cm="1">
        <f t="array" ref="BJ19">SUMPRODUCT(1*ISNUMBER(FIND("R",J19:AN19)))</f>
        <v>2</v>
      </c>
      <c r="BK19" s="72" cm="1">
        <f t="array" ref="BK19">SUMPRODUCT(1*ISNUMBER(FIND("r",J19:AN19)))</f>
        <v>0</v>
      </c>
      <c r="BL19" s="72" cm="1">
        <f t="array" ref="BL19">SUMPRODUCT(1*ISNUMBER(FIND("P",J19:AN19)))-SUMPRODUCT(1*ISNUMBER(FIND("午P",G19:AK19)))</f>
        <v>0</v>
      </c>
      <c r="BM19" s="72">
        <f t="shared" si="21"/>
        <v>2</v>
      </c>
      <c r="BN19" s="72" cm="1">
        <f t="array" ref="BN19">SUMPRODUCT(1*ISNUMBER(FIND("R",D19:J19)))</f>
        <v>1</v>
      </c>
      <c r="BO19" s="72" cm="1">
        <f t="array" ref="BO19">SUMPRODUCT(1*ISNUMBER(FIND("R",K19:Q19)))</f>
        <v>0</v>
      </c>
      <c r="BP19" s="72" cm="1">
        <f t="array" ref="BP19">SUMPRODUCT(1*ISNUMBER(FIND("R",R19:X19)))</f>
        <v>1</v>
      </c>
      <c r="BQ19" s="72" cm="1">
        <f t="array" ref="BQ19">SUMPRODUCT(1*ISNUMBER(FIND("R",Y19:AE19)))</f>
        <v>1</v>
      </c>
      <c r="BR19" s="72" cm="1">
        <f t="array" ref="BR19">SUMPRODUCT(1*ISNUMBER(FIND("R",AF19:AL19)))</f>
        <v>0</v>
      </c>
      <c r="BS19" s="72" cm="1">
        <f t="array" ref="BS19">SUMPRODUCT(1*ISNUMBER(FIND("R",AM19:AS19)))</f>
        <v>1</v>
      </c>
      <c r="BT19" s="72">
        <f t="shared" si="22"/>
        <v>4</v>
      </c>
      <c r="BV19" s="88">
        <v>11</v>
      </c>
      <c r="BW19" s="88" cm="1">
        <f t="array" ref="BW19">SUMPRODUCT(1*ISNUMBER(FIND("P",K19:AL19)))-SUMPRODUCT(1*ISNUMBER(FIND("午P",K19:AL19)))</f>
        <v>0</v>
      </c>
      <c r="BY19" s="71"/>
      <c r="BZ19" s="71"/>
      <c r="CC19" s="71"/>
      <c r="CD19" s="71"/>
    </row>
    <row r="20" spans="1:82" s="71" customFormat="1" ht="39.75" customHeight="1" x14ac:dyDescent="0.25">
      <c r="A20" s="185"/>
      <c r="B20" s="73" t="s">
        <v>143</v>
      </c>
      <c r="C20" s="105" t="s">
        <v>144</v>
      </c>
      <c r="D20" s="106" t="s">
        <v>7</v>
      </c>
      <c r="E20" s="125" t="s">
        <v>9</v>
      </c>
      <c r="F20" s="125" t="s">
        <v>205</v>
      </c>
      <c r="G20" s="125" t="s">
        <v>206</v>
      </c>
      <c r="H20" s="132" t="s">
        <v>205</v>
      </c>
      <c r="I20" s="125" t="s">
        <v>62</v>
      </c>
      <c r="J20" s="125" t="s">
        <v>206</v>
      </c>
      <c r="K20" s="144"/>
      <c r="L20" s="147"/>
      <c r="M20" s="147"/>
      <c r="N20" s="147"/>
      <c r="O20" s="147"/>
      <c r="P20" s="147"/>
      <c r="Q20" s="144"/>
      <c r="R20" s="144"/>
      <c r="S20" s="147"/>
      <c r="T20" s="147"/>
      <c r="U20" s="147" t="s">
        <v>7</v>
      </c>
      <c r="V20" s="147"/>
      <c r="W20" s="147"/>
      <c r="X20" s="144"/>
      <c r="Y20" s="144"/>
      <c r="Z20" s="147"/>
      <c r="AA20" s="147"/>
      <c r="AB20" s="147"/>
      <c r="AC20" s="147"/>
      <c r="AD20" s="147"/>
      <c r="AE20" s="144" t="s">
        <v>7</v>
      </c>
      <c r="AF20" s="144" t="s">
        <v>7</v>
      </c>
      <c r="AG20" s="147"/>
      <c r="AH20" s="147"/>
      <c r="AI20" s="147"/>
      <c r="AJ20" s="147"/>
      <c r="AK20" s="147" t="s">
        <v>62</v>
      </c>
      <c r="AL20" s="157"/>
      <c r="AM20" s="144"/>
      <c r="AN20" s="147"/>
      <c r="AO20" s="147"/>
      <c r="AP20" s="147"/>
      <c r="AQ20" s="147"/>
      <c r="AR20" s="147"/>
      <c r="AS20" s="155"/>
      <c r="AT20" s="97">
        <f t="shared" si="7"/>
        <v>10</v>
      </c>
      <c r="AU20" s="96">
        <v>2</v>
      </c>
      <c r="AV20" s="96">
        <v>2</v>
      </c>
      <c r="AW20" s="98">
        <f t="shared" si="23"/>
        <v>1</v>
      </c>
      <c r="AX20" s="98">
        <f t="shared" si="24"/>
        <v>3</v>
      </c>
      <c r="AY20" s="98">
        <f t="shared" si="25"/>
        <v>5</v>
      </c>
      <c r="AZ20" s="98">
        <f t="shared" si="26"/>
        <v>3</v>
      </c>
      <c r="BA20" s="72">
        <f t="shared" si="12"/>
        <v>0</v>
      </c>
      <c r="BB20" s="72">
        <f t="shared" si="13"/>
        <v>0</v>
      </c>
      <c r="BC20" s="72">
        <f t="shared" si="14"/>
        <v>0</v>
      </c>
      <c r="BD20" s="72">
        <f t="shared" si="15"/>
        <v>1</v>
      </c>
      <c r="BE20" s="72">
        <f t="shared" si="16"/>
        <v>0</v>
      </c>
      <c r="BF20" s="72">
        <f t="shared" si="17"/>
        <v>0</v>
      </c>
      <c r="BG20" s="72">
        <f t="shared" si="18"/>
        <v>0</v>
      </c>
      <c r="BH20" s="72">
        <f t="shared" si="19"/>
        <v>0</v>
      </c>
      <c r="BI20" s="72">
        <f t="shared" si="20"/>
        <v>0</v>
      </c>
      <c r="BJ20" s="72" cm="1">
        <f t="array" ref="BJ20">SUMPRODUCT(1*ISNUMBER(FIND("R",J20:AN20)))</f>
        <v>3</v>
      </c>
      <c r="BK20" s="72" cm="1">
        <f t="array" ref="BK20">SUMPRODUCT(1*ISNUMBER(FIND("r",J20:AN20)))</f>
        <v>1</v>
      </c>
      <c r="BL20" s="72" cm="1">
        <f t="array" ref="BL20">SUMPRODUCT(1*ISNUMBER(FIND("P",J20:AN20)))-SUMPRODUCT(1*ISNUMBER(FIND("午P",G20:AK20)))</f>
        <v>0</v>
      </c>
      <c r="BM20" s="72">
        <f t="shared" si="21"/>
        <v>4</v>
      </c>
      <c r="BN20" s="72" cm="1">
        <f t="array" ref="BN20">SUMPRODUCT(1*ISNUMBER(FIND("R",D20:J20)))</f>
        <v>1</v>
      </c>
      <c r="BO20" s="72" cm="1">
        <f t="array" ref="BO20">SUMPRODUCT(1*ISNUMBER(FIND("R",K20:Q20)))</f>
        <v>0</v>
      </c>
      <c r="BP20" s="72" cm="1">
        <f t="array" ref="BP20">SUMPRODUCT(1*ISNUMBER(FIND("R",R20:X20)))</f>
        <v>1</v>
      </c>
      <c r="BQ20" s="72" cm="1">
        <f t="array" ref="BQ20">SUMPRODUCT(1*ISNUMBER(FIND("R",Y20:AE20)))</f>
        <v>1</v>
      </c>
      <c r="BR20" s="72" cm="1">
        <f t="array" ref="BR20">SUMPRODUCT(1*ISNUMBER(FIND("R",AF20:AL20)))</f>
        <v>1</v>
      </c>
      <c r="BS20" s="72" cm="1">
        <f t="array" ref="BS20">SUMPRODUCT(1*ISNUMBER(FIND("R",AM20:AS20)))</f>
        <v>0</v>
      </c>
      <c r="BT20" s="72">
        <f t="shared" si="22"/>
        <v>5</v>
      </c>
      <c r="BV20" s="88">
        <v>10</v>
      </c>
      <c r="BW20" s="88" cm="1">
        <f t="array" ref="BW20">SUMPRODUCT(1*ISNUMBER(FIND("P",K20:AL20)))-SUMPRODUCT(1*ISNUMBER(FIND("午P",K20:AL20)))</f>
        <v>0</v>
      </c>
    </row>
    <row r="21" spans="1:82" s="71" customFormat="1" ht="39.75" customHeight="1" x14ac:dyDescent="0.25">
      <c r="A21" s="185"/>
      <c r="B21" s="73" t="s">
        <v>173</v>
      </c>
      <c r="C21" s="105" t="s">
        <v>174</v>
      </c>
      <c r="D21" s="106" t="s">
        <v>207</v>
      </c>
      <c r="E21" s="125" t="s">
        <v>203</v>
      </c>
      <c r="F21" s="125" t="s">
        <v>207</v>
      </c>
      <c r="G21" s="125" t="s">
        <v>206</v>
      </c>
      <c r="H21" s="132" t="s">
        <v>62</v>
      </c>
      <c r="I21" s="125" t="s">
        <v>7</v>
      </c>
      <c r="J21" s="125" t="s">
        <v>205</v>
      </c>
      <c r="K21" s="144"/>
      <c r="L21" s="147"/>
      <c r="M21" s="147"/>
      <c r="N21" s="147"/>
      <c r="O21" s="147"/>
      <c r="P21" s="147"/>
      <c r="Q21" s="144"/>
      <c r="R21" s="144" t="s">
        <v>62</v>
      </c>
      <c r="S21" s="147" t="s">
        <v>62</v>
      </c>
      <c r="T21" s="147"/>
      <c r="U21" s="147"/>
      <c r="V21" s="147"/>
      <c r="W21" s="147" t="s">
        <v>7</v>
      </c>
      <c r="X21" s="144" t="s">
        <v>62</v>
      </c>
      <c r="Y21" s="144"/>
      <c r="Z21" s="147"/>
      <c r="AA21" s="147"/>
      <c r="AB21" s="147"/>
      <c r="AC21" s="147"/>
      <c r="AD21" s="147"/>
      <c r="AE21" s="144"/>
      <c r="AF21" s="144"/>
      <c r="AG21" s="147"/>
      <c r="AH21" s="147"/>
      <c r="AI21" s="147"/>
      <c r="AJ21" s="147"/>
      <c r="AK21" s="147"/>
      <c r="AL21" s="157"/>
      <c r="AM21" s="144"/>
      <c r="AN21" s="147"/>
      <c r="AO21" s="147"/>
      <c r="AP21" s="147"/>
      <c r="AQ21" s="147"/>
      <c r="AR21" s="147"/>
      <c r="AS21" s="155"/>
      <c r="AT21" s="97">
        <f t="shared" si="7"/>
        <v>11</v>
      </c>
      <c r="AU21" s="96">
        <v>2</v>
      </c>
      <c r="AV21" s="96">
        <v>2</v>
      </c>
      <c r="AW21" s="98">
        <f t="shared" si="8"/>
        <v>3</v>
      </c>
      <c r="AX21" s="98">
        <f t="shared" si="9"/>
        <v>1</v>
      </c>
      <c r="AY21" s="98">
        <f t="shared" si="10"/>
        <v>3</v>
      </c>
      <c r="AZ21" s="98">
        <f t="shared" si="11"/>
        <v>5</v>
      </c>
      <c r="BA21" s="72">
        <f t="shared" si="12"/>
        <v>0</v>
      </c>
      <c r="BB21" s="72">
        <f t="shared" si="13"/>
        <v>0</v>
      </c>
      <c r="BC21" s="72">
        <f t="shared" si="14"/>
        <v>0</v>
      </c>
      <c r="BD21" s="72">
        <f t="shared" si="15"/>
        <v>1</v>
      </c>
      <c r="BE21" s="72">
        <f t="shared" si="16"/>
        <v>0</v>
      </c>
      <c r="BF21" s="72">
        <f t="shared" si="17"/>
        <v>0</v>
      </c>
      <c r="BG21" s="72">
        <f t="shared" si="18"/>
        <v>0</v>
      </c>
      <c r="BH21" s="72">
        <f t="shared" si="19"/>
        <v>0</v>
      </c>
      <c r="BI21" s="72">
        <f t="shared" si="20"/>
        <v>0</v>
      </c>
      <c r="BJ21" s="72" cm="1">
        <f t="array" ref="BJ21">SUMPRODUCT(1*ISNUMBER(FIND("R",J21:AN21)))</f>
        <v>1</v>
      </c>
      <c r="BK21" s="72" cm="1">
        <f t="array" ref="BK21">SUMPRODUCT(1*ISNUMBER(FIND("r",J21:AN21)))</f>
        <v>3</v>
      </c>
      <c r="BL21" s="72" cm="1">
        <f t="array" ref="BL21">SUMPRODUCT(1*ISNUMBER(FIND("P",J21:AN21)))-SUMPRODUCT(1*ISNUMBER(FIND("午P",G21:AK21)))</f>
        <v>0</v>
      </c>
      <c r="BM21" s="72">
        <f t="shared" si="21"/>
        <v>4</v>
      </c>
      <c r="BN21" s="72" cm="1">
        <f t="array" ref="BN21">SUMPRODUCT(1*ISNUMBER(FIND("R",D21:J21)))</f>
        <v>1</v>
      </c>
      <c r="BO21" s="72" cm="1">
        <f t="array" ref="BO21">SUMPRODUCT(1*ISNUMBER(FIND("R",K21:Q21)))</f>
        <v>0</v>
      </c>
      <c r="BP21" s="72" cm="1">
        <f t="array" ref="BP21">SUMPRODUCT(1*ISNUMBER(FIND("R",R21:X21)))</f>
        <v>1</v>
      </c>
      <c r="BQ21" s="72" cm="1">
        <f t="array" ref="BQ21">SUMPRODUCT(1*ISNUMBER(FIND("R",Y21:AE21)))</f>
        <v>0</v>
      </c>
      <c r="BR21" s="72" cm="1">
        <f t="array" ref="BR21">SUMPRODUCT(1*ISNUMBER(FIND("R",AF21:AL21)))</f>
        <v>0</v>
      </c>
      <c r="BS21" s="72" cm="1">
        <f t="array" ref="BS21">SUMPRODUCT(1*ISNUMBER(FIND("R",AM21:AS21)))</f>
        <v>0</v>
      </c>
      <c r="BT21" s="72">
        <f t="shared" si="22"/>
        <v>5</v>
      </c>
      <c r="BV21" s="88">
        <v>11</v>
      </c>
      <c r="BW21" s="88" cm="1">
        <f t="array" ref="BW21">SUMPRODUCT(1*ISNUMBER(FIND("P",K21:AL21)))-SUMPRODUCT(1*ISNUMBER(FIND("午P",K21:AL21)))</f>
        <v>0</v>
      </c>
    </row>
    <row r="22" spans="1:82" s="71" customFormat="1" ht="39.75" customHeight="1" x14ac:dyDescent="0.25">
      <c r="A22" s="185"/>
      <c r="B22" s="73" t="s">
        <v>175</v>
      </c>
      <c r="C22" s="105" t="s">
        <v>176</v>
      </c>
      <c r="D22" s="106" t="s">
        <v>7</v>
      </c>
      <c r="E22" s="125" t="s">
        <v>205</v>
      </c>
      <c r="F22" s="125" t="s">
        <v>206</v>
      </c>
      <c r="G22" s="125" t="s">
        <v>62</v>
      </c>
      <c r="H22" s="132" t="s">
        <v>206</v>
      </c>
      <c r="I22" s="125" t="s">
        <v>206</v>
      </c>
      <c r="J22" s="125" t="s">
        <v>205</v>
      </c>
      <c r="K22" s="144"/>
      <c r="L22" s="147"/>
      <c r="M22" s="147"/>
      <c r="N22" s="147"/>
      <c r="O22" s="147"/>
      <c r="P22" s="147"/>
      <c r="Q22" s="144" t="s">
        <v>7</v>
      </c>
      <c r="R22" s="144" t="s">
        <v>7</v>
      </c>
      <c r="S22" s="147"/>
      <c r="T22" s="147"/>
      <c r="U22" s="147"/>
      <c r="V22" s="147"/>
      <c r="W22" s="147"/>
      <c r="X22" s="144"/>
      <c r="Y22" s="144"/>
      <c r="Z22" s="147"/>
      <c r="AA22" s="147"/>
      <c r="AB22" s="147" t="s">
        <v>213</v>
      </c>
      <c r="AC22" s="147" t="s">
        <v>7</v>
      </c>
      <c r="AD22" s="147" t="s">
        <v>62</v>
      </c>
      <c r="AE22" s="144"/>
      <c r="AF22" s="144"/>
      <c r="AG22" s="147"/>
      <c r="AH22" s="147"/>
      <c r="AI22" s="147"/>
      <c r="AJ22" s="147"/>
      <c r="AK22" s="147"/>
      <c r="AL22" s="157"/>
      <c r="AM22" s="144"/>
      <c r="AN22" s="147"/>
      <c r="AO22" s="147"/>
      <c r="AP22" s="147"/>
      <c r="AQ22" s="147"/>
      <c r="AR22" s="147"/>
      <c r="AS22" s="155"/>
      <c r="AT22" s="97">
        <f t="shared" si="7"/>
        <v>11</v>
      </c>
      <c r="AU22" s="96">
        <v>2</v>
      </c>
      <c r="AV22" s="96">
        <v>2</v>
      </c>
      <c r="AW22" s="98">
        <f t="shared" si="8"/>
        <v>1</v>
      </c>
      <c r="AX22" s="98">
        <f t="shared" si="9"/>
        <v>3</v>
      </c>
      <c r="AY22" s="98">
        <f t="shared" si="10"/>
        <v>5</v>
      </c>
      <c r="AZ22" s="98">
        <f t="shared" si="11"/>
        <v>3</v>
      </c>
      <c r="BA22" s="72">
        <f t="shared" si="12"/>
        <v>0</v>
      </c>
      <c r="BB22" s="72">
        <f t="shared" si="13"/>
        <v>0</v>
      </c>
      <c r="BC22" s="72">
        <f t="shared" si="14"/>
        <v>0</v>
      </c>
      <c r="BD22" s="72">
        <f t="shared" si="15"/>
        <v>1</v>
      </c>
      <c r="BE22" s="72">
        <f t="shared" si="16"/>
        <v>0</v>
      </c>
      <c r="BF22" s="72">
        <f t="shared" si="17"/>
        <v>0</v>
      </c>
      <c r="BG22" s="72">
        <f t="shared" si="18"/>
        <v>0</v>
      </c>
      <c r="BH22" s="72">
        <f t="shared" si="19"/>
        <v>0</v>
      </c>
      <c r="BI22" s="72">
        <f t="shared" si="20"/>
        <v>0</v>
      </c>
      <c r="BJ22" s="72" cm="1">
        <f t="array" ref="BJ22">SUMPRODUCT(1*ISNUMBER(FIND("R",J22:AN22)))</f>
        <v>3</v>
      </c>
      <c r="BK22" s="72" cm="1">
        <f t="array" ref="BK22">SUMPRODUCT(1*ISNUMBER(FIND("r",J22:AN22)))</f>
        <v>1</v>
      </c>
      <c r="BL22" s="72" cm="1">
        <f t="array" ref="BL22">SUMPRODUCT(1*ISNUMBER(FIND("P",J22:AN22)))-SUMPRODUCT(1*ISNUMBER(FIND("午P",G22:AK22)))</f>
        <v>1</v>
      </c>
      <c r="BM22" s="72">
        <f t="shared" si="21"/>
        <v>5</v>
      </c>
      <c r="BN22" s="72" cm="1">
        <f t="array" ref="BN22">SUMPRODUCT(1*ISNUMBER(FIND("R",D22:J22)))</f>
        <v>1</v>
      </c>
      <c r="BO22" s="72" cm="1">
        <f t="array" ref="BO22">SUMPRODUCT(1*ISNUMBER(FIND("R",K22:Q22)))</f>
        <v>1</v>
      </c>
      <c r="BP22" s="72" cm="1">
        <f t="array" ref="BP22">SUMPRODUCT(1*ISNUMBER(FIND("R",R22:X22)))</f>
        <v>1</v>
      </c>
      <c r="BQ22" s="72" cm="1">
        <f t="array" ref="BQ22">SUMPRODUCT(1*ISNUMBER(FIND("R",Y22:AE22)))</f>
        <v>1</v>
      </c>
      <c r="BR22" s="72" cm="1">
        <f t="array" ref="BR22">SUMPRODUCT(1*ISNUMBER(FIND("R",AF22:AL22)))</f>
        <v>0</v>
      </c>
      <c r="BS22" s="72" cm="1">
        <f t="array" ref="BS22">SUMPRODUCT(1*ISNUMBER(FIND("R",AM22:AS22)))</f>
        <v>0</v>
      </c>
      <c r="BT22" s="72">
        <f t="shared" si="22"/>
        <v>6</v>
      </c>
      <c r="BV22" s="88">
        <v>10</v>
      </c>
      <c r="BW22" s="88" cm="1">
        <f t="array" ref="BW22">SUMPRODUCT(1*ISNUMBER(FIND("P",K22:AL22)))-SUMPRODUCT(1*ISNUMBER(FIND("午P",K22:AL22)))</f>
        <v>1</v>
      </c>
    </row>
    <row r="23" spans="1:82" s="71" customFormat="1" ht="39.75" customHeight="1" x14ac:dyDescent="0.25">
      <c r="A23" s="185"/>
      <c r="B23" s="73" t="s">
        <v>167</v>
      </c>
      <c r="C23" s="105" t="s">
        <v>177</v>
      </c>
      <c r="D23" s="106" t="s">
        <v>203</v>
      </c>
      <c r="E23" s="125" t="s">
        <v>207</v>
      </c>
      <c r="F23" s="125" t="s">
        <v>62</v>
      </c>
      <c r="G23" s="125" t="s">
        <v>7</v>
      </c>
      <c r="H23" s="132" t="s">
        <v>203</v>
      </c>
      <c r="I23" s="125" t="s">
        <v>207</v>
      </c>
      <c r="J23" s="125" t="s">
        <v>62</v>
      </c>
      <c r="K23" s="144" t="s">
        <v>62</v>
      </c>
      <c r="L23" s="147" t="s">
        <v>7</v>
      </c>
      <c r="M23" s="147"/>
      <c r="N23" s="147"/>
      <c r="O23" s="147"/>
      <c r="P23" s="143"/>
      <c r="Q23" s="144"/>
      <c r="R23" s="144"/>
      <c r="S23" s="147"/>
      <c r="T23" s="147"/>
      <c r="U23" s="147"/>
      <c r="V23" s="147"/>
      <c r="W23" s="147" t="s">
        <v>7</v>
      </c>
      <c r="X23" s="144" t="s">
        <v>62</v>
      </c>
      <c r="Y23" s="144"/>
      <c r="Z23" s="147"/>
      <c r="AA23" s="147"/>
      <c r="AB23" s="147"/>
      <c r="AC23" s="147"/>
      <c r="AD23" s="147"/>
      <c r="AE23" s="144"/>
      <c r="AF23" s="144"/>
      <c r="AG23" s="147"/>
      <c r="AH23" s="147"/>
      <c r="AI23" s="147"/>
      <c r="AJ23" s="147"/>
      <c r="AK23" s="147"/>
      <c r="AL23" s="157"/>
      <c r="AM23" s="144"/>
      <c r="AN23" s="147"/>
      <c r="AO23" s="147"/>
      <c r="AP23" s="147"/>
      <c r="AQ23" s="147"/>
      <c r="AR23" s="147"/>
      <c r="AS23" s="155"/>
      <c r="AT23" s="97">
        <f t="shared" si="7"/>
        <v>11</v>
      </c>
      <c r="AU23" s="96">
        <v>2</v>
      </c>
      <c r="AV23" s="96">
        <v>2</v>
      </c>
      <c r="AW23" s="98">
        <f t="shared" si="8"/>
        <v>2</v>
      </c>
      <c r="AX23" s="98">
        <f t="shared" si="9"/>
        <v>2</v>
      </c>
      <c r="AY23" s="98">
        <f t="shared" si="10"/>
        <v>4</v>
      </c>
      <c r="AZ23" s="98">
        <f t="shared" si="11"/>
        <v>4</v>
      </c>
      <c r="BA23" s="72">
        <f t="shared" si="12"/>
        <v>0</v>
      </c>
      <c r="BB23" s="72">
        <f t="shared" si="13"/>
        <v>0</v>
      </c>
      <c r="BC23" s="72">
        <f t="shared" si="14"/>
        <v>0</v>
      </c>
      <c r="BD23" s="72">
        <f t="shared" si="15"/>
        <v>0</v>
      </c>
      <c r="BE23" s="72">
        <f t="shared" si="16"/>
        <v>0</v>
      </c>
      <c r="BF23" s="72">
        <f t="shared" si="17"/>
        <v>0</v>
      </c>
      <c r="BG23" s="72">
        <f t="shared" si="18"/>
        <v>0</v>
      </c>
      <c r="BH23" s="72">
        <f t="shared" si="19"/>
        <v>0</v>
      </c>
      <c r="BI23" s="72">
        <f t="shared" si="20"/>
        <v>0</v>
      </c>
      <c r="BJ23" s="72" cm="1">
        <f t="array" ref="BJ23">SUMPRODUCT(1*ISNUMBER(FIND("R",J23:AN23)))</f>
        <v>2</v>
      </c>
      <c r="BK23" s="72" cm="1">
        <f t="array" ref="BK23">SUMPRODUCT(1*ISNUMBER(FIND("r",J23:AN23)))</f>
        <v>3</v>
      </c>
      <c r="BL23" s="72" cm="1">
        <f t="array" ref="BL23">SUMPRODUCT(1*ISNUMBER(FIND("P",J23:AN23)))-SUMPRODUCT(1*ISNUMBER(FIND("午P",G23:AK23)))</f>
        <v>0</v>
      </c>
      <c r="BM23" s="72">
        <f t="shared" si="21"/>
        <v>5</v>
      </c>
      <c r="BN23" s="72" cm="1">
        <f t="array" ref="BN23">SUMPRODUCT(1*ISNUMBER(FIND("R",D23:J23)))</f>
        <v>1</v>
      </c>
      <c r="BO23" s="72" cm="1">
        <f t="array" ref="BO23">SUMPRODUCT(1*ISNUMBER(FIND("R",K23:Q23)))</f>
        <v>1</v>
      </c>
      <c r="BP23" s="72" cm="1">
        <f t="array" ref="BP23">SUMPRODUCT(1*ISNUMBER(FIND("R",R23:X23)))</f>
        <v>1</v>
      </c>
      <c r="BQ23" s="72" cm="1">
        <f t="array" ref="BQ23">SUMPRODUCT(1*ISNUMBER(FIND("R",Y23:AE23)))</f>
        <v>0</v>
      </c>
      <c r="BR23" s="72" cm="1">
        <f t="array" ref="BR23">SUMPRODUCT(1*ISNUMBER(FIND("R",AF23:AL23)))</f>
        <v>0</v>
      </c>
      <c r="BS23" s="72" cm="1">
        <f t="array" ref="BS23">SUMPRODUCT(1*ISNUMBER(FIND("R",AM23:AS23)))</f>
        <v>0</v>
      </c>
      <c r="BT23" s="72">
        <f t="shared" si="22"/>
        <v>5</v>
      </c>
      <c r="BV23" s="88">
        <v>11</v>
      </c>
      <c r="BW23" s="88" cm="1">
        <f t="array" ref="BW23">SUMPRODUCT(1*ISNUMBER(FIND("P",K23:AL23)))-SUMPRODUCT(1*ISNUMBER(FIND("午P",K23:AL23)))</f>
        <v>0</v>
      </c>
    </row>
    <row r="24" spans="1:82" s="71" customFormat="1" ht="39.75" customHeight="1" thickBot="1" x14ac:dyDescent="0.3">
      <c r="A24" s="186"/>
      <c r="B24" s="74" t="s">
        <v>168</v>
      </c>
      <c r="C24" s="109" t="s">
        <v>178</v>
      </c>
      <c r="D24" s="119" t="s">
        <v>205</v>
      </c>
      <c r="E24" s="103" t="s">
        <v>62</v>
      </c>
      <c r="F24" s="103" t="s">
        <v>7</v>
      </c>
      <c r="G24" s="103" t="s">
        <v>205</v>
      </c>
      <c r="H24" s="135" t="s">
        <v>206</v>
      </c>
      <c r="I24" s="103" t="s">
        <v>206</v>
      </c>
      <c r="J24" s="103" t="s">
        <v>62</v>
      </c>
      <c r="K24" s="146"/>
      <c r="L24" s="142"/>
      <c r="M24" s="142"/>
      <c r="N24" s="142"/>
      <c r="O24" s="142"/>
      <c r="P24" s="142"/>
      <c r="Q24" s="146"/>
      <c r="R24" s="146" t="s">
        <v>7</v>
      </c>
      <c r="S24" s="142" t="s">
        <v>62</v>
      </c>
      <c r="T24" s="142" t="s">
        <v>62</v>
      </c>
      <c r="U24" s="142"/>
      <c r="V24" s="142"/>
      <c r="W24" s="142"/>
      <c r="X24" s="146"/>
      <c r="Y24" s="146"/>
      <c r="Z24" s="142"/>
      <c r="AA24" s="142"/>
      <c r="AB24" s="142"/>
      <c r="AC24" s="142"/>
      <c r="AD24" s="142"/>
      <c r="AE24" s="146"/>
      <c r="AF24" s="146"/>
      <c r="AG24" s="142"/>
      <c r="AH24" s="142"/>
      <c r="AI24" s="142"/>
      <c r="AJ24" s="142"/>
      <c r="AK24" s="142"/>
      <c r="AL24" s="154" t="s">
        <v>7</v>
      </c>
      <c r="AM24" s="146"/>
      <c r="AN24" s="142"/>
      <c r="AO24" s="142"/>
      <c r="AP24" s="142"/>
      <c r="AQ24" s="142"/>
      <c r="AR24" s="142"/>
      <c r="AS24" s="152"/>
      <c r="AT24" s="97">
        <f t="shared" si="7"/>
        <v>11</v>
      </c>
      <c r="AU24" s="96">
        <v>2</v>
      </c>
      <c r="AV24" s="96">
        <v>2</v>
      </c>
      <c r="AW24" s="98">
        <f t="shared" si="8"/>
        <v>2</v>
      </c>
      <c r="AX24" s="98">
        <f t="shared" si="9"/>
        <v>2</v>
      </c>
      <c r="AY24" s="98">
        <f t="shared" si="10"/>
        <v>4</v>
      </c>
      <c r="AZ24" s="98">
        <f t="shared" si="11"/>
        <v>4</v>
      </c>
      <c r="BA24" s="72">
        <f t="shared" si="12"/>
        <v>0</v>
      </c>
      <c r="BB24" s="72">
        <f t="shared" si="13"/>
        <v>0</v>
      </c>
      <c r="BC24" s="72">
        <f t="shared" si="14"/>
        <v>0</v>
      </c>
      <c r="BD24" s="72">
        <f t="shared" si="15"/>
        <v>0</v>
      </c>
      <c r="BE24" s="72">
        <f t="shared" si="16"/>
        <v>0</v>
      </c>
      <c r="BF24" s="72">
        <f t="shared" si="17"/>
        <v>0</v>
      </c>
      <c r="BG24" s="72">
        <f t="shared" si="18"/>
        <v>0</v>
      </c>
      <c r="BH24" s="72">
        <f t="shared" si="19"/>
        <v>0</v>
      </c>
      <c r="BI24" s="72">
        <f t="shared" si="20"/>
        <v>0</v>
      </c>
      <c r="BJ24" s="72" cm="1">
        <f t="array" ref="BJ24">SUMPRODUCT(1*ISNUMBER(FIND("R",J24:AN24)))</f>
        <v>2</v>
      </c>
      <c r="BK24" s="72" cm="1">
        <f t="array" ref="BK24">SUMPRODUCT(1*ISNUMBER(FIND("r",J24:AN24)))</f>
        <v>3</v>
      </c>
      <c r="BL24" s="72" cm="1">
        <f t="array" ref="BL24">SUMPRODUCT(1*ISNUMBER(FIND("P",J24:AN24)))-SUMPRODUCT(1*ISNUMBER(FIND("午P",G24:AK24)))</f>
        <v>0</v>
      </c>
      <c r="BM24" s="72">
        <f t="shared" si="21"/>
        <v>5</v>
      </c>
      <c r="BN24" s="72" cm="1">
        <f t="array" ref="BN24">SUMPRODUCT(1*ISNUMBER(FIND("R",D24:J24)))</f>
        <v>1</v>
      </c>
      <c r="BO24" s="72" cm="1">
        <f t="array" ref="BO24">SUMPRODUCT(1*ISNUMBER(FIND("R",K24:Q24)))</f>
        <v>0</v>
      </c>
      <c r="BP24" s="72" cm="1">
        <f t="array" ref="BP24">SUMPRODUCT(1*ISNUMBER(FIND("R",R24:X24)))</f>
        <v>1</v>
      </c>
      <c r="BQ24" s="72" cm="1">
        <f t="array" ref="BQ24">SUMPRODUCT(1*ISNUMBER(FIND("R",Y24:AE24)))</f>
        <v>0</v>
      </c>
      <c r="BR24" s="72" cm="1">
        <f t="array" ref="BR24">SUMPRODUCT(1*ISNUMBER(FIND("R",AF24:AL24)))</f>
        <v>1</v>
      </c>
      <c r="BS24" s="72" cm="1">
        <f t="array" ref="BS24">SUMPRODUCT(1*ISNUMBER(FIND("R",AM24:AS24)))</f>
        <v>0</v>
      </c>
      <c r="BT24" s="72">
        <f t="shared" si="22"/>
        <v>5</v>
      </c>
      <c r="BV24" s="88">
        <v>11</v>
      </c>
      <c r="BW24" s="88" cm="1">
        <f t="array" ref="BW24">SUMPRODUCT(1*ISNUMBER(FIND("P",K24:AL24)))-SUMPRODUCT(1*ISNUMBER(FIND("午P",K24:AL24)))</f>
        <v>0</v>
      </c>
    </row>
    <row r="25" spans="1:82" ht="171" customHeight="1" x14ac:dyDescent="0.25">
      <c r="A25" s="161"/>
      <c r="B25" s="162"/>
      <c r="C25" s="174" t="s">
        <v>156</v>
      </c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6"/>
      <c r="AE25" s="176"/>
      <c r="AF25" s="176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43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10"/>
      <c r="BO25" s="10"/>
      <c r="BP25" s="10"/>
      <c r="BQ25" s="10"/>
      <c r="BR25" s="10"/>
      <c r="BS25" s="10"/>
      <c r="BT25" s="10"/>
    </row>
    <row r="26" spans="1:82" ht="31.5" customHeight="1" x14ac:dyDescent="0.25">
      <c r="A26" s="177" t="s">
        <v>53</v>
      </c>
      <c r="B26" s="178"/>
      <c r="C26" s="178"/>
      <c r="D26" s="68"/>
      <c r="E26" s="68"/>
      <c r="F26" s="68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1"/>
      <c r="Z26" s="66"/>
      <c r="AA26" s="66"/>
      <c r="AB26" s="66"/>
      <c r="AC26" s="12"/>
      <c r="AD26" s="12"/>
      <c r="AE26" s="12"/>
      <c r="AF26" s="12"/>
      <c r="AG26" s="66"/>
      <c r="AH26" s="66"/>
      <c r="AI26" s="66"/>
      <c r="AJ26" s="66"/>
      <c r="AK26" s="66"/>
      <c r="AL26" s="66"/>
      <c r="AM26" s="62"/>
      <c r="AN26" s="62"/>
      <c r="AO26" s="62"/>
      <c r="AP26" s="62"/>
      <c r="AQ26" s="62"/>
      <c r="AR26" s="62"/>
      <c r="AS26" s="62"/>
      <c r="AT26" s="13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10"/>
      <c r="BO26" s="10"/>
      <c r="BP26" s="10"/>
      <c r="BQ26" s="10"/>
      <c r="BR26" s="10"/>
      <c r="BS26" s="10"/>
      <c r="BT26" s="10"/>
    </row>
    <row r="27" spans="1:82" ht="30.75" x14ac:dyDescent="0.25">
      <c r="A27" s="179"/>
      <c r="B27" s="180"/>
      <c r="C27" s="180"/>
      <c r="D27" s="69"/>
      <c r="E27" s="69"/>
      <c r="F27" s="6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7"/>
      <c r="X27" s="8"/>
      <c r="Y27" s="8"/>
      <c r="Z27" s="62"/>
      <c r="AA27" s="62"/>
      <c r="AB27" s="62"/>
      <c r="AC27" s="13"/>
      <c r="AD27" s="13"/>
      <c r="AE27" s="13"/>
      <c r="AF27" s="13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13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10"/>
      <c r="BO27" s="10"/>
      <c r="BP27" s="10"/>
      <c r="BQ27" s="10"/>
      <c r="BR27" s="10"/>
      <c r="BS27" s="10"/>
      <c r="BT27" s="10"/>
    </row>
    <row r="28" spans="1:82" ht="30.75" x14ac:dyDescent="0.25">
      <c r="A28" s="179"/>
      <c r="B28" s="180"/>
      <c r="C28" s="180"/>
      <c r="D28" s="69"/>
      <c r="E28" s="69"/>
      <c r="F28" s="69"/>
      <c r="G28" s="3"/>
      <c r="H28" s="3"/>
      <c r="I28" s="3"/>
      <c r="J28" s="3"/>
      <c r="K28" s="3"/>
      <c r="L28" s="3"/>
      <c r="M28"/>
      <c r="N28" s="8"/>
      <c r="O28" s="6"/>
      <c r="P28" s="7"/>
      <c r="Q28" s="8"/>
      <c r="R28" s="54"/>
      <c r="S28" s="8"/>
      <c r="T28" s="8"/>
      <c r="U28" s="8"/>
      <c r="V28" s="8"/>
      <c r="W28" s="7"/>
      <c r="X28" s="8"/>
      <c r="Y28" s="8"/>
      <c r="Z28" s="62"/>
      <c r="AA28" s="62"/>
      <c r="AB28" s="62"/>
      <c r="AC28" s="13"/>
      <c r="AD28" s="13"/>
      <c r="AE28" s="13"/>
      <c r="AF28" s="13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13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10"/>
      <c r="BO28" s="10"/>
      <c r="BP28" s="10"/>
      <c r="BQ28" s="10"/>
      <c r="BR28" s="10"/>
      <c r="BS28" s="10"/>
      <c r="BT28" s="10"/>
    </row>
    <row r="29" spans="1:82" ht="30.75" x14ac:dyDescent="0.25">
      <c r="A29" s="179"/>
      <c r="B29" s="180"/>
      <c r="C29" s="180"/>
      <c r="D29" s="69"/>
      <c r="E29" s="69"/>
      <c r="F29" s="69"/>
      <c r="G29" s="4"/>
      <c r="H29" s="4"/>
      <c r="I29" s="4"/>
      <c r="J29" s="4"/>
      <c r="K29" s="4"/>
      <c r="L29" s="4"/>
      <c r="M29" s="8"/>
      <c r="N29" s="8"/>
      <c r="O29" s="6"/>
      <c r="P29" s="7"/>
      <c r="Q29" s="8"/>
      <c r="R29" s="54"/>
      <c r="S29" s="8"/>
      <c r="T29" s="8"/>
      <c r="U29" s="8"/>
      <c r="V29" s="8"/>
      <c r="W29" s="7"/>
      <c r="X29" s="8"/>
      <c r="Y29" s="8"/>
      <c r="Z29" s="62"/>
      <c r="AA29" s="62"/>
      <c r="AB29" s="62"/>
      <c r="AC29" s="13"/>
      <c r="AD29" s="13"/>
      <c r="AE29" s="13"/>
      <c r="AF29" s="13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13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10"/>
      <c r="BO29" s="10"/>
      <c r="BP29" s="10"/>
      <c r="BQ29" s="10"/>
      <c r="BR29" s="10"/>
      <c r="BS29" s="10"/>
      <c r="BT29" s="10"/>
    </row>
    <row r="30" spans="1:82" ht="24.75" customHeight="1" x14ac:dyDescent="0.25">
      <c r="A30" s="181"/>
      <c r="B30" s="162"/>
      <c r="C30" s="162"/>
      <c r="D30" s="70"/>
      <c r="E30" s="70"/>
      <c r="F30" s="70"/>
      <c r="G30" s="14"/>
      <c r="H30" s="14"/>
      <c r="I30" s="14"/>
      <c r="J30" s="14"/>
      <c r="K30" s="14"/>
      <c r="L30" s="14"/>
      <c r="M30" s="14"/>
      <c r="N30" s="14"/>
      <c r="O30" s="15"/>
      <c r="P30" s="16"/>
      <c r="Q30" s="14"/>
      <c r="R30" s="55"/>
      <c r="S30" s="14"/>
      <c r="T30" s="14"/>
      <c r="U30" s="14"/>
      <c r="V30" s="14"/>
      <c r="W30" s="16"/>
      <c r="X30" s="14"/>
      <c r="Y30" s="14"/>
      <c r="Z30" s="67"/>
      <c r="AA30" s="67"/>
      <c r="AB30" s="67"/>
      <c r="AC30" s="17"/>
      <c r="AD30" s="17"/>
      <c r="AE30" s="17"/>
      <c r="AF30" s="17"/>
      <c r="AG30" s="67"/>
      <c r="AH30" s="67"/>
      <c r="AI30" s="67"/>
      <c r="AJ30" s="67"/>
      <c r="AK30" s="67"/>
      <c r="AL30" s="67"/>
      <c r="AM30" s="62"/>
      <c r="AN30" s="62"/>
      <c r="AO30" s="62"/>
      <c r="AP30" s="62"/>
      <c r="AQ30" s="62"/>
      <c r="AR30" s="62"/>
      <c r="AS30" s="62"/>
      <c r="AT30" s="13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10"/>
      <c r="BO30" s="10"/>
      <c r="BP30" s="10"/>
      <c r="BQ30" s="10"/>
      <c r="BR30" s="10"/>
      <c r="BS30" s="10"/>
      <c r="BT30" s="10"/>
      <c r="BV30" s="21"/>
    </row>
    <row r="31" spans="1:82" s="21" customFormat="1" ht="24.75" customHeight="1" thickBot="1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56"/>
      <c r="S31" s="19"/>
      <c r="T31" s="19"/>
      <c r="U31" s="19"/>
      <c r="V31" s="19"/>
      <c r="W31" s="19"/>
      <c r="X31" s="19"/>
      <c r="Y31" s="19"/>
      <c r="Z31" s="63"/>
      <c r="AA31" s="63"/>
      <c r="AB31" s="63"/>
      <c r="AC31" s="19"/>
      <c r="AD31" s="19"/>
      <c r="AE31" s="19"/>
      <c r="AF31" s="19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20"/>
      <c r="BN31" s="20"/>
      <c r="BO31" s="20"/>
      <c r="BV31" s="71"/>
    </row>
    <row r="32" spans="1:82" s="71" customFormat="1" ht="63.75" customHeight="1" x14ac:dyDescent="0.25">
      <c r="A32" s="163"/>
      <c r="B32" s="165" t="s">
        <v>0</v>
      </c>
      <c r="C32" s="167" t="s">
        <v>51</v>
      </c>
      <c r="D32" s="77">
        <f t="shared" ref="D32:AS32" si="27">D1</f>
        <v>46229</v>
      </c>
      <c r="E32" s="77">
        <f t="shared" si="27"/>
        <v>46230</v>
      </c>
      <c r="F32" s="77">
        <f t="shared" si="27"/>
        <v>46231</v>
      </c>
      <c r="G32" s="77">
        <f t="shared" si="27"/>
        <v>46232</v>
      </c>
      <c r="H32" s="77">
        <f t="shared" si="27"/>
        <v>46233</v>
      </c>
      <c r="I32" s="77">
        <f t="shared" si="27"/>
        <v>46234</v>
      </c>
      <c r="J32" s="77">
        <f t="shared" si="27"/>
        <v>46235</v>
      </c>
      <c r="K32" s="77">
        <f t="shared" si="27"/>
        <v>46236</v>
      </c>
      <c r="L32" s="77">
        <f t="shared" si="27"/>
        <v>46237</v>
      </c>
      <c r="M32" s="77">
        <f t="shared" si="27"/>
        <v>46238</v>
      </c>
      <c r="N32" s="77">
        <f t="shared" si="27"/>
        <v>46239</v>
      </c>
      <c r="O32" s="77">
        <f t="shared" si="27"/>
        <v>46240</v>
      </c>
      <c r="P32" s="77">
        <f t="shared" si="27"/>
        <v>46241</v>
      </c>
      <c r="Q32" s="77">
        <f t="shared" si="27"/>
        <v>46242</v>
      </c>
      <c r="R32" s="77">
        <f t="shared" si="27"/>
        <v>46243</v>
      </c>
      <c r="S32" s="77">
        <f t="shared" si="27"/>
        <v>46244</v>
      </c>
      <c r="T32" s="77">
        <f t="shared" si="27"/>
        <v>46245</v>
      </c>
      <c r="U32" s="77">
        <f t="shared" si="27"/>
        <v>46246</v>
      </c>
      <c r="V32" s="77">
        <f t="shared" si="27"/>
        <v>46247</v>
      </c>
      <c r="W32" s="77">
        <f t="shared" si="27"/>
        <v>46248</v>
      </c>
      <c r="X32" s="77">
        <f t="shared" si="27"/>
        <v>46249</v>
      </c>
      <c r="Y32" s="77">
        <f t="shared" si="27"/>
        <v>46250</v>
      </c>
      <c r="Z32" s="77">
        <f t="shared" si="27"/>
        <v>46251</v>
      </c>
      <c r="AA32" s="77">
        <f t="shared" si="27"/>
        <v>46252</v>
      </c>
      <c r="AB32" s="77">
        <f t="shared" si="27"/>
        <v>46253</v>
      </c>
      <c r="AC32" s="77">
        <f t="shared" si="27"/>
        <v>46254</v>
      </c>
      <c r="AD32" s="77">
        <f t="shared" si="27"/>
        <v>46255</v>
      </c>
      <c r="AE32" s="77">
        <f t="shared" si="27"/>
        <v>46256</v>
      </c>
      <c r="AF32" s="77">
        <f t="shared" si="27"/>
        <v>46257</v>
      </c>
      <c r="AG32" s="77">
        <f t="shared" si="27"/>
        <v>46258</v>
      </c>
      <c r="AH32" s="77">
        <f t="shared" si="27"/>
        <v>46259</v>
      </c>
      <c r="AI32" s="77">
        <f t="shared" si="27"/>
        <v>46260</v>
      </c>
      <c r="AJ32" s="77">
        <f t="shared" si="27"/>
        <v>46261</v>
      </c>
      <c r="AK32" s="77">
        <f t="shared" si="27"/>
        <v>46262</v>
      </c>
      <c r="AL32" s="77">
        <f t="shared" si="27"/>
        <v>46263</v>
      </c>
      <c r="AM32" s="77">
        <f t="shared" si="27"/>
        <v>46264</v>
      </c>
      <c r="AN32" s="77">
        <f t="shared" si="27"/>
        <v>46265</v>
      </c>
      <c r="AO32" s="77">
        <f t="shared" si="27"/>
        <v>46266</v>
      </c>
      <c r="AP32" s="77">
        <f t="shared" si="27"/>
        <v>46267</v>
      </c>
      <c r="AQ32" s="77">
        <f t="shared" si="27"/>
        <v>46268</v>
      </c>
      <c r="AR32" s="77">
        <f t="shared" si="27"/>
        <v>46269</v>
      </c>
      <c r="AS32" s="77">
        <f t="shared" si="27"/>
        <v>46270</v>
      </c>
    </row>
    <row r="33" spans="1:74" s="71" customFormat="1" ht="43.5" customHeight="1" thickBot="1" x14ac:dyDescent="0.3">
      <c r="A33" s="164"/>
      <c r="B33" s="166"/>
      <c r="C33" s="168"/>
      <c r="D33" s="82" t="str">
        <f t="shared" ref="D33:AS33" si="28">D2</f>
        <v>日</v>
      </c>
      <c r="E33" s="82" t="str">
        <f t="shared" si="28"/>
        <v>一</v>
      </c>
      <c r="F33" s="82" t="str">
        <f t="shared" si="28"/>
        <v>二</v>
      </c>
      <c r="G33" s="82" t="str">
        <f t="shared" si="28"/>
        <v>三</v>
      </c>
      <c r="H33" s="82" t="str">
        <f t="shared" si="28"/>
        <v>四</v>
      </c>
      <c r="I33" s="82" t="str">
        <f t="shared" si="28"/>
        <v>五</v>
      </c>
      <c r="J33" s="82" t="str">
        <f t="shared" si="28"/>
        <v>六</v>
      </c>
      <c r="K33" s="82" t="str">
        <f t="shared" si="28"/>
        <v>日</v>
      </c>
      <c r="L33" s="82" t="str">
        <f t="shared" si="28"/>
        <v>一</v>
      </c>
      <c r="M33" s="82" t="str">
        <f t="shared" si="28"/>
        <v>二</v>
      </c>
      <c r="N33" s="82" t="str">
        <f t="shared" si="28"/>
        <v>三</v>
      </c>
      <c r="O33" s="82" t="str">
        <f t="shared" si="28"/>
        <v>四</v>
      </c>
      <c r="P33" s="82" t="str">
        <f t="shared" si="28"/>
        <v>五</v>
      </c>
      <c r="Q33" s="82" t="str">
        <f t="shared" si="28"/>
        <v>六</v>
      </c>
      <c r="R33" s="82" t="str">
        <f t="shared" si="28"/>
        <v>日</v>
      </c>
      <c r="S33" s="82" t="str">
        <f t="shared" si="28"/>
        <v>一</v>
      </c>
      <c r="T33" s="82" t="str">
        <f t="shared" si="28"/>
        <v>二</v>
      </c>
      <c r="U33" s="82" t="str">
        <f t="shared" si="28"/>
        <v>三</v>
      </c>
      <c r="V33" s="82" t="str">
        <f t="shared" si="28"/>
        <v>四</v>
      </c>
      <c r="W33" s="82" t="str">
        <f t="shared" si="28"/>
        <v>五</v>
      </c>
      <c r="X33" s="82" t="str">
        <f t="shared" si="28"/>
        <v>六</v>
      </c>
      <c r="Y33" s="82" t="str">
        <f t="shared" si="28"/>
        <v>日</v>
      </c>
      <c r="Z33" s="82" t="str">
        <f t="shared" si="28"/>
        <v>一</v>
      </c>
      <c r="AA33" s="82" t="str">
        <f t="shared" si="28"/>
        <v>二</v>
      </c>
      <c r="AB33" s="82" t="str">
        <f t="shared" si="28"/>
        <v>三</v>
      </c>
      <c r="AC33" s="82" t="str">
        <f t="shared" si="28"/>
        <v>四</v>
      </c>
      <c r="AD33" s="82" t="str">
        <f t="shared" si="28"/>
        <v>五</v>
      </c>
      <c r="AE33" s="82" t="str">
        <f t="shared" si="28"/>
        <v>六</v>
      </c>
      <c r="AF33" s="82" t="str">
        <f t="shared" si="28"/>
        <v>日</v>
      </c>
      <c r="AG33" s="82" t="str">
        <f t="shared" si="28"/>
        <v>一</v>
      </c>
      <c r="AH33" s="82" t="str">
        <f t="shared" si="28"/>
        <v>二</v>
      </c>
      <c r="AI33" s="82" t="str">
        <f t="shared" si="28"/>
        <v>三</v>
      </c>
      <c r="AJ33" s="82" t="str">
        <f t="shared" si="28"/>
        <v>四</v>
      </c>
      <c r="AK33" s="82" t="str">
        <f t="shared" si="28"/>
        <v>五</v>
      </c>
      <c r="AL33" s="82" t="str">
        <f t="shared" si="28"/>
        <v>六</v>
      </c>
      <c r="AM33" s="82" t="str">
        <f t="shared" si="28"/>
        <v>日</v>
      </c>
      <c r="AN33" s="82" t="str">
        <f t="shared" si="28"/>
        <v>一</v>
      </c>
      <c r="AO33" s="82" t="str">
        <f t="shared" si="28"/>
        <v>二</v>
      </c>
      <c r="AP33" s="82" t="str">
        <f t="shared" si="28"/>
        <v>三</v>
      </c>
      <c r="AQ33" s="82" t="str">
        <f t="shared" si="28"/>
        <v>四</v>
      </c>
      <c r="AR33" s="82" t="str">
        <f t="shared" si="28"/>
        <v>五</v>
      </c>
      <c r="AS33" s="82" t="str">
        <f t="shared" si="28"/>
        <v>六</v>
      </c>
      <c r="BV33" s="26"/>
    </row>
    <row r="34" spans="1:74" s="26" customFormat="1" ht="32.450000000000003" customHeight="1" x14ac:dyDescent="0.25">
      <c r="A34" s="22"/>
      <c r="B34" s="22"/>
      <c r="C34" s="23" t="s">
        <v>84</v>
      </c>
      <c r="D34" s="24">
        <f t="shared" ref="D34:P34" si="29">COUNTIF(D$3:D$24,"41早")</f>
        <v>0</v>
      </c>
      <c r="E34" s="24">
        <f t="shared" si="29"/>
        <v>0</v>
      </c>
      <c r="F34" s="24">
        <f t="shared" si="29"/>
        <v>0</v>
      </c>
      <c r="G34" s="24">
        <f t="shared" si="29"/>
        <v>0</v>
      </c>
      <c r="H34" s="24">
        <f t="shared" si="29"/>
        <v>0</v>
      </c>
      <c r="I34" s="24">
        <f t="shared" si="29"/>
        <v>0</v>
      </c>
      <c r="J34" s="24">
        <f t="shared" si="29"/>
        <v>0</v>
      </c>
      <c r="K34" s="24">
        <f t="shared" si="29"/>
        <v>0</v>
      </c>
      <c r="L34" s="24">
        <f t="shared" si="29"/>
        <v>0</v>
      </c>
      <c r="M34" s="24">
        <f t="shared" si="29"/>
        <v>0</v>
      </c>
      <c r="N34" s="24">
        <f t="shared" si="29"/>
        <v>0</v>
      </c>
      <c r="O34" s="24">
        <f t="shared" si="29"/>
        <v>0</v>
      </c>
      <c r="P34" s="24">
        <f t="shared" si="29"/>
        <v>0</v>
      </c>
      <c r="Q34" s="24">
        <f>COUNTIF(Q$3:Q$24,"41早*")</f>
        <v>0</v>
      </c>
      <c r="R34" s="24">
        <f t="shared" ref="R34:AS34" si="30">COUNTIF(R$3:R$24,"41早")</f>
        <v>0</v>
      </c>
      <c r="S34" s="24">
        <f t="shared" si="30"/>
        <v>0</v>
      </c>
      <c r="T34" s="24">
        <f t="shared" si="30"/>
        <v>0</v>
      </c>
      <c r="U34" s="24">
        <f t="shared" si="30"/>
        <v>0</v>
      </c>
      <c r="V34" s="24">
        <f t="shared" si="30"/>
        <v>0</v>
      </c>
      <c r="W34" s="24">
        <f t="shared" si="30"/>
        <v>0</v>
      </c>
      <c r="X34" s="24">
        <f t="shared" si="30"/>
        <v>0</v>
      </c>
      <c r="Y34" s="24">
        <f t="shared" si="30"/>
        <v>0</v>
      </c>
      <c r="Z34" s="24">
        <f t="shared" si="30"/>
        <v>0</v>
      </c>
      <c r="AA34" s="24">
        <f t="shared" si="30"/>
        <v>0</v>
      </c>
      <c r="AB34" s="24">
        <f t="shared" si="30"/>
        <v>0</v>
      </c>
      <c r="AC34" s="24">
        <f t="shared" si="30"/>
        <v>0</v>
      </c>
      <c r="AD34" s="24">
        <f t="shared" si="30"/>
        <v>0</v>
      </c>
      <c r="AE34" s="24">
        <f t="shared" si="30"/>
        <v>0</v>
      </c>
      <c r="AF34" s="24">
        <f t="shared" si="30"/>
        <v>0</v>
      </c>
      <c r="AG34" s="24">
        <f t="shared" si="30"/>
        <v>0</v>
      </c>
      <c r="AH34" s="24">
        <f t="shared" si="30"/>
        <v>0</v>
      </c>
      <c r="AI34" s="24">
        <f t="shared" si="30"/>
        <v>0</v>
      </c>
      <c r="AJ34" s="24">
        <f t="shared" si="30"/>
        <v>0</v>
      </c>
      <c r="AK34" s="24">
        <f t="shared" si="30"/>
        <v>0</v>
      </c>
      <c r="AL34" s="24">
        <f t="shared" si="30"/>
        <v>0</v>
      </c>
      <c r="AM34" s="24">
        <f t="shared" si="30"/>
        <v>0</v>
      </c>
      <c r="AN34" s="24">
        <f t="shared" si="30"/>
        <v>0</v>
      </c>
      <c r="AO34" s="24">
        <f t="shared" si="30"/>
        <v>0</v>
      </c>
      <c r="AP34" s="24">
        <f t="shared" si="30"/>
        <v>0</v>
      </c>
      <c r="AQ34" s="24">
        <f t="shared" si="30"/>
        <v>0</v>
      </c>
      <c r="AR34" s="24">
        <f t="shared" si="30"/>
        <v>0</v>
      </c>
      <c r="AS34" s="24">
        <f t="shared" si="30"/>
        <v>0</v>
      </c>
      <c r="AT34" s="44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5"/>
      <c r="BN34" s="25"/>
      <c r="BO34" s="25"/>
    </row>
    <row r="35" spans="1:74" s="26" customFormat="1" ht="32.450000000000003" customHeight="1" x14ac:dyDescent="0.25">
      <c r="A35" s="22"/>
      <c r="B35" s="22"/>
      <c r="C35" s="28" t="s">
        <v>86</v>
      </c>
      <c r="D35" s="27">
        <f t="shared" ref="D35:K35" si="31">COUNTIF(D$3:D$24,"41午")</f>
        <v>0</v>
      </c>
      <c r="E35" s="27">
        <f t="shared" si="31"/>
        <v>0</v>
      </c>
      <c r="F35" s="27">
        <f t="shared" si="31"/>
        <v>0</v>
      </c>
      <c r="G35" s="27">
        <f t="shared" si="31"/>
        <v>0</v>
      </c>
      <c r="H35" s="27">
        <f t="shared" si="31"/>
        <v>0</v>
      </c>
      <c r="I35" s="27">
        <f t="shared" si="31"/>
        <v>0</v>
      </c>
      <c r="J35" s="27">
        <f t="shared" si="31"/>
        <v>0</v>
      </c>
      <c r="K35" s="27">
        <f t="shared" si="31"/>
        <v>0</v>
      </c>
      <c r="L35" s="27">
        <f>COUNTIF(L$3:L$24,"41午*")</f>
        <v>0</v>
      </c>
      <c r="M35" s="27">
        <f t="shared" ref="M35:AS35" si="32">COUNTIF(M$3:M$24,"41午")</f>
        <v>0</v>
      </c>
      <c r="N35" s="27">
        <f t="shared" si="32"/>
        <v>0</v>
      </c>
      <c r="O35" s="27">
        <f t="shared" si="32"/>
        <v>0</v>
      </c>
      <c r="P35" s="27">
        <f t="shared" si="32"/>
        <v>0</v>
      </c>
      <c r="Q35" s="27">
        <f t="shared" si="32"/>
        <v>0</v>
      </c>
      <c r="R35" s="27">
        <f t="shared" si="32"/>
        <v>0</v>
      </c>
      <c r="S35" s="27">
        <f t="shared" si="32"/>
        <v>0</v>
      </c>
      <c r="T35" s="27">
        <f t="shared" si="32"/>
        <v>0</v>
      </c>
      <c r="U35" s="27">
        <f t="shared" si="32"/>
        <v>0</v>
      </c>
      <c r="V35" s="27">
        <f t="shared" si="32"/>
        <v>0</v>
      </c>
      <c r="W35" s="27">
        <f t="shared" si="32"/>
        <v>0</v>
      </c>
      <c r="X35" s="27">
        <f t="shared" si="32"/>
        <v>0</v>
      </c>
      <c r="Y35" s="27">
        <f t="shared" si="32"/>
        <v>0</v>
      </c>
      <c r="Z35" s="27">
        <f t="shared" si="32"/>
        <v>0</v>
      </c>
      <c r="AA35" s="27">
        <f t="shared" si="32"/>
        <v>0</v>
      </c>
      <c r="AB35" s="27">
        <f t="shared" si="32"/>
        <v>0</v>
      </c>
      <c r="AC35" s="27">
        <f t="shared" si="32"/>
        <v>0</v>
      </c>
      <c r="AD35" s="27">
        <f t="shared" si="32"/>
        <v>0</v>
      </c>
      <c r="AE35" s="27">
        <f t="shared" si="32"/>
        <v>0</v>
      </c>
      <c r="AF35" s="27">
        <f t="shared" si="32"/>
        <v>0</v>
      </c>
      <c r="AG35" s="27">
        <f t="shared" si="32"/>
        <v>0</v>
      </c>
      <c r="AH35" s="27">
        <f t="shared" si="32"/>
        <v>0</v>
      </c>
      <c r="AI35" s="27">
        <f t="shared" si="32"/>
        <v>0</v>
      </c>
      <c r="AJ35" s="27">
        <f t="shared" si="32"/>
        <v>0</v>
      </c>
      <c r="AK35" s="27">
        <f t="shared" si="32"/>
        <v>0</v>
      </c>
      <c r="AL35" s="27">
        <f t="shared" si="32"/>
        <v>0</v>
      </c>
      <c r="AM35" s="27">
        <f t="shared" si="32"/>
        <v>0</v>
      </c>
      <c r="AN35" s="27">
        <f t="shared" si="32"/>
        <v>0</v>
      </c>
      <c r="AO35" s="27">
        <f t="shared" si="32"/>
        <v>0</v>
      </c>
      <c r="AP35" s="27">
        <f t="shared" si="32"/>
        <v>0</v>
      </c>
      <c r="AQ35" s="27">
        <f t="shared" si="32"/>
        <v>0</v>
      </c>
      <c r="AR35" s="27">
        <f t="shared" si="32"/>
        <v>0</v>
      </c>
      <c r="AS35" s="27">
        <f t="shared" si="32"/>
        <v>0</v>
      </c>
      <c r="AT35" s="44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5"/>
      <c r="BN35" s="25"/>
      <c r="BO35" s="25"/>
    </row>
    <row r="36" spans="1:74" s="26" customFormat="1" ht="32.450000000000003" customHeight="1" thickBot="1" x14ac:dyDescent="0.3">
      <c r="A36" s="22"/>
      <c r="B36" s="22"/>
      <c r="C36" s="29" t="s">
        <v>87</v>
      </c>
      <c r="D36" s="30">
        <f t="shared" ref="D36:AS36" si="33">COUNTIF(D$3:D$24,"41夜*")</f>
        <v>0</v>
      </c>
      <c r="E36" s="30">
        <f t="shared" si="33"/>
        <v>0</v>
      </c>
      <c r="F36" s="30">
        <f t="shared" si="33"/>
        <v>0</v>
      </c>
      <c r="G36" s="30">
        <f t="shared" si="33"/>
        <v>0</v>
      </c>
      <c r="H36" s="30">
        <f t="shared" si="33"/>
        <v>0</v>
      </c>
      <c r="I36" s="30">
        <f t="shared" si="33"/>
        <v>0</v>
      </c>
      <c r="J36" s="30">
        <f t="shared" si="33"/>
        <v>0</v>
      </c>
      <c r="K36" s="30">
        <f t="shared" si="33"/>
        <v>0</v>
      </c>
      <c r="L36" s="30">
        <f t="shared" si="33"/>
        <v>0</v>
      </c>
      <c r="M36" s="30">
        <f t="shared" si="33"/>
        <v>0</v>
      </c>
      <c r="N36" s="30">
        <f t="shared" si="33"/>
        <v>0</v>
      </c>
      <c r="O36" s="30">
        <f t="shared" si="33"/>
        <v>0</v>
      </c>
      <c r="P36" s="30">
        <f t="shared" si="33"/>
        <v>0</v>
      </c>
      <c r="Q36" s="30">
        <f t="shared" si="33"/>
        <v>0</v>
      </c>
      <c r="R36" s="30">
        <f t="shared" si="33"/>
        <v>0</v>
      </c>
      <c r="S36" s="30">
        <f t="shared" si="33"/>
        <v>0</v>
      </c>
      <c r="T36" s="30">
        <f t="shared" si="33"/>
        <v>0</v>
      </c>
      <c r="U36" s="30">
        <f t="shared" si="33"/>
        <v>0</v>
      </c>
      <c r="V36" s="30">
        <f t="shared" si="33"/>
        <v>0</v>
      </c>
      <c r="W36" s="30">
        <f t="shared" si="33"/>
        <v>0</v>
      </c>
      <c r="X36" s="30">
        <f t="shared" si="33"/>
        <v>0</v>
      </c>
      <c r="Y36" s="30">
        <f t="shared" si="33"/>
        <v>0</v>
      </c>
      <c r="Z36" s="30">
        <f t="shared" si="33"/>
        <v>0</v>
      </c>
      <c r="AA36" s="30">
        <f t="shared" si="33"/>
        <v>0</v>
      </c>
      <c r="AB36" s="30">
        <f t="shared" si="33"/>
        <v>0</v>
      </c>
      <c r="AC36" s="30">
        <f t="shared" si="33"/>
        <v>0</v>
      </c>
      <c r="AD36" s="30">
        <f t="shared" si="33"/>
        <v>0</v>
      </c>
      <c r="AE36" s="30">
        <f t="shared" si="33"/>
        <v>0</v>
      </c>
      <c r="AF36" s="30">
        <f t="shared" si="33"/>
        <v>0</v>
      </c>
      <c r="AG36" s="30">
        <f t="shared" si="33"/>
        <v>0</v>
      </c>
      <c r="AH36" s="30">
        <f t="shared" si="33"/>
        <v>0</v>
      </c>
      <c r="AI36" s="30">
        <f t="shared" si="33"/>
        <v>0</v>
      </c>
      <c r="AJ36" s="30">
        <f t="shared" si="33"/>
        <v>0</v>
      </c>
      <c r="AK36" s="30">
        <f t="shared" si="33"/>
        <v>0</v>
      </c>
      <c r="AL36" s="30">
        <f t="shared" si="33"/>
        <v>0</v>
      </c>
      <c r="AM36" s="30">
        <f t="shared" si="33"/>
        <v>0</v>
      </c>
      <c r="AN36" s="30">
        <f t="shared" si="33"/>
        <v>0</v>
      </c>
      <c r="AO36" s="30">
        <f t="shared" si="33"/>
        <v>0</v>
      </c>
      <c r="AP36" s="30">
        <f t="shared" si="33"/>
        <v>0</v>
      </c>
      <c r="AQ36" s="30">
        <f t="shared" si="33"/>
        <v>0</v>
      </c>
      <c r="AR36" s="30">
        <f t="shared" si="33"/>
        <v>0</v>
      </c>
      <c r="AS36" s="30">
        <f t="shared" si="33"/>
        <v>0</v>
      </c>
      <c r="AT36" s="44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5"/>
      <c r="BN36" s="25"/>
      <c r="BO36" s="25"/>
    </row>
    <row r="37" spans="1:74" s="26" customFormat="1" ht="32.450000000000003" customHeight="1" x14ac:dyDescent="0.25">
      <c r="A37" s="22"/>
      <c r="B37" s="160"/>
      <c r="C37" s="23" t="s">
        <v>27</v>
      </c>
      <c r="D37" s="24">
        <f t="shared" ref="D37:AS37" si="34">COUNTIF(D$3:D$24,"01早*")</f>
        <v>5</v>
      </c>
      <c r="E37" s="24">
        <f t="shared" si="34"/>
        <v>5</v>
      </c>
      <c r="F37" s="24">
        <f t="shared" si="34"/>
        <v>6</v>
      </c>
      <c r="G37" s="24">
        <f t="shared" si="34"/>
        <v>6</v>
      </c>
      <c r="H37" s="24">
        <f t="shared" si="34"/>
        <v>6</v>
      </c>
      <c r="I37" s="24">
        <f t="shared" si="34"/>
        <v>6</v>
      </c>
      <c r="J37" s="24">
        <f t="shared" si="34"/>
        <v>6</v>
      </c>
      <c r="K37" s="24">
        <f t="shared" si="34"/>
        <v>0</v>
      </c>
      <c r="L37" s="24">
        <f t="shared" si="34"/>
        <v>0</v>
      </c>
      <c r="M37" s="24">
        <f t="shared" si="34"/>
        <v>0</v>
      </c>
      <c r="N37" s="24">
        <f t="shared" si="34"/>
        <v>1</v>
      </c>
      <c r="O37" s="24">
        <f t="shared" si="34"/>
        <v>0</v>
      </c>
      <c r="P37" s="24">
        <f t="shared" si="34"/>
        <v>0</v>
      </c>
      <c r="Q37" s="24">
        <f t="shared" si="34"/>
        <v>1</v>
      </c>
      <c r="R37" s="24">
        <f t="shared" si="34"/>
        <v>0</v>
      </c>
      <c r="S37" s="24">
        <f t="shared" si="34"/>
        <v>0</v>
      </c>
      <c r="T37" s="24">
        <f t="shared" si="34"/>
        <v>0</v>
      </c>
      <c r="U37" s="24">
        <f t="shared" si="34"/>
        <v>1</v>
      </c>
      <c r="V37" s="24">
        <f t="shared" si="34"/>
        <v>0</v>
      </c>
      <c r="W37" s="24">
        <f t="shared" si="34"/>
        <v>0</v>
      </c>
      <c r="X37" s="24">
        <f t="shared" si="34"/>
        <v>1</v>
      </c>
      <c r="Y37" s="24">
        <f t="shared" si="34"/>
        <v>0</v>
      </c>
      <c r="Z37" s="24">
        <f t="shared" si="34"/>
        <v>0</v>
      </c>
      <c r="AA37" s="24">
        <f t="shared" si="34"/>
        <v>0</v>
      </c>
      <c r="AB37" s="24">
        <f t="shared" si="34"/>
        <v>1</v>
      </c>
      <c r="AC37" s="24">
        <f t="shared" si="34"/>
        <v>0</v>
      </c>
      <c r="AD37" s="24">
        <f t="shared" si="34"/>
        <v>0</v>
      </c>
      <c r="AE37" s="24">
        <f t="shared" si="34"/>
        <v>0</v>
      </c>
      <c r="AF37" s="24">
        <f t="shared" si="34"/>
        <v>0</v>
      </c>
      <c r="AG37" s="24">
        <f t="shared" si="34"/>
        <v>0</v>
      </c>
      <c r="AH37" s="24">
        <f t="shared" si="34"/>
        <v>0</v>
      </c>
      <c r="AI37" s="24">
        <f t="shared" si="34"/>
        <v>1</v>
      </c>
      <c r="AJ37" s="24">
        <f t="shared" si="34"/>
        <v>0</v>
      </c>
      <c r="AK37" s="24">
        <f t="shared" si="34"/>
        <v>0</v>
      </c>
      <c r="AL37" s="24">
        <f t="shared" si="34"/>
        <v>0</v>
      </c>
      <c r="AM37" s="24">
        <f t="shared" si="34"/>
        <v>0</v>
      </c>
      <c r="AN37" s="24">
        <f t="shared" si="34"/>
        <v>0</v>
      </c>
      <c r="AO37" s="24">
        <f t="shared" si="34"/>
        <v>0</v>
      </c>
      <c r="AP37" s="24">
        <f t="shared" si="34"/>
        <v>0</v>
      </c>
      <c r="AQ37" s="24">
        <f t="shared" si="34"/>
        <v>0</v>
      </c>
      <c r="AR37" s="24">
        <f t="shared" si="34"/>
        <v>0</v>
      </c>
      <c r="AS37" s="24">
        <f t="shared" si="34"/>
        <v>0</v>
      </c>
      <c r="AT37" s="44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5"/>
      <c r="BN37" s="25"/>
      <c r="BO37" s="25"/>
    </row>
    <row r="38" spans="1:74" s="26" customFormat="1" ht="32.450000000000003" customHeight="1" x14ac:dyDescent="0.25">
      <c r="A38" s="22"/>
      <c r="B38" s="160"/>
      <c r="C38" s="23" t="s">
        <v>28</v>
      </c>
      <c r="D38" s="27">
        <f t="shared" ref="D38:AS38" si="35">COUNTIF(D$3:D$24,"01中A*")</f>
        <v>0</v>
      </c>
      <c r="E38" s="27">
        <f t="shared" si="35"/>
        <v>0</v>
      </c>
      <c r="F38" s="27">
        <f t="shared" si="35"/>
        <v>0</v>
      </c>
      <c r="G38" s="27">
        <f t="shared" si="35"/>
        <v>0</v>
      </c>
      <c r="H38" s="27">
        <f t="shared" si="35"/>
        <v>0</v>
      </c>
      <c r="I38" s="27">
        <f t="shared" si="35"/>
        <v>0</v>
      </c>
      <c r="J38" s="27">
        <f t="shared" si="35"/>
        <v>0</v>
      </c>
      <c r="K38" s="27">
        <f t="shared" si="35"/>
        <v>0</v>
      </c>
      <c r="L38" s="27">
        <f t="shared" si="35"/>
        <v>0</v>
      </c>
      <c r="M38" s="27">
        <f t="shared" si="35"/>
        <v>0</v>
      </c>
      <c r="N38" s="27">
        <f t="shared" si="35"/>
        <v>0</v>
      </c>
      <c r="O38" s="27">
        <f t="shared" si="35"/>
        <v>0</v>
      </c>
      <c r="P38" s="27">
        <f t="shared" si="35"/>
        <v>0</v>
      </c>
      <c r="Q38" s="27">
        <f t="shared" si="35"/>
        <v>0</v>
      </c>
      <c r="R38" s="27">
        <f t="shared" si="35"/>
        <v>0</v>
      </c>
      <c r="S38" s="27">
        <f t="shared" si="35"/>
        <v>0</v>
      </c>
      <c r="T38" s="27">
        <f t="shared" si="35"/>
        <v>0</v>
      </c>
      <c r="U38" s="27">
        <f t="shared" si="35"/>
        <v>0</v>
      </c>
      <c r="V38" s="27">
        <f t="shared" si="35"/>
        <v>0</v>
      </c>
      <c r="W38" s="27">
        <f t="shared" si="35"/>
        <v>0</v>
      </c>
      <c r="X38" s="27">
        <f t="shared" si="35"/>
        <v>0</v>
      </c>
      <c r="Y38" s="27">
        <f t="shared" si="35"/>
        <v>0</v>
      </c>
      <c r="Z38" s="27">
        <f t="shared" si="35"/>
        <v>0</v>
      </c>
      <c r="AA38" s="27">
        <f t="shared" si="35"/>
        <v>0</v>
      </c>
      <c r="AB38" s="27">
        <f t="shared" si="35"/>
        <v>0</v>
      </c>
      <c r="AC38" s="27">
        <f t="shared" si="35"/>
        <v>0</v>
      </c>
      <c r="AD38" s="27">
        <f t="shared" si="35"/>
        <v>0</v>
      </c>
      <c r="AE38" s="27">
        <f t="shared" si="35"/>
        <v>0</v>
      </c>
      <c r="AF38" s="27">
        <f t="shared" si="35"/>
        <v>0</v>
      </c>
      <c r="AG38" s="27">
        <f t="shared" si="35"/>
        <v>0</v>
      </c>
      <c r="AH38" s="27">
        <f t="shared" si="35"/>
        <v>0</v>
      </c>
      <c r="AI38" s="27">
        <f t="shared" si="35"/>
        <v>0</v>
      </c>
      <c r="AJ38" s="27">
        <f t="shared" si="35"/>
        <v>0</v>
      </c>
      <c r="AK38" s="27">
        <f t="shared" si="35"/>
        <v>0</v>
      </c>
      <c r="AL38" s="27">
        <f t="shared" si="35"/>
        <v>0</v>
      </c>
      <c r="AM38" s="27">
        <f t="shared" si="35"/>
        <v>0</v>
      </c>
      <c r="AN38" s="27">
        <f t="shared" si="35"/>
        <v>0</v>
      </c>
      <c r="AO38" s="27">
        <f t="shared" si="35"/>
        <v>0</v>
      </c>
      <c r="AP38" s="27">
        <f t="shared" si="35"/>
        <v>0</v>
      </c>
      <c r="AQ38" s="27">
        <f t="shared" si="35"/>
        <v>0</v>
      </c>
      <c r="AR38" s="27">
        <f t="shared" si="35"/>
        <v>0</v>
      </c>
      <c r="AS38" s="27">
        <f t="shared" si="35"/>
        <v>0</v>
      </c>
      <c r="AT38" s="44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5"/>
      <c r="BN38" s="25"/>
      <c r="BO38" s="25"/>
    </row>
    <row r="39" spans="1:74" s="26" customFormat="1" ht="32.450000000000003" customHeight="1" x14ac:dyDescent="0.25">
      <c r="A39" s="22"/>
      <c r="B39" s="160"/>
      <c r="C39" s="23" t="s">
        <v>29</v>
      </c>
      <c r="D39" s="27">
        <f t="shared" ref="D39:AS39" si="36">COUNTIF(D$3:D$24,"01午*")</f>
        <v>4</v>
      </c>
      <c r="E39" s="27">
        <f t="shared" si="36"/>
        <v>4</v>
      </c>
      <c r="F39" s="27">
        <f t="shared" si="36"/>
        <v>5</v>
      </c>
      <c r="G39" s="27">
        <f t="shared" si="36"/>
        <v>6</v>
      </c>
      <c r="H39" s="27">
        <f t="shared" si="36"/>
        <v>5</v>
      </c>
      <c r="I39" s="27">
        <f t="shared" si="36"/>
        <v>5</v>
      </c>
      <c r="J39" s="27">
        <f t="shared" si="36"/>
        <v>6</v>
      </c>
      <c r="K39" s="27">
        <f t="shared" si="36"/>
        <v>0</v>
      </c>
      <c r="L39" s="27">
        <f t="shared" si="36"/>
        <v>0</v>
      </c>
      <c r="M39" s="27">
        <f t="shared" si="36"/>
        <v>0</v>
      </c>
      <c r="N39" s="27">
        <f t="shared" si="36"/>
        <v>0</v>
      </c>
      <c r="O39" s="27">
        <f t="shared" si="36"/>
        <v>0</v>
      </c>
      <c r="P39" s="27">
        <f t="shared" si="36"/>
        <v>0</v>
      </c>
      <c r="Q39" s="27">
        <f t="shared" si="36"/>
        <v>0</v>
      </c>
      <c r="R39" s="27">
        <f t="shared" si="36"/>
        <v>0</v>
      </c>
      <c r="S39" s="27">
        <f t="shared" si="36"/>
        <v>0</v>
      </c>
      <c r="T39" s="27">
        <f t="shared" si="36"/>
        <v>0</v>
      </c>
      <c r="U39" s="27">
        <f t="shared" si="36"/>
        <v>0</v>
      </c>
      <c r="V39" s="27">
        <f t="shared" si="36"/>
        <v>0</v>
      </c>
      <c r="W39" s="27">
        <f t="shared" si="36"/>
        <v>0</v>
      </c>
      <c r="X39" s="27">
        <f t="shared" si="36"/>
        <v>0</v>
      </c>
      <c r="Y39" s="27">
        <f t="shared" si="36"/>
        <v>0</v>
      </c>
      <c r="Z39" s="27">
        <f t="shared" si="36"/>
        <v>1</v>
      </c>
      <c r="AA39" s="27">
        <f t="shared" si="36"/>
        <v>0</v>
      </c>
      <c r="AB39" s="27">
        <f t="shared" si="36"/>
        <v>0</v>
      </c>
      <c r="AC39" s="27">
        <f t="shared" si="36"/>
        <v>0</v>
      </c>
      <c r="AD39" s="27">
        <f t="shared" si="36"/>
        <v>0</v>
      </c>
      <c r="AE39" s="27">
        <f t="shared" si="36"/>
        <v>0</v>
      </c>
      <c r="AF39" s="27">
        <f t="shared" si="36"/>
        <v>0</v>
      </c>
      <c r="AG39" s="27">
        <f t="shared" si="36"/>
        <v>0</v>
      </c>
      <c r="AH39" s="27">
        <f t="shared" si="36"/>
        <v>0</v>
      </c>
      <c r="AI39" s="27">
        <f t="shared" si="36"/>
        <v>0</v>
      </c>
      <c r="AJ39" s="27">
        <f t="shared" si="36"/>
        <v>0</v>
      </c>
      <c r="AK39" s="27">
        <f t="shared" si="36"/>
        <v>0</v>
      </c>
      <c r="AL39" s="27">
        <f t="shared" si="36"/>
        <v>0</v>
      </c>
      <c r="AM39" s="27">
        <f t="shared" si="36"/>
        <v>0</v>
      </c>
      <c r="AN39" s="27">
        <f t="shared" si="36"/>
        <v>0</v>
      </c>
      <c r="AO39" s="27">
        <f t="shared" si="36"/>
        <v>0</v>
      </c>
      <c r="AP39" s="27">
        <f t="shared" si="36"/>
        <v>0</v>
      </c>
      <c r="AQ39" s="27">
        <f t="shared" si="36"/>
        <v>0</v>
      </c>
      <c r="AR39" s="27">
        <f t="shared" si="36"/>
        <v>0</v>
      </c>
      <c r="AS39" s="27">
        <f t="shared" si="36"/>
        <v>0</v>
      </c>
      <c r="AT39" s="44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5"/>
      <c r="BN39" s="25"/>
      <c r="BO39" s="25"/>
    </row>
    <row r="40" spans="1:74" s="26" customFormat="1" ht="32.25" customHeight="1" thickBot="1" x14ac:dyDescent="0.3">
      <c r="A40" s="22"/>
      <c r="B40" s="160"/>
      <c r="C40" s="29" t="s">
        <v>30</v>
      </c>
      <c r="D40" s="30">
        <f t="shared" ref="D40:AS40" si="37">COUNTIF(D$3:D$24,"01夜*")</f>
        <v>2</v>
      </c>
      <c r="E40" s="30">
        <f t="shared" si="37"/>
        <v>2</v>
      </c>
      <c r="F40" s="30">
        <f t="shared" si="37"/>
        <v>2</v>
      </c>
      <c r="G40" s="30">
        <f t="shared" si="37"/>
        <v>2</v>
      </c>
      <c r="H40" s="30">
        <f t="shared" si="37"/>
        <v>2</v>
      </c>
      <c r="I40" s="30">
        <f t="shared" si="37"/>
        <v>2</v>
      </c>
      <c r="J40" s="30">
        <f t="shared" si="37"/>
        <v>2</v>
      </c>
      <c r="K40" s="30">
        <f t="shared" si="37"/>
        <v>0</v>
      </c>
      <c r="L40" s="30">
        <f t="shared" si="37"/>
        <v>0</v>
      </c>
      <c r="M40" s="30">
        <f t="shared" si="37"/>
        <v>0</v>
      </c>
      <c r="N40" s="30">
        <f t="shared" si="37"/>
        <v>0</v>
      </c>
      <c r="O40" s="30">
        <f t="shared" si="37"/>
        <v>0</v>
      </c>
      <c r="P40" s="30">
        <f t="shared" si="37"/>
        <v>0</v>
      </c>
      <c r="Q40" s="30">
        <f t="shared" si="37"/>
        <v>1</v>
      </c>
      <c r="R40" s="30">
        <f t="shared" si="37"/>
        <v>1</v>
      </c>
      <c r="S40" s="30">
        <f t="shared" si="37"/>
        <v>1</v>
      </c>
      <c r="T40" s="30">
        <f t="shared" si="37"/>
        <v>1</v>
      </c>
      <c r="U40" s="30">
        <f t="shared" si="37"/>
        <v>1</v>
      </c>
      <c r="V40" s="30">
        <f t="shared" si="37"/>
        <v>1</v>
      </c>
      <c r="W40" s="30">
        <f t="shared" si="37"/>
        <v>0</v>
      </c>
      <c r="X40" s="30">
        <f t="shared" si="37"/>
        <v>0</v>
      </c>
      <c r="Y40" s="30">
        <f t="shared" si="37"/>
        <v>0</v>
      </c>
      <c r="Z40" s="30">
        <f t="shared" si="37"/>
        <v>1</v>
      </c>
      <c r="AA40" s="30">
        <f t="shared" si="37"/>
        <v>1</v>
      </c>
      <c r="AB40" s="30">
        <f t="shared" si="37"/>
        <v>1</v>
      </c>
      <c r="AC40" s="30">
        <f t="shared" si="37"/>
        <v>1</v>
      </c>
      <c r="AD40" s="30">
        <f t="shared" si="37"/>
        <v>1</v>
      </c>
      <c r="AE40" s="30">
        <f t="shared" si="37"/>
        <v>1</v>
      </c>
      <c r="AF40" s="30">
        <f t="shared" si="37"/>
        <v>1</v>
      </c>
      <c r="AG40" s="30">
        <f t="shared" si="37"/>
        <v>0</v>
      </c>
      <c r="AH40" s="30">
        <f t="shared" si="37"/>
        <v>1</v>
      </c>
      <c r="AI40" s="30">
        <f t="shared" si="37"/>
        <v>1</v>
      </c>
      <c r="AJ40" s="30">
        <f t="shared" si="37"/>
        <v>1</v>
      </c>
      <c r="AK40" s="30">
        <f t="shared" si="37"/>
        <v>1</v>
      </c>
      <c r="AL40" s="30">
        <f t="shared" si="37"/>
        <v>1</v>
      </c>
      <c r="AM40" s="30">
        <f t="shared" si="37"/>
        <v>1</v>
      </c>
      <c r="AN40" s="30">
        <f t="shared" si="37"/>
        <v>0</v>
      </c>
      <c r="AO40" s="30">
        <f t="shared" si="37"/>
        <v>0</v>
      </c>
      <c r="AP40" s="30">
        <f t="shared" si="37"/>
        <v>0</v>
      </c>
      <c r="AQ40" s="30">
        <f t="shared" si="37"/>
        <v>0</v>
      </c>
      <c r="AR40" s="30">
        <f t="shared" si="37"/>
        <v>0</v>
      </c>
      <c r="AS40" s="30">
        <f t="shared" si="37"/>
        <v>0</v>
      </c>
      <c r="AT40" s="44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5"/>
      <c r="BN40" s="25"/>
      <c r="BO40" s="25"/>
    </row>
    <row r="41" spans="1:74" s="21" customFormat="1" x14ac:dyDescent="0.25"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59"/>
      <c r="R41" s="57"/>
      <c r="S41" s="20"/>
      <c r="T41" s="20"/>
      <c r="U41" s="20"/>
      <c r="V41" s="20"/>
      <c r="W41" s="20"/>
      <c r="X41" s="20"/>
      <c r="Z41" s="64"/>
      <c r="AA41" s="64"/>
      <c r="AB41" s="64"/>
      <c r="AC41" s="20"/>
      <c r="AD41" s="20"/>
      <c r="AE41" s="20"/>
      <c r="AF41" s="20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20"/>
      <c r="BV41" s="5"/>
    </row>
    <row r="42" spans="1:74" x14ac:dyDescent="0.25">
      <c r="AU42" s="71"/>
      <c r="AV42" s="71"/>
      <c r="AW42" s="71"/>
      <c r="AX42" s="71"/>
      <c r="AY42" s="71"/>
      <c r="AZ42" s="71"/>
    </row>
    <row r="43" spans="1:74" x14ac:dyDescent="0.25">
      <c r="AU43" s="71"/>
      <c r="AV43" s="71"/>
      <c r="AW43" s="71"/>
      <c r="AX43" s="71"/>
      <c r="AY43" s="71"/>
      <c r="AZ43" s="71"/>
    </row>
    <row r="44" spans="1:74" x14ac:dyDescent="0.25">
      <c r="AU44" s="71"/>
      <c r="AV44" s="71"/>
      <c r="AW44" s="71"/>
      <c r="AX44" s="71"/>
      <c r="AY44" s="71"/>
      <c r="AZ44" s="71"/>
    </row>
  </sheetData>
  <sheetProtection autoFilter="0"/>
  <autoFilter ref="A2:BT30" xr:uid="{00000000-0009-0000-0000-000000000000}"/>
  <mergeCells count="19">
    <mergeCell ref="BT1:BT2"/>
    <mergeCell ref="BI1:BM1"/>
    <mergeCell ref="C25:AF25"/>
    <mergeCell ref="A26:C30"/>
    <mergeCell ref="AW1:AX1"/>
    <mergeCell ref="A3:A24"/>
    <mergeCell ref="A1:A2"/>
    <mergeCell ref="BA1:BH1"/>
    <mergeCell ref="B1:B2"/>
    <mergeCell ref="C1:C2"/>
    <mergeCell ref="AT1:AT2"/>
    <mergeCell ref="AU1:AV1"/>
    <mergeCell ref="AY1:AZ1"/>
    <mergeCell ref="G26:X26"/>
    <mergeCell ref="B37:B40"/>
    <mergeCell ref="A25:B25"/>
    <mergeCell ref="A32:A33"/>
    <mergeCell ref="B32:B33"/>
    <mergeCell ref="C32:C33"/>
  </mergeCells>
  <phoneticPr fontId="1" type="noConversion"/>
  <conditionalFormatting sqref="D36:AS36">
    <cfRule type="cellIs" dxfId="26" priority="73" operator="notEqual">
      <formula>1</formula>
    </cfRule>
  </conditionalFormatting>
  <conditionalFormatting sqref="D37:AS37 D39:AS39">
    <cfRule type="cellIs" dxfId="25" priority="70" operator="equal">
      <formula>4</formula>
    </cfRule>
    <cfRule type="cellIs" dxfId="24" priority="71" operator="greaterThan">
      <formula>5</formula>
    </cfRule>
    <cfRule type="cellIs" dxfId="23" priority="72" operator="lessThan">
      <formula>4</formula>
    </cfRule>
  </conditionalFormatting>
  <conditionalFormatting sqref="D38:AS38">
    <cfRule type="cellIs" dxfId="22" priority="82" operator="notEqual">
      <formula>0</formula>
    </cfRule>
  </conditionalFormatting>
  <conditionalFormatting sqref="G28:L28">
    <cfRule type="cellIs" dxfId="21" priority="99" stopIfTrue="1" operator="equal">
      <formula>"X"</formula>
    </cfRule>
  </conditionalFormatting>
  <conditionalFormatting sqref="G28:L29 G27:V27">
    <cfRule type="containsText" dxfId="20" priority="107" operator="containsText" text="r">
      <formula>NOT(ISERROR(SEARCH("r",G27)))</formula>
    </cfRule>
  </conditionalFormatting>
  <conditionalFormatting sqref="G29:L29">
    <cfRule type="containsText" dxfId="19" priority="94" operator="containsText" text="P">
      <formula>NOT(ISERROR(SEARCH("P",G29)))</formula>
    </cfRule>
    <cfRule type="containsText" dxfId="18" priority="95" operator="containsText" text="R">
      <formula>NOT(ISERROR(SEARCH("R",G29)))</formula>
    </cfRule>
    <cfRule type="containsText" dxfId="17" priority="96" operator="containsText" text="r">
      <formula>NOT(ISERROR(SEARCH("r",G29)))</formula>
    </cfRule>
    <cfRule type="containsText" dxfId="16" priority="97" operator="containsText" text="P">
      <formula>NOT(ISERROR(SEARCH("P",G29)))</formula>
    </cfRule>
  </conditionalFormatting>
  <conditionalFormatting sqref="G27:V27 G28:L29">
    <cfRule type="cellIs" dxfId="15" priority="108" stopIfTrue="1" operator="equal">
      <formula>"X"</formula>
    </cfRule>
  </conditionalFormatting>
  <conditionalFormatting sqref="AY3:AZ24">
    <cfRule type="cellIs" dxfId="14" priority="2" operator="notEqual">
      <formula>0</formula>
    </cfRule>
  </conditionalFormatting>
  <conditionalFormatting sqref="BA2">
    <cfRule type="expression" dxfId="13" priority="117">
      <formula>WEEKDAY(BA$1,2)&gt;5</formula>
    </cfRule>
    <cfRule type="expression" dxfId="12" priority="121">
      <formula>MATCH(BA$1,#REF!,0)</formula>
    </cfRule>
  </conditionalFormatting>
  <conditionalFormatting sqref="BN3:BS24 D34:AS35">
    <cfRule type="cellIs" dxfId="11" priority="119" operator="notEqual">
      <formula>1</formula>
    </cfRule>
  </conditionalFormatting>
  <conditionalFormatting sqref="BT3:BT24">
    <cfRule type="cellIs" dxfId="10" priority="18" operator="notEqual">
      <formula>31</formula>
    </cfRule>
  </conditionalFormatting>
  <conditionalFormatting sqref="BV40">
    <cfRule type="cellIs" dxfId="9" priority="52" operator="notEqual">
      <formula>2</formula>
    </cfRule>
  </conditionalFormatting>
  <pageMargins left="0.51181102362204722" right="0.51181102362204722" top="0.74803149606299213" bottom="0" header="0.31496062992125984" footer="0.31496062992125984"/>
  <pageSetup paperSize="8" scale="18" orientation="landscape" r:id="rId1"/>
  <headerFooter>
    <oddHeader>&amp;C&amp;"微軟正黑體,標準"&amp;48桃園捷運公司 運務處站務中心
115年7月員工輪值表(北段)</oddHead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09"/>
  <sheetViews>
    <sheetView zoomScale="55" zoomScaleNormal="55" zoomScaleSheetLayoutView="25" zoomScalePageLayoutView="85" workbookViewId="0">
      <pane xSplit="3" ySplit="2" topLeftCell="D57" activePane="bottomRight" state="frozen"/>
      <selection activeCell="F11" sqref="F11"/>
      <selection pane="topRight" activeCell="F11" sqref="F11"/>
      <selection pane="bottomLeft" activeCell="F11" sqref="F11"/>
      <selection pane="bottomRight" activeCell="L76" sqref="L76"/>
    </sheetView>
  </sheetViews>
  <sheetFormatPr defaultColWidth="8.875" defaultRowHeight="16.5" x14ac:dyDescent="0.25"/>
  <cols>
    <col min="1" max="1" width="11.875" style="5" customWidth="1"/>
    <col min="2" max="2" width="20.125" style="5" bestFit="1" customWidth="1"/>
    <col min="3" max="3" width="18.875" style="5" customWidth="1"/>
    <col min="4" max="21" width="18.5" style="10" customWidth="1"/>
    <col min="22" max="25" width="18.5" style="5" customWidth="1"/>
    <col min="26" max="26" width="18.5" style="10" customWidth="1"/>
    <col min="27" max="34" width="18.5" style="5" customWidth="1"/>
    <col min="35" max="16384" width="8.875" style="5"/>
  </cols>
  <sheetData>
    <row r="1" spans="1:34" ht="63.75" customHeight="1" x14ac:dyDescent="0.25">
      <c r="A1" s="41"/>
      <c r="B1" s="193" t="s">
        <v>0</v>
      </c>
      <c r="C1" s="187" t="s">
        <v>51</v>
      </c>
      <c r="D1" s="18">
        <v>46204</v>
      </c>
      <c r="E1" s="18">
        <v>46205</v>
      </c>
      <c r="F1" s="18">
        <v>46206</v>
      </c>
      <c r="G1" s="18">
        <v>46207</v>
      </c>
      <c r="H1" s="18">
        <v>46208</v>
      </c>
      <c r="I1" s="18">
        <v>46209</v>
      </c>
      <c r="J1" s="18">
        <v>46210</v>
      </c>
      <c r="K1" s="18">
        <v>46211</v>
      </c>
      <c r="L1" s="18">
        <v>46212</v>
      </c>
      <c r="M1" s="18">
        <v>46213</v>
      </c>
      <c r="N1" s="18">
        <v>46214</v>
      </c>
      <c r="O1" s="18">
        <v>46215</v>
      </c>
      <c r="P1" s="18">
        <v>46216</v>
      </c>
      <c r="Q1" s="18">
        <v>46217</v>
      </c>
      <c r="R1" s="18">
        <v>46218</v>
      </c>
      <c r="S1" s="18">
        <v>46219</v>
      </c>
      <c r="T1" s="18">
        <v>46220</v>
      </c>
      <c r="U1" s="18">
        <v>46221</v>
      </c>
      <c r="V1" s="18">
        <v>46222</v>
      </c>
      <c r="W1" s="18">
        <v>46223</v>
      </c>
      <c r="X1" s="18">
        <v>46224</v>
      </c>
      <c r="Y1" s="18">
        <v>46225</v>
      </c>
      <c r="Z1" s="18">
        <v>46226</v>
      </c>
      <c r="AA1" s="18">
        <v>46227</v>
      </c>
      <c r="AB1" s="18">
        <v>46228</v>
      </c>
      <c r="AC1" s="18">
        <v>46229</v>
      </c>
      <c r="AD1" s="18">
        <v>46230</v>
      </c>
      <c r="AE1" s="18">
        <v>46231</v>
      </c>
      <c r="AF1" s="18">
        <v>46232</v>
      </c>
      <c r="AG1" s="18">
        <v>46233</v>
      </c>
      <c r="AH1" s="18">
        <v>46234</v>
      </c>
    </row>
    <row r="2" spans="1:34" ht="43.5" customHeight="1" x14ac:dyDescent="0.25">
      <c r="A2" s="42"/>
      <c r="B2" s="194"/>
      <c r="C2" s="195"/>
      <c r="D2" s="39">
        <f t="shared" ref="D2:AH2" si="0">IFERROR(IF(WEEKDAY(D1,2)=7,"日",WEEKDAY(D1,2)),"")</f>
        <v>3</v>
      </c>
      <c r="E2" s="39">
        <f t="shared" si="0"/>
        <v>4</v>
      </c>
      <c r="F2" s="39">
        <f t="shared" si="0"/>
        <v>5</v>
      </c>
      <c r="G2" s="39">
        <f t="shared" si="0"/>
        <v>6</v>
      </c>
      <c r="H2" s="39" t="str">
        <f t="shared" si="0"/>
        <v>日</v>
      </c>
      <c r="I2" s="39">
        <f t="shared" si="0"/>
        <v>1</v>
      </c>
      <c r="J2" s="39">
        <f t="shared" si="0"/>
        <v>2</v>
      </c>
      <c r="K2" s="39">
        <f t="shared" si="0"/>
        <v>3</v>
      </c>
      <c r="L2" s="39">
        <f t="shared" si="0"/>
        <v>4</v>
      </c>
      <c r="M2" s="39">
        <f t="shared" si="0"/>
        <v>5</v>
      </c>
      <c r="N2" s="39">
        <f t="shared" si="0"/>
        <v>6</v>
      </c>
      <c r="O2" s="39" t="str">
        <f t="shared" si="0"/>
        <v>日</v>
      </c>
      <c r="P2" s="39">
        <f t="shared" si="0"/>
        <v>1</v>
      </c>
      <c r="Q2" s="39">
        <f t="shared" si="0"/>
        <v>2</v>
      </c>
      <c r="R2" s="39">
        <f t="shared" si="0"/>
        <v>3</v>
      </c>
      <c r="S2" s="39">
        <f t="shared" si="0"/>
        <v>4</v>
      </c>
      <c r="T2" s="39">
        <f t="shared" si="0"/>
        <v>5</v>
      </c>
      <c r="U2" s="39">
        <f t="shared" si="0"/>
        <v>6</v>
      </c>
      <c r="V2" s="39" t="str">
        <f t="shared" si="0"/>
        <v>日</v>
      </c>
      <c r="W2" s="39">
        <f t="shared" si="0"/>
        <v>1</v>
      </c>
      <c r="X2" s="39">
        <f t="shared" si="0"/>
        <v>2</v>
      </c>
      <c r="Y2" s="39">
        <f t="shared" si="0"/>
        <v>3</v>
      </c>
      <c r="Z2" s="39">
        <f t="shared" si="0"/>
        <v>4</v>
      </c>
      <c r="AA2" s="39">
        <f t="shared" si="0"/>
        <v>5</v>
      </c>
      <c r="AB2" s="39">
        <f t="shared" si="0"/>
        <v>6</v>
      </c>
      <c r="AC2" s="39" t="str">
        <f t="shared" si="0"/>
        <v>日</v>
      </c>
      <c r="AD2" s="39">
        <f t="shared" si="0"/>
        <v>1</v>
      </c>
      <c r="AE2" s="39">
        <f t="shared" si="0"/>
        <v>2</v>
      </c>
      <c r="AF2" s="39">
        <f t="shared" si="0"/>
        <v>3</v>
      </c>
      <c r="AG2" s="39">
        <f t="shared" si="0"/>
        <v>4</v>
      </c>
      <c r="AH2" s="39">
        <f t="shared" si="0"/>
        <v>5</v>
      </c>
    </row>
    <row r="3" spans="1:34" ht="34.5" customHeight="1" x14ac:dyDescent="0.25">
      <c r="A3" s="126"/>
      <c r="B3" s="72" t="e">
        <f>LEFT(北段!#REF!,6)</f>
        <v>#REF!</v>
      </c>
      <c r="C3" s="38" t="e">
        <f>VLOOKUP(B3,北段!B:C,2,FALSE)</f>
        <v>#REF!</v>
      </c>
      <c r="D3" s="124" t="e">
        <f>LEFT(北段!#REF!,4)</f>
        <v>#REF!</v>
      </c>
      <c r="E3" s="124" t="e">
        <f>LEFT(北段!#REF!,4)</f>
        <v>#REF!</v>
      </c>
      <c r="F3" s="124" t="e">
        <f>LEFT(北段!#REF!,4)</f>
        <v>#REF!</v>
      </c>
      <c r="G3" s="124" t="e">
        <f>LEFT(北段!#REF!,4)</f>
        <v>#REF!</v>
      </c>
      <c r="H3" s="124" t="e">
        <f>LEFT(北段!#REF!,4)</f>
        <v>#REF!</v>
      </c>
      <c r="I3" s="124" t="e">
        <f>LEFT(北段!#REF!,4)</f>
        <v>#REF!</v>
      </c>
      <c r="J3" s="124" t="e">
        <f>LEFT(北段!#REF!,4)</f>
        <v>#REF!</v>
      </c>
      <c r="K3" s="124" t="e">
        <f>LEFT(北段!#REF!,4)</f>
        <v>#REF!</v>
      </c>
      <c r="L3" s="124" t="e">
        <f>LEFT(北段!#REF!,4)</f>
        <v>#REF!</v>
      </c>
      <c r="M3" s="124" t="e">
        <f>LEFT(北段!#REF!,4)</f>
        <v>#REF!</v>
      </c>
      <c r="N3" s="124" t="e">
        <f>LEFT(北段!#REF!,4)</f>
        <v>#REF!</v>
      </c>
      <c r="O3" s="124" t="e">
        <f>LEFT(北段!#REF!,4)</f>
        <v>#REF!</v>
      </c>
      <c r="P3" s="124" t="e">
        <f>LEFT(北段!#REF!,4)</f>
        <v>#REF!</v>
      </c>
      <c r="Q3" s="124" t="e">
        <f>LEFT(北段!#REF!,4)</f>
        <v>#REF!</v>
      </c>
      <c r="R3" s="124" t="e">
        <f>LEFT(北段!#REF!,4)</f>
        <v>#REF!</v>
      </c>
      <c r="S3" s="124" t="e">
        <f>LEFT(北段!#REF!,4)</f>
        <v>#REF!</v>
      </c>
      <c r="T3" s="124" t="e">
        <f>LEFT(北段!#REF!,4)</f>
        <v>#REF!</v>
      </c>
      <c r="U3" s="124" t="e">
        <f>LEFT(北段!#REF!,4)</f>
        <v>#REF!</v>
      </c>
      <c r="V3" s="124" t="e">
        <f>LEFT(北段!#REF!,4)</f>
        <v>#REF!</v>
      </c>
      <c r="W3" s="124" t="e">
        <f>LEFT(北段!#REF!,4)</f>
        <v>#REF!</v>
      </c>
      <c r="X3" s="124" t="e">
        <f>LEFT(北段!#REF!,4)</f>
        <v>#REF!</v>
      </c>
      <c r="Y3" s="124" t="e">
        <f>LEFT(北段!#REF!,4)</f>
        <v>#REF!</v>
      </c>
      <c r="Z3" s="124" t="e">
        <f>LEFT(北段!#REF!,4)</f>
        <v>#REF!</v>
      </c>
      <c r="AA3" s="124" t="e">
        <f>LEFT(北段!#REF!,4)</f>
        <v>#REF!</v>
      </c>
      <c r="AB3" s="124" t="e">
        <f>LEFT(北段!#REF!,4)</f>
        <v>#REF!</v>
      </c>
      <c r="AC3" s="124" t="e">
        <f>LEFT(北段!#REF!,4)</f>
        <v>#REF!</v>
      </c>
      <c r="AD3" s="124" t="e">
        <f>LEFT(北段!#REF!,4)</f>
        <v>#REF!</v>
      </c>
      <c r="AE3" s="124" t="e">
        <f>LEFT(北段!#REF!,4)</f>
        <v>#REF!</v>
      </c>
      <c r="AF3" s="124" t="e">
        <f>LEFT(北段!#REF!,4)</f>
        <v>#REF!</v>
      </c>
      <c r="AG3" s="124" t="e">
        <f>LEFT(北段!#REF!,4)</f>
        <v>#REF!</v>
      </c>
      <c r="AH3" s="124" t="e">
        <f>LEFT(北段!#REF!,4)</f>
        <v>#REF!</v>
      </c>
    </row>
    <row r="4" spans="1:34" ht="34.5" customHeight="1" x14ac:dyDescent="0.25">
      <c r="A4" s="126"/>
      <c r="B4" s="72" t="e">
        <f>LEFT(北段!#REF!,6)</f>
        <v>#REF!</v>
      </c>
      <c r="C4" s="38" t="e">
        <f>VLOOKUP(B4,北段!B:C,2,FALSE)</f>
        <v>#REF!</v>
      </c>
      <c r="D4" s="124" t="e">
        <f>LEFT(北段!#REF!,4)</f>
        <v>#REF!</v>
      </c>
      <c r="E4" s="124" t="e">
        <f>LEFT(北段!#REF!,4)</f>
        <v>#REF!</v>
      </c>
      <c r="F4" s="124" t="e">
        <f>LEFT(北段!#REF!,4)</f>
        <v>#REF!</v>
      </c>
      <c r="G4" s="124" t="e">
        <f>LEFT(北段!#REF!,4)</f>
        <v>#REF!</v>
      </c>
      <c r="H4" s="124" t="e">
        <f>LEFT(北段!#REF!,4)</f>
        <v>#REF!</v>
      </c>
      <c r="I4" s="124" t="e">
        <f>LEFT(北段!#REF!,4)</f>
        <v>#REF!</v>
      </c>
      <c r="J4" s="124" t="e">
        <f>LEFT(北段!#REF!,4)</f>
        <v>#REF!</v>
      </c>
      <c r="K4" s="124" t="e">
        <f>LEFT(北段!#REF!,4)</f>
        <v>#REF!</v>
      </c>
      <c r="L4" s="124" t="e">
        <f>LEFT(北段!#REF!,4)</f>
        <v>#REF!</v>
      </c>
      <c r="M4" s="124" t="e">
        <f>LEFT(北段!#REF!,4)</f>
        <v>#REF!</v>
      </c>
      <c r="N4" s="124" t="e">
        <f>LEFT(北段!#REF!,4)</f>
        <v>#REF!</v>
      </c>
      <c r="O4" s="124" t="e">
        <f>LEFT(北段!#REF!,4)</f>
        <v>#REF!</v>
      </c>
      <c r="P4" s="124" t="e">
        <f>LEFT(北段!#REF!,4)</f>
        <v>#REF!</v>
      </c>
      <c r="Q4" s="124" t="e">
        <f>LEFT(北段!#REF!,4)</f>
        <v>#REF!</v>
      </c>
      <c r="R4" s="124" t="e">
        <f>LEFT(北段!#REF!,4)</f>
        <v>#REF!</v>
      </c>
      <c r="S4" s="124" t="e">
        <f>LEFT(北段!#REF!,4)</f>
        <v>#REF!</v>
      </c>
      <c r="T4" s="124" t="e">
        <f>LEFT(北段!#REF!,4)</f>
        <v>#REF!</v>
      </c>
      <c r="U4" s="124" t="e">
        <f>LEFT(北段!#REF!,4)</f>
        <v>#REF!</v>
      </c>
      <c r="V4" s="124" t="e">
        <f>LEFT(北段!#REF!,4)</f>
        <v>#REF!</v>
      </c>
      <c r="W4" s="124" t="e">
        <f>LEFT(北段!#REF!,4)</f>
        <v>#REF!</v>
      </c>
      <c r="X4" s="124" t="e">
        <f>LEFT(北段!#REF!,4)</f>
        <v>#REF!</v>
      </c>
      <c r="Y4" s="124" t="e">
        <f>LEFT(北段!#REF!,4)</f>
        <v>#REF!</v>
      </c>
      <c r="Z4" s="124" t="e">
        <f>LEFT(北段!#REF!,4)</f>
        <v>#REF!</v>
      </c>
      <c r="AA4" s="124" t="e">
        <f>LEFT(北段!#REF!,4)</f>
        <v>#REF!</v>
      </c>
      <c r="AB4" s="124" t="e">
        <f>LEFT(北段!#REF!,4)</f>
        <v>#REF!</v>
      </c>
      <c r="AC4" s="124" t="e">
        <f>LEFT(北段!#REF!,4)</f>
        <v>#REF!</v>
      </c>
      <c r="AD4" s="124" t="e">
        <f>LEFT(北段!#REF!,4)</f>
        <v>#REF!</v>
      </c>
      <c r="AE4" s="124" t="e">
        <f>LEFT(北段!#REF!,4)</f>
        <v>#REF!</v>
      </c>
      <c r="AF4" s="124" t="e">
        <f>LEFT(北段!#REF!,4)</f>
        <v>#REF!</v>
      </c>
      <c r="AG4" s="124" t="e">
        <f>LEFT(北段!#REF!,4)</f>
        <v>#REF!</v>
      </c>
      <c r="AH4" s="124" t="e">
        <f>LEFT(北段!#REF!,4)</f>
        <v>#REF!</v>
      </c>
    </row>
    <row r="5" spans="1:34" ht="34.5" customHeight="1" x14ac:dyDescent="0.25">
      <c r="A5" s="126"/>
      <c r="B5" s="72" t="e">
        <f>LEFT(北段!#REF!,6)</f>
        <v>#REF!</v>
      </c>
      <c r="C5" s="38" t="e">
        <f>VLOOKUP(B5,北段!B:C,2,FALSE)</f>
        <v>#REF!</v>
      </c>
      <c r="D5" s="124" t="e">
        <f>LEFT(北段!#REF!,4)</f>
        <v>#REF!</v>
      </c>
      <c r="E5" s="124" t="e">
        <f>LEFT(北段!#REF!,4)</f>
        <v>#REF!</v>
      </c>
      <c r="F5" s="124" t="e">
        <f>LEFT(北段!#REF!,4)</f>
        <v>#REF!</v>
      </c>
      <c r="G5" s="124" t="e">
        <f>LEFT(北段!#REF!,4)</f>
        <v>#REF!</v>
      </c>
      <c r="H5" s="124" t="e">
        <f>LEFT(北段!#REF!,4)</f>
        <v>#REF!</v>
      </c>
      <c r="I5" s="124" t="e">
        <f>LEFT(北段!#REF!,4)</f>
        <v>#REF!</v>
      </c>
      <c r="J5" s="124" t="e">
        <f>LEFT(北段!#REF!,4)</f>
        <v>#REF!</v>
      </c>
      <c r="K5" s="124" t="e">
        <f>LEFT(北段!#REF!,4)</f>
        <v>#REF!</v>
      </c>
      <c r="L5" s="124" t="e">
        <f>LEFT(北段!#REF!,4)</f>
        <v>#REF!</v>
      </c>
      <c r="M5" s="124" t="e">
        <f>LEFT(北段!#REF!,4)</f>
        <v>#REF!</v>
      </c>
      <c r="N5" s="124" t="e">
        <f>LEFT(北段!#REF!,4)</f>
        <v>#REF!</v>
      </c>
      <c r="O5" s="124" t="e">
        <f>LEFT(北段!#REF!,4)</f>
        <v>#REF!</v>
      </c>
      <c r="P5" s="124" t="e">
        <f>LEFT(北段!#REF!,4)</f>
        <v>#REF!</v>
      </c>
      <c r="Q5" s="124" t="e">
        <f>LEFT(北段!#REF!,4)</f>
        <v>#REF!</v>
      </c>
      <c r="R5" s="124" t="e">
        <f>LEFT(北段!#REF!,4)</f>
        <v>#REF!</v>
      </c>
      <c r="S5" s="124" t="e">
        <f>LEFT(北段!#REF!,4)</f>
        <v>#REF!</v>
      </c>
      <c r="T5" s="124" t="e">
        <f>LEFT(北段!#REF!,4)</f>
        <v>#REF!</v>
      </c>
      <c r="U5" s="124" t="e">
        <f>LEFT(北段!#REF!,4)</f>
        <v>#REF!</v>
      </c>
      <c r="V5" s="124" t="e">
        <f>LEFT(北段!#REF!,4)</f>
        <v>#REF!</v>
      </c>
      <c r="W5" s="124" t="e">
        <f>LEFT(北段!#REF!,4)</f>
        <v>#REF!</v>
      </c>
      <c r="X5" s="124" t="e">
        <f>LEFT(北段!#REF!,4)</f>
        <v>#REF!</v>
      </c>
      <c r="Y5" s="124" t="e">
        <f>LEFT(北段!#REF!,4)</f>
        <v>#REF!</v>
      </c>
      <c r="Z5" s="124" t="e">
        <f>LEFT(北段!#REF!,4)</f>
        <v>#REF!</v>
      </c>
      <c r="AA5" s="124" t="e">
        <f>LEFT(北段!#REF!,4)</f>
        <v>#REF!</v>
      </c>
      <c r="AB5" s="124" t="e">
        <f>LEFT(北段!#REF!,4)</f>
        <v>#REF!</v>
      </c>
      <c r="AC5" s="124" t="e">
        <f>LEFT(北段!#REF!,4)</f>
        <v>#REF!</v>
      </c>
      <c r="AD5" s="124" t="e">
        <f>LEFT(北段!#REF!,4)</f>
        <v>#REF!</v>
      </c>
      <c r="AE5" s="124" t="e">
        <f>LEFT(北段!#REF!,4)</f>
        <v>#REF!</v>
      </c>
      <c r="AF5" s="124" t="e">
        <f>LEFT(北段!#REF!,4)</f>
        <v>#REF!</v>
      </c>
      <c r="AG5" s="124" t="e">
        <f>LEFT(北段!#REF!,4)</f>
        <v>#REF!</v>
      </c>
      <c r="AH5" s="124" t="e">
        <f>LEFT(北段!#REF!,4)</f>
        <v>#REF!</v>
      </c>
    </row>
    <row r="6" spans="1:34" ht="34.5" customHeight="1" x14ac:dyDescent="0.25">
      <c r="A6" s="126"/>
      <c r="B6" s="72" t="e">
        <f>LEFT(北段!#REF!,6)</f>
        <v>#REF!</v>
      </c>
      <c r="C6" s="38" t="e">
        <f>VLOOKUP(B6,北段!B:C,2,FALSE)</f>
        <v>#REF!</v>
      </c>
      <c r="D6" s="124" t="e">
        <f>LEFT(北段!#REF!,4)</f>
        <v>#REF!</v>
      </c>
      <c r="E6" s="124" t="e">
        <f>LEFT(北段!#REF!,4)</f>
        <v>#REF!</v>
      </c>
      <c r="F6" s="124" t="e">
        <f>LEFT(北段!#REF!,4)</f>
        <v>#REF!</v>
      </c>
      <c r="G6" s="124" t="e">
        <f>LEFT(北段!#REF!,4)</f>
        <v>#REF!</v>
      </c>
      <c r="H6" s="124" t="e">
        <f>LEFT(北段!#REF!,4)</f>
        <v>#REF!</v>
      </c>
      <c r="I6" s="124" t="e">
        <f>LEFT(北段!#REF!,4)</f>
        <v>#REF!</v>
      </c>
      <c r="J6" s="124" t="e">
        <f>LEFT(北段!#REF!,4)</f>
        <v>#REF!</v>
      </c>
      <c r="K6" s="124" t="e">
        <f>LEFT(北段!#REF!,4)</f>
        <v>#REF!</v>
      </c>
      <c r="L6" s="124" t="e">
        <f>LEFT(北段!#REF!,4)</f>
        <v>#REF!</v>
      </c>
      <c r="M6" s="124" t="e">
        <f>LEFT(北段!#REF!,4)</f>
        <v>#REF!</v>
      </c>
      <c r="N6" s="124" t="e">
        <f>LEFT(北段!#REF!,4)</f>
        <v>#REF!</v>
      </c>
      <c r="O6" s="124" t="e">
        <f>LEFT(北段!#REF!,4)</f>
        <v>#REF!</v>
      </c>
      <c r="P6" s="124" t="e">
        <f>LEFT(北段!#REF!,4)</f>
        <v>#REF!</v>
      </c>
      <c r="Q6" s="124" t="e">
        <f>LEFT(北段!#REF!,4)</f>
        <v>#REF!</v>
      </c>
      <c r="R6" s="124" t="e">
        <f>LEFT(北段!#REF!,4)</f>
        <v>#REF!</v>
      </c>
      <c r="S6" s="124" t="e">
        <f>LEFT(北段!#REF!,4)</f>
        <v>#REF!</v>
      </c>
      <c r="T6" s="124" t="e">
        <f>LEFT(北段!#REF!,4)</f>
        <v>#REF!</v>
      </c>
      <c r="U6" s="124" t="e">
        <f>LEFT(北段!#REF!,4)</f>
        <v>#REF!</v>
      </c>
      <c r="V6" s="124" t="e">
        <f>LEFT(北段!#REF!,4)</f>
        <v>#REF!</v>
      </c>
      <c r="W6" s="124" t="e">
        <f>LEFT(北段!#REF!,4)</f>
        <v>#REF!</v>
      </c>
      <c r="X6" s="124" t="e">
        <f>LEFT(北段!#REF!,4)</f>
        <v>#REF!</v>
      </c>
      <c r="Y6" s="124" t="e">
        <f>LEFT(北段!#REF!,4)</f>
        <v>#REF!</v>
      </c>
      <c r="Z6" s="124" t="e">
        <f>LEFT(北段!#REF!,4)</f>
        <v>#REF!</v>
      </c>
      <c r="AA6" s="124" t="e">
        <f>LEFT(北段!#REF!,4)</f>
        <v>#REF!</v>
      </c>
      <c r="AB6" s="124" t="e">
        <f>LEFT(北段!#REF!,4)</f>
        <v>#REF!</v>
      </c>
      <c r="AC6" s="124" t="e">
        <f>LEFT(北段!#REF!,4)</f>
        <v>#REF!</v>
      </c>
      <c r="AD6" s="124" t="e">
        <f>LEFT(北段!#REF!,4)</f>
        <v>#REF!</v>
      </c>
      <c r="AE6" s="124" t="e">
        <f>LEFT(北段!#REF!,4)</f>
        <v>#REF!</v>
      </c>
      <c r="AF6" s="124" t="e">
        <f>LEFT(北段!#REF!,4)</f>
        <v>#REF!</v>
      </c>
      <c r="AG6" s="124" t="e">
        <f>LEFT(北段!#REF!,4)</f>
        <v>#REF!</v>
      </c>
      <c r="AH6" s="124" t="e">
        <f>LEFT(北段!#REF!,4)</f>
        <v>#REF!</v>
      </c>
    </row>
    <row r="7" spans="1:34" ht="34.5" customHeight="1" x14ac:dyDescent="0.25">
      <c r="A7" s="126"/>
      <c r="B7" s="72" t="e">
        <f>LEFT(北段!#REF!,6)</f>
        <v>#REF!</v>
      </c>
      <c r="C7" s="38" t="e">
        <f>VLOOKUP(B7,北段!B:C,2,FALSE)</f>
        <v>#REF!</v>
      </c>
      <c r="D7" s="124" t="e">
        <f>LEFT(北段!#REF!,4)</f>
        <v>#REF!</v>
      </c>
      <c r="E7" s="124" t="e">
        <f>LEFT(北段!#REF!,4)</f>
        <v>#REF!</v>
      </c>
      <c r="F7" s="124" t="e">
        <f>LEFT(北段!#REF!,4)</f>
        <v>#REF!</v>
      </c>
      <c r="G7" s="124" t="e">
        <f>LEFT(北段!#REF!,4)</f>
        <v>#REF!</v>
      </c>
      <c r="H7" s="124" t="e">
        <f>LEFT(北段!#REF!,4)</f>
        <v>#REF!</v>
      </c>
      <c r="I7" s="124" t="e">
        <f>LEFT(北段!#REF!,4)</f>
        <v>#REF!</v>
      </c>
      <c r="J7" s="124" t="e">
        <f>LEFT(北段!#REF!,4)</f>
        <v>#REF!</v>
      </c>
      <c r="K7" s="124" t="e">
        <f>LEFT(北段!#REF!,4)</f>
        <v>#REF!</v>
      </c>
      <c r="L7" s="124" t="e">
        <f>LEFT(北段!#REF!,4)</f>
        <v>#REF!</v>
      </c>
      <c r="M7" s="124" t="e">
        <f>LEFT(北段!#REF!,4)</f>
        <v>#REF!</v>
      </c>
      <c r="N7" s="124" t="e">
        <f>LEFT(北段!#REF!,4)</f>
        <v>#REF!</v>
      </c>
      <c r="O7" s="124" t="e">
        <f>LEFT(北段!#REF!,4)</f>
        <v>#REF!</v>
      </c>
      <c r="P7" s="124" t="e">
        <f>LEFT(北段!#REF!,4)</f>
        <v>#REF!</v>
      </c>
      <c r="Q7" s="124" t="e">
        <f>LEFT(北段!#REF!,4)</f>
        <v>#REF!</v>
      </c>
      <c r="R7" s="124" t="e">
        <f>LEFT(北段!#REF!,4)</f>
        <v>#REF!</v>
      </c>
      <c r="S7" s="124" t="e">
        <f>LEFT(北段!#REF!,4)</f>
        <v>#REF!</v>
      </c>
      <c r="T7" s="124" t="e">
        <f>LEFT(北段!#REF!,4)</f>
        <v>#REF!</v>
      </c>
      <c r="U7" s="124" t="e">
        <f>LEFT(北段!#REF!,4)</f>
        <v>#REF!</v>
      </c>
      <c r="V7" s="124" t="e">
        <f>LEFT(北段!#REF!,4)</f>
        <v>#REF!</v>
      </c>
      <c r="W7" s="124" t="e">
        <f>LEFT(北段!#REF!,4)</f>
        <v>#REF!</v>
      </c>
      <c r="X7" s="124" t="e">
        <f>LEFT(北段!#REF!,4)</f>
        <v>#REF!</v>
      </c>
      <c r="Y7" s="124" t="e">
        <f>LEFT(北段!#REF!,4)</f>
        <v>#REF!</v>
      </c>
      <c r="Z7" s="124" t="e">
        <f>LEFT(北段!#REF!,4)</f>
        <v>#REF!</v>
      </c>
      <c r="AA7" s="124" t="e">
        <f>LEFT(北段!#REF!,4)</f>
        <v>#REF!</v>
      </c>
      <c r="AB7" s="124" t="e">
        <f>LEFT(北段!#REF!,4)</f>
        <v>#REF!</v>
      </c>
      <c r="AC7" s="124" t="e">
        <f>LEFT(北段!#REF!,4)</f>
        <v>#REF!</v>
      </c>
      <c r="AD7" s="124" t="e">
        <f>LEFT(北段!#REF!,4)</f>
        <v>#REF!</v>
      </c>
      <c r="AE7" s="124" t="e">
        <f>LEFT(北段!#REF!,4)</f>
        <v>#REF!</v>
      </c>
      <c r="AF7" s="124" t="e">
        <f>LEFT(北段!#REF!,4)</f>
        <v>#REF!</v>
      </c>
      <c r="AG7" s="124" t="e">
        <f>LEFT(北段!#REF!,4)</f>
        <v>#REF!</v>
      </c>
      <c r="AH7" s="124" t="e">
        <f>LEFT(北段!#REF!,4)</f>
        <v>#REF!</v>
      </c>
    </row>
    <row r="8" spans="1:34" ht="34.5" customHeight="1" x14ac:dyDescent="0.25">
      <c r="A8" s="126"/>
      <c r="B8" s="72" t="e">
        <f>LEFT(北段!#REF!,6)</f>
        <v>#REF!</v>
      </c>
      <c r="C8" s="38" t="e">
        <f>VLOOKUP(B8,北段!B:C,2,FALSE)</f>
        <v>#REF!</v>
      </c>
      <c r="D8" s="124" t="e">
        <f>LEFT(北段!#REF!,4)</f>
        <v>#REF!</v>
      </c>
      <c r="E8" s="124" t="e">
        <f>LEFT(北段!#REF!,4)</f>
        <v>#REF!</v>
      </c>
      <c r="F8" s="124" t="e">
        <f>LEFT(北段!#REF!,4)</f>
        <v>#REF!</v>
      </c>
      <c r="G8" s="124" t="e">
        <f>LEFT(北段!#REF!,4)</f>
        <v>#REF!</v>
      </c>
      <c r="H8" s="124" t="e">
        <f>LEFT(北段!#REF!,4)</f>
        <v>#REF!</v>
      </c>
      <c r="I8" s="124" t="e">
        <f>LEFT(北段!#REF!,4)</f>
        <v>#REF!</v>
      </c>
      <c r="J8" s="124" t="e">
        <f>LEFT(北段!#REF!,4)</f>
        <v>#REF!</v>
      </c>
      <c r="K8" s="124" t="e">
        <f>LEFT(北段!#REF!,4)</f>
        <v>#REF!</v>
      </c>
      <c r="L8" s="124" t="e">
        <f>LEFT(北段!#REF!,4)</f>
        <v>#REF!</v>
      </c>
      <c r="M8" s="124" t="e">
        <f>LEFT(北段!#REF!,4)</f>
        <v>#REF!</v>
      </c>
      <c r="N8" s="124" t="e">
        <f>LEFT(北段!#REF!,4)</f>
        <v>#REF!</v>
      </c>
      <c r="O8" s="124" t="e">
        <f>LEFT(北段!#REF!,4)</f>
        <v>#REF!</v>
      </c>
      <c r="P8" s="124" t="e">
        <f>LEFT(北段!#REF!,4)</f>
        <v>#REF!</v>
      </c>
      <c r="Q8" s="124" t="e">
        <f>LEFT(北段!#REF!,4)</f>
        <v>#REF!</v>
      </c>
      <c r="R8" s="124" t="e">
        <f>LEFT(北段!#REF!,4)</f>
        <v>#REF!</v>
      </c>
      <c r="S8" s="124" t="e">
        <f>LEFT(北段!#REF!,4)</f>
        <v>#REF!</v>
      </c>
      <c r="T8" s="124" t="e">
        <f>LEFT(北段!#REF!,4)</f>
        <v>#REF!</v>
      </c>
      <c r="U8" s="124" t="e">
        <f>LEFT(北段!#REF!,4)</f>
        <v>#REF!</v>
      </c>
      <c r="V8" s="124" t="e">
        <f>LEFT(北段!#REF!,4)</f>
        <v>#REF!</v>
      </c>
      <c r="W8" s="124" t="e">
        <f>LEFT(北段!#REF!,4)</f>
        <v>#REF!</v>
      </c>
      <c r="X8" s="124" t="e">
        <f>LEFT(北段!#REF!,4)</f>
        <v>#REF!</v>
      </c>
      <c r="Y8" s="124" t="e">
        <f>LEFT(北段!#REF!,4)</f>
        <v>#REF!</v>
      </c>
      <c r="Z8" s="124" t="e">
        <f>LEFT(北段!#REF!,4)</f>
        <v>#REF!</v>
      </c>
      <c r="AA8" s="124" t="e">
        <f>LEFT(北段!#REF!,4)</f>
        <v>#REF!</v>
      </c>
      <c r="AB8" s="124" t="e">
        <f>LEFT(北段!#REF!,4)</f>
        <v>#REF!</v>
      </c>
      <c r="AC8" s="124" t="e">
        <f>LEFT(北段!#REF!,4)</f>
        <v>#REF!</v>
      </c>
      <c r="AD8" s="124" t="e">
        <f>LEFT(北段!#REF!,4)</f>
        <v>#REF!</v>
      </c>
      <c r="AE8" s="124" t="e">
        <f>LEFT(北段!#REF!,4)</f>
        <v>#REF!</v>
      </c>
      <c r="AF8" s="124" t="e">
        <f>LEFT(北段!#REF!,4)</f>
        <v>#REF!</v>
      </c>
      <c r="AG8" s="124" t="e">
        <f>LEFT(北段!#REF!,4)</f>
        <v>#REF!</v>
      </c>
      <c r="AH8" s="124" t="e">
        <f>LEFT(北段!#REF!,4)</f>
        <v>#REF!</v>
      </c>
    </row>
    <row r="9" spans="1:34" ht="34.5" customHeight="1" x14ac:dyDescent="0.25">
      <c r="A9" s="126"/>
      <c r="B9" s="72" t="e">
        <f>LEFT(北段!#REF!,6)</f>
        <v>#REF!</v>
      </c>
      <c r="C9" s="38" t="e">
        <f>VLOOKUP(B9,北段!B:C,2,FALSE)</f>
        <v>#REF!</v>
      </c>
      <c r="D9" s="124" t="e">
        <f>LEFT(北段!#REF!,4)</f>
        <v>#REF!</v>
      </c>
      <c r="E9" s="124" t="e">
        <f>LEFT(北段!#REF!,4)</f>
        <v>#REF!</v>
      </c>
      <c r="F9" s="124" t="e">
        <f>LEFT(北段!#REF!,4)</f>
        <v>#REF!</v>
      </c>
      <c r="G9" s="124" t="e">
        <f>LEFT(北段!#REF!,4)</f>
        <v>#REF!</v>
      </c>
      <c r="H9" s="124" t="e">
        <f>LEFT(北段!#REF!,4)</f>
        <v>#REF!</v>
      </c>
      <c r="I9" s="124" t="e">
        <f>LEFT(北段!#REF!,4)</f>
        <v>#REF!</v>
      </c>
      <c r="J9" s="124" t="e">
        <f>LEFT(北段!#REF!,4)</f>
        <v>#REF!</v>
      </c>
      <c r="K9" s="124" t="e">
        <f>LEFT(北段!#REF!,4)</f>
        <v>#REF!</v>
      </c>
      <c r="L9" s="124" t="e">
        <f>LEFT(北段!#REF!,4)</f>
        <v>#REF!</v>
      </c>
      <c r="M9" s="124" t="e">
        <f>LEFT(北段!#REF!,4)</f>
        <v>#REF!</v>
      </c>
      <c r="N9" s="124" t="e">
        <f>LEFT(北段!#REF!,4)</f>
        <v>#REF!</v>
      </c>
      <c r="O9" s="124" t="e">
        <f>LEFT(北段!#REF!,4)</f>
        <v>#REF!</v>
      </c>
      <c r="P9" s="124" t="e">
        <f>LEFT(北段!#REF!,4)</f>
        <v>#REF!</v>
      </c>
      <c r="Q9" s="124" t="e">
        <f>LEFT(北段!#REF!,4)</f>
        <v>#REF!</v>
      </c>
      <c r="R9" s="124" t="e">
        <f>LEFT(北段!#REF!,4)</f>
        <v>#REF!</v>
      </c>
      <c r="S9" s="124" t="e">
        <f>LEFT(北段!#REF!,4)</f>
        <v>#REF!</v>
      </c>
      <c r="T9" s="124" t="e">
        <f>LEFT(北段!#REF!,4)</f>
        <v>#REF!</v>
      </c>
      <c r="U9" s="124" t="e">
        <f>LEFT(北段!#REF!,4)</f>
        <v>#REF!</v>
      </c>
      <c r="V9" s="124" t="e">
        <f>LEFT(北段!#REF!,4)</f>
        <v>#REF!</v>
      </c>
      <c r="W9" s="124" t="e">
        <f>LEFT(北段!#REF!,4)</f>
        <v>#REF!</v>
      </c>
      <c r="X9" s="124" t="e">
        <f>LEFT(北段!#REF!,4)</f>
        <v>#REF!</v>
      </c>
      <c r="Y9" s="124" t="e">
        <f>LEFT(北段!#REF!,4)</f>
        <v>#REF!</v>
      </c>
      <c r="Z9" s="124" t="e">
        <f>LEFT(北段!#REF!,4)</f>
        <v>#REF!</v>
      </c>
      <c r="AA9" s="124" t="e">
        <f>LEFT(北段!#REF!,4)</f>
        <v>#REF!</v>
      </c>
      <c r="AB9" s="124" t="e">
        <f>LEFT(北段!#REF!,4)</f>
        <v>#REF!</v>
      </c>
      <c r="AC9" s="124" t="e">
        <f>LEFT(北段!#REF!,4)</f>
        <v>#REF!</v>
      </c>
      <c r="AD9" s="124" t="e">
        <f>LEFT(北段!#REF!,4)</f>
        <v>#REF!</v>
      </c>
      <c r="AE9" s="124" t="e">
        <f>LEFT(北段!#REF!,4)</f>
        <v>#REF!</v>
      </c>
      <c r="AF9" s="124" t="e">
        <f>LEFT(北段!#REF!,4)</f>
        <v>#REF!</v>
      </c>
      <c r="AG9" s="124" t="e">
        <f>LEFT(北段!#REF!,4)</f>
        <v>#REF!</v>
      </c>
      <c r="AH9" s="124" t="e">
        <f>LEFT(北段!#REF!,4)</f>
        <v>#REF!</v>
      </c>
    </row>
    <row r="10" spans="1:34" ht="34.5" customHeight="1" x14ac:dyDescent="0.25">
      <c r="A10" s="126"/>
      <c r="B10" s="72" t="e">
        <f>LEFT(北段!#REF!,6)</f>
        <v>#REF!</v>
      </c>
      <c r="C10" s="38" t="e">
        <f>VLOOKUP(B10,北段!B:C,2,FALSE)</f>
        <v>#REF!</v>
      </c>
      <c r="D10" s="124" t="e">
        <f>LEFT(北段!#REF!,4)</f>
        <v>#REF!</v>
      </c>
      <c r="E10" s="124" t="e">
        <f>LEFT(北段!#REF!,4)</f>
        <v>#REF!</v>
      </c>
      <c r="F10" s="124" t="e">
        <f>LEFT(北段!#REF!,4)</f>
        <v>#REF!</v>
      </c>
      <c r="G10" s="124" t="e">
        <f>LEFT(北段!#REF!,4)</f>
        <v>#REF!</v>
      </c>
      <c r="H10" s="124" t="e">
        <f>LEFT(北段!#REF!,4)</f>
        <v>#REF!</v>
      </c>
      <c r="I10" s="124" t="e">
        <f>LEFT(北段!#REF!,4)</f>
        <v>#REF!</v>
      </c>
      <c r="J10" s="124" t="e">
        <f>LEFT(北段!#REF!,4)</f>
        <v>#REF!</v>
      </c>
      <c r="K10" s="124" t="e">
        <f>LEFT(北段!#REF!,4)</f>
        <v>#REF!</v>
      </c>
      <c r="L10" s="124" t="e">
        <f>LEFT(北段!#REF!,4)</f>
        <v>#REF!</v>
      </c>
      <c r="M10" s="124" t="e">
        <f>LEFT(北段!#REF!,4)</f>
        <v>#REF!</v>
      </c>
      <c r="N10" s="124" t="e">
        <f>LEFT(北段!#REF!,4)</f>
        <v>#REF!</v>
      </c>
      <c r="O10" s="124" t="e">
        <f>LEFT(北段!#REF!,4)</f>
        <v>#REF!</v>
      </c>
      <c r="P10" s="124" t="e">
        <f>LEFT(北段!#REF!,4)</f>
        <v>#REF!</v>
      </c>
      <c r="Q10" s="124" t="e">
        <f>LEFT(北段!#REF!,4)</f>
        <v>#REF!</v>
      </c>
      <c r="R10" s="124" t="e">
        <f>LEFT(北段!#REF!,4)</f>
        <v>#REF!</v>
      </c>
      <c r="S10" s="124" t="e">
        <f>LEFT(北段!#REF!,4)</f>
        <v>#REF!</v>
      </c>
      <c r="T10" s="124" t="e">
        <f>LEFT(北段!#REF!,4)</f>
        <v>#REF!</v>
      </c>
      <c r="U10" s="124" t="e">
        <f>LEFT(北段!#REF!,4)</f>
        <v>#REF!</v>
      </c>
      <c r="V10" s="124" t="e">
        <f>LEFT(北段!#REF!,4)</f>
        <v>#REF!</v>
      </c>
      <c r="W10" s="124" t="e">
        <f>LEFT(北段!#REF!,4)</f>
        <v>#REF!</v>
      </c>
      <c r="X10" s="124" t="e">
        <f>LEFT(北段!#REF!,4)</f>
        <v>#REF!</v>
      </c>
      <c r="Y10" s="124" t="e">
        <f>LEFT(北段!#REF!,4)</f>
        <v>#REF!</v>
      </c>
      <c r="Z10" s="124" t="e">
        <f>LEFT(北段!#REF!,4)</f>
        <v>#REF!</v>
      </c>
      <c r="AA10" s="124" t="e">
        <f>LEFT(北段!#REF!,4)</f>
        <v>#REF!</v>
      </c>
      <c r="AB10" s="124" t="e">
        <f>LEFT(北段!#REF!,4)</f>
        <v>#REF!</v>
      </c>
      <c r="AC10" s="124" t="e">
        <f>LEFT(北段!#REF!,4)</f>
        <v>#REF!</v>
      </c>
      <c r="AD10" s="124" t="e">
        <f>LEFT(北段!#REF!,4)</f>
        <v>#REF!</v>
      </c>
      <c r="AE10" s="124" t="e">
        <f>LEFT(北段!#REF!,4)</f>
        <v>#REF!</v>
      </c>
      <c r="AF10" s="124" t="e">
        <f>LEFT(北段!#REF!,4)</f>
        <v>#REF!</v>
      </c>
      <c r="AG10" s="124" t="e">
        <f>LEFT(北段!#REF!,4)</f>
        <v>#REF!</v>
      </c>
      <c r="AH10" s="124" t="e">
        <f>LEFT(北段!#REF!,4)</f>
        <v>#REF!</v>
      </c>
    </row>
    <row r="11" spans="1:34" ht="34.5" customHeight="1" x14ac:dyDescent="0.25">
      <c r="A11" s="126"/>
      <c r="B11" s="72" t="e">
        <f>LEFT(北段!#REF!,6)</f>
        <v>#REF!</v>
      </c>
      <c r="C11" s="38" t="e">
        <f>VLOOKUP(B11,北段!B:C,2,FALSE)</f>
        <v>#REF!</v>
      </c>
      <c r="D11" s="124" t="e">
        <f>LEFT(北段!#REF!,4)</f>
        <v>#REF!</v>
      </c>
      <c r="E11" s="124" t="e">
        <f>LEFT(北段!#REF!,4)</f>
        <v>#REF!</v>
      </c>
      <c r="F11" s="124" t="e">
        <f>LEFT(北段!#REF!,4)</f>
        <v>#REF!</v>
      </c>
      <c r="G11" s="124" t="e">
        <f>LEFT(北段!#REF!,4)</f>
        <v>#REF!</v>
      </c>
      <c r="H11" s="124" t="e">
        <f>LEFT(北段!#REF!,4)</f>
        <v>#REF!</v>
      </c>
      <c r="I11" s="124" t="e">
        <f>LEFT(北段!#REF!,4)</f>
        <v>#REF!</v>
      </c>
      <c r="J11" s="124" t="e">
        <f>LEFT(北段!#REF!,4)</f>
        <v>#REF!</v>
      </c>
      <c r="K11" s="124" t="e">
        <f>LEFT(北段!#REF!,4)</f>
        <v>#REF!</v>
      </c>
      <c r="L11" s="124" t="e">
        <f>LEFT(北段!#REF!,4)</f>
        <v>#REF!</v>
      </c>
      <c r="M11" s="124" t="e">
        <f>LEFT(北段!#REF!,4)</f>
        <v>#REF!</v>
      </c>
      <c r="N11" s="124" t="e">
        <f>LEFT(北段!#REF!,4)</f>
        <v>#REF!</v>
      </c>
      <c r="O11" s="124" t="e">
        <f>LEFT(北段!#REF!,4)</f>
        <v>#REF!</v>
      </c>
      <c r="P11" s="124" t="e">
        <f>LEFT(北段!#REF!,4)</f>
        <v>#REF!</v>
      </c>
      <c r="Q11" s="124" t="e">
        <f>LEFT(北段!#REF!,4)</f>
        <v>#REF!</v>
      </c>
      <c r="R11" s="124" t="e">
        <f>LEFT(北段!#REF!,4)</f>
        <v>#REF!</v>
      </c>
      <c r="S11" s="124" t="e">
        <f>LEFT(北段!#REF!,4)</f>
        <v>#REF!</v>
      </c>
      <c r="T11" s="124" t="e">
        <f>LEFT(北段!#REF!,4)</f>
        <v>#REF!</v>
      </c>
      <c r="U11" s="124" t="e">
        <f>LEFT(北段!#REF!,4)</f>
        <v>#REF!</v>
      </c>
      <c r="V11" s="124" t="e">
        <f>LEFT(北段!#REF!,4)</f>
        <v>#REF!</v>
      </c>
      <c r="W11" s="124" t="e">
        <f>LEFT(北段!#REF!,4)</f>
        <v>#REF!</v>
      </c>
      <c r="X11" s="124" t="e">
        <f>LEFT(北段!#REF!,4)</f>
        <v>#REF!</v>
      </c>
      <c r="Y11" s="124" t="e">
        <f>LEFT(北段!#REF!,4)</f>
        <v>#REF!</v>
      </c>
      <c r="Z11" s="124" t="e">
        <f>LEFT(北段!#REF!,4)</f>
        <v>#REF!</v>
      </c>
      <c r="AA11" s="124" t="e">
        <f>LEFT(北段!#REF!,4)</f>
        <v>#REF!</v>
      </c>
      <c r="AB11" s="124" t="e">
        <f>LEFT(北段!#REF!,4)</f>
        <v>#REF!</v>
      </c>
      <c r="AC11" s="124" t="e">
        <f>LEFT(北段!#REF!,4)</f>
        <v>#REF!</v>
      </c>
      <c r="AD11" s="124" t="e">
        <f>LEFT(北段!#REF!,4)</f>
        <v>#REF!</v>
      </c>
      <c r="AE11" s="124" t="e">
        <f>LEFT(北段!#REF!,4)</f>
        <v>#REF!</v>
      </c>
      <c r="AF11" s="124" t="e">
        <f>LEFT(北段!#REF!,4)</f>
        <v>#REF!</v>
      </c>
      <c r="AG11" s="124" t="e">
        <f>LEFT(北段!#REF!,4)</f>
        <v>#REF!</v>
      </c>
      <c r="AH11" s="124" t="e">
        <f>LEFT(北段!#REF!,4)</f>
        <v>#REF!</v>
      </c>
    </row>
    <row r="12" spans="1:34" ht="34.5" customHeight="1" x14ac:dyDescent="0.25">
      <c r="A12" s="126"/>
      <c r="B12" s="72" t="e">
        <f>LEFT(北段!#REF!,6)</f>
        <v>#REF!</v>
      </c>
      <c r="C12" s="38" t="e">
        <f>VLOOKUP(B12,北段!B:C,2,FALSE)</f>
        <v>#REF!</v>
      </c>
      <c r="D12" s="124" t="e">
        <f>LEFT(北段!#REF!,4)</f>
        <v>#REF!</v>
      </c>
      <c r="E12" s="124" t="e">
        <f>LEFT(北段!#REF!,4)</f>
        <v>#REF!</v>
      </c>
      <c r="F12" s="124" t="e">
        <f>LEFT(北段!#REF!,4)</f>
        <v>#REF!</v>
      </c>
      <c r="G12" s="124" t="e">
        <f>LEFT(北段!#REF!,4)</f>
        <v>#REF!</v>
      </c>
      <c r="H12" s="124" t="e">
        <f>LEFT(北段!#REF!,4)</f>
        <v>#REF!</v>
      </c>
      <c r="I12" s="124" t="e">
        <f>LEFT(北段!#REF!,4)</f>
        <v>#REF!</v>
      </c>
      <c r="J12" s="124" t="e">
        <f>LEFT(北段!#REF!,4)</f>
        <v>#REF!</v>
      </c>
      <c r="K12" s="124" t="e">
        <f>LEFT(北段!#REF!,4)</f>
        <v>#REF!</v>
      </c>
      <c r="L12" s="124" t="e">
        <f>LEFT(北段!#REF!,4)</f>
        <v>#REF!</v>
      </c>
      <c r="M12" s="124" t="e">
        <f>LEFT(北段!#REF!,4)</f>
        <v>#REF!</v>
      </c>
      <c r="N12" s="124" t="e">
        <f>LEFT(北段!#REF!,4)</f>
        <v>#REF!</v>
      </c>
      <c r="O12" s="124" t="e">
        <f>LEFT(北段!#REF!,4)</f>
        <v>#REF!</v>
      </c>
      <c r="P12" s="124" t="e">
        <f>LEFT(北段!#REF!,4)</f>
        <v>#REF!</v>
      </c>
      <c r="Q12" s="124" t="e">
        <f>LEFT(北段!#REF!,4)</f>
        <v>#REF!</v>
      </c>
      <c r="R12" s="124" t="e">
        <f>LEFT(北段!#REF!,4)</f>
        <v>#REF!</v>
      </c>
      <c r="S12" s="124" t="e">
        <f>LEFT(北段!#REF!,4)</f>
        <v>#REF!</v>
      </c>
      <c r="T12" s="124" t="e">
        <f>LEFT(北段!#REF!,4)</f>
        <v>#REF!</v>
      </c>
      <c r="U12" s="124" t="e">
        <f>LEFT(北段!#REF!,4)</f>
        <v>#REF!</v>
      </c>
      <c r="V12" s="124" t="e">
        <f>LEFT(北段!#REF!,4)</f>
        <v>#REF!</v>
      </c>
      <c r="W12" s="124" t="e">
        <f>LEFT(北段!#REF!,4)</f>
        <v>#REF!</v>
      </c>
      <c r="X12" s="124" t="e">
        <f>LEFT(北段!#REF!,4)</f>
        <v>#REF!</v>
      </c>
      <c r="Y12" s="124" t="e">
        <f>LEFT(北段!#REF!,4)</f>
        <v>#REF!</v>
      </c>
      <c r="Z12" s="124" t="e">
        <f>LEFT(北段!#REF!,4)</f>
        <v>#REF!</v>
      </c>
      <c r="AA12" s="124" t="e">
        <f>LEFT(北段!#REF!,4)</f>
        <v>#REF!</v>
      </c>
      <c r="AB12" s="124" t="e">
        <f>LEFT(北段!#REF!,4)</f>
        <v>#REF!</v>
      </c>
      <c r="AC12" s="124" t="e">
        <f>LEFT(北段!#REF!,4)</f>
        <v>#REF!</v>
      </c>
      <c r="AD12" s="124" t="e">
        <f>LEFT(北段!#REF!,4)</f>
        <v>#REF!</v>
      </c>
      <c r="AE12" s="124" t="e">
        <f>LEFT(北段!#REF!,4)</f>
        <v>#REF!</v>
      </c>
      <c r="AF12" s="124" t="e">
        <f>LEFT(北段!#REF!,4)</f>
        <v>#REF!</v>
      </c>
      <c r="AG12" s="124" t="e">
        <f>LEFT(北段!#REF!,4)</f>
        <v>#REF!</v>
      </c>
      <c r="AH12" s="124" t="e">
        <f>LEFT(北段!#REF!,4)</f>
        <v>#REF!</v>
      </c>
    </row>
    <row r="13" spans="1:34" ht="34.5" customHeight="1" x14ac:dyDescent="0.25">
      <c r="A13" s="127"/>
      <c r="B13" s="72" t="str">
        <f>LEFT(北段!B3,6)</f>
        <v>T01028</v>
      </c>
      <c r="C13" s="38" t="str">
        <f>VLOOKUP(B13,北段!B:C,2,FALSE)</f>
        <v>林金緗</v>
      </c>
      <c r="D13" s="124" t="str">
        <f>LEFT(北段!J3,3)</f>
        <v>01午</v>
      </c>
      <c r="E13" s="124" t="str">
        <f>LEFT(北段!K3,4)</f>
        <v/>
      </c>
      <c r="F13" s="124" t="str">
        <f>LEFT(北段!L3,4)</f>
        <v/>
      </c>
      <c r="G13" s="124" t="str">
        <f>LEFT(北段!M3,4)</f>
        <v>R</v>
      </c>
      <c r="H13" s="124" t="str">
        <f>LEFT(北段!N3,4)</f>
        <v/>
      </c>
      <c r="I13" s="124" t="str">
        <f>LEFT(北段!O3,4)</f>
        <v/>
      </c>
      <c r="J13" s="124" t="str">
        <f>LEFT(北段!P3,4)</f>
        <v/>
      </c>
      <c r="K13" s="124" t="str">
        <f>LEFT(北段!Q3,4)</f>
        <v/>
      </c>
      <c r="L13" s="124" t="str">
        <f>LEFT(北段!R3,4)</f>
        <v/>
      </c>
      <c r="M13" s="124" t="str">
        <f>LEFT(北段!S3,4)</f>
        <v/>
      </c>
      <c r="N13" s="124" t="str">
        <f>LEFT(北段!T3,4)</f>
        <v/>
      </c>
      <c r="O13" s="124" t="str">
        <f>LEFT(北段!U3,4)</f>
        <v/>
      </c>
      <c r="P13" s="124" t="str">
        <f>LEFT(北段!V3,4)</f>
        <v/>
      </c>
      <c r="Q13" s="124" t="str">
        <f>LEFT(北段!W3,4)</f>
        <v/>
      </c>
      <c r="R13" s="124" t="str">
        <f>LEFT(北段!X3,4)</f>
        <v>R</v>
      </c>
      <c r="S13" s="124" t="str">
        <f>LEFT(北段!Y3,4)</f>
        <v/>
      </c>
      <c r="T13" s="124" t="str">
        <f>LEFT(北段!Z3,4)</f>
        <v/>
      </c>
      <c r="U13" s="124" t="str">
        <f>LEFT(北段!AA3,4)</f>
        <v/>
      </c>
      <c r="V13" s="124" t="str">
        <f>LEFT(北段!AB3,4)</f>
        <v/>
      </c>
      <c r="W13" s="124" t="str">
        <f>LEFT(北段!AC3,4)</f>
        <v/>
      </c>
      <c r="X13" s="124" t="str">
        <f>LEFT(北段!AD3,4)</f>
        <v/>
      </c>
      <c r="Y13" s="124" t="str">
        <f>LEFT(北段!AE3,4)</f>
        <v/>
      </c>
      <c r="Z13" s="124" t="str">
        <f>LEFT(北段!AF3,4)</f>
        <v/>
      </c>
      <c r="AA13" s="124" t="str">
        <f>LEFT(北段!AG3,4)</f>
        <v/>
      </c>
      <c r="AB13" s="124" t="str">
        <f>LEFT(北段!AH3,4)</f>
        <v/>
      </c>
      <c r="AC13" s="124" t="str">
        <f>LEFT(北段!AI3,4)</f>
        <v>r'</v>
      </c>
      <c r="AD13" s="124" t="str">
        <f>LEFT(北段!AJ3,4)</f>
        <v/>
      </c>
      <c r="AE13" s="124" t="str">
        <f>LEFT(北段!AK3,4)</f>
        <v/>
      </c>
      <c r="AF13" s="124" t="str">
        <f>LEFT(北段!AL3,4)</f>
        <v>R</v>
      </c>
      <c r="AG13" s="124" t="str">
        <f>LEFT(北段!AM3,4)</f>
        <v/>
      </c>
      <c r="AH13" s="124" t="str">
        <f>LEFT(北段!AN3,4)</f>
        <v/>
      </c>
    </row>
    <row r="14" spans="1:34" ht="34.5" customHeight="1" x14ac:dyDescent="0.25">
      <c r="A14" s="127"/>
      <c r="B14" s="72" t="str">
        <f>LEFT(北段!B4,6)</f>
        <v>T00509</v>
      </c>
      <c r="C14" s="38" t="str">
        <f>VLOOKUP(B14,北段!B:C,2,FALSE)</f>
        <v>郭秋儀</v>
      </c>
      <c r="D14" s="124" t="str">
        <f>LEFT(北段!J4,3)</f>
        <v>01午</v>
      </c>
      <c r="E14" s="124" t="str">
        <f>LEFT(北段!K4,4)</f>
        <v/>
      </c>
      <c r="F14" s="124" t="str">
        <f>LEFT(北段!L4,4)</f>
        <v/>
      </c>
      <c r="G14" s="124" t="str">
        <f>LEFT(北段!M4,4)</f>
        <v/>
      </c>
      <c r="H14" s="124" t="str">
        <f>LEFT(北段!N4,4)</f>
        <v>L</v>
      </c>
      <c r="I14" s="124" t="str">
        <f>LEFT(北段!O4,4)</f>
        <v/>
      </c>
      <c r="J14" s="124" t="str">
        <f>LEFT(北段!P4,4)</f>
        <v/>
      </c>
      <c r="K14" s="124" t="str">
        <f>LEFT(北段!Q4,4)</f>
        <v/>
      </c>
      <c r="L14" s="124" t="str">
        <f>LEFT(北段!R4,4)</f>
        <v/>
      </c>
      <c r="M14" s="124" t="str">
        <f>LEFT(北段!S4,4)</f>
        <v/>
      </c>
      <c r="N14" s="124" t="str">
        <f>LEFT(北段!T4,4)</f>
        <v/>
      </c>
      <c r="O14" s="124" t="str">
        <f>LEFT(北段!U4,4)</f>
        <v/>
      </c>
      <c r="P14" s="124" t="str">
        <f>LEFT(北段!V4,4)</f>
        <v/>
      </c>
      <c r="Q14" s="124" t="str">
        <f>LEFT(北段!W4,4)</f>
        <v/>
      </c>
      <c r="R14" s="124" t="str">
        <f>LEFT(北段!X4,4)</f>
        <v/>
      </c>
      <c r="S14" s="124" t="str">
        <f>LEFT(北段!Y4,4)</f>
        <v/>
      </c>
      <c r="T14" s="124" t="str">
        <f>LEFT(北段!Z4,4)</f>
        <v/>
      </c>
      <c r="U14" s="124" t="str">
        <f>LEFT(北段!AA4,4)</f>
        <v>r'</v>
      </c>
      <c r="V14" s="124" t="str">
        <f>LEFT(北段!AB4,4)</f>
        <v>L</v>
      </c>
      <c r="W14" s="124" t="str">
        <f>LEFT(北段!AC4,4)</f>
        <v>r'</v>
      </c>
      <c r="X14" s="124" t="str">
        <f>LEFT(北段!AD4,4)</f>
        <v>r'</v>
      </c>
      <c r="Y14" s="124" t="str">
        <f>LEFT(北段!AE4,4)</f>
        <v>R</v>
      </c>
      <c r="Z14" s="124" t="str">
        <f>LEFT(北段!AF4,4)</f>
        <v>R</v>
      </c>
      <c r="AA14" s="124" t="str">
        <f>LEFT(北段!AG4,4)</f>
        <v/>
      </c>
      <c r="AB14" s="124" t="str">
        <f>LEFT(北段!AH4,4)</f>
        <v/>
      </c>
      <c r="AC14" s="124" t="str">
        <f>LEFT(北段!AI4,4)</f>
        <v/>
      </c>
      <c r="AD14" s="124" t="str">
        <f>LEFT(北段!AJ4,4)</f>
        <v/>
      </c>
      <c r="AE14" s="124" t="str">
        <f>LEFT(北段!AK4,4)</f>
        <v/>
      </c>
      <c r="AF14" s="124" t="str">
        <f>LEFT(北段!AL4,4)</f>
        <v/>
      </c>
      <c r="AG14" s="124" t="str">
        <f>LEFT(北段!AM4,4)</f>
        <v/>
      </c>
      <c r="AH14" s="124" t="str">
        <f>LEFT(北段!AN4,4)</f>
        <v/>
      </c>
    </row>
    <row r="15" spans="1:34" ht="34.5" customHeight="1" x14ac:dyDescent="0.25">
      <c r="A15" s="127"/>
      <c r="B15" s="72" t="str">
        <f>LEFT(北段!B5,6)</f>
        <v>T01029</v>
      </c>
      <c r="C15" s="38" t="str">
        <f>VLOOKUP(B15,北段!B:C,2,FALSE)</f>
        <v>林雯琳</v>
      </c>
      <c r="D15" s="124" t="str">
        <f>LEFT(北段!J5,3)</f>
        <v>01夜</v>
      </c>
      <c r="E15" s="124" t="str">
        <f>LEFT(北段!K5,4)</f>
        <v/>
      </c>
      <c r="F15" s="124" t="str">
        <f>LEFT(北段!L5,4)</f>
        <v/>
      </c>
      <c r="G15" s="124" t="str">
        <f>LEFT(北段!M5,4)</f>
        <v/>
      </c>
      <c r="H15" s="124" t="str">
        <f>LEFT(北段!N5,4)</f>
        <v/>
      </c>
      <c r="I15" s="124" t="str">
        <f>LEFT(北段!O5,4)</f>
        <v/>
      </c>
      <c r="J15" s="124" t="str">
        <f>LEFT(北段!P5,4)</f>
        <v/>
      </c>
      <c r="K15" s="124" t="str">
        <f>LEFT(北段!Q5,4)</f>
        <v/>
      </c>
      <c r="L15" s="124" t="str">
        <f>LEFT(北段!R5,4)</f>
        <v/>
      </c>
      <c r="M15" s="124" t="str">
        <f>LEFT(北段!S5,4)</f>
        <v/>
      </c>
      <c r="N15" s="124" t="str">
        <f>LEFT(北段!T5,4)</f>
        <v/>
      </c>
      <c r="O15" s="124" t="str">
        <f>LEFT(北段!U5,4)</f>
        <v/>
      </c>
      <c r="P15" s="124" t="str">
        <f>LEFT(北段!V5,4)</f>
        <v/>
      </c>
      <c r="Q15" s="124" t="str">
        <f>LEFT(北段!W5,4)</f>
        <v/>
      </c>
      <c r="R15" s="124" t="str">
        <f>LEFT(北段!X5,4)</f>
        <v/>
      </c>
      <c r="S15" s="124" t="str">
        <f>LEFT(北段!Y5,4)</f>
        <v/>
      </c>
      <c r="T15" s="124" t="str">
        <f>LEFT(北段!Z5,4)</f>
        <v/>
      </c>
      <c r="U15" s="124" t="str">
        <f>LEFT(北段!AA5,4)</f>
        <v>L</v>
      </c>
      <c r="V15" s="124" t="str">
        <f>LEFT(北段!AB5,4)</f>
        <v>L</v>
      </c>
      <c r="W15" s="124" t="str">
        <f>LEFT(北段!AC5,4)</f>
        <v>r'</v>
      </c>
      <c r="X15" s="124" t="str">
        <f>LEFT(北段!AD5,4)</f>
        <v>R</v>
      </c>
      <c r="Y15" s="124" t="str">
        <f>LEFT(北段!AE5,4)</f>
        <v>L</v>
      </c>
      <c r="Z15" s="124" t="str">
        <f>LEFT(北段!AF5,4)</f>
        <v>L</v>
      </c>
      <c r="AA15" s="124" t="str">
        <f>LEFT(北段!AG5,4)</f>
        <v/>
      </c>
      <c r="AB15" s="124" t="str">
        <f>LEFT(北段!AH5,4)</f>
        <v/>
      </c>
      <c r="AC15" s="124" t="str">
        <f>LEFT(北段!AI5,4)</f>
        <v/>
      </c>
      <c r="AD15" s="124" t="str">
        <f>LEFT(北段!AJ5,4)</f>
        <v/>
      </c>
      <c r="AE15" s="124" t="str">
        <f>LEFT(北段!AK5,4)</f>
        <v>R</v>
      </c>
      <c r="AF15" s="124" t="str">
        <f>LEFT(北段!AL5,4)</f>
        <v/>
      </c>
      <c r="AG15" s="124" t="str">
        <f>LEFT(北段!AM5,4)</f>
        <v/>
      </c>
      <c r="AH15" s="124" t="str">
        <f>LEFT(北段!AN5,4)</f>
        <v/>
      </c>
    </row>
    <row r="16" spans="1:34" ht="34.5" customHeight="1" x14ac:dyDescent="0.25">
      <c r="A16" s="127"/>
      <c r="B16" s="72" t="str">
        <f>LEFT(北段!B6,6)</f>
        <v>T01734</v>
      </c>
      <c r="C16" s="38" t="str">
        <f>VLOOKUP(B16,北段!B:C,2,FALSE)</f>
        <v>黃冠銘</v>
      </c>
      <c r="D16" s="124" t="str">
        <f>LEFT(北段!J6,3)</f>
        <v>01早</v>
      </c>
      <c r="E16" s="124" t="str">
        <f>LEFT(北段!K6,4)</f>
        <v/>
      </c>
      <c r="F16" s="124" t="str">
        <f>LEFT(北段!L6,4)</f>
        <v/>
      </c>
      <c r="G16" s="124" t="str">
        <f>LEFT(北段!M6,4)</f>
        <v/>
      </c>
      <c r="H16" s="124" t="str">
        <f>LEFT(北段!N6,4)</f>
        <v/>
      </c>
      <c r="I16" s="124" t="str">
        <f>LEFT(北段!O6,4)</f>
        <v/>
      </c>
      <c r="J16" s="124" t="str">
        <f>LEFT(北段!P6,4)</f>
        <v/>
      </c>
      <c r="K16" s="124" t="str">
        <f>LEFT(北段!Q6,4)</f>
        <v/>
      </c>
      <c r="L16" s="124" t="str">
        <f>LEFT(北段!R6,4)</f>
        <v/>
      </c>
      <c r="M16" s="124" t="str">
        <f>LEFT(北段!S6,4)</f>
        <v/>
      </c>
      <c r="N16" s="124" t="str">
        <f>LEFT(北段!T6,4)</f>
        <v/>
      </c>
      <c r="O16" s="124" t="str">
        <f>LEFT(北段!U6,4)</f>
        <v/>
      </c>
      <c r="P16" s="124" t="str">
        <f>LEFT(北段!V6,4)</f>
        <v/>
      </c>
      <c r="Q16" s="124" t="str">
        <f>LEFT(北段!W6,4)</f>
        <v/>
      </c>
      <c r="R16" s="124" t="str">
        <f>LEFT(北段!X6,4)</f>
        <v/>
      </c>
      <c r="S16" s="124" t="str">
        <f>LEFT(北段!Y6,4)</f>
        <v/>
      </c>
      <c r="T16" s="124" t="str">
        <f>LEFT(北段!Z6,4)</f>
        <v/>
      </c>
      <c r="U16" s="124" t="str">
        <f>LEFT(北段!AA6,4)</f>
        <v/>
      </c>
      <c r="V16" s="124" t="str">
        <f>LEFT(北段!AB6,4)</f>
        <v/>
      </c>
      <c r="W16" s="124" t="str">
        <f>LEFT(北段!AC6,4)</f>
        <v/>
      </c>
      <c r="X16" s="124" t="str">
        <f>LEFT(北段!AD6,4)</f>
        <v/>
      </c>
      <c r="Y16" s="124" t="str">
        <f>LEFT(北段!AE6,4)</f>
        <v/>
      </c>
      <c r="Z16" s="124" t="str">
        <f>LEFT(北段!AF6,4)</f>
        <v/>
      </c>
      <c r="AA16" s="124" t="str">
        <f>LEFT(北段!AG6,4)</f>
        <v/>
      </c>
      <c r="AB16" s="124" t="str">
        <f>LEFT(北段!AH6,4)</f>
        <v/>
      </c>
      <c r="AC16" s="124" t="str">
        <f>LEFT(北段!AI6,4)</f>
        <v/>
      </c>
      <c r="AD16" s="124" t="str">
        <f>LEFT(北段!AJ6,4)</f>
        <v/>
      </c>
      <c r="AE16" s="124" t="str">
        <f>LEFT(北段!AK6,4)</f>
        <v/>
      </c>
      <c r="AF16" s="124" t="str">
        <f>LEFT(北段!AL6,4)</f>
        <v/>
      </c>
      <c r="AG16" s="124" t="str">
        <f>LEFT(北段!AM6,4)</f>
        <v/>
      </c>
      <c r="AH16" s="124" t="str">
        <f>LEFT(北段!AN6,4)</f>
        <v/>
      </c>
    </row>
    <row r="17" spans="1:34" ht="34.5" customHeight="1" x14ac:dyDescent="0.25">
      <c r="A17" s="127"/>
      <c r="B17" s="72" t="str">
        <f>LEFT(北段!B7,6)</f>
        <v>T02287</v>
      </c>
      <c r="C17" s="38" t="str">
        <f>VLOOKUP(B17,北段!B:C,2,FALSE)</f>
        <v>林江玉</v>
      </c>
      <c r="D17" s="124" t="str">
        <f>LEFT(北段!J7,3)</f>
        <v>01早</v>
      </c>
      <c r="E17" s="124" t="str">
        <f>LEFT(北段!K7,4)</f>
        <v/>
      </c>
      <c r="F17" s="124" t="str">
        <f>LEFT(北段!L7,4)</f>
        <v/>
      </c>
      <c r="G17" s="124" t="str">
        <f>LEFT(北段!M7,4)</f>
        <v>L</v>
      </c>
      <c r="H17" s="124" t="str">
        <f>LEFT(北段!N7,4)</f>
        <v>L</v>
      </c>
      <c r="I17" s="124" t="str">
        <f>LEFT(北段!O7,4)</f>
        <v>L</v>
      </c>
      <c r="J17" s="124" t="str">
        <f>LEFT(北段!P7,4)</f>
        <v>L</v>
      </c>
      <c r="K17" s="124" t="str">
        <f>LEFT(北段!Q7,4)</f>
        <v>R</v>
      </c>
      <c r="L17" s="124" t="str">
        <f>LEFT(北段!R7,4)</f>
        <v>R</v>
      </c>
      <c r="M17" s="124" t="str">
        <f>LEFT(北段!S7,4)</f>
        <v>L</v>
      </c>
      <c r="N17" s="124" t="str">
        <f>LEFT(北段!T7,4)</f>
        <v>L</v>
      </c>
      <c r="O17" s="124" t="str">
        <f>LEFT(北段!U7,4)</f>
        <v/>
      </c>
      <c r="P17" s="124" t="str">
        <f>LEFT(北段!V7,4)</f>
        <v/>
      </c>
      <c r="Q17" s="124" t="str">
        <f>LEFT(北段!W7,4)</f>
        <v/>
      </c>
      <c r="R17" s="124" t="str">
        <f>LEFT(北段!X7,4)</f>
        <v/>
      </c>
      <c r="S17" s="124" t="str">
        <f>LEFT(北段!Y7,4)</f>
        <v/>
      </c>
      <c r="T17" s="124" t="str">
        <f>LEFT(北段!Z7,4)</f>
        <v/>
      </c>
      <c r="U17" s="124" t="str">
        <f>LEFT(北段!AA7,4)</f>
        <v/>
      </c>
      <c r="V17" s="124" t="str">
        <f>LEFT(北段!AB7,4)</f>
        <v/>
      </c>
      <c r="W17" s="124" t="str">
        <f>LEFT(北段!AC7,4)</f>
        <v/>
      </c>
      <c r="X17" s="124" t="str">
        <f>LEFT(北段!AD7,4)</f>
        <v/>
      </c>
      <c r="Y17" s="124" t="str">
        <f>LEFT(北段!AE7,4)</f>
        <v/>
      </c>
      <c r="Z17" s="124" t="str">
        <f>LEFT(北段!AF7,4)</f>
        <v>R</v>
      </c>
      <c r="AA17" s="124" t="str">
        <f>LEFT(北段!AG7,4)</f>
        <v>r'</v>
      </c>
      <c r="AB17" s="124" t="str">
        <f>LEFT(北段!AH7,4)</f>
        <v/>
      </c>
      <c r="AC17" s="124" t="str">
        <f>LEFT(北段!AI7,4)</f>
        <v/>
      </c>
      <c r="AD17" s="124" t="str">
        <f>LEFT(北段!AJ7,4)</f>
        <v/>
      </c>
      <c r="AE17" s="124" t="str">
        <f>LEFT(北段!AK7,4)</f>
        <v/>
      </c>
      <c r="AF17" s="124" t="str">
        <f>LEFT(北段!AL7,4)</f>
        <v/>
      </c>
      <c r="AG17" s="124" t="str">
        <f>LEFT(北段!AM7,4)</f>
        <v>R</v>
      </c>
      <c r="AH17" s="124" t="str">
        <f>LEFT(北段!AN7,4)</f>
        <v>r'</v>
      </c>
    </row>
    <row r="18" spans="1:34" ht="34.5" customHeight="1" x14ac:dyDescent="0.25">
      <c r="A18" s="127"/>
      <c r="B18" s="72" t="str">
        <f>LEFT(北段!B8,6)</f>
        <v>T02359</v>
      </c>
      <c r="C18" s="38" t="str">
        <f>VLOOKUP(B18,北段!B:C,2,FALSE)</f>
        <v>陳佳婷</v>
      </c>
      <c r="D18" s="124" t="str">
        <f>LEFT(北段!J8,3)</f>
        <v>01早</v>
      </c>
      <c r="E18" s="124" t="str">
        <f>LEFT(北段!K8,4)</f>
        <v/>
      </c>
      <c r="F18" s="124" t="str">
        <f>LEFT(北段!L8,4)</f>
        <v/>
      </c>
      <c r="G18" s="124" t="str">
        <f>LEFT(北段!M8,4)</f>
        <v/>
      </c>
      <c r="H18" s="124" t="str">
        <f>LEFT(北段!N8,4)</f>
        <v/>
      </c>
      <c r="I18" s="124" t="str">
        <f>LEFT(北段!O8,4)</f>
        <v/>
      </c>
      <c r="J18" s="124" t="str">
        <f>LEFT(北段!P8,4)</f>
        <v/>
      </c>
      <c r="K18" s="124" t="str">
        <f>LEFT(北段!Q8,4)</f>
        <v>R</v>
      </c>
      <c r="L18" s="124" t="str">
        <f>LEFT(北段!R8,4)</f>
        <v>R</v>
      </c>
      <c r="M18" s="124" t="str">
        <f>LEFT(北段!S8,4)</f>
        <v/>
      </c>
      <c r="N18" s="124" t="str">
        <f>LEFT(北段!T8,4)</f>
        <v/>
      </c>
      <c r="O18" s="124" t="str">
        <f>LEFT(北段!U8,4)</f>
        <v/>
      </c>
      <c r="P18" s="124" t="str">
        <f>LEFT(北段!V8,4)</f>
        <v/>
      </c>
      <c r="Q18" s="124" t="str">
        <f>LEFT(北段!W8,4)</f>
        <v/>
      </c>
      <c r="R18" s="124" t="str">
        <f>LEFT(北段!X8,4)</f>
        <v/>
      </c>
      <c r="S18" s="124" t="str">
        <f>LEFT(北段!Y8,4)</f>
        <v/>
      </c>
      <c r="T18" s="124" t="str">
        <f>LEFT(北段!Z8,4)</f>
        <v/>
      </c>
      <c r="U18" s="124" t="str">
        <f>LEFT(北段!AA8,4)</f>
        <v/>
      </c>
      <c r="V18" s="124" t="str">
        <f>LEFT(北段!AB8,4)</f>
        <v/>
      </c>
      <c r="W18" s="124" t="str">
        <f>LEFT(北段!AC8,4)</f>
        <v/>
      </c>
      <c r="X18" s="124" t="str">
        <f>LEFT(北段!AD8,4)</f>
        <v/>
      </c>
      <c r="Y18" s="124" t="str">
        <f>LEFT(北段!AE8,4)</f>
        <v/>
      </c>
      <c r="Z18" s="124" t="str">
        <f>LEFT(北段!AF8,4)</f>
        <v/>
      </c>
      <c r="AA18" s="124" t="str">
        <f>LEFT(北段!AG8,4)</f>
        <v/>
      </c>
      <c r="AB18" s="124" t="str">
        <f>LEFT(北段!AH8,4)</f>
        <v/>
      </c>
      <c r="AC18" s="124" t="str">
        <f>LEFT(北段!AI8,4)</f>
        <v/>
      </c>
      <c r="AD18" s="124" t="str">
        <f>LEFT(北段!AJ8,4)</f>
        <v/>
      </c>
      <c r="AE18" s="124" t="str">
        <f>LEFT(北段!AK8,4)</f>
        <v/>
      </c>
      <c r="AF18" s="124" t="str">
        <f>LEFT(北段!AL8,4)</f>
        <v/>
      </c>
      <c r="AG18" s="124" t="str">
        <f>LEFT(北段!AM8,4)</f>
        <v/>
      </c>
      <c r="AH18" s="124" t="str">
        <f>LEFT(北段!AN8,4)</f>
        <v/>
      </c>
    </row>
    <row r="19" spans="1:34" ht="34.5" customHeight="1" x14ac:dyDescent="0.25">
      <c r="A19" s="127"/>
      <c r="B19" s="72" t="str">
        <f>LEFT(北段!B9,6)</f>
        <v>T02363</v>
      </c>
      <c r="C19" s="38" t="str">
        <f>VLOOKUP(B19,北段!B:C,2,FALSE)</f>
        <v>林孟錡</v>
      </c>
      <c r="D19" s="124" t="str">
        <f>LEFT(北段!J9,3)</f>
        <v>R</v>
      </c>
      <c r="E19" s="124" t="str">
        <f>LEFT(北段!K9,4)</f>
        <v>r'</v>
      </c>
      <c r="F19" s="124" t="str">
        <f>LEFT(北段!L9,4)</f>
        <v>R</v>
      </c>
      <c r="G19" s="124" t="str">
        <f>LEFT(北段!M9,4)</f>
        <v>L</v>
      </c>
      <c r="H19" s="124" t="str">
        <f>LEFT(北段!N9,4)</f>
        <v>L</v>
      </c>
      <c r="I19" s="124" t="str">
        <f>LEFT(北段!O9,4)</f>
        <v>L</v>
      </c>
      <c r="J19" s="124" t="str">
        <f>LEFT(北段!P9,4)</f>
        <v>r'</v>
      </c>
      <c r="K19" s="124" t="str">
        <f>LEFT(北段!Q9,4)</f>
        <v>01夜B</v>
      </c>
      <c r="L19" s="124" t="str">
        <f>LEFT(北段!R9,4)</f>
        <v>01夜B</v>
      </c>
      <c r="M19" s="124" t="str">
        <f>LEFT(北段!S9,4)</f>
        <v>01夜B</v>
      </c>
      <c r="N19" s="124" t="str">
        <f>LEFT(北段!T9,4)</f>
        <v>01夜B</v>
      </c>
      <c r="O19" s="124" t="str">
        <f>LEFT(北段!U9,4)</f>
        <v>01夜B</v>
      </c>
      <c r="P19" s="124" t="str">
        <f>LEFT(北段!V9,4)</f>
        <v>01夜B</v>
      </c>
      <c r="Q19" s="124" t="str">
        <f>LEFT(北段!W9,4)</f>
        <v>R</v>
      </c>
      <c r="R19" s="124" t="str">
        <f>LEFT(北段!X9,4)</f>
        <v>L</v>
      </c>
      <c r="S19" s="124" t="str">
        <f>LEFT(北段!Y9,4)</f>
        <v>R</v>
      </c>
      <c r="T19" s="124" t="str">
        <f>LEFT(北段!Z9,4)</f>
        <v>01夜B</v>
      </c>
      <c r="U19" s="124" t="str">
        <f>LEFT(北段!AA9,4)</f>
        <v>01夜B</v>
      </c>
      <c r="V19" s="124" t="str">
        <f>LEFT(北段!AB9,4)</f>
        <v>01夜B</v>
      </c>
      <c r="W19" s="124" t="str">
        <f>LEFT(北段!AC9,4)</f>
        <v>01夜B</v>
      </c>
      <c r="X19" s="124" t="str">
        <f>LEFT(北段!AD9,4)</f>
        <v>01夜B</v>
      </c>
      <c r="Y19" s="124" t="str">
        <f>LEFT(北段!AE9,4)</f>
        <v>01夜B</v>
      </c>
      <c r="Z19" s="124" t="str">
        <f>LEFT(北段!AF9,4)</f>
        <v>01夜B</v>
      </c>
      <c r="AA19" s="124" t="str">
        <f>LEFT(北段!AG9,4)</f>
        <v>R</v>
      </c>
      <c r="AB19" s="124" t="str">
        <f>LEFT(北段!AH9,4)</f>
        <v>01夜B</v>
      </c>
      <c r="AC19" s="124" t="str">
        <f>LEFT(北段!AI9,4)</f>
        <v>01夜B</v>
      </c>
      <c r="AD19" s="124" t="str">
        <f>LEFT(北段!AJ9,4)</f>
        <v>01夜B</v>
      </c>
      <c r="AE19" s="124" t="str">
        <f>LEFT(北段!AK9,4)</f>
        <v>01夜B</v>
      </c>
      <c r="AF19" s="124" t="str">
        <f>LEFT(北段!AL9,4)</f>
        <v>01夜B</v>
      </c>
      <c r="AG19" s="124" t="str">
        <f>LEFT(北段!AM9,4)</f>
        <v>01夜B</v>
      </c>
      <c r="AH19" s="124" t="str">
        <f>LEFT(北段!AN9,4)</f>
        <v/>
      </c>
    </row>
    <row r="20" spans="1:34" ht="34.5" customHeight="1" x14ac:dyDescent="0.25">
      <c r="A20" s="127"/>
      <c r="B20" s="72" t="e">
        <f>LEFT(北段!#REF!,6)</f>
        <v>#REF!</v>
      </c>
      <c r="C20" s="38" t="e">
        <f>VLOOKUP(B20,北段!B:C,2,FALSE)</f>
        <v>#REF!</v>
      </c>
      <c r="D20" s="124" t="e">
        <f>LEFT(北段!#REF!,3)</f>
        <v>#REF!</v>
      </c>
      <c r="E20" s="124" t="e">
        <f>LEFT(北段!#REF!,4)</f>
        <v>#REF!</v>
      </c>
      <c r="F20" s="124" t="e">
        <f>LEFT(北段!#REF!,4)</f>
        <v>#REF!</v>
      </c>
      <c r="G20" s="124" t="e">
        <f>LEFT(北段!#REF!,4)</f>
        <v>#REF!</v>
      </c>
      <c r="H20" s="124" t="e">
        <f>LEFT(北段!#REF!,4)</f>
        <v>#REF!</v>
      </c>
      <c r="I20" s="124" t="e">
        <f>LEFT(北段!#REF!,4)</f>
        <v>#REF!</v>
      </c>
      <c r="J20" s="124" t="e">
        <f>LEFT(北段!#REF!,4)</f>
        <v>#REF!</v>
      </c>
      <c r="K20" s="124" t="e">
        <f>LEFT(北段!#REF!,4)</f>
        <v>#REF!</v>
      </c>
      <c r="L20" s="124" t="e">
        <f>LEFT(北段!#REF!,4)</f>
        <v>#REF!</v>
      </c>
      <c r="M20" s="124" t="e">
        <f>LEFT(北段!#REF!,4)</f>
        <v>#REF!</v>
      </c>
      <c r="N20" s="124" t="e">
        <f>LEFT(北段!#REF!,4)</f>
        <v>#REF!</v>
      </c>
      <c r="O20" s="124" t="e">
        <f>LEFT(北段!#REF!,4)</f>
        <v>#REF!</v>
      </c>
      <c r="P20" s="124" t="e">
        <f>LEFT(北段!#REF!,4)</f>
        <v>#REF!</v>
      </c>
      <c r="Q20" s="124" t="e">
        <f>LEFT(北段!#REF!,4)</f>
        <v>#REF!</v>
      </c>
      <c r="R20" s="124" t="e">
        <f>LEFT(北段!#REF!,4)</f>
        <v>#REF!</v>
      </c>
      <c r="S20" s="124" t="e">
        <f>LEFT(北段!#REF!,4)</f>
        <v>#REF!</v>
      </c>
      <c r="T20" s="124" t="e">
        <f>LEFT(北段!#REF!,4)</f>
        <v>#REF!</v>
      </c>
      <c r="U20" s="124" t="e">
        <f>LEFT(北段!#REF!,4)</f>
        <v>#REF!</v>
      </c>
      <c r="V20" s="124" t="e">
        <f>LEFT(北段!#REF!,4)</f>
        <v>#REF!</v>
      </c>
      <c r="W20" s="124" t="e">
        <f>LEFT(北段!#REF!,4)</f>
        <v>#REF!</v>
      </c>
      <c r="X20" s="124" t="e">
        <f>LEFT(北段!#REF!,4)</f>
        <v>#REF!</v>
      </c>
      <c r="Y20" s="124" t="e">
        <f>LEFT(北段!#REF!,4)</f>
        <v>#REF!</v>
      </c>
      <c r="Z20" s="124" t="e">
        <f>LEFT(北段!#REF!,4)</f>
        <v>#REF!</v>
      </c>
      <c r="AA20" s="124" t="e">
        <f>LEFT(北段!#REF!,4)</f>
        <v>#REF!</v>
      </c>
      <c r="AB20" s="124" t="e">
        <f>LEFT(北段!#REF!,4)</f>
        <v>#REF!</v>
      </c>
      <c r="AC20" s="124" t="e">
        <f>LEFT(北段!#REF!,4)</f>
        <v>#REF!</v>
      </c>
      <c r="AD20" s="124" t="e">
        <f>LEFT(北段!#REF!,4)</f>
        <v>#REF!</v>
      </c>
      <c r="AE20" s="124" t="e">
        <f>LEFT(北段!#REF!,4)</f>
        <v>#REF!</v>
      </c>
      <c r="AF20" s="124" t="e">
        <f>LEFT(北段!#REF!,4)</f>
        <v>#REF!</v>
      </c>
      <c r="AG20" s="124" t="e">
        <f>LEFT(北段!#REF!,4)</f>
        <v>#REF!</v>
      </c>
      <c r="AH20" s="124" t="e">
        <f>LEFT(北段!#REF!,4)</f>
        <v>#REF!</v>
      </c>
    </row>
    <row r="21" spans="1:34" s="36" customFormat="1" ht="34.5" customHeight="1" x14ac:dyDescent="0.25">
      <c r="A21" s="127"/>
      <c r="B21" s="72" t="str">
        <f>LEFT(北段!B10,6)</f>
        <v>T02505</v>
      </c>
      <c r="C21" s="38" t="str">
        <f>VLOOKUP(B21,北段!B:C,2,FALSE)</f>
        <v>李慧盺</v>
      </c>
      <c r="D21" s="124" t="str">
        <f>LEFT(北段!J10,3)</f>
        <v>R</v>
      </c>
      <c r="E21" s="124" t="str">
        <f>LEFT(北段!K10,4)</f>
        <v/>
      </c>
      <c r="F21" s="124" t="str">
        <f>LEFT(北段!L10,4)</f>
        <v/>
      </c>
      <c r="G21" s="124" t="str">
        <f>LEFT(北段!M10,4)</f>
        <v/>
      </c>
      <c r="H21" s="124" t="str">
        <f>LEFT(北段!N10,4)</f>
        <v/>
      </c>
      <c r="I21" s="124" t="str">
        <f>LEFT(北段!O10,4)</f>
        <v/>
      </c>
      <c r="J21" s="124" t="str">
        <f>LEFT(北段!P10,4)</f>
        <v/>
      </c>
      <c r="K21" s="124" t="str">
        <f>LEFT(北段!Q10,4)</f>
        <v/>
      </c>
      <c r="L21" s="124" t="str">
        <f>LEFT(北段!R10,4)</f>
        <v/>
      </c>
      <c r="M21" s="124" t="str">
        <f>LEFT(北段!S10,4)</f>
        <v/>
      </c>
      <c r="N21" s="124" t="str">
        <f>LEFT(北段!T10,4)</f>
        <v/>
      </c>
      <c r="O21" s="124" t="str">
        <f>LEFT(北段!U10,4)</f>
        <v/>
      </c>
      <c r="P21" s="124" t="str">
        <f>LEFT(北段!V10,4)</f>
        <v/>
      </c>
      <c r="Q21" s="124" t="str">
        <f>LEFT(北段!W10,4)</f>
        <v/>
      </c>
      <c r="R21" s="124" t="str">
        <f>LEFT(北段!X10,4)</f>
        <v/>
      </c>
      <c r="S21" s="124" t="str">
        <f>LEFT(北段!Y10,4)</f>
        <v/>
      </c>
      <c r="T21" s="124" t="str">
        <f>LEFT(北段!Z10,4)</f>
        <v/>
      </c>
      <c r="U21" s="124" t="str">
        <f>LEFT(北段!AA10,4)</f>
        <v/>
      </c>
      <c r="V21" s="124" t="str">
        <f>LEFT(北段!AB10,4)</f>
        <v/>
      </c>
      <c r="W21" s="124" t="str">
        <f>LEFT(北段!AC10,4)</f>
        <v>r'</v>
      </c>
      <c r="X21" s="124" t="str">
        <f>LEFT(北段!AD10,4)</f>
        <v>r'</v>
      </c>
      <c r="Y21" s="124" t="str">
        <f>LEFT(北段!AE10,4)</f>
        <v>R</v>
      </c>
      <c r="Z21" s="124" t="str">
        <f>LEFT(北段!AF10,4)</f>
        <v>R</v>
      </c>
      <c r="AA21" s="124" t="str">
        <f>LEFT(北段!AG10,4)</f>
        <v/>
      </c>
      <c r="AB21" s="124" t="str">
        <f>LEFT(北段!AH10,4)</f>
        <v/>
      </c>
      <c r="AC21" s="124" t="str">
        <f>LEFT(北段!AI10,4)</f>
        <v/>
      </c>
      <c r="AD21" s="124" t="str">
        <f>LEFT(北段!AJ10,4)</f>
        <v/>
      </c>
      <c r="AE21" s="124" t="str">
        <f>LEFT(北段!AK10,4)</f>
        <v/>
      </c>
      <c r="AF21" s="124" t="str">
        <f>LEFT(北段!AL10,4)</f>
        <v/>
      </c>
      <c r="AG21" s="124" t="str">
        <f>LEFT(北段!AM10,4)</f>
        <v/>
      </c>
      <c r="AH21" s="124" t="str">
        <f>LEFT(北段!AN10,4)</f>
        <v/>
      </c>
    </row>
    <row r="22" spans="1:34" ht="34.5" customHeight="1" x14ac:dyDescent="0.25">
      <c r="A22" s="127"/>
      <c r="B22" s="72" t="str">
        <f>LEFT(北段!B11,6)</f>
        <v>T02776</v>
      </c>
      <c r="C22" s="38" t="str">
        <f>VLOOKUP(B22,北段!B:C,2,FALSE)</f>
        <v>陳怡臻</v>
      </c>
      <c r="D22" s="124" t="str">
        <f>LEFT(北段!J11,3)</f>
        <v>01夜</v>
      </c>
      <c r="E22" s="124" t="str">
        <f>LEFT(北段!K11,4)</f>
        <v/>
      </c>
      <c r="F22" s="124" t="str">
        <f>LEFT(北段!L11,4)</f>
        <v/>
      </c>
      <c r="G22" s="124" t="str">
        <f>LEFT(北段!M11,4)</f>
        <v/>
      </c>
      <c r="H22" s="124" t="str">
        <f>LEFT(北段!N11,4)</f>
        <v xml:space="preserve"> </v>
      </c>
      <c r="I22" s="124" t="str">
        <f>LEFT(北段!O11,4)</f>
        <v/>
      </c>
      <c r="J22" s="124" t="str">
        <f>LEFT(北段!P11,4)</f>
        <v>R</v>
      </c>
      <c r="K22" s="124" t="str">
        <f>LEFT(北段!Q11,4)</f>
        <v/>
      </c>
      <c r="L22" s="124" t="str">
        <f>LEFT(北段!R11,4)</f>
        <v/>
      </c>
      <c r="M22" s="124" t="str">
        <f>LEFT(北段!S11,4)</f>
        <v/>
      </c>
      <c r="N22" s="124" t="str">
        <f>LEFT(北段!T11,4)</f>
        <v/>
      </c>
      <c r="O22" s="124" t="str">
        <f>LEFT(北段!U11,4)</f>
        <v/>
      </c>
      <c r="P22" s="124" t="str">
        <f>LEFT(北段!V11,4)</f>
        <v/>
      </c>
      <c r="Q22" s="124" t="str">
        <f>LEFT(北段!W11,4)</f>
        <v/>
      </c>
      <c r="R22" s="124" t="str">
        <f>LEFT(北段!X11,4)</f>
        <v/>
      </c>
      <c r="S22" s="124" t="str">
        <f>LEFT(北段!Y11,4)</f>
        <v/>
      </c>
      <c r="T22" s="124" t="str">
        <f>LEFT(北段!Z11,4)</f>
        <v/>
      </c>
      <c r="U22" s="124" t="str">
        <f>LEFT(北段!AA11,4)</f>
        <v/>
      </c>
      <c r="V22" s="124" t="str">
        <f>LEFT(北段!AB11,4)</f>
        <v/>
      </c>
      <c r="W22" s="124" t="str">
        <f>LEFT(北段!AC11,4)</f>
        <v/>
      </c>
      <c r="X22" s="124" t="str">
        <f>LEFT(北段!AD11,4)</f>
        <v/>
      </c>
      <c r="Y22" s="124" t="str">
        <f>LEFT(北段!AE11,4)</f>
        <v>R</v>
      </c>
      <c r="Z22" s="124" t="str">
        <f>LEFT(北段!AF11,4)</f>
        <v>R</v>
      </c>
      <c r="AA22" s="124" t="str">
        <f>LEFT(北段!AG11,4)</f>
        <v>r'</v>
      </c>
      <c r="AB22" s="124" t="str">
        <f>LEFT(北段!AH11,4)</f>
        <v/>
      </c>
      <c r="AC22" s="124" t="str">
        <f>LEFT(北段!AI11,4)</f>
        <v/>
      </c>
      <c r="AD22" s="124" t="str">
        <f>LEFT(北段!AJ11,4)</f>
        <v/>
      </c>
      <c r="AE22" s="124" t="str">
        <f>LEFT(北段!AK11,4)</f>
        <v/>
      </c>
      <c r="AF22" s="124" t="str">
        <f>LEFT(北段!AL11,4)</f>
        <v/>
      </c>
      <c r="AG22" s="124" t="str">
        <f>LEFT(北段!AM11,4)</f>
        <v/>
      </c>
      <c r="AH22" s="124" t="str">
        <f>LEFT(北段!AN11,4)</f>
        <v/>
      </c>
    </row>
    <row r="23" spans="1:34" ht="34.5" customHeight="1" x14ac:dyDescent="0.25">
      <c r="A23" s="127"/>
      <c r="B23" s="72" t="str">
        <f>LEFT(北段!B12,6)</f>
        <v>T02777</v>
      </c>
      <c r="C23" s="38" t="str">
        <f>VLOOKUP(B23,北段!B:C,2,FALSE)</f>
        <v>彭裕涵</v>
      </c>
      <c r="D23" s="124" t="str">
        <f>LEFT(北段!J12,3)</f>
        <v>r'</v>
      </c>
      <c r="E23" s="124" t="str">
        <f>LEFT(北段!K12,4)</f>
        <v/>
      </c>
      <c r="F23" s="124" t="str">
        <f>LEFT(北段!L12,4)</f>
        <v/>
      </c>
      <c r="G23" s="124" t="str">
        <f>LEFT(北段!M12,4)</f>
        <v/>
      </c>
      <c r="H23" s="124" t="str">
        <f>LEFT(北段!N12,4)</f>
        <v/>
      </c>
      <c r="I23" s="124" t="str">
        <f>LEFT(北段!O12,4)</f>
        <v/>
      </c>
      <c r="J23" s="124" t="str">
        <f>LEFT(北段!P12,4)</f>
        <v/>
      </c>
      <c r="K23" s="124" t="str">
        <f>LEFT(北段!Q12,4)</f>
        <v/>
      </c>
      <c r="L23" s="124" t="str">
        <f>LEFT(北段!R12,4)</f>
        <v/>
      </c>
      <c r="M23" s="124" t="str">
        <f>LEFT(北段!S12,4)</f>
        <v/>
      </c>
      <c r="N23" s="124" t="str">
        <f>LEFT(北段!T12,4)</f>
        <v/>
      </c>
      <c r="O23" s="124" t="str">
        <f>LEFT(北段!U12,4)</f>
        <v/>
      </c>
      <c r="P23" s="124" t="str">
        <f>LEFT(北段!V12,4)</f>
        <v/>
      </c>
      <c r="Q23" s="124" t="str">
        <f>LEFT(北段!W12,4)</f>
        <v/>
      </c>
      <c r="R23" s="124" t="str">
        <f>LEFT(北段!X12,4)</f>
        <v/>
      </c>
      <c r="S23" s="124" t="str">
        <f>LEFT(北段!Y12,4)</f>
        <v/>
      </c>
      <c r="T23" s="124" t="str">
        <f>LEFT(北段!Z12,4)</f>
        <v/>
      </c>
      <c r="U23" s="124" t="str">
        <f>LEFT(北段!AA12,4)</f>
        <v/>
      </c>
      <c r="V23" s="124" t="str">
        <f>LEFT(北段!AB12,4)</f>
        <v/>
      </c>
      <c r="W23" s="124" t="str">
        <f>LEFT(北段!AC12,4)</f>
        <v/>
      </c>
      <c r="X23" s="124" t="str">
        <f>LEFT(北段!AD12,4)</f>
        <v/>
      </c>
      <c r="Y23" s="124" t="str">
        <f>LEFT(北段!AE12,4)</f>
        <v/>
      </c>
      <c r="Z23" s="124" t="str">
        <f>LEFT(北段!AF12,4)</f>
        <v/>
      </c>
      <c r="AA23" s="124" t="str">
        <f>LEFT(北段!AG12,4)</f>
        <v>r'</v>
      </c>
      <c r="AB23" s="124" t="str">
        <f>LEFT(北段!AH12,4)</f>
        <v>R</v>
      </c>
      <c r="AC23" s="124" t="str">
        <f>LEFT(北段!AI12,4)</f>
        <v>P</v>
      </c>
      <c r="AD23" s="124" t="str">
        <f>LEFT(北段!AJ12,4)</f>
        <v>r'</v>
      </c>
      <c r="AE23" s="124" t="str">
        <f>LEFT(北段!AK12,4)</f>
        <v/>
      </c>
      <c r="AF23" s="124" t="str">
        <f>LEFT(北段!AL12,4)</f>
        <v/>
      </c>
      <c r="AG23" s="124" t="str">
        <f>LEFT(北段!AM12,4)</f>
        <v/>
      </c>
      <c r="AH23" s="124" t="str">
        <f>LEFT(北段!AN12,4)</f>
        <v/>
      </c>
    </row>
    <row r="24" spans="1:34" ht="34.5" customHeight="1" x14ac:dyDescent="0.25">
      <c r="A24" s="127"/>
      <c r="B24" s="72" t="str">
        <f>LEFT(北段!B13,6)</f>
        <v>T00557</v>
      </c>
      <c r="C24" s="38" t="str">
        <f>VLOOKUP(B24,北段!B:C,2,FALSE)</f>
        <v>陳志明</v>
      </c>
      <c r="D24" s="124" t="str">
        <f>LEFT(北段!J13,3)</f>
        <v>01午</v>
      </c>
      <c r="E24" s="124" t="str">
        <f>LEFT(北段!K13,4)</f>
        <v/>
      </c>
      <c r="F24" s="124" t="str">
        <f>LEFT(北段!L13,4)</f>
        <v/>
      </c>
      <c r="G24" s="124" t="str">
        <f>LEFT(北段!M13,4)</f>
        <v/>
      </c>
      <c r="H24" s="124" t="str">
        <f>LEFT(北段!N13,4)</f>
        <v/>
      </c>
      <c r="I24" s="124" t="str">
        <f>LEFT(北段!O13,4)</f>
        <v/>
      </c>
      <c r="J24" s="124" t="str">
        <f>LEFT(北段!P13,4)</f>
        <v>L</v>
      </c>
      <c r="K24" s="124" t="str">
        <f>LEFT(北段!Q13,4)</f>
        <v>R</v>
      </c>
      <c r="L24" s="124" t="str">
        <f>LEFT(北段!R13,4)</f>
        <v/>
      </c>
      <c r="M24" s="124" t="str">
        <f>LEFT(北段!S13,4)</f>
        <v/>
      </c>
      <c r="N24" s="124" t="str">
        <f>LEFT(北段!T13,4)</f>
        <v/>
      </c>
      <c r="O24" s="124" t="str">
        <f>LEFT(北段!U13,4)</f>
        <v/>
      </c>
      <c r="P24" s="124" t="str">
        <f>LEFT(北段!V13,4)</f>
        <v/>
      </c>
      <c r="Q24" s="124" t="str">
        <f>LEFT(北段!W13,4)</f>
        <v/>
      </c>
      <c r="R24" s="124" t="str">
        <f>LEFT(北段!X13,4)</f>
        <v/>
      </c>
      <c r="S24" s="124" t="str">
        <f>LEFT(北段!Y13,4)</f>
        <v/>
      </c>
      <c r="T24" s="124" t="str">
        <f>LEFT(北段!Z13,4)</f>
        <v/>
      </c>
      <c r="U24" s="124" t="str">
        <f>LEFT(北段!AA13,4)</f>
        <v/>
      </c>
      <c r="V24" s="124" t="str">
        <f>LEFT(北段!AB13,4)</f>
        <v/>
      </c>
      <c r="W24" s="124" t="str">
        <f>LEFT(北段!AC13,4)</f>
        <v/>
      </c>
      <c r="X24" s="124" t="str">
        <f>LEFT(北段!AD13,4)</f>
        <v>r'</v>
      </c>
      <c r="Y24" s="124" t="str">
        <f>LEFT(北段!AE13,4)</f>
        <v>R</v>
      </c>
      <c r="Z24" s="124" t="str">
        <f>LEFT(北段!AF13,4)</f>
        <v/>
      </c>
      <c r="AA24" s="124" t="str">
        <f>LEFT(北段!AG13,4)</f>
        <v/>
      </c>
      <c r="AB24" s="124" t="str">
        <f>LEFT(北段!AH13,4)</f>
        <v/>
      </c>
      <c r="AC24" s="124" t="str">
        <f>LEFT(北段!AI13,4)</f>
        <v/>
      </c>
      <c r="AD24" s="124" t="str">
        <f>LEFT(北段!AJ13,4)</f>
        <v/>
      </c>
      <c r="AE24" s="124" t="str">
        <f>LEFT(北段!AK13,4)</f>
        <v/>
      </c>
      <c r="AF24" s="124" t="str">
        <f>LEFT(北段!AL13,4)</f>
        <v/>
      </c>
      <c r="AG24" s="124" t="str">
        <f>LEFT(北段!AM13,4)</f>
        <v/>
      </c>
      <c r="AH24" s="124" t="str">
        <f>LEFT(北段!AN13,4)</f>
        <v/>
      </c>
    </row>
    <row r="25" spans="1:34" ht="34.5" customHeight="1" x14ac:dyDescent="0.25">
      <c r="A25" s="127"/>
      <c r="B25" s="72" t="str">
        <f>LEFT(北段!B14,6)</f>
        <v>T00929</v>
      </c>
      <c r="C25" s="38" t="str">
        <f>VLOOKUP(B25,北段!B:C,2,FALSE)</f>
        <v>簡婉蓁</v>
      </c>
      <c r="D25" s="124" t="str">
        <f>LEFT(北段!J14,3)</f>
        <v>01早</v>
      </c>
      <c r="E25" s="124" t="str">
        <f>LEFT(北段!K14,4)</f>
        <v/>
      </c>
      <c r="F25" s="124" t="str">
        <f>LEFT(北段!L14,4)</f>
        <v/>
      </c>
      <c r="G25" s="124" t="str">
        <f>LEFT(北段!M14,4)</f>
        <v/>
      </c>
      <c r="H25" s="124" t="str">
        <f>LEFT(北段!N14,4)</f>
        <v>01早B</v>
      </c>
      <c r="I25" s="124" t="str">
        <f>LEFT(北段!O14,4)</f>
        <v/>
      </c>
      <c r="J25" s="124" t="str">
        <f>LEFT(北段!P14,4)</f>
        <v/>
      </c>
      <c r="K25" s="124" t="str">
        <f>LEFT(北段!Q14,4)</f>
        <v>01早B</v>
      </c>
      <c r="L25" s="124" t="str">
        <f>LEFT(北段!R14,4)</f>
        <v/>
      </c>
      <c r="M25" s="124" t="str">
        <f>LEFT(北段!S14,4)</f>
        <v/>
      </c>
      <c r="N25" s="124" t="str">
        <f>LEFT(北段!T14,4)</f>
        <v/>
      </c>
      <c r="O25" s="124" t="str">
        <f>LEFT(北段!U14,4)</f>
        <v>01早B</v>
      </c>
      <c r="P25" s="124" t="str">
        <f>LEFT(北段!V14,4)</f>
        <v/>
      </c>
      <c r="Q25" s="124" t="str">
        <f>LEFT(北段!W14,4)</f>
        <v/>
      </c>
      <c r="R25" s="124" t="str">
        <f>LEFT(北段!X14,4)</f>
        <v>01早B</v>
      </c>
      <c r="S25" s="124" t="str">
        <f>LEFT(北段!Y14,4)</f>
        <v>R</v>
      </c>
      <c r="T25" s="124" t="str">
        <f>LEFT(北段!Z14,4)</f>
        <v>r'</v>
      </c>
      <c r="U25" s="124" t="str">
        <f>LEFT(北段!AA14,4)</f>
        <v/>
      </c>
      <c r="V25" s="124" t="str">
        <f>LEFT(北段!AB14,4)</f>
        <v>01早B</v>
      </c>
      <c r="W25" s="124" t="str">
        <f>LEFT(北段!AC14,4)</f>
        <v/>
      </c>
      <c r="X25" s="124" t="str">
        <f>LEFT(北段!AD14,4)</f>
        <v/>
      </c>
      <c r="Y25" s="124" t="str">
        <f>LEFT(北段!AE14,4)</f>
        <v/>
      </c>
      <c r="Z25" s="124" t="str">
        <f>LEFT(北段!AF14,4)</f>
        <v/>
      </c>
      <c r="AA25" s="124" t="str">
        <f>LEFT(北段!AG14,4)</f>
        <v/>
      </c>
      <c r="AB25" s="124" t="str">
        <f>LEFT(北段!AH14,4)</f>
        <v/>
      </c>
      <c r="AC25" s="124" t="str">
        <f>LEFT(北段!AI14,4)</f>
        <v>01早B</v>
      </c>
      <c r="AD25" s="124" t="str">
        <f>LEFT(北段!AJ14,4)</f>
        <v/>
      </c>
      <c r="AE25" s="124" t="str">
        <f>LEFT(北段!AK14,4)</f>
        <v/>
      </c>
      <c r="AF25" s="124" t="str">
        <f>LEFT(北段!AL14,4)</f>
        <v/>
      </c>
      <c r="AG25" s="124" t="str">
        <f>LEFT(北段!AM14,4)</f>
        <v/>
      </c>
      <c r="AH25" s="124" t="str">
        <f>LEFT(北段!AN14,4)</f>
        <v>R</v>
      </c>
    </row>
    <row r="26" spans="1:34" ht="34.5" customHeight="1" x14ac:dyDescent="0.25">
      <c r="A26" s="127"/>
      <c r="B26" s="72" t="str">
        <f>LEFT(北段!B15,6)</f>
        <v>T01459</v>
      </c>
      <c r="C26" s="38" t="str">
        <f>VLOOKUP(B26,北段!B:C,2,FALSE)</f>
        <v>林禹丞</v>
      </c>
      <c r="D26" s="124" t="str">
        <f>LEFT(北段!J15,3)</f>
        <v>01早</v>
      </c>
      <c r="E26" s="124" t="str">
        <f>LEFT(北段!K15,4)</f>
        <v>r'</v>
      </c>
      <c r="F26" s="124" t="str">
        <f>LEFT(北段!L15,4)</f>
        <v>R</v>
      </c>
      <c r="G26" s="124" t="str">
        <f>LEFT(北段!M15,4)</f>
        <v/>
      </c>
      <c r="H26" s="124" t="str">
        <f>LEFT(北段!N15,4)</f>
        <v/>
      </c>
      <c r="I26" s="124" t="str">
        <f>LEFT(北段!O15,4)</f>
        <v/>
      </c>
      <c r="J26" s="124" t="str">
        <f>LEFT(北段!P15,4)</f>
        <v/>
      </c>
      <c r="K26" s="124" t="str">
        <f>LEFT(北段!Q15,4)</f>
        <v/>
      </c>
      <c r="L26" s="124" t="str">
        <f>LEFT(北段!R15,4)</f>
        <v>r'</v>
      </c>
      <c r="M26" s="124" t="str">
        <f>LEFT(北段!S15,4)</f>
        <v>R</v>
      </c>
      <c r="N26" s="124" t="str">
        <f>LEFT(北段!T15,4)</f>
        <v/>
      </c>
      <c r="O26" s="124" t="str">
        <f>LEFT(北段!U15,4)</f>
        <v/>
      </c>
      <c r="P26" s="124" t="str">
        <f>LEFT(北段!V15,4)</f>
        <v/>
      </c>
      <c r="Q26" s="124" t="str">
        <f>LEFT(北段!W15,4)</f>
        <v/>
      </c>
      <c r="R26" s="124" t="str">
        <f>LEFT(北段!X15,4)</f>
        <v/>
      </c>
      <c r="S26" s="124" t="str">
        <f>LEFT(北段!Y15,4)</f>
        <v>r'</v>
      </c>
      <c r="T26" s="124" t="str">
        <f>LEFT(北段!Z15,4)</f>
        <v>R</v>
      </c>
      <c r="U26" s="124" t="str">
        <f>LEFT(北段!AA15,4)</f>
        <v/>
      </c>
      <c r="V26" s="124" t="str">
        <f>LEFT(北段!AB15,4)</f>
        <v/>
      </c>
      <c r="W26" s="124" t="str">
        <f>LEFT(北段!AC15,4)</f>
        <v/>
      </c>
      <c r="X26" s="124" t="str">
        <f>LEFT(北段!AD15,4)</f>
        <v/>
      </c>
      <c r="Y26" s="124" t="str">
        <f>LEFT(北段!AE15,4)</f>
        <v>L</v>
      </c>
      <c r="Z26" s="124" t="str">
        <f>LEFT(北段!AF15,4)</f>
        <v>L</v>
      </c>
      <c r="AA26" s="124" t="str">
        <f>LEFT(北段!AG15,4)</f>
        <v>R</v>
      </c>
      <c r="AB26" s="124" t="str">
        <f>LEFT(北段!AH15,4)</f>
        <v/>
      </c>
      <c r="AC26" s="124" t="str">
        <f>LEFT(北段!AI15,4)</f>
        <v/>
      </c>
      <c r="AD26" s="124" t="str">
        <f>LEFT(北段!AJ15,4)</f>
        <v/>
      </c>
      <c r="AE26" s="124" t="str">
        <f>LEFT(北段!AK15,4)</f>
        <v/>
      </c>
      <c r="AF26" s="124" t="str">
        <f>LEFT(北段!AL15,4)</f>
        <v/>
      </c>
      <c r="AG26" s="124" t="str">
        <f>LEFT(北段!AM15,4)</f>
        <v>r'</v>
      </c>
      <c r="AH26" s="124" t="str">
        <f>LEFT(北段!AN15,4)</f>
        <v>R</v>
      </c>
    </row>
    <row r="27" spans="1:34" s="36" customFormat="1" ht="34.5" customHeight="1" x14ac:dyDescent="0.25">
      <c r="A27" s="127"/>
      <c r="B27" s="72" t="str">
        <f>LEFT(北段!B16,6)</f>
        <v>T01600</v>
      </c>
      <c r="C27" s="38" t="str">
        <f>VLOOKUP(B27,北段!B:C,2,FALSE)</f>
        <v>陳奎羽</v>
      </c>
      <c r="D27" s="124" t="str">
        <f>LEFT(北段!J16,3)</f>
        <v>L</v>
      </c>
      <c r="E27" s="124" t="str">
        <f>LEFT(北段!K16,4)</f>
        <v>r'</v>
      </c>
      <c r="F27" s="124" t="str">
        <f>LEFT(北段!L16,4)</f>
        <v>R</v>
      </c>
      <c r="G27" s="124" t="str">
        <f>LEFT(北段!M16,4)</f>
        <v/>
      </c>
      <c r="H27" s="124" t="str">
        <f>LEFT(北段!N16,4)</f>
        <v/>
      </c>
      <c r="I27" s="124" t="str">
        <f>LEFT(北段!O16,4)</f>
        <v/>
      </c>
      <c r="J27" s="124" t="str">
        <f>LEFT(北段!P16,4)</f>
        <v/>
      </c>
      <c r="K27" s="124" t="str">
        <f>LEFT(北段!Q16,4)</f>
        <v/>
      </c>
      <c r="L27" s="124" t="str">
        <f>LEFT(北段!R16,4)</f>
        <v/>
      </c>
      <c r="M27" s="124" t="str">
        <f>LEFT(北段!S16,4)</f>
        <v/>
      </c>
      <c r="N27" s="124" t="str">
        <f>LEFT(北段!T16,4)</f>
        <v/>
      </c>
      <c r="O27" s="124" t="str">
        <f>LEFT(北段!U16,4)</f>
        <v/>
      </c>
      <c r="P27" s="124" t="str">
        <f>LEFT(北段!V16,4)</f>
        <v/>
      </c>
      <c r="Q27" s="124" t="str">
        <f>LEFT(北段!W16,4)</f>
        <v>r'</v>
      </c>
      <c r="R27" s="124" t="str">
        <f>LEFT(北段!X16,4)</f>
        <v>R</v>
      </c>
      <c r="S27" s="124" t="str">
        <f>LEFT(北段!Y16,4)</f>
        <v/>
      </c>
      <c r="T27" s="124" t="str">
        <f>LEFT(北段!Z16,4)</f>
        <v/>
      </c>
      <c r="U27" s="124" t="str">
        <f>LEFT(北段!AA16,4)</f>
        <v/>
      </c>
      <c r="V27" s="124" t="str">
        <f>LEFT(北段!AB16,4)</f>
        <v/>
      </c>
      <c r="W27" s="124" t="str">
        <f>LEFT(北段!AC16,4)</f>
        <v/>
      </c>
      <c r="X27" s="124" t="str">
        <f>LEFT(北段!AD16,4)</f>
        <v/>
      </c>
      <c r="Y27" s="124" t="str">
        <f>LEFT(北段!AE16,4)</f>
        <v/>
      </c>
      <c r="Z27" s="124" t="str">
        <f>LEFT(北段!AF16,4)</f>
        <v/>
      </c>
      <c r="AA27" s="124" t="str">
        <f>LEFT(北段!AG16,4)</f>
        <v/>
      </c>
      <c r="AB27" s="124" t="str">
        <f>LEFT(北段!AH16,4)</f>
        <v/>
      </c>
      <c r="AC27" s="124" t="str">
        <f>LEFT(北段!AI16,4)</f>
        <v/>
      </c>
      <c r="AD27" s="124" t="str">
        <f>LEFT(北段!AJ16,4)</f>
        <v/>
      </c>
      <c r="AE27" s="124" t="str">
        <f>LEFT(北段!AK16,4)</f>
        <v/>
      </c>
      <c r="AF27" s="124" t="str">
        <f>LEFT(北段!AL16,4)</f>
        <v/>
      </c>
      <c r="AG27" s="124" t="str">
        <f>LEFT(北段!AM16,4)</f>
        <v/>
      </c>
      <c r="AH27" s="124" t="str">
        <f>LEFT(北段!AN16,4)</f>
        <v/>
      </c>
    </row>
    <row r="28" spans="1:34" s="36" customFormat="1" ht="34.5" customHeight="1" x14ac:dyDescent="0.25">
      <c r="A28" s="127"/>
      <c r="B28" s="72" t="str">
        <f>LEFT(北段!B17,6)</f>
        <v>T01795</v>
      </c>
      <c r="C28" s="38" t="str">
        <f>VLOOKUP(B28,北段!B:C,2,FALSE)</f>
        <v>黃羿綾</v>
      </c>
      <c r="D28" s="124" t="str">
        <f>LEFT(北段!J17,3)</f>
        <v>R</v>
      </c>
      <c r="E28" s="124" t="str">
        <f>LEFT(北段!K17,4)</f>
        <v>r'</v>
      </c>
      <c r="F28" s="124" t="str">
        <f>LEFT(北段!L17,4)</f>
        <v>R</v>
      </c>
      <c r="G28" s="124" t="str">
        <f>LEFT(北段!M17,4)</f>
        <v>r'</v>
      </c>
      <c r="H28" s="124" t="str">
        <f>LEFT(北段!N17,4)</f>
        <v/>
      </c>
      <c r="I28" s="124" t="str">
        <f>LEFT(北段!O17,4)</f>
        <v/>
      </c>
      <c r="J28" s="124" t="str">
        <f>LEFT(北段!P17,4)</f>
        <v/>
      </c>
      <c r="K28" s="124" t="str">
        <f>LEFT(北段!Q17,4)</f>
        <v/>
      </c>
      <c r="L28" s="124" t="str">
        <f>LEFT(北段!R17,4)</f>
        <v/>
      </c>
      <c r="M28" s="124" t="str">
        <f>LEFT(北段!S17,4)</f>
        <v/>
      </c>
      <c r="N28" s="124" t="str">
        <f>LEFT(北段!T17,4)</f>
        <v/>
      </c>
      <c r="O28" s="124" t="str">
        <f>LEFT(北段!U17,4)</f>
        <v/>
      </c>
      <c r="P28" s="124" t="str">
        <f>LEFT(北段!V17,4)</f>
        <v/>
      </c>
      <c r="Q28" s="124" t="str">
        <f>LEFT(北段!W17,4)</f>
        <v/>
      </c>
      <c r="R28" s="124" t="str">
        <f>LEFT(北段!X17,4)</f>
        <v/>
      </c>
      <c r="S28" s="124" t="str">
        <f>LEFT(北段!Y17,4)</f>
        <v>R</v>
      </c>
      <c r="T28" s="124" t="str">
        <f>LEFT(北段!Z17,4)</f>
        <v>01午B</v>
      </c>
      <c r="U28" s="124" t="str">
        <f>LEFT(北段!AA17,4)</f>
        <v/>
      </c>
      <c r="V28" s="124" t="str">
        <f>LEFT(北段!AB17,4)</f>
        <v/>
      </c>
      <c r="W28" s="124" t="str">
        <f>LEFT(北段!AC17,4)</f>
        <v/>
      </c>
      <c r="X28" s="124" t="str">
        <f>LEFT(北段!AD17,4)</f>
        <v/>
      </c>
      <c r="Y28" s="124" t="str">
        <f>LEFT(北段!AE17,4)</f>
        <v/>
      </c>
      <c r="Z28" s="124" t="str">
        <f>LEFT(北段!AF17,4)</f>
        <v/>
      </c>
      <c r="AA28" s="124" t="str">
        <f>LEFT(北段!AG17,4)</f>
        <v/>
      </c>
      <c r="AB28" s="124" t="str">
        <f>LEFT(北段!AH17,4)</f>
        <v/>
      </c>
      <c r="AC28" s="124" t="str">
        <f>LEFT(北段!AI17,4)</f>
        <v/>
      </c>
      <c r="AD28" s="124" t="str">
        <f>LEFT(北段!AJ17,4)</f>
        <v/>
      </c>
      <c r="AE28" s="124" t="str">
        <f>LEFT(北段!AK17,4)</f>
        <v/>
      </c>
      <c r="AF28" s="124" t="str">
        <f>LEFT(北段!AL17,4)</f>
        <v/>
      </c>
      <c r="AG28" s="124" t="str">
        <f>LEFT(北段!AM17,4)</f>
        <v/>
      </c>
      <c r="AH28" s="124" t="str">
        <f>LEFT(北段!AN17,4)</f>
        <v/>
      </c>
    </row>
    <row r="29" spans="1:34" s="36" customFormat="1" ht="34.5" customHeight="1" x14ac:dyDescent="0.25">
      <c r="A29" s="127"/>
      <c r="B29" s="72" t="str">
        <f>LEFT(北段!B18,6)</f>
        <v>T02222</v>
      </c>
      <c r="C29" s="38" t="str">
        <f>VLOOKUP(B29,北段!B:C,2,FALSE)</f>
        <v>𡍼文妤</v>
      </c>
      <c r="D29" s="124" t="str">
        <f>LEFT(北段!J18,3)</f>
        <v>r'</v>
      </c>
      <c r="E29" s="124" t="str">
        <f>LEFT(北段!K18,4)</f>
        <v/>
      </c>
      <c r="F29" s="124" t="str">
        <f>LEFT(北段!L18,4)</f>
        <v/>
      </c>
      <c r="G29" s="124" t="str">
        <f>LEFT(北段!M18,4)</f>
        <v/>
      </c>
      <c r="H29" s="124" t="str">
        <f>LEFT(北段!N18,4)</f>
        <v/>
      </c>
      <c r="I29" s="124" t="str">
        <f>LEFT(北段!O18,4)</f>
        <v/>
      </c>
      <c r="J29" s="124" t="str">
        <f>LEFT(北段!P18,4)</f>
        <v/>
      </c>
      <c r="K29" s="124" t="str">
        <f>LEFT(北段!Q18,4)</f>
        <v/>
      </c>
      <c r="L29" s="124" t="str">
        <f>LEFT(北段!R18,4)</f>
        <v>R</v>
      </c>
      <c r="M29" s="124" t="str">
        <f>LEFT(北段!S18,4)</f>
        <v>r'</v>
      </c>
      <c r="N29" s="124" t="str">
        <f>LEFT(北段!T18,4)</f>
        <v/>
      </c>
      <c r="O29" s="124" t="str">
        <f>LEFT(北段!U18,4)</f>
        <v/>
      </c>
      <c r="P29" s="124" t="str">
        <f>LEFT(北段!V18,4)</f>
        <v/>
      </c>
      <c r="Q29" s="124" t="str">
        <f>LEFT(北段!W18,4)</f>
        <v/>
      </c>
      <c r="R29" s="124" t="str">
        <f>LEFT(北段!X18,4)</f>
        <v/>
      </c>
      <c r="S29" s="124" t="str">
        <f>LEFT(北段!Y18,4)</f>
        <v/>
      </c>
      <c r="T29" s="124" t="str">
        <f>LEFT(北段!Z18,4)</f>
        <v/>
      </c>
      <c r="U29" s="124" t="str">
        <f>LEFT(北段!AA18,4)</f>
        <v/>
      </c>
      <c r="V29" s="124" t="str">
        <f>LEFT(北段!AB18,4)</f>
        <v/>
      </c>
      <c r="W29" s="124" t="str">
        <f>LEFT(北段!AC18,4)</f>
        <v/>
      </c>
      <c r="X29" s="124" t="str">
        <f>LEFT(北段!AD18,4)</f>
        <v/>
      </c>
      <c r="Y29" s="124" t="str">
        <f>LEFT(北段!AE18,4)</f>
        <v/>
      </c>
      <c r="Z29" s="124" t="str">
        <f>LEFT(北段!AF18,4)</f>
        <v/>
      </c>
      <c r="AA29" s="124" t="str">
        <f>LEFT(北段!AG18,4)</f>
        <v/>
      </c>
      <c r="AB29" s="124" t="str">
        <f>LEFT(北段!AH18,4)</f>
        <v/>
      </c>
      <c r="AC29" s="124" t="str">
        <f>LEFT(北段!AI18,4)</f>
        <v/>
      </c>
      <c r="AD29" s="124" t="str">
        <f>LEFT(北段!AJ18,4)</f>
        <v/>
      </c>
      <c r="AE29" s="124" t="str">
        <f>LEFT(北段!AK18,4)</f>
        <v>R</v>
      </c>
      <c r="AF29" s="124" t="str">
        <f>LEFT(北段!AL18,4)</f>
        <v>r'</v>
      </c>
      <c r="AG29" s="124" t="str">
        <f>LEFT(北段!AM18,4)</f>
        <v/>
      </c>
      <c r="AH29" s="124" t="str">
        <f>LEFT(北段!AN18,4)</f>
        <v/>
      </c>
    </row>
    <row r="30" spans="1:34" ht="34.5" customHeight="1" x14ac:dyDescent="0.25">
      <c r="A30" s="127"/>
      <c r="B30" s="72" t="str">
        <f>LEFT(北段!B19,6)</f>
        <v>T02233</v>
      </c>
      <c r="C30" s="38" t="str">
        <f>VLOOKUP(B30,北段!B:C,2,FALSE)</f>
        <v>簡悅如</v>
      </c>
      <c r="D30" s="124" t="str">
        <f>LEFT(北段!J19,3)</f>
        <v>01早</v>
      </c>
      <c r="E30" s="124" t="str">
        <f>LEFT(北段!K19,4)</f>
        <v/>
      </c>
      <c r="F30" s="124" t="str">
        <f>LEFT(北段!L19,4)</f>
        <v/>
      </c>
      <c r="G30" s="124" t="str">
        <f>LEFT(北段!M19,4)</f>
        <v/>
      </c>
      <c r="H30" s="124" t="str">
        <f>LEFT(北段!N19,4)</f>
        <v/>
      </c>
      <c r="I30" s="124" t="str">
        <f>LEFT(北段!O19,4)</f>
        <v/>
      </c>
      <c r="J30" s="124" t="str">
        <f>LEFT(北段!P19,4)</f>
        <v/>
      </c>
      <c r="K30" s="124" t="str">
        <f>LEFT(北段!Q19,4)</f>
        <v/>
      </c>
      <c r="L30" s="124" t="str">
        <f>LEFT(北段!R19,4)</f>
        <v/>
      </c>
      <c r="M30" s="124" t="str">
        <f>LEFT(北段!S19,4)</f>
        <v/>
      </c>
      <c r="N30" s="124" t="str">
        <f>LEFT(北段!T19,4)</f>
        <v/>
      </c>
      <c r="O30" s="124" t="str">
        <f>LEFT(北段!U19,4)</f>
        <v/>
      </c>
      <c r="P30" s="124" t="str">
        <f>LEFT(北段!V19,4)</f>
        <v/>
      </c>
      <c r="Q30" s="124" t="str">
        <f>LEFT(北段!W19,4)</f>
        <v/>
      </c>
      <c r="R30" s="124" t="str">
        <f>LEFT(北段!X19,4)</f>
        <v>R</v>
      </c>
      <c r="S30" s="124" t="str">
        <f>LEFT(北段!Y19,4)</f>
        <v>R</v>
      </c>
      <c r="T30" s="124" t="str">
        <f>LEFT(北段!Z19,4)</f>
        <v/>
      </c>
      <c r="U30" s="124" t="str">
        <f>LEFT(北段!AA19,4)</f>
        <v/>
      </c>
      <c r="V30" s="124" t="str">
        <f>LEFT(北段!AB19,4)</f>
        <v/>
      </c>
      <c r="W30" s="124" t="str">
        <f>LEFT(北段!AC19,4)</f>
        <v/>
      </c>
      <c r="X30" s="124" t="str">
        <f>LEFT(北段!AD19,4)</f>
        <v>L</v>
      </c>
      <c r="Y30" s="124" t="str">
        <f>LEFT(北段!AE19,4)</f>
        <v/>
      </c>
      <c r="Z30" s="124" t="str">
        <f>LEFT(北段!AF19,4)</f>
        <v/>
      </c>
      <c r="AA30" s="124" t="str">
        <f>LEFT(北段!AG19,4)</f>
        <v/>
      </c>
      <c r="AB30" s="124" t="str">
        <f>LEFT(北段!AH19,4)</f>
        <v/>
      </c>
      <c r="AC30" s="124" t="str">
        <f>LEFT(北段!AI19,4)</f>
        <v/>
      </c>
      <c r="AD30" s="124" t="str">
        <f>LEFT(北段!AJ19,4)</f>
        <v/>
      </c>
      <c r="AE30" s="124" t="str">
        <f>LEFT(北段!AK19,4)</f>
        <v/>
      </c>
      <c r="AF30" s="124" t="str">
        <f>LEFT(北段!AL19,4)</f>
        <v/>
      </c>
      <c r="AG30" s="124" t="str">
        <f>LEFT(北段!AM19,4)</f>
        <v/>
      </c>
      <c r="AH30" s="124" t="str">
        <f>LEFT(北段!AN19,4)</f>
        <v/>
      </c>
    </row>
    <row r="31" spans="1:34" ht="34.5" customHeight="1" x14ac:dyDescent="0.25">
      <c r="A31" s="127"/>
      <c r="B31" s="72" t="str">
        <f>LEFT(北段!B20,6)</f>
        <v>T02613</v>
      </c>
      <c r="C31" s="38" t="str">
        <f>VLOOKUP(B31,北段!B:C,2,FALSE)</f>
        <v>張雅荃</v>
      </c>
      <c r="D31" s="124" t="str">
        <f>LEFT(北段!J20,3)</f>
        <v>01午</v>
      </c>
      <c r="E31" s="124" t="str">
        <f>LEFT(北段!K20,4)</f>
        <v/>
      </c>
      <c r="F31" s="124" t="str">
        <f>LEFT(北段!L20,4)</f>
        <v/>
      </c>
      <c r="G31" s="124" t="str">
        <f>LEFT(北段!M20,4)</f>
        <v/>
      </c>
      <c r="H31" s="124" t="str">
        <f>LEFT(北段!N20,4)</f>
        <v/>
      </c>
      <c r="I31" s="124" t="str">
        <f>LEFT(北段!O20,4)</f>
        <v/>
      </c>
      <c r="J31" s="124" t="str">
        <f>LEFT(北段!P20,4)</f>
        <v/>
      </c>
      <c r="K31" s="124" t="str">
        <f>LEFT(北段!Q20,4)</f>
        <v/>
      </c>
      <c r="L31" s="124" t="str">
        <f>LEFT(北段!R20,4)</f>
        <v/>
      </c>
      <c r="M31" s="124" t="str">
        <f>LEFT(北段!S20,4)</f>
        <v/>
      </c>
      <c r="N31" s="124" t="str">
        <f>LEFT(北段!T20,4)</f>
        <v/>
      </c>
      <c r="O31" s="124" t="str">
        <f>LEFT(北段!U20,4)</f>
        <v>R</v>
      </c>
      <c r="P31" s="124" t="str">
        <f>LEFT(北段!V20,4)</f>
        <v/>
      </c>
      <c r="Q31" s="124" t="str">
        <f>LEFT(北段!W20,4)</f>
        <v/>
      </c>
      <c r="R31" s="124" t="str">
        <f>LEFT(北段!X20,4)</f>
        <v/>
      </c>
      <c r="S31" s="124" t="str">
        <f>LEFT(北段!Y20,4)</f>
        <v/>
      </c>
      <c r="T31" s="124" t="str">
        <f>LEFT(北段!Z20,4)</f>
        <v/>
      </c>
      <c r="U31" s="124" t="str">
        <f>LEFT(北段!AA20,4)</f>
        <v/>
      </c>
      <c r="V31" s="124" t="str">
        <f>LEFT(北段!AB20,4)</f>
        <v/>
      </c>
      <c r="W31" s="124" t="str">
        <f>LEFT(北段!AC20,4)</f>
        <v/>
      </c>
      <c r="X31" s="124" t="str">
        <f>LEFT(北段!AD20,4)</f>
        <v/>
      </c>
      <c r="Y31" s="124" t="str">
        <f>LEFT(北段!AE20,4)</f>
        <v>R</v>
      </c>
      <c r="Z31" s="124" t="str">
        <f>LEFT(北段!AF20,4)</f>
        <v>R</v>
      </c>
      <c r="AA31" s="124" t="str">
        <f>LEFT(北段!AG20,4)</f>
        <v/>
      </c>
      <c r="AB31" s="124" t="str">
        <f>LEFT(北段!AH20,4)</f>
        <v/>
      </c>
      <c r="AC31" s="124" t="str">
        <f>LEFT(北段!AI20,4)</f>
        <v/>
      </c>
      <c r="AD31" s="124" t="str">
        <f>LEFT(北段!AJ20,4)</f>
        <v/>
      </c>
      <c r="AE31" s="124" t="str">
        <f>LEFT(北段!AK20,4)</f>
        <v>r'</v>
      </c>
      <c r="AF31" s="124" t="str">
        <f>LEFT(北段!AL20,4)</f>
        <v/>
      </c>
      <c r="AG31" s="124" t="str">
        <f>LEFT(北段!AM20,4)</f>
        <v/>
      </c>
      <c r="AH31" s="124" t="str">
        <f>LEFT(北段!AN20,4)</f>
        <v/>
      </c>
    </row>
    <row r="32" spans="1:34" ht="34.5" customHeight="1" x14ac:dyDescent="0.25">
      <c r="A32" s="127"/>
      <c r="B32" s="72" t="str">
        <f>LEFT(北段!B21,6)</f>
        <v>T02758</v>
      </c>
      <c r="C32" s="38" t="str">
        <f>VLOOKUP(B32,北段!B:C,2,FALSE)</f>
        <v>王映心</v>
      </c>
      <c r="D32" s="124" t="str">
        <f>LEFT(北段!J21,3)</f>
        <v>01午</v>
      </c>
      <c r="E32" s="124" t="str">
        <f>LEFT(北段!K21,4)</f>
        <v/>
      </c>
      <c r="F32" s="124" t="str">
        <f>LEFT(北段!L21,4)</f>
        <v/>
      </c>
      <c r="G32" s="124" t="str">
        <f>LEFT(北段!M21,4)</f>
        <v/>
      </c>
      <c r="H32" s="124" t="str">
        <f>LEFT(北段!N21,4)</f>
        <v/>
      </c>
      <c r="I32" s="124" t="str">
        <f>LEFT(北段!O21,4)</f>
        <v/>
      </c>
      <c r="J32" s="124" t="str">
        <f>LEFT(北段!P21,4)</f>
        <v/>
      </c>
      <c r="K32" s="124" t="str">
        <f>LEFT(北段!Q21,4)</f>
        <v/>
      </c>
      <c r="L32" s="124" t="str">
        <f>LEFT(北段!R21,4)</f>
        <v>r'</v>
      </c>
      <c r="M32" s="124" t="str">
        <f>LEFT(北段!S21,4)</f>
        <v>r'</v>
      </c>
      <c r="N32" s="124" t="str">
        <f>LEFT(北段!T21,4)</f>
        <v/>
      </c>
      <c r="O32" s="124" t="str">
        <f>LEFT(北段!U21,4)</f>
        <v/>
      </c>
      <c r="P32" s="124" t="str">
        <f>LEFT(北段!V21,4)</f>
        <v/>
      </c>
      <c r="Q32" s="124" t="str">
        <f>LEFT(北段!W21,4)</f>
        <v>R</v>
      </c>
      <c r="R32" s="124" t="str">
        <f>LEFT(北段!X21,4)</f>
        <v>r'</v>
      </c>
      <c r="S32" s="124" t="str">
        <f>LEFT(北段!Y21,4)</f>
        <v/>
      </c>
      <c r="T32" s="124" t="str">
        <f>LEFT(北段!Z21,4)</f>
        <v/>
      </c>
      <c r="U32" s="124" t="str">
        <f>LEFT(北段!AA21,4)</f>
        <v/>
      </c>
      <c r="V32" s="124" t="str">
        <f>LEFT(北段!AB21,4)</f>
        <v/>
      </c>
      <c r="W32" s="124" t="str">
        <f>LEFT(北段!AC21,4)</f>
        <v/>
      </c>
      <c r="X32" s="124" t="str">
        <f>LEFT(北段!AD21,4)</f>
        <v/>
      </c>
      <c r="Y32" s="124" t="str">
        <f>LEFT(北段!AE21,4)</f>
        <v/>
      </c>
      <c r="Z32" s="124" t="str">
        <f>LEFT(北段!AF21,4)</f>
        <v/>
      </c>
      <c r="AA32" s="124" t="str">
        <f>LEFT(北段!AG21,4)</f>
        <v/>
      </c>
      <c r="AB32" s="124" t="str">
        <f>LEFT(北段!AH21,4)</f>
        <v/>
      </c>
      <c r="AC32" s="124" t="str">
        <f>LEFT(北段!AI21,4)</f>
        <v/>
      </c>
      <c r="AD32" s="124" t="str">
        <f>LEFT(北段!AJ21,4)</f>
        <v/>
      </c>
      <c r="AE32" s="124" t="str">
        <f>LEFT(北段!AK21,4)</f>
        <v/>
      </c>
      <c r="AF32" s="124" t="str">
        <f>LEFT(北段!AL21,4)</f>
        <v/>
      </c>
      <c r="AG32" s="124" t="str">
        <f>LEFT(北段!AM21,4)</f>
        <v/>
      </c>
      <c r="AH32" s="124" t="str">
        <f>LEFT(北段!AN21,4)</f>
        <v/>
      </c>
    </row>
    <row r="33" spans="1:34" ht="34.5" customHeight="1" x14ac:dyDescent="0.25">
      <c r="A33" s="127"/>
      <c r="B33" s="72" t="str">
        <f>LEFT(北段!B22,6)</f>
        <v>T02762</v>
      </c>
      <c r="C33" s="38" t="str">
        <f>VLOOKUP(B33,北段!B:C,2,FALSE)</f>
        <v>周怡萍</v>
      </c>
      <c r="D33" s="124" t="str">
        <f>LEFT(北段!J22,3)</f>
        <v>01午</v>
      </c>
      <c r="E33" s="124" t="str">
        <f>LEFT(北段!K22,4)</f>
        <v/>
      </c>
      <c r="F33" s="124" t="str">
        <f>LEFT(北段!L22,4)</f>
        <v/>
      </c>
      <c r="G33" s="124" t="str">
        <f>LEFT(北段!M22,4)</f>
        <v/>
      </c>
      <c r="H33" s="124" t="str">
        <f>LEFT(北段!N22,4)</f>
        <v/>
      </c>
      <c r="I33" s="124" t="str">
        <f>LEFT(北段!O22,4)</f>
        <v/>
      </c>
      <c r="J33" s="124" t="str">
        <f>LEFT(北段!P22,4)</f>
        <v/>
      </c>
      <c r="K33" s="124" t="str">
        <f>LEFT(北段!Q22,4)</f>
        <v>R</v>
      </c>
      <c r="L33" s="124" t="str">
        <f>LEFT(北段!R22,4)</f>
        <v>R</v>
      </c>
      <c r="M33" s="124" t="str">
        <f>LEFT(北段!S22,4)</f>
        <v/>
      </c>
      <c r="N33" s="124" t="str">
        <f>LEFT(北段!T22,4)</f>
        <v/>
      </c>
      <c r="O33" s="124" t="str">
        <f>LEFT(北段!U22,4)</f>
        <v/>
      </c>
      <c r="P33" s="124" t="str">
        <f>LEFT(北段!V22,4)</f>
        <v/>
      </c>
      <c r="Q33" s="124" t="str">
        <f>LEFT(北段!W22,4)</f>
        <v/>
      </c>
      <c r="R33" s="124" t="str">
        <f>LEFT(北段!X22,4)</f>
        <v/>
      </c>
      <c r="S33" s="124" t="str">
        <f>LEFT(北段!Y22,4)</f>
        <v/>
      </c>
      <c r="T33" s="124" t="str">
        <f>LEFT(北段!Z22,4)</f>
        <v/>
      </c>
      <c r="U33" s="124" t="str">
        <f>LEFT(北段!AA22,4)</f>
        <v/>
      </c>
      <c r="V33" s="124" t="str">
        <f>LEFT(北段!AB22,4)</f>
        <v>P</v>
      </c>
      <c r="W33" s="124" t="str">
        <f>LEFT(北段!AC22,4)</f>
        <v>R</v>
      </c>
      <c r="X33" s="124" t="str">
        <f>LEFT(北段!AD22,4)</f>
        <v>r'</v>
      </c>
      <c r="Y33" s="124" t="str">
        <f>LEFT(北段!AE22,4)</f>
        <v/>
      </c>
      <c r="Z33" s="124" t="str">
        <f>LEFT(北段!AF22,4)</f>
        <v/>
      </c>
      <c r="AA33" s="124" t="str">
        <f>LEFT(北段!AG22,4)</f>
        <v/>
      </c>
      <c r="AB33" s="124" t="str">
        <f>LEFT(北段!AH22,4)</f>
        <v/>
      </c>
      <c r="AC33" s="124" t="str">
        <f>LEFT(北段!AI22,4)</f>
        <v/>
      </c>
      <c r="AD33" s="124" t="str">
        <f>LEFT(北段!AJ22,4)</f>
        <v/>
      </c>
      <c r="AE33" s="124" t="str">
        <f>LEFT(北段!AK22,4)</f>
        <v/>
      </c>
      <c r="AF33" s="124" t="str">
        <f>LEFT(北段!AL22,4)</f>
        <v/>
      </c>
      <c r="AG33" s="124" t="str">
        <f>LEFT(北段!AM22,4)</f>
        <v/>
      </c>
      <c r="AH33" s="124" t="str">
        <f>LEFT(北段!AN22,4)</f>
        <v/>
      </c>
    </row>
    <row r="34" spans="1:34" s="36" customFormat="1" ht="34.5" customHeight="1" x14ac:dyDescent="0.25">
      <c r="A34" s="127"/>
      <c r="B34" s="72" t="str">
        <f>LEFT(北段!B23,6)</f>
        <v>T02763</v>
      </c>
      <c r="C34" s="38" t="str">
        <f>VLOOKUP(B34,北段!B:C,2,FALSE)</f>
        <v>陳佑融</v>
      </c>
      <c r="D34" s="124" t="str">
        <f>LEFT(北段!J23,3)</f>
        <v>r'</v>
      </c>
      <c r="E34" s="124" t="str">
        <f>LEFT(北段!K23,4)</f>
        <v>r'</v>
      </c>
      <c r="F34" s="124" t="str">
        <f>LEFT(北段!L23,4)</f>
        <v>R</v>
      </c>
      <c r="G34" s="124" t="str">
        <f>LEFT(北段!M23,4)</f>
        <v/>
      </c>
      <c r="H34" s="124" t="str">
        <f>LEFT(北段!N23,4)</f>
        <v/>
      </c>
      <c r="I34" s="124" t="str">
        <f>LEFT(北段!O23,4)</f>
        <v/>
      </c>
      <c r="J34" s="124" t="str">
        <f>LEFT(北段!P23,4)</f>
        <v/>
      </c>
      <c r="K34" s="124" t="str">
        <f>LEFT(北段!Q23,4)</f>
        <v/>
      </c>
      <c r="L34" s="124" t="str">
        <f>LEFT(北段!R23,4)</f>
        <v/>
      </c>
      <c r="M34" s="124" t="str">
        <f>LEFT(北段!S23,4)</f>
        <v/>
      </c>
      <c r="N34" s="124" t="str">
        <f>LEFT(北段!T23,4)</f>
        <v/>
      </c>
      <c r="O34" s="124" t="str">
        <f>LEFT(北段!U23,4)</f>
        <v/>
      </c>
      <c r="P34" s="124" t="str">
        <f>LEFT(北段!V23,4)</f>
        <v/>
      </c>
      <c r="Q34" s="124" t="str">
        <f>LEFT(北段!W23,4)</f>
        <v>R</v>
      </c>
      <c r="R34" s="124" t="str">
        <f>LEFT(北段!X23,4)</f>
        <v>r'</v>
      </c>
      <c r="S34" s="124" t="str">
        <f>LEFT(北段!Y23,4)</f>
        <v/>
      </c>
      <c r="T34" s="124" t="str">
        <f>LEFT(北段!Z23,4)</f>
        <v/>
      </c>
      <c r="U34" s="124" t="str">
        <f>LEFT(北段!AA23,4)</f>
        <v/>
      </c>
      <c r="V34" s="124" t="str">
        <f>LEFT(北段!AB23,4)</f>
        <v/>
      </c>
      <c r="W34" s="124" t="str">
        <f>LEFT(北段!AC23,4)</f>
        <v/>
      </c>
      <c r="X34" s="124" t="str">
        <f>LEFT(北段!AD23,4)</f>
        <v/>
      </c>
      <c r="Y34" s="124" t="str">
        <f>LEFT(北段!AE23,4)</f>
        <v/>
      </c>
      <c r="Z34" s="124" t="str">
        <f>LEFT(北段!AF23,4)</f>
        <v/>
      </c>
      <c r="AA34" s="124" t="str">
        <f>LEFT(北段!AG23,4)</f>
        <v/>
      </c>
      <c r="AB34" s="124" t="str">
        <f>LEFT(北段!AH23,4)</f>
        <v/>
      </c>
      <c r="AC34" s="124" t="str">
        <f>LEFT(北段!AI23,4)</f>
        <v/>
      </c>
      <c r="AD34" s="124" t="str">
        <f>LEFT(北段!AJ23,4)</f>
        <v/>
      </c>
      <c r="AE34" s="124" t="str">
        <f>LEFT(北段!AK23,4)</f>
        <v/>
      </c>
      <c r="AF34" s="124" t="str">
        <f>LEFT(北段!AL23,4)</f>
        <v/>
      </c>
      <c r="AG34" s="124" t="str">
        <f>LEFT(北段!AM23,4)</f>
        <v/>
      </c>
      <c r="AH34" s="124" t="str">
        <f>LEFT(北段!AN23,4)</f>
        <v/>
      </c>
    </row>
    <row r="35" spans="1:34" ht="34.5" customHeight="1" x14ac:dyDescent="0.25">
      <c r="A35" s="127"/>
      <c r="B35" s="72" t="str">
        <f>LEFT(北段!B24,6)</f>
        <v>T02769</v>
      </c>
      <c r="C35" s="38" t="str">
        <f>VLOOKUP(B35,北段!B:C,2,FALSE)</f>
        <v>吳東翰</v>
      </c>
      <c r="D35" s="124" t="str">
        <f>LEFT(北段!J24,3)</f>
        <v>r'</v>
      </c>
      <c r="E35" s="124" t="str">
        <f>LEFT(北段!K24,4)</f>
        <v/>
      </c>
      <c r="F35" s="124" t="str">
        <f>LEFT(北段!L24,4)</f>
        <v/>
      </c>
      <c r="G35" s="124" t="str">
        <f>LEFT(北段!M24,4)</f>
        <v/>
      </c>
      <c r="H35" s="124" t="str">
        <f>LEFT(北段!N24,4)</f>
        <v/>
      </c>
      <c r="I35" s="124" t="str">
        <f>LEFT(北段!O24,4)</f>
        <v/>
      </c>
      <c r="J35" s="124" t="str">
        <f>LEFT(北段!P24,4)</f>
        <v/>
      </c>
      <c r="K35" s="124" t="str">
        <f>LEFT(北段!Q24,4)</f>
        <v/>
      </c>
      <c r="L35" s="124" t="str">
        <f>LEFT(北段!R24,4)</f>
        <v>R</v>
      </c>
      <c r="M35" s="124" t="str">
        <f>LEFT(北段!S24,4)</f>
        <v>r'</v>
      </c>
      <c r="N35" s="124" t="str">
        <f>LEFT(北段!T24,4)</f>
        <v>r'</v>
      </c>
      <c r="O35" s="124" t="str">
        <f>LEFT(北段!U24,4)</f>
        <v/>
      </c>
      <c r="P35" s="124" t="str">
        <f>LEFT(北段!V24,4)</f>
        <v/>
      </c>
      <c r="Q35" s="124" t="str">
        <f>LEFT(北段!W24,4)</f>
        <v/>
      </c>
      <c r="R35" s="124" t="str">
        <f>LEFT(北段!X24,4)</f>
        <v/>
      </c>
      <c r="S35" s="124" t="str">
        <f>LEFT(北段!Y24,4)</f>
        <v/>
      </c>
      <c r="T35" s="124" t="str">
        <f>LEFT(北段!Z24,4)</f>
        <v/>
      </c>
      <c r="U35" s="124" t="str">
        <f>LEFT(北段!AA24,4)</f>
        <v/>
      </c>
      <c r="V35" s="124" t="str">
        <f>LEFT(北段!AB24,4)</f>
        <v/>
      </c>
      <c r="W35" s="124" t="str">
        <f>LEFT(北段!AC24,4)</f>
        <v/>
      </c>
      <c r="X35" s="124" t="str">
        <f>LEFT(北段!AD24,4)</f>
        <v/>
      </c>
      <c r="Y35" s="124" t="str">
        <f>LEFT(北段!AE24,4)</f>
        <v/>
      </c>
      <c r="Z35" s="124" t="str">
        <f>LEFT(北段!AF24,4)</f>
        <v/>
      </c>
      <c r="AA35" s="124" t="str">
        <f>LEFT(北段!AG24,4)</f>
        <v/>
      </c>
      <c r="AB35" s="124" t="str">
        <f>LEFT(北段!AH24,4)</f>
        <v/>
      </c>
      <c r="AC35" s="124" t="str">
        <f>LEFT(北段!AI24,4)</f>
        <v/>
      </c>
      <c r="AD35" s="124" t="str">
        <f>LEFT(北段!AJ24,4)</f>
        <v/>
      </c>
      <c r="AE35" s="124" t="str">
        <f>LEFT(北段!AK24,4)</f>
        <v/>
      </c>
      <c r="AF35" s="124" t="str">
        <f>LEFT(北段!AL24,4)</f>
        <v>R</v>
      </c>
      <c r="AG35" s="124" t="str">
        <f>LEFT(北段!AM24,4)</f>
        <v/>
      </c>
      <c r="AH35" s="124" t="str">
        <f>LEFT(北段!AN24,4)</f>
        <v/>
      </c>
    </row>
    <row r="36" spans="1:34" ht="34.5" customHeight="1" x14ac:dyDescent="0.25">
      <c r="A36" s="127"/>
      <c r="B36" s="72" t="e">
        <f>LEFT(北段!#REF!,6)</f>
        <v>#REF!</v>
      </c>
      <c r="C36" s="38" t="e">
        <f>VLOOKUP(B36,北段!B:C,2,FALSE)</f>
        <v>#REF!</v>
      </c>
      <c r="D36" s="124" t="e">
        <f>LEFT(北段!#REF!,3)</f>
        <v>#REF!</v>
      </c>
      <c r="E36" s="124" t="e">
        <f>LEFT(北段!#REF!,4)</f>
        <v>#REF!</v>
      </c>
      <c r="F36" s="124" t="e">
        <f>LEFT(北段!#REF!,4)</f>
        <v>#REF!</v>
      </c>
      <c r="G36" s="124" t="e">
        <f>LEFT(北段!#REF!,4)</f>
        <v>#REF!</v>
      </c>
      <c r="H36" s="124" t="e">
        <f>LEFT(北段!#REF!,4)</f>
        <v>#REF!</v>
      </c>
      <c r="I36" s="124" t="e">
        <f>LEFT(北段!#REF!,4)</f>
        <v>#REF!</v>
      </c>
      <c r="J36" s="124" t="e">
        <f>LEFT(北段!#REF!,4)</f>
        <v>#REF!</v>
      </c>
      <c r="K36" s="124" t="e">
        <f>LEFT(北段!#REF!,4)</f>
        <v>#REF!</v>
      </c>
      <c r="L36" s="124" t="e">
        <f>LEFT(北段!#REF!,4)</f>
        <v>#REF!</v>
      </c>
      <c r="M36" s="124" t="e">
        <f>LEFT(北段!#REF!,4)</f>
        <v>#REF!</v>
      </c>
      <c r="N36" s="124" t="e">
        <f>LEFT(北段!#REF!,4)</f>
        <v>#REF!</v>
      </c>
      <c r="O36" s="124" t="e">
        <f>LEFT(北段!#REF!,4)</f>
        <v>#REF!</v>
      </c>
      <c r="P36" s="124" t="e">
        <f>LEFT(北段!#REF!,4)</f>
        <v>#REF!</v>
      </c>
      <c r="Q36" s="124" t="e">
        <f>LEFT(北段!#REF!,4)</f>
        <v>#REF!</v>
      </c>
      <c r="R36" s="124" t="e">
        <f>LEFT(北段!#REF!,4)</f>
        <v>#REF!</v>
      </c>
      <c r="S36" s="124" t="e">
        <f>LEFT(北段!#REF!,4)</f>
        <v>#REF!</v>
      </c>
      <c r="T36" s="124" t="e">
        <f>LEFT(北段!#REF!,4)</f>
        <v>#REF!</v>
      </c>
      <c r="U36" s="124" t="e">
        <f>LEFT(北段!#REF!,4)</f>
        <v>#REF!</v>
      </c>
      <c r="V36" s="124" t="e">
        <f>LEFT(北段!#REF!,4)</f>
        <v>#REF!</v>
      </c>
      <c r="W36" s="124" t="e">
        <f>LEFT(北段!#REF!,4)</f>
        <v>#REF!</v>
      </c>
      <c r="X36" s="124" t="e">
        <f>LEFT(北段!#REF!,4)</f>
        <v>#REF!</v>
      </c>
      <c r="Y36" s="124" t="e">
        <f>LEFT(北段!#REF!,4)</f>
        <v>#REF!</v>
      </c>
      <c r="Z36" s="124" t="e">
        <f>LEFT(北段!#REF!,4)</f>
        <v>#REF!</v>
      </c>
      <c r="AA36" s="124" t="e">
        <f>LEFT(北段!#REF!,4)</f>
        <v>#REF!</v>
      </c>
      <c r="AB36" s="124" t="e">
        <f>LEFT(北段!#REF!,4)</f>
        <v>#REF!</v>
      </c>
      <c r="AC36" s="124" t="e">
        <f>LEFT(北段!#REF!,4)</f>
        <v>#REF!</v>
      </c>
      <c r="AD36" s="124" t="e">
        <f>LEFT(北段!#REF!,4)</f>
        <v>#REF!</v>
      </c>
      <c r="AE36" s="124" t="e">
        <f>LEFT(北段!#REF!,4)</f>
        <v>#REF!</v>
      </c>
      <c r="AF36" s="124" t="e">
        <f>LEFT(北段!#REF!,4)</f>
        <v>#REF!</v>
      </c>
      <c r="AG36" s="124" t="e">
        <f>LEFT(北段!#REF!,4)</f>
        <v>#REF!</v>
      </c>
      <c r="AH36" s="124" t="e">
        <f>LEFT(北段!#REF!,4)</f>
        <v>#REF!</v>
      </c>
    </row>
    <row r="37" spans="1:34" ht="34.5" customHeight="1" x14ac:dyDescent="0.25">
      <c r="A37" s="127"/>
      <c r="B37" s="72" t="e">
        <f>LEFT(北段!#REF!,6)</f>
        <v>#REF!</v>
      </c>
      <c r="C37" s="38" t="e">
        <f>VLOOKUP(B37,北段!B:C,2,FALSE)</f>
        <v>#REF!</v>
      </c>
      <c r="D37" s="124" t="e">
        <f>LEFT(北段!#REF!,3)</f>
        <v>#REF!</v>
      </c>
      <c r="E37" s="124" t="e">
        <f>LEFT(北段!#REF!,4)</f>
        <v>#REF!</v>
      </c>
      <c r="F37" s="124" t="e">
        <f>LEFT(北段!#REF!,4)</f>
        <v>#REF!</v>
      </c>
      <c r="G37" s="124" t="e">
        <f>LEFT(北段!#REF!,4)</f>
        <v>#REF!</v>
      </c>
      <c r="H37" s="124" t="e">
        <f>LEFT(北段!#REF!,4)</f>
        <v>#REF!</v>
      </c>
      <c r="I37" s="124" t="e">
        <f>LEFT(北段!#REF!,4)</f>
        <v>#REF!</v>
      </c>
      <c r="J37" s="124" t="e">
        <f>LEFT(北段!#REF!,4)</f>
        <v>#REF!</v>
      </c>
      <c r="K37" s="124" t="e">
        <f>LEFT(北段!#REF!,4)</f>
        <v>#REF!</v>
      </c>
      <c r="L37" s="124" t="e">
        <f>LEFT(北段!#REF!,4)</f>
        <v>#REF!</v>
      </c>
      <c r="M37" s="124" t="e">
        <f>LEFT(北段!#REF!,4)</f>
        <v>#REF!</v>
      </c>
      <c r="N37" s="124" t="e">
        <f>LEFT(北段!#REF!,4)</f>
        <v>#REF!</v>
      </c>
      <c r="O37" s="124" t="e">
        <f>LEFT(北段!#REF!,4)</f>
        <v>#REF!</v>
      </c>
      <c r="P37" s="124" t="e">
        <f>LEFT(北段!#REF!,4)</f>
        <v>#REF!</v>
      </c>
      <c r="Q37" s="124" t="e">
        <f>LEFT(北段!#REF!,4)</f>
        <v>#REF!</v>
      </c>
      <c r="R37" s="124" t="e">
        <f>LEFT(北段!#REF!,4)</f>
        <v>#REF!</v>
      </c>
      <c r="S37" s="124" t="e">
        <f>LEFT(北段!#REF!,4)</f>
        <v>#REF!</v>
      </c>
      <c r="T37" s="124" t="e">
        <f>LEFT(北段!#REF!,4)</f>
        <v>#REF!</v>
      </c>
      <c r="U37" s="124" t="e">
        <f>LEFT(北段!#REF!,4)</f>
        <v>#REF!</v>
      </c>
      <c r="V37" s="124" t="e">
        <f>LEFT(北段!#REF!,4)</f>
        <v>#REF!</v>
      </c>
      <c r="W37" s="124" t="e">
        <f>LEFT(北段!#REF!,4)</f>
        <v>#REF!</v>
      </c>
      <c r="X37" s="124" t="e">
        <f>LEFT(北段!#REF!,4)</f>
        <v>#REF!</v>
      </c>
      <c r="Y37" s="124" t="e">
        <f>LEFT(北段!#REF!,4)</f>
        <v>#REF!</v>
      </c>
      <c r="Z37" s="124" t="e">
        <f>LEFT(北段!#REF!,4)</f>
        <v>#REF!</v>
      </c>
      <c r="AA37" s="124" t="e">
        <f>LEFT(北段!#REF!,4)</f>
        <v>#REF!</v>
      </c>
      <c r="AB37" s="124" t="e">
        <f>LEFT(北段!#REF!,4)</f>
        <v>#REF!</v>
      </c>
      <c r="AC37" s="124" t="e">
        <f>LEFT(北段!#REF!,4)</f>
        <v>#REF!</v>
      </c>
      <c r="AD37" s="124" t="e">
        <f>LEFT(北段!#REF!,4)</f>
        <v>#REF!</v>
      </c>
      <c r="AE37" s="124" t="e">
        <f>LEFT(北段!#REF!,4)</f>
        <v>#REF!</v>
      </c>
      <c r="AF37" s="124" t="e">
        <f>LEFT(北段!#REF!,4)</f>
        <v>#REF!</v>
      </c>
      <c r="AG37" s="124" t="e">
        <f>LEFT(北段!#REF!,4)</f>
        <v>#REF!</v>
      </c>
      <c r="AH37" s="124" t="e">
        <f>LEFT(北段!#REF!,4)</f>
        <v>#REF!</v>
      </c>
    </row>
    <row r="38" spans="1:34" ht="34.5" customHeight="1" x14ac:dyDescent="0.25">
      <c r="A38" s="127"/>
      <c r="B38" s="72" t="e">
        <f>LEFT(北段!#REF!,6)</f>
        <v>#REF!</v>
      </c>
      <c r="C38" s="38" t="e">
        <f>VLOOKUP(B38,北段!B:C,2,FALSE)</f>
        <v>#REF!</v>
      </c>
      <c r="D38" s="124" t="e">
        <f>LEFT(北段!#REF!,3)</f>
        <v>#REF!</v>
      </c>
      <c r="E38" s="124" t="e">
        <f>LEFT(北段!#REF!,4)</f>
        <v>#REF!</v>
      </c>
      <c r="F38" s="124" t="e">
        <f>LEFT(北段!#REF!,4)</f>
        <v>#REF!</v>
      </c>
      <c r="G38" s="124" t="e">
        <f>LEFT(北段!#REF!,4)</f>
        <v>#REF!</v>
      </c>
      <c r="H38" s="124" t="e">
        <f>LEFT(北段!#REF!,4)</f>
        <v>#REF!</v>
      </c>
      <c r="I38" s="124" t="e">
        <f>LEFT(北段!#REF!,4)</f>
        <v>#REF!</v>
      </c>
      <c r="J38" s="124" t="e">
        <f>LEFT(北段!#REF!,4)</f>
        <v>#REF!</v>
      </c>
      <c r="K38" s="124" t="e">
        <f>LEFT(北段!#REF!,4)</f>
        <v>#REF!</v>
      </c>
      <c r="L38" s="124" t="e">
        <f>LEFT(北段!#REF!,4)</f>
        <v>#REF!</v>
      </c>
      <c r="M38" s="124" t="e">
        <f>LEFT(北段!#REF!,4)</f>
        <v>#REF!</v>
      </c>
      <c r="N38" s="124" t="e">
        <f>LEFT(北段!#REF!,4)</f>
        <v>#REF!</v>
      </c>
      <c r="O38" s="124" t="e">
        <f>LEFT(北段!#REF!,4)</f>
        <v>#REF!</v>
      </c>
      <c r="P38" s="124" t="e">
        <f>LEFT(北段!#REF!,4)</f>
        <v>#REF!</v>
      </c>
      <c r="Q38" s="124" t="e">
        <f>LEFT(北段!#REF!,4)</f>
        <v>#REF!</v>
      </c>
      <c r="R38" s="124" t="e">
        <f>LEFT(北段!#REF!,4)</f>
        <v>#REF!</v>
      </c>
      <c r="S38" s="124" t="e">
        <f>LEFT(北段!#REF!,4)</f>
        <v>#REF!</v>
      </c>
      <c r="T38" s="124" t="e">
        <f>LEFT(北段!#REF!,4)</f>
        <v>#REF!</v>
      </c>
      <c r="U38" s="124" t="e">
        <f>LEFT(北段!#REF!,4)</f>
        <v>#REF!</v>
      </c>
      <c r="V38" s="124" t="e">
        <f>LEFT(北段!#REF!,4)</f>
        <v>#REF!</v>
      </c>
      <c r="W38" s="124" t="e">
        <f>LEFT(北段!#REF!,4)</f>
        <v>#REF!</v>
      </c>
      <c r="X38" s="124" t="e">
        <f>LEFT(北段!#REF!,4)</f>
        <v>#REF!</v>
      </c>
      <c r="Y38" s="124" t="e">
        <f>LEFT(北段!#REF!,4)</f>
        <v>#REF!</v>
      </c>
      <c r="Z38" s="124" t="e">
        <f>LEFT(北段!#REF!,4)</f>
        <v>#REF!</v>
      </c>
      <c r="AA38" s="124" t="e">
        <f>LEFT(北段!#REF!,4)</f>
        <v>#REF!</v>
      </c>
      <c r="AB38" s="124" t="e">
        <f>LEFT(北段!#REF!,4)</f>
        <v>#REF!</v>
      </c>
      <c r="AC38" s="124" t="e">
        <f>LEFT(北段!#REF!,4)</f>
        <v>#REF!</v>
      </c>
      <c r="AD38" s="124" t="e">
        <f>LEFT(北段!#REF!,4)</f>
        <v>#REF!</v>
      </c>
      <c r="AE38" s="124" t="e">
        <f>LEFT(北段!#REF!,4)</f>
        <v>#REF!</v>
      </c>
      <c r="AF38" s="124" t="e">
        <f>LEFT(北段!#REF!,4)</f>
        <v>#REF!</v>
      </c>
      <c r="AG38" s="124" t="e">
        <f>LEFT(北段!#REF!,4)</f>
        <v>#REF!</v>
      </c>
      <c r="AH38" s="124" t="e">
        <f>LEFT(北段!#REF!,4)</f>
        <v>#REF!</v>
      </c>
    </row>
    <row r="39" spans="1:34" ht="34.5" customHeight="1" x14ac:dyDescent="0.25">
      <c r="A39" s="127"/>
      <c r="B39" s="72" t="e">
        <f>LEFT(北段!#REF!,6)</f>
        <v>#REF!</v>
      </c>
      <c r="C39" s="38" t="e">
        <f>VLOOKUP(B39,北段!B:C,2,FALSE)</f>
        <v>#REF!</v>
      </c>
      <c r="D39" s="124" t="e">
        <f>LEFT(北段!#REF!,4)</f>
        <v>#REF!</v>
      </c>
      <c r="E39" s="124" t="e">
        <f>LEFT(北段!#REF!,4)</f>
        <v>#REF!</v>
      </c>
      <c r="F39" s="124" t="e">
        <f>LEFT(北段!#REF!,4)</f>
        <v>#REF!</v>
      </c>
      <c r="G39" s="124" t="e">
        <f>LEFT(北段!#REF!,4)</f>
        <v>#REF!</v>
      </c>
      <c r="H39" s="124" t="e">
        <f>LEFT(北段!#REF!,4)</f>
        <v>#REF!</v>
      </c>
      <c r="I39" s="124" t="e">
        <f>LEFT(北段!#REF!,4)</f>
        <v>#REF!</v>
      </c>
      <c r="J39" s="124" t="e">
        <f>LEFT(北段!#REF!,4)</f>
        <v>#REF!</v>
      </c>
      <c r="K39" s="124" t="e">
        <f>LEFT(北段!#REF!,4)</f>
        <v>#REF!</v>
      </c>
      <c r="L39" s="124" t="e">
        <f>LEFT(北段!#REF!,4)</f>
        <v>#REF!</v>
      </c>
      <c r="M39" s="124" t="e">
        <f>LEFT(北段!#REF!,4)</f>
        <v>#REF!</v>
      </c>
      <c r="N39" s="124" t="e">
        <f>LEFT(北段!#REF!,4)</f>
        <v>#REF!</v>
      </c>
      <c r="O39" s="124" t="e">
        <f>LEFT(北段!#REF!,4)</f>
        <v>#REF!</v>
      </c>
      <c r="P39" s="124" t="e">
        <f>LEFT(北段!#REF!,4)</f>
        <v>#REF!</v>
      </c>
      <c r="Q39" s="124" t="e">
        <f>LEFT(北段!#REF!,4)</f>
        <v>#REF!</v>
      </c>
      <c r="R39" s="124" t="e">
        <f>LEFT(北段!#REF!,4)</f>
        <v>#REF!</v>
      </c>
      <c r="S39" s="124" t="e">
        <f>LEFT(北段!#REF!,4)</f>
        <v>#REF!</v>
      </c>
      <c r="T39" s="124" t="e">
        <f>LEFT(北段!#REF!,4)</f>
        <v>#REF!</v>
      </c>
      <c r="U39" s="124" t="e">
        <f>LEFT(北段!#REF!,4)</f>
        <v>#REF!</v>
      </c>
      <c r="V39" s="124" t="e">
        <f>LEFT(北段!#REF!,4)</f>
        <v>#REF!</v>
      </c>
      <c r="W39" s="124" t="e">
        <f>LEFT(北段!#REF!,4)</f>
        <v>#REF!</v>
      </c>
      <c r="X39" s="124" t="e">
        <f>LEFT(北段!#REF!,4)</f>
        <v>#REF!</v>
      </c>
      <c r="Y39" s="124" t="e">
        <f>LEFT(北段!#REF!,4)</f>
        <v>#REF!</v>
      </c>
      <c r="Z39" s="124" t="e">
        <f>LEFT(北段!#REF!,4)</f>
        <v>#REF!</v>
      </c>
      <c r="AA39" s="124" t="e">
        <f>LEFT(北段!#REF!,4)</f>
        <v>#REF!</v>
      </c>
      <c r="AB39" s="124" t="e">
        <f>LEFT(北段!#REF!,4)</f>
        <v>#REF!</v>
      </c>
      <c r="AC39" s="124" t="e">
        <f>LEFT(北段!#REF!,4)</f>
        <v>#REF!</v>
      </c>
      <c r="AD39" s="124" t="e">
        <f>LEFT(北段!#REF!,4)</f>
        <v>#REF!</v>
      </c>
      <c r="AE39" s="124" t="e">
        <f>LEFT(北段!#REF!,4)</f>
        <v>#REF!</v>
      </c>
      <c r="AF39" s="124" t="e">
        <f>LEFT(北段!#REF!,4)</f>
        <v>#REF!</v>
      </c>
      <c r="AG39" s="124" t="e">
        <f>LEFT(北段!#REF!,4)</f>
        <v>#REF!</v>
      </c>
      <c r="AH39" s="124" t="e">
        <f>LEFT(北段!#REF!,4)</f>
        <v>#REF!</v>
      </c>
    </row>
    <row r="40" spans="1:34" s="36" customFormat="1" ht="34.5" customHeight="1" x14ac:dyDescent="0.25">
      <c r="A40" s="127"/>
      <c r="B40" s="72" t="e">
        <f>LEFT(北段!#REF!,6)</f>
        <v>#REF!</v>
      </c>
      <c r="C40" s="38" t="e">
        <f>VLOOKUP(B40,北段!B:C,2,FALSE)</f>
        <v>#REF!</v>
      </c>
      <c r="D40" s="124" t="e">
        <f>LEFT(北段!#REF!,4)</f>
        <v>#REF!</v>
      </c>
      <c r="E40" s="124" t="e">
        <f>LEFT(北段!#REF!,4)</f>
        <v>#REF!</v>
      </c>
      <c r="F40" s="124" t="e">
        <f>LEFT(北段!#REF!,4)</f>
        <v>#REF!</v>
      </c>
      <c r="G40" s="124" t="e">
        <f>LEFT(北段!#REF!,4)</f>
        <v>#REF!</v>
      </c>
      <c r="H40" s="124" t="e">
        <f>LEFT(北段!#REF!,4)</f>
        <v>#REF!</v>
      </c>
      <c r="I40" s="124" t="e">
        <f>LEFT(北段!#REF!,4)</f>
        <v>#REF!</v>
      </c>
      <c r="J40" s="124" t="e">
        <f>LEFT(北段!#REF!,4)</f>
        <v>#REF!</v>
      </c>
      <c r="K40" s="124" t="e">
        <f>LEFT(北段!#REF!,4)</f>
        <v>#REF!</v>
      </c>
      <c r="L40" s="124" t="e">
        <f>LEFT(北段!#REF!,4)</f>
        <v>#REF!</v>
      </c>
      <c r="M40" s="124" t="e">
        <f>LEFT(北段!#REF!,4)</f>
        <v>#REF!</v>
      </c>
      <c r="N40" s="124" t="e">
        <f>LEFT(北段!#REF!,4)</f>
        <v>#REF!</v>
      </c>
      <c r="O40" s="124" t="e">
        <f>LEFT(北段!#REF!,4)</f>
        <v>#REF!</v>
      </c>
      <c r="P40" s="124" t="e">
        <f>LEFT(北段!#REF!,4)</f>
        <v>#REF!</v>
      </c>
      <c r="Q40" s="124" t="e">
        <f>LEFT(北段!#REF!,4)</f>
        <v>#REF!</v>
      </c>
      <c r="R40" s="124" t="e">
        <f>LEFT(北段!#REF!,4)</f>
        <v>#REF!</v>
      </c>
      <c r="S40" s="124" t="e">
        <f>LEFT(北段!#REF!,4)</f>
        <v>#REF!</v>
      </c>
      <c r="T40" s="124" t="e">
        <f>LEFT(北段!#REF!,4)</f>
        <v>#REF!</v>
      </c>
      <c r="U40" s="124" t="e">
        <f>LEFT(北段!#REF!,4)</f>
        <v>#REF!</v>
      </c>
      <c r="V40" s="124" t="e">
        <f>LEFT(北段!#REF!,4)</f>
        <v>#REF!</v>
      </c>
      <c r="W40" s="124" t="e">
        <f>LEFT(北段!#REF!,4)</f>
        <v>#REF!</v>
      </c>
      <c r="X40" s="124" t="e">
        <f>LEFT(北段!#REF!,4)</f>
        <v>#REF!</v>
      </c>
      <c r="Y40" s="124" t="e">
        <f>LEFT(北段!#REF!,4)</f>
        <v>#REF!</v>
      </c>
      <c r="Z40" s="124" t="e">
        <f>LEFT(北段!#REF!,4)</f>
        <v>#REF!</v>
      </c>
      <c r="AA40" s="124" t="e">
        <f>LEFT(北段!#REF!,4)</f>
        <v>#REF!</v>
      </c>
      <c r="AB40" s="124" t="e">
        <f>LEFT(北段!#REF!,4)</f>
        <v>#REF!</v>
      </c>
      <c r="AC40" s="124" t="e">
        <f>LEFT(北段!#REF!,4)</f>
        <v>#REF!</v>
      </c>
      <c r="AD40" s="124" t="e">
        <f>LEFT(北段!#REF!,4)</f>
        <v>#REF!</v>
      </c>
      <c r="AE40" s="124" t="e">
        <f>LEFT(北段!#REF!,4)</f>
        <v>#REF!</v>
      </c>
      <c r="AF40" s="124" t="e">
        <f>LEFT(北段!#REF!,4)</f>
        <v>#REF!</v>
      </c>
      <c r="AG40" s="124" t="e">
        <f>LEFT(北段!#REF!,4)</f>
        <v>#REF!</v>
      </c>
      <c r="AH40" s="124" t="e">
        <f>LEFT(北段!#REF!,4)</f>
        <v>#REF!</v>
      </c>
    </row>
    <row r="41" spans="1:34" ht="34.5" customHeight="1" x14ac:dyDescent="0.25">
      <c r="A41" s="127"/>
      <c r="B41" s="72" t="e">
        <f>LEFT(北段!#REF!,6)</f>
        <v>#REF!</v>
      </c>
      <c r="C41" s="38" t="e">
        <f>VLOOKUP(B41,北段!B:C,2,FALSE)</f>
        <v>#REF!</v>
      </c>
      <c r="D41" s="124" t="e">
        <f>LEFT(北段!#REF!,4)</f>
        <v>#REF!</v>
      </c>
      <c r="E41" s="124" t="e">
        <f>LEFT(北段!#REF!,4)</f>
        <v>#REF!</v>
      </c>
      <c r="F41" s="124" t="e">
        <f>LEFT(北段!#REF!,4)</f>
        <v>#REF!</v>
      </c>
      <c r="G41" s="124" t="e">
        <f>LEFT(北段!#REF!,4)</f>
        <v>#REF!</v>
      </c>
      <c r="H41" s="124" t="e">
        <f>LEFT(北段!#REF!,4)</f>
        <v>#REF!</v>
      </c>
      <c r="I41" s="124" t="e">
        <f>LEFT(北段!#REF!,4)</f>
        <v>#REF!</v>
      </c>
      <c r="J41" s="124" t="e">
        <f>LEFT(北段!#REF!,4)</f>
        <v>#REF!</v>
      </c>
      <c r="K41" s="124" t="e">
        <f>LEFT(北段!#REF!,4)</f>
        <v>#REF!</v>
      </c>
      <c r="L41" s="124" t="e">
        <f>LEFT(北段!#REF!,4)</f>
        <v>#REF!</v>
      </c>
      <c r="M41" s="124" t="e">
        <f>LEFT(北段!#REF!,4)</f>
        <v>#REF!</v>
      </c>
      <c r="N41" s="124" t="e">
        <f>LEFT(北段!#REF!,4)</f>
        <v>#REF!</v>
      </c>
      <c r="O41" s="124" t="e">
        <f>LEFT(北段!#REF!,4)</f>
        <v>#REF!</v>
      </c>
      <c r="P41" s="124" t="e">
        <f>LEFT(北段!#REF!,4)</f>
        <v>#REF!</v>
      </c>
      <c r="Q41" s="124" t="e">
        <f>LEFT(北段!#REF!,4)</f>
        <v>#REF!</v>
      </c>
      <c r="R41" s="124" t="e">
        <f>LEFT(北段!#REF!,4)</f>
        <v>#REF!</v>
      </c>
      <c r="S41" s="124" t="e">
        <f>LEFT(北段!#REF!,4)</f>
        <v>#REF!</v>
      </c>
      <c r="T41" s="124" t="e">
        <f>LEFT(北段!#REF!,4)</f>
        <v>#REF!</v>
      </c>
      <c r="U41" s="124" t="e">
        <f>LEFT(北段!#REF!,4)</f>
        <v>#REF!</v>
      </c>
      <c r="V41" s="124" t="e">
        <f>LEFT(北段!#REF!,4)</f>
        <v>#REF!</v>
      </c>
      <c r="W41" s="124" t="e">
        <f>LEFT(北段!#REF!,4)</f>
        <v>#REF!</v>
      </c>
      <c r="X41" s="124" t="e">
        <f>LEFT(北段!#REF!,4)</f>
        <v>#REF!</v>
      </c>
      <c r="Y41" s="124" t="e">
        <f>LEFT(北段!#REF!,4)</f>
        <v>#REF!</v>
      </c>
      <c r="Z41" s="124" t="e">
        <f>LEFT(北段!#REF!,4)</f>
        <v>#REF!</v>
      </c>
      <c r="AA41" s="124" t="e">
        <f>LEFT(北段!#REF!,4)</f>
        <v>#REF!</v>
      </c>
      <c r="AB41" s="124" t="e">
        <f>LEFT(北段!#REF!,4)</f>
        <v>#REF!</v>
      </c>
      <c r="AC41" s="124" t="e">
        <f>LEFT(北段!#REF!,4)</f>
        <v>#REF!</v>
      </c>
      <c r="AD41" s="124" t="e">
        <f>LEFT(北段!#REF!,4)</f>
        <v>#REF!</v>
      </c>
      <c r="AE41" s="124" t="e">
        <f>LEFT(北段!#REF!,4)</f>
        <v>#REF!</v>
      </c>
      <c r="AF41" s="124" t="e">
        <f>LEFT(北段!#REF!,4)</f>
        <v>#REF!</v>
      </c>
      <c r="AG41" s="124" t="e">
        <f>LEFT(北段!#REF!,4)</f>
        <v>#REF!</v>
      </c>
      <c r="AH41" s="124" t="e">
        <f>LEFT(北段!#REF!,4)</f>
        <v>#REF!</v>
      </c>
    </row>
    <row r="42" spans="1:34" ht="34.5" customHeight="1" x14ac:dyDescent="0.25">
      <c r="A42" s="127"/>
      <c r="B42" s="72" t="e">
        <f>LEFT(北段!#REF!,6)</f>
        <v>#REF!</v>
      </c>
      <c r="C42" s="38" t="e">
        <f>VLOOKUP(B42,北段!B:C,2,FALSE)</f>
        <v>#REF!</v>
      </c>
      <c r="D42" s="124" t="e">
        <f>LEFT(北段!#REF!,4)</f>
        <v>#REF!</v>
      </c>
      <c r="E42" s="124" t="e">
        <f>LEFT(北段!#REF!,4)</f>
        <v>#REF!</v>
      </c>
      <c r="F42" s="124" t="e">
        <f>LEFT(北段!#REF!,4)</f>
        <v>#REF!</v>
      </c>
      <c r="G42" s="124" t="e">
        <f>LEFT(北段!#REF!,4)</f>
        <v>#REF!</v>
      </c>
      <c r="H42" s="124" t="e">
        <f>LEFT(北段!#REF!,4)</f>
        <v>#REF!</v>
      </c>
      <c r="I42" s="124" t="e">
        <f>LEFT(北段!#REF!,4)</f>
        <v>#REF!</v>
      </c>
      <c r="J42" s="124" t="e">
        <f>LEFT(北段!#REF!,4)</f>
        <v>#REF!</v>
      </c>
      <c r="K42" s="124" t="e">
        <f>LEFT(北段!#REF!,4)</f>
        <v>#REF!</v>
      </c>
      <c r="L42" s="124" t="e">
        <f>LEFT(北段!#REF!,4)</f>
        <v>#REF!</v>
      </c>
      <c r="M42" s="124" t="e">
        <f>LEFT(北段!#REF!,4)</f>
        <v>#REF!</v>
      </c>
      <c r="N42" s="124" t="e">
        <f>LEFT(北段!#REF!,4)</f>
        <v>#REF!</v>
      </c>
      <c r="O42" s="124" t="e">
        <f>LEFT(北段!#REF!,4)</f>
        <v>#REF!</v>
      </c>
      <c r="P42" s="124" t="e">
        <f>LEFT(北段!#REF!,4)</f>
        <v>#REF!</v>
      </c>
      <c r="Q42" s="124" t="e">
        <f>LEFT(北段!#REF!,4)</f>
        <v>#REF!</v>
      </c>
      <c r="R42" s="124" t="e">
        <f>LEFT(北段!#REF!,4)</f>
        <v>#REF!</v>
      </c>
      <c r="S42" s="124" t="e">
        <f>LEFT(北段!#REF!,4)</f>
        <v>#REF!</v>
      </c>
      <c r="T42" s="124" t="e">
        <f>LEFT(北段!#REF!,4)</f>
        <v>#REF!</v>
      </c>
      <c r="U42" s="124" t="e">
        <f>LEFT(北段!#REF!,4)</f>
        <v>#REF!</v>
      </c>
      <c r="V42" s="124" t="e">
        <f>LEFT(北段!#REF!,4)</f>
        <v>#REF!</v>
      </c>
      <c r="W42" s="124" t="e">
        <f>LEFT(北段!#REF!,4)</f>
        <v>#REF!</v>
      </c>
      <c r="X42" s="124" t="e">
        <f>LEFT(北段!#REF!,4)</f>
        <v>#REF!</v>
      </c>
      <c r="Y42" s="124" t="e">
        <f>LEFT(北段!#REF!,4)</f>
        <v>#REF!</v>
      </c>
      <c r="Z42" s="124" t="e">
        <f>LEFT(北段!#REF!,4)</f>
        <v>#REF!</v>
      </c>
      <c r="AA42" s="124" t="e">
        <f>LEFT(北段!#REF!,4)</f>
        <v>#REF!</v>
      </c>
      <c r="AB42" s="124" t="e">
        <f>LEFT(北段!#REF!,4)</f>
        <v>#REF!</v>
      </c>
      <c r="AC42" s="124" t="e">
        <f>LEFT(北段!#REF!,4)</f>
        <v>#REF!</v>
      </c>
      <c r="AD42" s="124" t="e">
        <f>LEFT(北段!#REF!,4)</f>
        <v>#REF!</v>
      </c>
      <c r="AE42" s="124" t="e">
        <f>LEFT(北段!#REF!,4)</f>
        <v>#REF!</v>
      </c>
      <c r="AF42" s="124" t="e">
        <f>LEFT(北段!#REF!,4)</f>
        <v>#REF!</v>
      </c>
      <c r="AG42" s="124" t="e">
        <f>LEFT(北段!#REF!,4)</f>
        <v>#REF!</v>
      </c>
      <c r="AH42" s="124" t="e">
        <f>LEFT(北段!#REF!,4)</f>
        <v>#REF!</v>
      </c>
    </row>
    <row r="43" spans="1:34" ht="34.5" customHeight="1" x14ac:dyDescent="0.25">
      <c r="A43" s="127"/>
      <c r="B43" s="72" t="e">
        <f>LEFT(北段!#REF!,6)</f>
        <v>#REF!</v>
      </c>
      <c r="C43" s="38" t="e">
        <f>VLOOKUP(B43,北段!B:C,2,FALSE)</f>
        <v>#REF!</v>
      </c>
      <c r="D43" s="124" t="e">
        <f>LEFT(北段!#REF!,4)</f>
        <v>#REF!</v>
      </c>
      <c r="E43" s="124" t="e">
        <f>LEFT(北段!#REF!,4)</f>
        <v>#REF!</v>
      </c>
      <c r="F43" s="124" t="e">
        <f>LEFT(北段!#REF!,4)</f>
        <v>#REF!</v>
      </c>
      <c r="G43" s="124" t="e">
        <f>LEFT(北段!#REF!,4)</f>
        <v>#REF!</v>
      </c>
      <c r="H43" s="124" t="e">
        <f>LEFT(北段!#REF!,4)</f>
        <v>#REF!</v>
      </c>
      <c r="I43" s="124" t="e">
        <f>LEFT(北段!#REF!,4)</f>
        <v>#REF!</v>
      </c>
      <c r="J43" s="124" t="e">
        <f>LEFT(北段!#REF!,4)</f>
        <v>#REF!</v>
      </c>
      <c r="K43" s="124" t="e">
        <f>LEFT(北段!#REF!,4)</f>
        <v>#REF!</v>
      </c>
      <c r="L43" s="124" t="e">
        <f>LEFT(北段!#REF!,4)</f>
        <v>#REF!</v>
      </c>
      <c r="M43" s="124" t="e">
        <f>LEFT(北段!#REF!,4)</f>
        <v>#REF!</v>
      </c>
      <c r="N43" s="124" t="e">
        <f>LEFT(北段!#REF!,4)</f>
        <v>#REF!</v>
      </c>
      <c r="O43" s="124" t="e">
        <f>LEFT(北段!#REF!,4)</f>
        <v>#REF!</v>
      </c>
      <c r="P43" s="124" t="e">
        <f>LEFT(北段!#REF!,4)</f>
        <v>#REF!</v>
      </c>
      <c r="Q43" s="124" t="e">
        <f>LEFT(北段!#REF!,4)</f>
        <v>#REF!</v>
      </c>
      <c r="R43" s="124" t="e">
        <f>LEFT(北段!#REF!,4)</f>
        <v>#REF!</v>
      </c>
      <c r="S43" s="124" t="e">
        <f>LEFT(北段!#REF!,4)</f>
        <v>#REF!</v>
      </c>
      <c r="T43" s="124" t="e">
        <f>LEFT(北段!#REF!,4)</f>
        <v>#REF!</v>
      </c>
      <c r="U43" s="124" t="e">
        <f>LEFT(北段!#REF!,4)</f>
        <v>#REF!</v>
      </c>
      <c r="V43" s="124" t="e">
        <f>LEFT(北段!#REF!,4)</f>
        <v>#REF!</v>
      </c>
      <c r="W43" s="124" t="e">
        <f>LEFT(北段!#REF!,4)</f>
        <v>#REF!</v>
      </c>
      <c r="X43" s="124" t="e">
        <f>LEFT(北段!#REF!,4)</f>
        <v>#REF!</v>
      </c>
      <c r="Y43" s="124" t="e">
        <f>LEFT(北段!#REF!,4)</f>
        <v>#REF!</v>
      </c>
      <c r="Z43" s="124" t="e">
        <f>LEFT(北段!#REF!,4)</f>
        <v>#REF!</v>
      </c>
      <c r="AA43" s="124" t="e">
        <f>LEFT(北段!#REF!,4)</f>
        <v>#REF!</v>
      </c>
      <c r="AB43" s="124" t="e">
        <f>LEFT(北段!#REF!,4)</f>
        <v>#REF!</v>
      </c>
      <c r="AC43" s="124" t="e">
        <f>LEFT(北段!#REF!,4)</f>
        <v>#REF!</v>
      </c>
      <c r="AD43" s="124" t="e">
        <f>LEFT(北段!#REF!,4)</f>
        <v>#REF!</v>
      </c>
      <c r="AE43" s="124" t="e">
        <f>LEFT(北段!#REF!,4)</f>
        <v>#REF!</v>
      </c>
      <c r="AF43" s="124" t="e">
        <f>LEFT(北段!#REF!,4)</f>
        <v>#REF!</v>
      </c>
      <c r="AG43" s="124" t="e">
        <f>LEFT(北段!#REF!,4)</f>
        <v>#REF!</v>
      </c>
      <c r="AH43" s="124" t="e">
        <f>LEFT(北段!#REF!,4)</f>
        <v>#REF!</v>
      </c>
    </row>
    <row r="44" spans="1:34" ht="34.5" customHeight="1" x14ac:dyDescent="0.25">
      <c r="A44" s="127"/>
      <c r="B44" s="72" t="e">
        <f>LEFT(北段!#REF!,6)</f>
        <v>#REF!</v>
      </c>
      <c r="C44" s="38" t="e">
        <f>VLOOKUP(B44,北段!B:C,2,FALSE)</f>
        <v>#REF!</v>
      </c>
      <c r="D44" s="124" t="e">
        <f>LEFT(北段!#REF!,4)</f>
        <v>#REF!</v>
      </c>
      <c r="E44" s="124" t="e">
        <f>LEFT(北段!#REF!,4)</f>
        <v>#REF!</v>
      </c>
      <c r="F44" s="124" t="e">
        <f>LEFT(北段!#REF!,4)</f>
        <v>#REF!</v>
      </c>
      <c r="G44" s="124" t="e">
        <f>LEFT(北段!#REF!,4)</f>
        <v>#REF!</v>
      </c>
      <c r="H44" s="124" t="e">
        <f>LEFT(北段!#REF!,4)</f>
        <v>#REF!</v>
      </c>
      <c r="I44" s="124" t="e">
        <f>LEFT(北段!#REF!,4)</f>
        <v>#REF!</v>
      </c>
      <c r="J44" s="124" t="e">
        <f>LEFT(北段!#REF!,4)</f>
        <v>#REF!</v>
      </c>
      <c r="K44" s="124" t="e">
        <f>LEFT(北段!#REF!,4)</f>
        <v>#REF!</v>
      </c>
      <c r="L44" s="124" t="e">
        <f>LEFT(北段!#REF!,4)</f>
        <v>#REF!</v>
      </c>
      <c r="M44" s="124" t="e">
        <f>LEFT(北段!#REF!,4)</f>
        <v>#REF!</v>
      </c>
      <c r="N44" s="124" t="e">
        <f>LEFT(北段!#REF!,4)</f>
        <v>#REF!</v>
      </c>
      <c r="O44" s="124" t="e">
        <f>LEFT(北段!#REF!,4)</f>
        <v>#REF!</v>
      </c>
      <c r="P44" s="124" t="e">
        <f>LEFT(北段!#REF!,4)</f>
        <v>#REF!</v>
      </c>
      <c r="Q44" s="124" t="e">
        <f>LEFT(北段!#REF!,4)</f>
        <v>#REF!</v>
      </c>
      <c r="R44" s="124" t="e">
        <f>LEFT(北段!#REF!,4)</f>
        <v>#REF!</v>
      </c>
      <c r="S44" s="124" t="e">
        <f>LEFT(北段!#REF!,4)</f>
        <v>#REF!</v>
      </c>
      <c r="T44" s="124" t="e">
        <f>LEFT(北段!#REF!,4)</f>
        <v>#REF!</v>
      </c>
      <c r="U44" s="124" t="e">
        <f>LEFT(北段!#REF!,4)</f>
        <v>#REF!</v>
      </c>
      <c r="V44" s="124" t="e">
        <f>LEFT(北段!#REF!,4)</f>
        <v>#REF!</v>
      </c>
      <c r="W44" s="124" t="e">
        <f>LEFT(北段!#REF!,4)</f>
        <v>#REF!</v>
      </c>
      <c r="X44" s="124" t="e">
        <f>LEFT(北段!#REF!,4)</f>
        <v>#REF!</v>
      </c>
      <c r="Y44" s="124" t="e">
        <f>LEFT(北段!#REF!,4)</f>
        <v>#REF!</v>
      </c>
      <c r="Z44" s="124" t="e">
        <f>LEFT(北段!#REF!,4)</f>
        <v>#REF!</v>
      </c>
      <c r="AA44" s="124" t="e">
        <f>LEFT(北段!#REF!,4)</f>
        <v>#REF!</v>
      </c>
      <c r="AB44" s="124" t="e">
        <f>LEFT(北段!#REF!,4)</f>
        <v>#REF!</v>
      </c>
      <c r="AC44" s="124" t="e">
        <f>LEFT(北段!#REF!,4)</f>
        <v>#REF!</v>
      </c>
      <c r="AD44" s="124" t="e">
        <f>LEFT(北段!#REF!,4)</f>
        <v>#REF!</v>
      </c>
      <c r="AE44" s="124" t="e">
        <f>LEFT(北段!#REF!,4)</f>
        <v>#REF!</v>
      </c>
      <c r="AF44" s="124" t="e">
        <f>LEFT(北段!#REF!,4)</f>
        <v>#REF!</v>
      </c>
      <c r="AG44" s="124" t="e">
        <f>LEFT(北段!#REF!,4)</f>
        <v>#REF!</v>
      </c>
      <c r="AH44" s="124" t="e">
        <f>LEFT(北段!#REF!,4)</f>
        <v>#REF!</v>
      </c>
    </row>
    <row r="45" spans="1:34" ht="34.5" customHeight="1" x14ac:dyDescent="0.25">
      <c r="A45" s="127"/>
      <c r="B45" s="72" t="e">
        <f>LEFT(北段!#REF!,6)</f>
        <v>#REF!</v>
      </c>
      <c r="C45" s="38" t="e">
        <f>VLOOKUP(B45,北段!B:C,2,FALSE)</f>
        <v>#REF!</v>
      </c>
      <c r="D45" s="124" t="e">
        <f>LEFT(北段!#REF!,4)</f>
        <v>#REF!</v>
      </c>
      <c r="E45" s="124" t="e">
        <f>LEFT(北段!#REF!,4)</f>
        <v>#REF!</v>
      </c>
      <c r="F45" s="124" t="e">
        <f>LEFT(北段!#REF!,4)</f>
        <v>#REF!</v>
      </c>
      <c r="G45" s="124" t="e">
        <f>LEFT(北段!#REF!,4)</f>
        <v>#REF!</v>
      </c>
      <c r="H45" s="124" t="e">
        <f>LEFT(北段!#REF!,4)</f>
        <v>#REF!</v>
      </c>
      <c r="I45" s="124" t="e">
        <f>LEFT(北段!#REF!,4)</f>
        <v>#REF!</v>
      </c>
      <c r="J45" s="124" t="e">
        <f>LEFT(北段!#REF!,4)</f>
        <v>#REF!</v>
      </c>
      <c r="K45" s="124" t="e">
        <f>LEFT(北段!#REF!,4)</f>
        <v>#REF!</v>
      </c>
      <c r="L45" s="124" t="e">
        <f>LEFT(北段!#REF!,4)</f>
        <v>#REF!</v>
      </c>
      <c r="M45" s="124" t="e">
        <f>LEFT(北段!#REF!,4)</f>
        <v>#REF!</v>
      </c>
      <c r="N45" s="124" t="e">
        <f>LEFT(北段!#REF!,4)</f>
        <v>#REF!</v>
      </c>
      <c r="O45" s="124" t="e">
        <f>LEFT(北段!#REF!,4)</f>
        <v>#REF!</v>
      </c>
      <c r="P45" s="124" t="e">
        <f>LEFT(北段!#REF!,4)</f>
        <v>#REF!</v>
      </c>
      <c r="Q45" s="124" t="e">
        <f>LEFT(北段!#REF!,4)</f>
        <v>#REF!</v>
      </c>
      <c r="R45" s="124" t="e">
        <f>LEFT(北段!#REF!,4)</f>
        <v>#REF!</v>
      </c>
      <c r="S45" s="124" t="e">
        <f>LEFT(北段!#REF!,4)</f>
        <v>#REF!</v>
      </c>
      <c r="T45" s="124" t="e">
        <f>LEFT(北段!#REF!,4)</f>
        <v>#REF!</v>
      </c>
      <c r="U45" s="124" t="e">
        <f>LEFT(北段!#REF!,4)</f>
        <v>#REF!</v>
      </c>
      <c r="V45" s="124" t="e">
        <f>LEFT(北段!#REF!,4)</f>
        <v>#REF!</v>
      </c>
      <c r="W45" s="124" t="e">
        <f>LEFT(北段!#REF!,4)</f>
        <v>#REF!</v>
      </c>
      <c r="X45" s="124" t="e">
        <f>LEFT(北段!#REF!,4)</f>
        <v>#REF!</v>
      </c>
      <c r="Y45" s="124" t="e">
        <f>LEFT(北段!#REF!,4)</f>
        <v>#REF!</v>
      </c>
      <c r="Z45" s="124" t="e">
        <f>LEFT(北段!#REF!,4)</f>
        <v>#REF!</v>
      </c>
      <c r="AA45" s="124" t="e">
        <f>LEFT(北段!#REF!,4)</f>
        <v>#REF!</v>
      </c>
      <c r="AB45" s="124" t="e">
        <f>LEFT(北段!#REF!,4)</f>
        <v>#REF!</v>
      </c>
      <c r="AC45" s="124" t="e">
        <f>LEFT(北段!#REF!,4)</f>
        <v>#REF!</v>
      </c>
      <c r="AD45" s="124" t="e">
        <f>LEFT(北段!#REF!,4)</f>
        <v>#REF!</v>
      </c>
      <c r="AE45" s="124" t="e">
        <f>LEFT(北段!#REF!,4)</f>
        <v>#REF!</v>
      </c>
      <c r="AF45" s="124" t="e">
        <f>LEFT(北段!#REF!,4)</f>
        <v>#REF!</v>
      </c>
      <c r="AG45" s="124" t="e">
        <f>LEFT(北段!#REF!,4)</f>
        <v>#REF!</v>
      </c>
      <c r="AH45" s="124" t="e">
        <f>LEFT(北段!#REF!,4)</f>
        <v>#REF!</v>
      </c>
    </row>
    <row r="46" spans="1:34" s="36" customFormat="1" ht="34.5" customHeight="1" x14ac:dyDescent="0.25">
      <c r="A46" s="127"/>
      <c r="B46" s="72" t="e">
        <f>LEFT(北段!#REF!,6)</f>
        <v>#REF!</v>
      </c>
      <c r="C46" s="38" t="e">
        <f>VLOOKUP(B46,北段!B:C,2,FALSE)</f>
        <v>#REF!</v>
      </c>
      <c r="D46" s="124" t="e">
        <f>LEFT(北段!#REF!,4)</f>
        <v>#REF!</v>
      </c>
      <c r="E46" s="124" t="e">
        <f>LEFT(北段!#REF!,4)</f>
        <v>#REF!</v>
      </c>
      <c r="F46" s="124" t="e">
        <f>LEFT(北段!#REF!,4)</f>
        <v>#REF!</v>
      </c>
      <c r="G46" s="124" t="e">
        <f>LEFT(北段!#REF!,4)</f>
        <v>#REF!</v>
      </c>
      <c r="H46" s="124" t="e">
        <f>LEFT(北段!#REF!,4)</f>
        <v>#REF!</v>
      </c>
      <c r="I46" s="124" t="e">
        <f>LEFT(北段!#REF!,4)</f>
        <v>#REF!</v>
      </c>
      <c r="J46" s="124" t="e">
        <f>LEFT(北段!#REF!,4)</f>
        <v>#REF!</v>
      </c>
      <c r="K46" s="124" t="e">
        <f>LEFT(北段!#REF!,4)</f>
        <v>#REF!</v>
      </c>
      <c r="L46" s="124" t="e">
        <f>LEFT(北段!#REF!,4)</f>
        <v>#REF!</v>
      </c>
      <c r="M46" s="124" t="e">
        <f>LEFT(北段!#REF!,4)</f>
        <v>#REF!</v>
      </c>
      <c r="N46" s="124" t="e">
        <f>LEFT(北段!#REF!,4)</f>
        <v>#REF!</v>
      </c>
      <c r="O46" s="124" t="e">
        <f>LEFT(北段!#REF!,4)</f>
        <v>#REF!</v>
      </c>
      <c r="P46" s="124" t="e">
        <f>LEFT(北段!#REF!,4)</f>
        <v>#REF!</v>
      </c>
      <c r="Q46" s="124" t="e">
        <f>LEFT(北段!#REF!,4)</f>
        <v>#REF!</v>
      </c>
      <c r="R46" s="124" t="e">
        <f>LEFT(北段!#REF!,4)</f>
        <v>#REF!</v>
      </c>
      <c r="S46" s="124" t="e">
        <f>LEFT(北段!#REF!,4)</f>
        <v>#REF!</v>
      </c>
      <c r="T46" s="124" t="e">
        <f>LEFT(北段!#REF!,4)</f>
        <v>#REF!</v>
      </c>
      <c r="U46" s="124" t="e">
        <f>LEFT(北段!#REF!,4)</f>
        <v>#REF!</v>
      </c>
      <c r="V46" s="124" t="e">
        <f>LEFT(北段!#REF!,4)</f>
        <v>#REF!</v>
      </c>
      <c r="W46" s="124" t="e">
        <f>LEFT(北段!#REF!,4)</f>
        <v>#REF!</v>
      </c>
      <c r="X46" s="124" t="e">
        <f>LEFT(北段!#REF!,4)</f>
        <v>#REF!</v>
      </c>
      <c r="Y46" s="124" t="e">
        <f>LEFT(北段!#REF!,4)</f>
        <v>#REF!</v>
      </c>
      <c r="Z46" s="124" t="e">
        <f>LEFT(北段!#REF!,4)</f>
        <v>#REF!</v>
      </c>
      <c r="AA46" s="124" t="e">
        <f>LEFT(北段!#REF!,4)</f>
        <v>#REF!</v>
      </c>
      <c r="AB46" s="124" t="e">
        <f>LEFT(北段!#REF!,4)</f>
        <v>#REF!</v>
      </c>
      <c r="AC46" s="124" t="e">
        <f>LEFT(北段!#REF!,4)</f>
        <v>#REF!</v>
      </c>
      <c r="AD46" s="124" t="e">
        <f>LEFT(北段!#REF!,4)</f>
        <v>#REF!</v>
      </c>
      <c r="AE46" s="124" t="e">
        <f>LEFT(北段!#REF!,4)</f>
        <v>#REF!</v>
      </c>
      <c r="AF46" s="124" t="e">
        <f>LEFT(北段!#REF!,4)</f>
        <v>#REF!</v>
      </c>
      <c r="AG46" s="124" t="e">
        <f>LEFT(北段!#REF!,4)</f>
        <v>#REF!</v>
      </c>
      <c r="AH46" s="124" t="e">
        <f>LEFT(北段!#REF!,4)</f>
        <v>#REF!</v>
      </c>
    </row>
    <row r="47" spans="1:34" ht="34.5" customHeight="1" x14ac:dyDescent="0.25">
      <c r="A47" s="127"/>
      <c r="B47" s="72" t="e">
        <f>LEFT(北段!#REF!,6)</f>
        <v>#REF!</v>
      </c>
      <c r="C47" s="38" t="e">
        <f>VLOOKUP(B47,北段!B:C,2,FALSE)</f>
        <v>#REF!</v>
      </c>
      <c r="D47" s="124" t="e">
        <f>LEFT(北段!#REF!,4)</f>
        <v>#REF!</v>
      </c>
      <c r="E47" s="124" t="e">
        <f>LEFT(北段!#REF!,4)</f>
        <v>#REF!</v>
      </c>
      <c r="F47" s="124" t="e">
        <f>LEFT(北段!#REF!,4)</f>
        <v>#REF!</v>
      </c>
      <c r="G47" s="124" t="e">
        <f>LEFT(北段!#REF!,4)</f>
        <v>#REF!</v>
      </c>
      <c r="H47" s="124" t="e">
        <f>LEFT(北段!#REF!,4)</f>
        <v>#REF!</v>
      </c>
      <c r="I47" s="124" t="e">
        <f>LEFT(北段!#REF!,4)</f>
        <v>#REF!</v>
      </c>
      <c r="J47" s="124" t="e">
        <f>LEFT(北段!#REF!,4)</f>
        <v>#REF!</v>
      </c>
      <c r="K47" s="124" t="e">
        <f>LEFT(北段!#REF!,4)</f>
        <v>#REF!</v>
      </c>
      <c r="L47" s="124" t="e">
        <f>LEFT(北段!#REF!,4)</f>
        <v>#REF!</v>
      </c>
      <c r="M47" s="124" t="e">
        <f>LEFT(北段!#REF!,4)</f>
        <v>#REF!</v>
      </c>
      <c r="N47" s="124" t="e">
        <f>LEFT(北段!#REF!,4)</f>
        <v>#REF!</v>
      </c>
      <c r="O47" s="124" t="e">
        <f>LEFT(北段!#REF!,4)</f>
        <v>#REF!</v>
      </c>
      <c r="P47" s="124" t="e">
        <f>LEFT(北段!#REF!,4)</f>
        <v>#REF!</v>
      </c>
      <c r="Q47" s="124" t="e">
        <f>LEFT(北段!#REF!,4)</f>
        <v>#REF!</v>
      </c>
      <c r="R47" s="124" t="e">
        <f>LEFT(北段!#REF!,4)</f>
        <v>#REF!</v>
      </c>
      <c r="S47" s="124" t="e">
        <f>LEFT(北段!#REF!,4)</f>
        <v>#REF!</v>
      </c>
      <c r="T47" s="124" t="e">
        <f>LEFT(北段!#REF!,4)</f>
        <v>#REF!</v>
      </c>
      <c r="U47" s="124" t="e">
        <f>LEFT(北段!#REF!,4)</f>
        <v>#REF!</v>
      </c>
      <c r="V47" s="124" t="e">
        <f>LEFT(北段!#REF!,4)</f>
        <v>#REF!</v>
      </c>
      <c r="W47" s="124" t="e">
        <f>LEFT(北段!#REF!,4)</f>
        <v>#REF!</v>
      </c>
      <c r="X47" s="124" t="e">
        <f>LEFT(北段!#REF!,4)</f>
        <v>#REF!</v>
      </c>
      <c r="Y47" s="124" t="e">
        <f>LEFT(北段!#REF!,4)</f>
        <v>#REF!</v>
      </c>
      <c r="Z47" s="124" t="e">
        <f>LEFT(北段!#REF!,4)</f>
        <v>#REF!</v>
      </c>
      <c r="AA47" s="124" t="e">
        <f>LEFT(北段!#REF!,4)</f>
        <v>#REF!</v>
      </c>
      <c r="AB47" s="124" t="e">
        <f>LEFT(北段!#REF!,4)</f>
        <v>#REF!</v>
      </c>
      <c r="AC47" s="124" t="e">
        <f>LEFT(北段!#REF!,4)</f>
        <v>#REF!</v>
      </c>
      <c r="AD47" s="124" t="e">
        <f>LEFT(北段!#REF!,4)</f>
        <v>#REF!</v>
      </c>
      <c r="AE47" s="124" t="e">
        <f>LEFT(北段!#REF!,4)</f>
        <v>#REF!</v>
      </c>
      <c r="AF47" s="124" t="e">
        <f>LEFT(北段!#REF!,4)</f>
        <v>#REF!</v>
      </c>
      <c r="AG47" s="124" t="e">
        <f>LEFT(北段!#REF!,4)</f>
        <v>#REF!</v>
      </c>
      <c r="AH47" s="124" t="e">
        <f>LEFT(北段!#REF!,4)</f>
        <v>#REF!</v>
      </c>
    </row>
    <row r="48" spans="1:34" ht="34.5" customHeight="1" x14ac:dyDescent="0.25">
      <c r="A48" s="127"/>
      <c r="B48" s="72" t="e">
        <f>LEFT(北段!#REF!,6)</f>
        <v>#REF!</v>
      </c>
      <c r="C48" s="38" t="e">
        <f>VLOOKUP(B48,北段!B:C,2,FALSE)</f>
        <v>#REF!</v>
      </c>
      <c r="D48" s="124" t="e">
        <f>LEFT(北段!#REF!,4)</f>
        <v>#REF!</v>
      </c>
      <c r="E48" s="124" t="e">
        <f>LEFT(北段!#REF!,4)</f>
        <v>#REF!</v>
      </c>
      <c r="F48" s="124" t="e">
        <f>LEFT(北段!#REF!,4)</f>
        <v>#REF!</v>
      </c>
      <c r="G48" s="124" t="e">
        <f>LEFT(北段!#REF!,4)</f>
        <v>#REF!</v>
      </c>
      <c r="H48" s="124" t="e">
        <f>LEFT(北段!#REF!,4)</f>
        <v>#REF!</v>
      </c>
      <c r="I48" s="124" t="e">
        <f>LEFT(北段!#REF!,4)</f>
        <v>#REF!</v>
      </c>
      <c r="J48" s="124" t="e">
        <f>LEFT(北段!#REF!,4)</f>
        <v>#REF!</v>
      </c>
      <c r="K48" s="124" t="e">
        <f>LEFT(北段!#REF!,4)</f>
        <v>#REF!</v>
      </c>
      <c r="L48" s="124" t="e">
        <f>LEFT(北段!#REF!,4)</f>
        <v>#REF!</v>
      </c>
      <c r="M48" s="124" t="e">
        <f>LEFT(北段!#REF!,4)</f>
        <v>#REF!</v>
      </c>
      <c r="N48" s="124" t="e">
        <f>LEFT(北段!#REF!,4)</f>
        <v>#REF!</v>
      </c>
      <c r="O48" s="124" t="e">
        <f>LEFT(北段!#REF!,4)</f>
        <v>#REF!</v>
      </c>
      <c r="P48" s="124" t="e">
        <f>LEFT(北段!#REF!,4)</f>
        <v>#REF!</v>
      </c>
      <c r="Q48" s="124" t="e">
        <f>LEFT(北段!#REF!,4)</f>
        <v>#REF!</v>
      </c>
      <c r="R48" s="124" t="e">
        <f>LEFT(北段!#REF!,4)</f>
        <v>#REF!</v>
      </c>
      <c r="S48" s="124" t="e">
        <f>LEFT(北段!#REF!,4)</f>
        <v>#REF!</v>
      </c>
      <c r="T48" s="124" t="e">
        <f>LEFT(北段!#REF!,4)</f>
        <v>#REF!</v>
      </c>
      <c r="U48" s="124" t="e">
        <f>LEFT(北段!#REF!,4)</f>
        <v>#REF!</v>
      </c>
      <c r="V48" s="124" t="e">
        <f>LEFT(北段!#REF!,4)</f>
        <v>#REF!</v>
      </c>
      <c r="W48" s="124" t="e">
        <f>LEFT(北段!#REF!,4)</f>
        <v>#REF!</v>
      </c>
      <c r="X48" s="124" t="e">
        <f>LEFT(北段!#REF!,4)</f>
        <v>#REF!</v>
      </c>
      <c r="Y48" s="124" t="e">
        <f>LEFT(北段!#REF!,4)</f>
        <v>#REF!</v>
      </c>
      <c r="Z48" s="124" t="e">
        <f>LEFT(北段!#REF!,4)</f>
        <v>#REF!</v>
      </c>
      <c r="AA48" s="124" t="e">
        <f>LEFT(北段!#REF!,4)</f>
        <v>#REF!</v>
      </c>
      <c r="AB48" s="124" t="e">
        <f>LEFT(北段!#REF!,4)</f>
        <v>#REF!</v>
      </c>
      <c r="AC48" s="124" t="e">
        <f>LEFT(北段!#REF!,4)</f>
        <v>#REF!</v>
      </c>
      <c r="AD48" s="124" t="e">
        <f>LEFT(北段!#REF!,4)</f>
        <v>#REF!</v>
      </c>
      <c r="AE48" s="124" t="e">
        <f>LEFT(北段!#REF!,4)</f>
        <v>#REF!</v>
      </c>
      <c r="AF48" s="124" t="e">
        <f>LEFT(北段!#REF!,4)</f>
        <v>#REF!</v>
      </c>
      <c r="AG48" s="124" t="e">
        <f>LEFT(北段!#REF!,4)</f>
        <v>#REF!</v>
      </c>
      <c r="AH48" s="124" t="e">
        <f>LEFT(北段!#REF!,4)</f>
        <v>#REF!</v>
      </c>
    </row>
    <row r="49" spans="1:34" s="36" customFormat="1" ht="34.5" customHeight="1" x14ac:dyDescent="0.25">
      <c r="A49" s="127"/>
      <c r="B49" s="72" t="e">
        <f>LEFT(北段!#REF!,6)</f>
        <v>#REF!</v>
      </c>
      <c r="C49" s="38" t="e">
        <f>VLOOKUP(B49,北段!B:C,2,FALSE)</f>
        <v>#REF!</v>
      </c>
      <c r="D49" s="124" t="e">
        <f>LEFT(北段!#REF!,4)</f>
        <v>#REF!</v>
      </c>
      <c r="E49" s="124" t="e">
        <f>LEFT(北段!#REF!,4)</f>
        <v>#REF!</v>
      </c>
      <c r="F49" s="124" t="e">
        <f>LEFT(北段!#REF!,4)</f>
        <v>#REF!</v>
      </c>
      <c r="G49" s="124" t="e">
        <f>LEFT(北段!#REF!,4)</f>
        <v>#REF!</v>
      </c>
      <c r="H49" s="124" t="e">
        <f>LEFT(北段!#REF!,4)</f>
        <v>#REF!</v>
      </c>
      <c r="I49" s="124" t="e">
        <f>LEFT(北段!#REF!,4)</f>
        <v>#REF!</v>
      </c>
      <c r="J49" s="124" t="e">
        <f>LEFT(北段!#REF!,4)</f>
        <v>#REF!</v>
      </c>
      <c r="K49" s="124" t="e">
        <f>LEFT(北段!#REF!,4)</f>
        <v>#REF!</v>
      </c>
      <c r="L49" s="124" t="e">
        <f>LEFT(北段!#REF!,4)</f>
        <v>#REF!</v>
      </c>
      <c r="M49" s="124" t="e">
        <f>LEFT(北段!#REF!,4)</f>
        <v>#REF!</v>
      </c>
      <c r="N49" s="124" t="e">
        <f>LEFT(北段!#REF!,4)</f>
        <v>#REF!</v>
      </c>
      <c r="O49" s="124" t="e">
        <f>LEFT(北段!#REF!,4)</f>
        <v>#REF!</v>
      </c>
      <c r="P49" s="124" t="e">
        <f>LEFT(北段!#REF!,4)</f>
        <v>#REF!</v>
      </c>
      <c r="Q49" s="124" t="e">
        <f>LEFT(北段!#REF!,4)</f>
        <v>#REF!</v>
      </c>
      <c r="R49" s="124" t="e">
        <f>LEFT(北段!#REF!,4)</f>
        <v>#REF!</v>
      </c>
      <c r="S49" s="124" t="e">
        <f>LEFT(北段!#REF!,4)</f>
        <v>#REF!</v>
      </c>
      <c r="T49" s="124" t="e">
        <f>LEFT(北段!#REF!,4)</f>
        <v>#REF!</v>
      </c>
      <c r="U49" s="124" t="e">
        <f>LEFT(北段!#REF!,4)</f>
        <v>#REF!</v>
      </c>
      <c r="V49" s="124" t="e">
        <f>LEFT(北段!#REF!,4)</f>
        <v>#REF!</v>
      </c>
      <c r="W49" s="124" t="e">
        <f>LEFT(北段!#REF!,4)</f>
        <v>#REF!</v>
      </c>
      <c r="X49" s="124" t="e">
        <f>LEFT(北段!#REF!,4)</f>
        <v>#REF!</v>
      </c>
      <c r="Y49" s="124" t="e">
        <f>LEFT(北段!#REF!,4)</f>
        <v>#REF!</v>
      </c>
      <c r="Z49" s="124" t="e">
        <f>LEFT(北段!#REF!,4)</f>
        <v>#REF!</v>
      </c>
      <c r="AA49" s="124" t="e">
        <f>LEFT(北段!#REF!,4)</f>
        <v>#REF!</v>
      </c>
      <c r="AB49" s="124" t="e">
        <f>LEFT(北段!#REF!,4)</f>
        <v>#REF!</v>
      </c>
      <c r="AC49" s="124" t="e">
        <f>LEFT(北段!#REF!,4)</f>
        <v>#REF!</v>
      </c>
      <c r="AD49" s="124" t="e">
        <f>LEFT(北段!#REF!,4)</f>
        <v>#REF!</v>
      </c>
      <c r="AE49" s="124" t="e">
        <f>LEFT(北段!#REF!,4)</f>
        <v>#REF!</v>
      </c>
      <c r="AF49" s="124" t="e">
        <f>LEFT(北段!#REF!,4)</f>
        <v>#REF!</v>
      </c>
      <c r="AG49" s="124" t="e">
        <f>LEFT(北段!#REF!,4)</f>
        <v>#REF!</v>
      </c>
      <c r="AH49" s="124" t="e">
        <f>LEFT(北段!#REF!,4)</f>
        <v>#REF!</v>
      </c>
    </row>
    <row r="50" spans="1:34" s="36" customFormat="1" ht="34.5" customHeight="1" x14ac:dyDescent="0.25">
      <c r="A50" s="127"/>
      <c r="B50" s="72" t="e">
        <f>LEFT(北段!#REF!,6)</f>
        <v>#REF!</v>
      </c>
      <c r="C50" s="38" t="e">
        <f>VLOOKUP(B50,北段!B:C,2,FALSE)</f>
        <v>#REF!</v>
      </c>
      <c r="D50" s="124" t="e">
        <f>LEFT(北段!#REF!,4)</f>
        <v>#REF!</v>
      </c>
      <c r="E50" s="124" t="e">
        <f>LEFT(北段!#REF!,4)</f>
        <v>#REF!</v>
      </c>
      <c r="F50" s="124" t="e">
        <f>LEFT(北段!#REF!,4)</f>
        <v>#REF!</v>
      </c>
      <c r="G50" s="124" t="e">
        <f>LEFT(北段!#REF!,4)</f>
        <v>#REF!</v>
      </c>
      <c r="H50" s="124" t="e">
        <f>LEFT(北段!#REF!,4)</f>
        <v>#REF!</v>
      </c>
      <c r="I50" s="124" t="e">
        <f>LEFT(北段!#REF!,4)</f>
        <v>#REF!</v>
      </c>
      <c r="J50" s="124" t="e">
        <f>LEFT(北段!#REF!,4)</f>
        <v>#REF!</v>
      </c>
      <c r="K50" s="124" t="e">
        <f>LEFT(北段!#REF!,4)</f>
        <v>#REF!</v>
      </c>
      <c r="L50" s="124" t="e">
        <f>LEFT(北段!#REF!,4)</f>
        <v>#REF!</v>
      </c>
      <c r="M50" s="124" t="e">
        <f>LEFT(北段!#REF!,4)</f>
        <v>#REF!</v>
      </c>
      <c r="N50" s="124" t="e">
        <f>LEFT(北段!#REF!,4)</f>
        <v>#REF!</v>
      </c>
      <c r="O50" s="124" t="e">
        <f>LEFT(北段!#REF!,4)</f>
        <v>#REF!</v>
      </c>
      <c r="P50" s="124" t="e">
        <f>LEFT(北段!#REF!,4)</f>
        <v>#REF!</v>
      </c>
      <c r="Q50" s="124" t="e">
        <f>LEFT(北段!#REF!,4)</f>
        <v>#REF!</v>
      </c>
      <c r="R50" s="124" t="e">
        <f>LEFT(北段!#REF!,4)</f>
        <v>#REF!</v>
      </c>
      <c r="S50" s="124" t="e">
        <f>LEFT(北段!#REF!,4)</f>
        <v>#REF!</v>
      </c>
      <c r="T50" s="124" t="e">
        <f>LEFT(北段!#REF!,4)</f>
        <v>#REF!</v>
      </c>
      <c r="U50" s="124" t="e">
        <f>LEFT(北段!#REF!,4)</f>
        <v>#REF!</v>
      </c>
      <c r="V50" s="124" t="e">
        <f>LEFT(北段!#REF!,4)</f>
        <v>#REF!</v>
      </c>
      <c r="W50" s="124" t="e">
        <f>LEFT(北段!#REF!,4)</f>
        <v>#REF!</v>
      </c>
      <c r="X50" s="124" t="e">
        <f>LEFT(北段!#REF!,4)</f>
        <v>#REF!</v>
      </c>
      <c r="Y50" s="124" t="e">
        <f>LEFT(北段!#REF!,4)</f>
        <v>#REF!</v>
      </c>
      <c r="Z50" s="124" t="e">
        <f>LEFT(北段!#REF!,4)</f>
        <v>#REF!</v>
      </c>
      <c r="AA50" s="124" t="e">
        <f>LEFT(北段!#REF!,4)</f>
        <v>#REF!</v>
      </c>
      <c r="AB50" s="124" t="e">
        <f>LEFT(北段!#REF!,4)</f>
        <v>#REF!</v>
      </c>
      <c r="AC50" s="124" t="e">
        <f>LEFT(北段!#REF!,4)</f>
        <v>#REF!</v>
      </c>
      <c r="AD50" s="124" t="e">
        <f>LEFT(北段!#REF!,4)</f>
        <v>#REF!</v>
      </c>
      <c r="AE50" s="124" t="e">
        <f>LEFT(北段!#REF!,4)</f>
        <v>#REF!</v>
      </c>
      <c r="AF50" s="124" t="e">
        <f>LEFT(北段!#REF!,4)</f>
        <v>#REF!</v>
      </c>
      <c r="AG50" s="124" t="e">
        <f>LEFT(北段!#REF!,4)</f>
        <v>#REF!</v>
      </c>
      <c r="AH50" s="124" t="e">
        <f>LEFT(北段!#REF!,4)</f>
        <v>#REF!</v>
      </c>
    </row>
    <row r="51" spans="1:34" ht="34.5" customHeight="1" x14ac:dyDescent="0.25">
      <c r="A51" s="127"/>
      <c r="B51" s="72" t="e">
        <f>LEFT(北段!#REF!,6)</f>
        <v>#REF!</v>
      </c>
      <c r="C51" s="38" t="e">
        <f>VLOOKUP(B51,北段!B:C,2,FALSE)</f>
        <v>#REF!</v>
      </c>
      <c r="D51" s="124" t="e">
        <f>LEFT(北段!#REF!,4)</f>
        <v>#REF!</v>
      </c>
      <c r="E51" s="124" t="e">
        <f>LEFT(北段!#REF!,4)</f>
        <v>#REF!</v>
      </c>
      <c r="F51" s="124" t="e">
        <f>LEFT(北段!#REF!,4)</f>
        <v>#REF!</v>
      </c>
      <c r="G51" s="124" t="e">
        <f>LEFT(北段!#REF!,4)</f>
        <v>#REF!</v>
      </c>
      <c r="H51" s="124" t="e">
        <f>LEFT(北段!#REF!,4)</f>
        <v>#REF!</v>
      </c>
      <c r="I51" s="124" t="e">
        <f>LEFT(北段!#REF!,4)</f>
        <v>#REF!</v>
      </c>
      <c r="J51" s="124" t="e">
        <f>LEFT(北段!#REF!,4)</f>
        <v>#REF!</v>
      </c>
      <c r="K51" s="124" t="e">
        <f>LEFT(北段!#REF!,4)</f>
        <v>#REF!</v>
      </c>
      <c r="L51" s="124" t="e">
        <f>LEFT(北段!#REF!,4)</f>
        <v>#REF!</v>
      </c>
      <c r="M51" s="124" t="e">
        <f>LEFT(北段!#REF!,4)</f>
        <v>#REF!</v>
      </c>
      <c r="N51" s="124" t="e">
        <f>LEFT(北段!#REF!,4)</f>
        <v>#REF!</v>
      </c>
      <c r="O51" s="124" t="e">
        <f>LEFT(北段!#REF!,4)</f>
        <v>#REF!</v>
      </c>
      <c r="P51" s="124" t="e">
        <f>LEFT(北段!#REF!,4)</f>
        <v>#REF!</v>
      </c>
      <c r="Q51" s="124" t="e">
        <f>LEFT(北段!#REF!,4)</f>
        <v>#REF!</v>
      </c>
      <c r="R51" s="124" t="e">
        <f>LEFT(北段!#REF!,4)</f>
        <v>#REF!</v>
      </c>
      <c r="S51" s="124" t="e">
        <f>LEFT(北段!#REF!,4)</f>
        <v>#REF!</v>
      </c>
      <c r="T51" s="124" t="e">
        <f>LEFT(北段!#REF!,4)</f>
        <v>#REF!</v>
      </c>
      <c r="U51" s="124" t="e">
        <f>LEFT(北段!#REF!,4)</f>
        <v>#REF!</v>
      </c>
      <c r="V51" s="124" t="e">
        <f>LEFT(北段!#REF!,4)</f>
        <v>#REF!</v>
      </c>
      <c r="W51" s="124" t="e">
        <f>LEFT(北段!#REF!,4)</f>
        <v>#REF!</v>
      </c>
      <c r="X51" s="124" t="e">
        <f>LEFT(北段!#REF!,4)</f>
        <v>#REF!</v>
      </c>
      <c r="Y51" s="124" t="e">
        <f>LEFT(北段!#REF!,4)</f>
        <v>#REF!</v>
      </c>
      <c r="Z51" s="124" t="e">
        <f>LEFT(北段!#REF!,4)</f>
        <v>#REF!</v>
      </c>
      <c r="AA51" s="124" t="e">
        <f>LEFT(北段!#REF!,4)</f>
        <v>#REF!</v>
      </c>
      <c r="AB51" s="124" t="e">
        <f>LEFT(北段!#REF!,4)</f>
        <v>#REF!</v>
      </c>
      <c r="AC51" s="124" t="e">
        <f>LEFT(北段!#REF!,4)</f>
        <v>#REF!</v>
      </c>
      <c r="AD51" s="124" t="e">
        <f>LEFT(北段!#REF!,4)</f>
        <v>#REF!</v>
      </c>
      <c r="AE51" s="124" t="e">
        <f>LEFT(北段!#REF!,4)</f>
        <v>#REF!</v>
      </c>
      <c r="AF51" s="124" t="e">
        <f>LEFT(北段!#REF!,4)</f>
        <v>#REF!</v>
      </c>
      <c r="AG51" s="124" t="e">
        <f>LEFT(北段!#REF!,4)</f>
        <v>#REF!</v>
      </c>
      <c r="AH51" s="124" t="e">
        <f>LEFT(北段!#REF!,4)</f>
        <v>#REF!</v>
      </c>
    </row>
    <row r="52" spans="1:34" ht="34.5" customHeight="1" x14ac:dyDescent="0.25">
      <c r="A52" s="127"/>
      <c r="B52" s="72" t="e">
        <f>LEFT(北段!#REF!,6)</f>
        <v>#REF!</v>
      </c>
      <c r="C52" s="38" t="e">
        <f>VLOOKUP(B52,北段!B:C,2,FALSE)</f>
        <v>#REF!</v>
      </c>
      <c r="D52" s="124" t="e">
        <f>LEFT(北段!#REF!,4)</f>
        <v>#REF!</v>
      </c>
      <c r="E52" s="124" t="e">
        <f>LEFT(北段!#REF!,4)</f>
        <v>#REF!</v>
      </c>
      <c r="F52" s="124" t="e">
        <f>LEFT(北段!#REF!,4)</f>
        <v>#REF!</v>
      </c>
      <c r="G52" s="124" t="e">
        <f>LEFT(北段!#REF!,4)</f>
        <v>#REF!</v>
      </c>
      <c r="H52" s="124" t="e">
        <f>LEFT(北段!#REF!,4)</f>
        <v>#REF!</v>
      </c>
      <c r="I52" s="124" t="e">
        <f>LEFT(北段!#REF!,4)</f>
        <v>#REF!</v>
      </c>
      <c r="J52" s="124" t="e">
        <f>LEFT(北段!#REF!,4)</f>
        <v>#REF!</v>
      </c>
      <c r="K52" s="124" t="e">
        <f>LEFT(北段!#REF!,4)</f>
        <v>#REF!</v>
      </c>
      <c r="L52" s="124" t="e">
        <f>LEFT(北段!#REF!,4)</f>
        <v>#REF!</v>
      </c>
      <c r="M52" s="124" t="e">
        <f>LEFT(北段!#REF!,4)</f>
        <v>#REF!</v>
      </c>
      <c r="N52" s="124" t="e">
        <f>LEFT(北段!#REF!,4)</f>
        <v>#REF!</v>
      </c>
      <c r="O52" s="124" t="e">
        <f>LEFT(北段!#REF!,4)</f>
        <v>#REF!</v>
      </c>
      <c r="P52" s="124" t="e">
        <f>LEFT(北段!#REF!,4)</f>
        <v>#REF!</v>
      </c>
      <c r="Q52" s="124" t="e">
        <f>LEFT(北段!#REF!,4)</f>
        <v>#REF!</v>
      </c>
      <c r="R52" s="124" t="e">
        <f>LEFT(北段!#REF!,4)</f>
        <v>#REF!</v>
      </c>
      <c r="S52" s="124" t="e">
        <f>LEFT(北段!#REF!,4)</f>
        <v>#REF!</v>
      </c>
      <c r="T52" s="124" t="e">
        <f>LEFT(北段!#REF!,4)</f>
        <v>#REF!</v>
      </c>
      <c r="U52" s="124" t="e">
        <f>LEFT(北段!#REF!,4)</f>
        <v>#REF!</v>
      </c>
      <c r="V52" s="124" t="e">
        <f>LEFT(北段!#REF!,4)</f>
        <v>#REF!</v>
      </c>
      <c r="W52" s="124" t="e">
        <f>LEFT(北段!#REF!,4)</f>
        <v>#REF!</v>
      </c>
      <c r="X52" s="124" t="e">
        <f>LEFT(北段!#REF!,4)</f>
        <v>#REF!</v>
      </c>
      <c r="Y52" s="124" t="e">
        <f>LEFT(北段!#REF!,4)</f>
        <v>#REF!</v>
      </c>
      <c r="Z52" s="124" t="e">
        <f>LEFT(北段!#REF!,4)</f>
        <v>#REF!</v>
      </c>
      <c r="AA52" s="124" t="e">
        <f>LEFT(北段!#REF!,4)</f>
        <v>#REF!</v>
      </c>
      <c r="AB52" s="124" t="e">
        <f>LEFT(北段!#REF!,4)</f>
        <v>#REF!</v>
      </c>
      <c r="AC52" s="124" t="e">
        <f>LEFT(北段!#REF!,4)</f>
        <v>#REF!</v>
      </c>
      <c r="AD52" s="124" t="e">
        <f>LEFT(北段!#REF!,4)</f>
        <v>#REF!</v>
      </c>
      <c r="AE52" s="124" t="e">
        <f>LEFT(北段!#REF!,4)</f>
        <v>#REF!</v>
      </c>
      <c r="AF52" s="124" t="e">
        <f>LEFT(北段!#REF!,4)</f>
        <v>#REF!</v>
      </c>
      <c r="AG52" s="124" t="e">
        <f>LEFT(北段!#REF!,4)</f>
        <v>#REF!</v>
      </c>
      <c r="AH52" s="124" t="e">
        <f>LEFT(北段!#REF!,4)</f>
        <v>#REF!</v>
      </c>
    </row>
    <row r="53" spans="1:34" ht="34.5" customHeight="1" x14ac:dyDescent="0.25">
      <c r="A53" s="127"/>
      <c r="B53" s="72" t="e">
        <f>LEFT(北段!#REF!,6)</f>
        <v>#REF!</v>
      </c>
      <c r="C53" s="38" t="e">
        <f>VLOOKUP(B53,北段!B:C,2,FALSE)</f>
        <v>#REF!</v>
      </c>
      <c r="D53" s="124" t="e">
        <f>LEFT(北段!#REF!,4)</f>
        <v>#REF!</v>
      </c>
      <c r="E53" s="124" t="e">
        <f>LEFT(北段!#REF!,4)</f>
        <v>#REF!</v>
      </c>
      <c r="F53" s="124" t="e">
        <f>LEFT(北段!#REF!,4)</f>
        <v>#REF!</v>
      </c>
      <c r="G53" s="124" t="e">
        <f>LEFT(北段!#REF!,4)</f>
        <v>#REF!</v>
      </c>
      <c r="H53" s="124" t="e">
        <f>LEFT(北段!#REF!,4)</f>
        <v>#REF!</v>
      </c>
      <c r="I53" s="124" t="e">
        <f>LEFT(北段!#REF!,4)</f>
        <v>#REF!</v>
      </c>
      <c r="J53" s="124" t="e">
        <f>LEFT(北段!#REF!,4)</f>
        <v>#REF!</v>
      </c>
      <c r="K53" s="124" t="e">
        <f>LEFT(北段!#REF!,4)</f>
        <v>#REF!</v>
      </c>
      <c r="L53" s="124" t="e">
        <f>LEFT(北段!#REF!,4)</f>
        <v>#REF!</v>
      </c>
      <c r="M53" s="124" t="e">
        <f>LEFT(北段!#REF!,4)</f>
        <v>#REF!</v>
      </c>
      <c r="N53" s="124" t="e">
        <f>LEFT(北段!#REF!,4)</f>
        <v>#REF!</v>
      </c>
      <c r="O53" s="124" t="e">
        <f>LEFT(北段!#REF!,4)</f>
        <v>#REF!</v>
      </c>
      <c r="P53" s="124" t="e">
        <f>LEFT(北段!#REF!,4)</f>
        <v>#REF!</v>
      </c>
      <c r="Q53" s="124" t="e">
        <f>LEFT(北段!#REF!,4)</f>
        <v>#REF!</v>
      </c>
      <c r="R53" s="124" t="e">
        <f>LEFT(北段!#REF!,4)</f>
        <v>#REF!</v>
      </c>
      <c r="S53" s="124" t="e">
        <f>LEFT(北段!#REF!,4)</f>
        <v>#REF!</v>
      </c>
      <c r="T53" s="124" t="e">
        <f>LEFT(北段!#REF!,4)</f>
        <v>#REF!</v>
      </c>
      <c r="U53" s="124" t="e">
        <f>LEFT(北段!#REF!,4)</f>
        <v>#REF!</v>
      </c>
      <c r="V53" s="124" t="e">
        <f>LEFT(北段!#REF!,4)</f>
        <v>#REF!</v>
      </c>
      <c r="W53" s="124" t="e">
        <f>LEFT(北段!#REF!,4)</f>
        <v>#REF!</v>
      </c>
      <c r="X53" s="124" t="e">
        <f>LEFT(北段!#REF!,4)</f>
        <v>#REF!</v>
      </c>
      <c r="Y53" s="124" t="e">
        <f>LEFT(北段!#REF!,4)</f>
        <v>#REF!</v>
      </c>
      <c r="Z53" s="124" t="e">
        <f>LEFT(北段!#REF!,4)</f>
        <v>#REF!</v>
      </c>
      <c r="AA53" s="124" t="e">
        <f>LEFT(北段!#REF!,4)</f>
        <v>#REF!</v>
      </c>
      <c r="AB53" s="124" t="e">
        <f>LEFT(北段!#REF!,4)</f>
        <v>#REF!</v>
      </c>
      <c r="AC53" s="124" t="e">
        <f>LEFT(北段!#REF!,4)</f>
        <v>#REF!</v>
      </c>
      <c r="AD53" s="124" t="e">
        <f>LEFT(北段!#REF!,4)</f>
        <v>#REF!</v>
      </c>
      <c r="AE53" s="124" t="e">
        <f>LEFT(北段!#REF!,4)</f>
        <v>#REF!</v>
      </c>
      <c r="AF53" s="124" t="e">
        <f>LEFT(北段!#REF!,4)</f>
        <v>#REF!</v>
      </c>
      <c r="AG53" s="124" t="e">
        <f>LEFT(北段!#REF!,4)</f>
        <v>#REF!</v>
      </c>
      <c r="AH53" s="124" t="e">
        <f>LEFT(北段!#REF!,4)</f>
        <v>#REF!</v>
      </c>
    </row>
    <row r="54" spans="1:34" ht="34.5" customHeight="1" x14ac:dyDescent="0.25">
      <c r="A54" s="127"/>
      <c r="B54" s="72" t="e">
        <f>LEFT(北段!#REF!,6)</f>
        <v>#REF!</v>
      </c>
      <c r="C54" s="38" t="e">
        <f>VLOOKUP(B54,北段!B:C,2,FALSE)</f>
        <v>#REF!</v>
      </c>
      <c r="D54" s="124" t="e">
        <f>LEFT(北段!#REF!,4)</f>
        <v>#REF!</v>
      </c>
      <c r="E54" s="124" t="e">
        <f>LEFT(北段!#REF!,4)</f>
        <v>#REF!</v>
      </c>
      <c r="F54" s="124" t="e">
        <f>LEFT(北段!#REF!,4)</f>
        <v>#REF!</v>
      </c>
      <c r="G54" s="124" t="e">
        <f>LEFT(北段!#REF!,4)</f>
        <v>#REF!</v>
      </c>
      <c r="H54" s="124" t="e">
        <f>LEFT(北段!#REF!,4)</f>
        <v>#REF!</v>
      </c>
      <c r="I54" s="124" t="e">
        <f>LEFT(北段!#REF!,4)</f>
        <v>#REF!</v>
      </c>
      <c r="J54" s="124" t="e">
        <f>LEFT(北段!#REF!,4)</f>
        <v>#REF!</v>
      </c>
      <c r="K54" s="124" t="e">
        <f>LEFT(北段!#REF!,4)</f>
        <v>#REF!</v>
      </c>
      <c r="L54" s="124" t="e">
        <f>LEFT(北段!#REF!,4)</f>
        <v>#REF!</v>
      </c>
      <c r="M54" s="124" t="e">
        <f>LEFT(北段!#REF!,4)</f>
        <v>#REF!</v>
      </c>
      <c r="N54" s="124" t="e">
        <f>LEFT(北段!#REF!,4)</f>
        <v>#REF!</v>
      </c>
      <c r="O54" s="124" t="e">
        <f>LEFT(北段!#REF!,4)</f>
        <v>#REF!</v>
      </c>
      <c r="P54" s="124" t="e">
        <f>LEFT(北段!#REF!,4)</f>
        <v>#REF!</v>
      </c>
      <c r="Q54" s="124" t="e">
        <f>LEFT(北段!#REF!,4)</f>
        <v>#REF!</v>
      </c>
      <c r="R54" s="124" t="e">
        <f>LEFT(北段!#REF!,4)</f>
        <v>#REF!</v>
      </c>
      <c r="S54" s="124" t="e">
        <f>LEFT(北段!#REF!,4)</f>
        <v>#REF!</v>
      </c>
      <c r="T54" s="124" t="e">
        <f>LEFT(北段!#REF!,4)</f>
        <v>#REF!</v>
      </c>
      <c r="U54" s="124" t="e">
        <f>LEFT(北段!#REF!,4)</f>
        <v>#REF!</v>
      </c>
      <c r="V54" s="124" t="e">
        <f>LEFT(北段!#REF!,4)</f>
        <v>#REF!</v>
      </c>
      <c r="W54" s="124" t="e">
        <f>LEFT(北段!#REF!,4)</f>
        <v>#REF!</v>
      </c>
      <c r="X54" s="124" t="e">
        <f>LEFT(北段!#REF!,4)</f>
        <v>#REF!</v>
      </c>
      <c r="Y54" s="124" t="e">
        <f>LEFT(北段!#REF!,4)</f>
        <v>#REF!</v>
      </c>
      <c r="Z54" s="124" t="e">
        <f>LEFT(北段!#REF!,4)</f>
        <v>#REF!</v>
      </c>
      <c r="AA54" s="124" t="e">
        <f>LEFT(北段!#REF!,4)</f>
        <v>#REF!</v>
      </c>
      <c r="AB54" s="124" t="e">
        <f>LEFT(北段!#REF!,4)</f>
        <v>#REF!</v>
      </c>
      <c r="AC54" s="124" t="e">
        <f>LEFT(北段!#REF!,4)</f>
        <v>#REF!</v>
      </c>
      <c r="AD54" s="124" t="e">
        <f>LEFT(北段!#REF!,4)</f>
        <v>#REF!</v>
      </c>
      <c r="AE54" s="124" t="e">
        <f>LEFT(北段!#REF!,4)</f>
        <v>#REF!</v>
      </c>
      <c r="AF54" s="124" t="e">
        <f>LEFT(北段!#REF!,4)</f>
        <v>#REF!</v>
      </c>
      <c r="AG54" s="124" t="e">
        <f>LEFT(北段!#REF!,4)</f>
        <v>#REF!</v>
      </c>
      <c r="AH54" s="124" t="e">
        <f>LEFT(北段!#REF!,4)</f>
        <v>#REF!</v>
      </c>
    </row>
    <row r="55" spans="1:34" ht="34.5" customHeight="1" x14ac:dyDescent="0.25">
      <c r="A55" s="127"/>
      <c r="B55" s="72" t="e">
        <f>LEFT(北段!#REF!,6)</f>
        <v>#REF!</v>
      </c>
      <c r="C55" s="38" t="e">
        <f>VLOOKUP(B55,北段!B:C,2,FALSE)</f>
        <v>#REF!</v>
      </c>
      <c r="D55" s="124" t="e">
        <f>LEFT(北段!#REF!,4)</f>
        <v>#REF!</v>
      </c>
      <c r="E55" s="124" t="e">
        <f>LEFT(北段!#REF!,4)</f>
        <v>#REF!</v>
      </c>
      <c r="F55" s="124" t="e">
        <f>LEFT(北段!#REF!,4)</f>
        <v>#REF!</v>
      </c>
      <c r="G55" s="124" t="e">
        <f>LEFT(北段!#REF!,4)</f>
        <v>#REF!</v>
      </c>
      <c r="H55" s="124" t="e">
        <f>LEFT(北段!#REF!,4)</f>
        <v>#REF!</v>
      </c>
      <c r="I55" s="124" t="e">
        <f>LEFT(北段!#REF!,4)</f>
        <v>#REF!</v>
      </c>
      <c r="J55" s="124" t="e">
        <f>LEFT(北段!#REF!,4)</f>
        <v>#REF!</v>
      </c>
      <c r="K55" s="124" t="e">
        <f>LEFT(北段!#REF!,4)</f>
        <v>#REF!</v>
      </c>
      <c r="L55" s="124" t="e">
        <f>LEFT(北段!#REF!,4)</f>
        <v>#REF!</v>
      </c>
      <c r="M55" s="124" t="e">
        <f>LEFT(北段!#REF!,4)</f>
        <v>#REF!</v>
      </c>
      <c r="N55" s="124" t="e">
        <f>LEFT(北段!#REF!,4)</f>
        <v>#REF!</v>
      </c>
      <c r="O55" s="124" t="e">
        <f>LEFT(北段!#REF!,4)</f>
        <v>#REF!</v>
      </c>
      <c r="P55" s="124" t="e">
        <f>LEFT(北段!#REF!,4)</f>
        <v>#REF!</v>
      </c>
      <c r="Q55" s="124" t="e">
        <f>LEFT(北段!#REF!,4)</f>
        <v>#REF!</v>
      </c>
      <c r="R55" s="124" t="e">
        <f>LEFT(北段!#REF!,4)</f>
        <v>#REF!</v>
      </c>
      <c r="S55" s="124" t="e">
        <f>LEFT(北段!#REF!,4)</f>
        <v>#REF!</v>
      </c>
      <c r="T55" s="124" t="e">
        <f>LEFT(北段!#REF!,4)</f>
        <v>#REF!</v>
      </c>
      <c r="U55" s="124" t="e">
        <f>LEFT(北段!#REF!,4)</f>
        <v>#REF!</v>
      </c>
      <c r="V55" s="124" t="e">
        <f>LEFT(北段!#REF!,4)</f>
        <v>#REF!</v>
      </c>
      <c r="W55" s="124" t="e">
        <f>LEFT(北段!#REF!,4)</f>
        <v>#REF!</v>
      </c>
      <c r="X55" s="124" t="e">
        <f>LEFT(北段!#REF!,4)</f>
        <v>#REF!</v>
      </c>
      <c r="Y55" s="124" t="e">
        <f>LEFT(北段!#REF!,4)</f>
        <v>#REF!</v>
      </c>
      <c r="Z55" s="124" t="e">
        <f>LEFT(北段!#REF!,4)</f>
        <v>#REF!</v>
      </c>
      <c r="AA55" s="124" t="e">
        <f>LEFT(北段!#REF!,4)</f>
        <v>#REF!</v>
      </c>
      <c r="AB55" s="124" t="e">
        <f>LEFT(北段!#REF!,4)</f>
        <v>#REF!</v>
      </c>
      <c r="AC55" s="124" t="e">
        <f>LEFT(北段!#REF!,4)</f>
        <v>#REF!</v>
      </c>
      <c r="AD55" s="124" t="e">
        <f>LEFT(北段!#REF!,4)</f>
        <v>#REF!</v>
      </c>
      <c r="AE55" s="124" t="e">
        <f>LEFT(北段!#REF!,4)</f>
        <v>#REF!</v>
      </c>
      <c r="AF55" s="124" t="e">
        <f>LEFT(北段!#REF!,4)</f>
        <v>#REF!</v>
      </c>
      <c r="AG55" s="124" t="e">
        <f>LEFT(北段!#REF!,4)</f>
        <v>#REF!</v>
      </c>
      <c r="AH55" s="124" t="e">
        <f>LEFT(北段!#REF!,4)</f>
        <v>#REF!</v>
      </c>
    </row>
    <row r="56" spans="1:34" s="36" customFormat="1" ht="34.5" customHeight="1" x14ac:dyDescent="0.25">
      <c r="A56" s="127"/>
      <c r="B56" s="72" t="e">
        <f>LEFT(北段!#REF!,6)</f>
        <v>#REF!</v>
      </c>
      <c r="C56" s="38" t="e">
        <f>VLOOKUP(B56,北段!B:C,2,FALSE)</f>
        <v>#REF!</v>
      </c>
      <c r="D56" s="124" t="e">
        <f>LEFT(北段!#REF!,4)</f>
        <v>#REF!</v>
      </c>
      <c r="E56" s="124" t="e">
        <f>LEFT(北段!#REF!,4)</f>
        <v>#REF!</v>
      </c>
      <c r="F56" s="124" t="e">
        <f>LEFT(北段!#REF!,4)</f>
        <v>#REF!</v>
      </c>
      <c r="G56" s="124" t="e">
        <f>LEFT(北段!#REF!,4)</f>
        <v>#REF!</v>
      </c>
      <c r="H56" s="124" t="e">
        <f>LEFT(北段!#REF!,4)</f>
        <v>#REF!</v>
      </c>
      <c r="I56" s="124" t="e">
        <f>LEFT(北段!#REF!,4)</f>
        <v>#REF!</v>
      </c>
      <c r="J56" s="124" t="e">
        <f>LEFT(北段!#REF!,4)</f>
        <v>#REF!</v>
      </c>
      <c r="K56" s="124" t="e">
        <f>LEFT(北段!#REF!,4)</f>
        <v>#REF!</v>
      </c>
      <c r="L56" s="124" t="e">
        <f>LEFT(北段!#REF!,4)</f>
        <v>#REF!</v>
      </c>
      <c r="M56" s="124" t="e">
        <f>LEFT(北段!#REF!,4)</f>
        <v>#REF!</v>
      </c>
      <c r="N56" s="124" t="e">
        <f>LEFT(北段!#REF!,4)</f>
        <v>#REF!</v>
      </c>
      <c r="O56" s="124" t="e">
        <f>LEFT(北段!#REF!,4)</f>
        <v>#REF!</v>
      </c>
      <c r="P56" s="124" t="e">
        <f>LEFT(北段!#REF!,4)</f>
        <v>#REF!</v>
      </c>
      <c r="Q56" s="124" t="e">
        <f>LEFT(北段!#REF!,4)</f>
        <v>#REF!</v>
      </c>
      <c r="R56" s="124" t="e">
        <f>LEFT(北段!#REF!,4)</f>
        <v>#REF!</v>
      </c>
      <c r="S56" s="124" t="e">
        <f>LEFT(北段!#REF!,4)</f>
        <v>#REF!</v>
      </c>
      <c r="T56" s="124" t="e">
        <f>LEFT(北段!#REF!,4)</f>
        <v>#REF!</v>
      </c>
      <c r="U56" s="124" t="e">
        <f>LEFT(北段!#REF!,4)</f>
        <v>#REF!</v>
      </c>
      <c r="V56" s="124" t="e">
        <f>LEFT(北段!#REF!,4)</f>
        <v>#REF!</v>
      </c>
      <c r="W56" s="124" t="e">
        <f>LEFT(北段!#REF!,4)</f>
        <v>#REF!</v>
      </c>
      <c r="X56" s="124" t="e">
        <f>LEFT(北段!#REF!,4)</f>
        <v>#REF!</v>
      </c>
      <c r="Y56" s="124" t="e">
        <f>LEFT(北段!#REF!,4)</f>
        <v>#REF!</v>
      </c>
      <c r="Z56" s="124" t="e">
        <f>LEFT(北段!#REF!,4)</f>
        <v>#REF!</v>
      </c>
      <c r="AA56" s="124" t="e">
        <f>LEFT(北段!#REF!,4)</f>
        <v>#REF!</v>
      </c>
      <c r="AB56" s="124" t="e">
        <f>LEFT(北段!#REF!,4)</f>
        <v>#REF!</v>
      </c>
      <c r="AC56" s="124" t="e">
        <f>LEFT(北段!#REF!,4)</f>
        <v>#REF!</v>
      </c>
      <c r="AD56" s="124" t="e">
        <f>LEFT(北段!#REF!,4)</f>
        <v>#REF!</v>
      </c>
      <c r="AE56" s="124" t="e">
        <f>LEFT(北段!#REF!,4)</f>
        <v>#REF!</v>
      </c>
      <c r="AF56" s="124" t="e">
        <f>LEFT(北段!#REF!,4)</f>
        <v>#REF!</v>
      </c>
      <c r="AG56" s="124" t="e">
        <f>LEFT(北段!#REF!,4)</f>
        <v>#REF!</v>
      </c>
      <c r="AH56" s="124" t="e">
        <f>LEFT(北段!#REF!,4)</f>
        <v>#REF!</v>
      </c>
    </row>
    <row r="57" spans="1:34" s="36" customFormat="1" ht="34.5" customHeight="1" x14ac:dyDescent="0.25">
      <c r="A57" s="127"/>
      <c r="B57" s="72" t="e">
        <f>LEFT(北段!#REF!,6)</f>
        <v>#REF!</v>
      </c>
      <c r="C57" s="38" t="e">
        <f>VLOOKUP(B57,北段!B:C,2,FALSE)</f>
        <v>#REF!</v>
      </c>
      <c r="D57" s="124" t="e">
        <f>LEFT(北段!#REF!,4)</f>
        <v>#REF!</v>
      </c>
      <c r="E57" s="124" t="e">
        <f>LEFT(北段!#REF!,4)</f>
        <v>#REF!</v>
      </c>
      <c r="F57" s="124" t="e">
        <f>LEFT(北段!#REF!,4)</f>
        <v>#REF!</v>
      </c>
      <c r="G57" s="124" t="e">
        <f>LEFT(北段!#REF!,4)</f>
        <v>#REF!</v>
      </c>
      <c r="H57" s="124" t="e">
        <f>LEFT(北段!#REF!,4)</f>
        <v>#REF!</v>
      </c>
      <c r="I57" s="124" t="e">
        <f>LEFT(北段!#REF!,4)</f>
        <v>#REF!</v>
      </c>
      <c r="J57" s="124" t="e">
        <f>LEFT(北段!#REF!,4)</f>
        <v>#REF!</v>
      </c>
      <c r="K57" s="124" t="e">
        <f>LEFT(北段!#REF!,4)</f>
        <v>#REF!</v>
      </c>
      <c r="L57" s="124" t="e">
        <f>LEFT(北段!#REF!,4)</f>
        <v>#REF!</v>
      </c>
      <c r="M57" s="124" t="e">
        <f>LEFT(北段!#REF!,4)</f>
        <v>#REF!</v>
      </c>
      <c r="N57" s="124" t="e">
        <f>LEFT(北段!#REF!,4)</f>
        <v>#REF!</v>
      </c>
      <c r="O57" s="124" t="e">
        <f>LEFT(北段!#REF!,4)</f>
        <v>#REF!</v>
      </c>
      <c r="P57" s="124" t="e">
        <f>LEFT(北段!#REF!,4)</f>
        <v>#REF!</v>
      </c>
      <c r="Q57" s="124" t="e">
        <f>LEFT(北段!#REF!,4)</f>
        <v>#REF!</v>
      </c>
      <c r="R57" s="124" t="e">
        <f>LEFT(北段!#REF!,4)</f>
        <v>#REF!</v>
      </c>
      <c r="S57" s="124" t="e">
        <f>LEFT(北段!#REF!,4)</f>
        <v>#REF!</v>
      </c>
      <c r="T57" s="124" t="e">
        <f>LEFT(北段!#REF!,4)</f>
        <v>#REF!</v>
      </c>
      <c r="U57" s="124" t="e">
        <f>LEFT(北段!#REF!,4)</f>
        <v>#REF!</v>
      </c>
      <c r="V57" s="124" t="e">
        <f>LEFT(北段!#REF!,4)</f>
        <v>#REF!</v>
      </c>
      <c r="W57" s="124" t="e">
        <f>LEFT(北段!#REF!,4)</f>
        <v>#REF!</v>
      </c>
      <c r="X57" s="124" t="e">
        <f>LEFT(北段!#REF!,4)</f>
        <v>#REF!</v>
      </c>
      <c r="Y57" s="124" t="e">
        <f>LEFT(北段!#REF!,4)</f>
        <v>#REF!</v>
      </c>
      <c r="Z57" s="124" t="e">
        <f>LEFT(北段!#REF!,4)</f>
        <v>#REF!</v>
      </c>
      <c r="AA57" s="124" t="e">
        <f>LEFT(北段!#REF!,4)</f>
        <v>#REF!</v>
      </c>
      <c r="AB57" s="124" t="e">
        <f>LEFT(北段!#REF!,4)</f>
        <v>#REF!</v>
      </c>
      <c r="AC57" s="124" t="e">
        <f>LEFT(北段!#REF!,4)</f>
        <v>#REF!</v>
      </c>
      <c r="AD57" s="124" t="e">
        <f>LEFT(北段!#REF!,4)</f>
        <v>#REF!</v>
      </c>
      <c r="AE57" s="124" t="e">
        <f>LEFT(北段!#REF!,4)</f>
        <v>#REF!</v>
      </c>
      <c r="AF57" s="124" t="e">
        <f>LEFT(北段!#REF!,4)</f>
        <v>#REF!</v>
      </c>
      <c r="AG57" s="124" t="e">
        <f>LEFT(北段!#REF!,4)</f>
        <v>#REF!</v>
      </c>
      <c r="AH57" s="124" t="e">
        <f>LEFT(北段!#REF!,4)</f>
        <v>#REF!</v>
      </c>
    </row>
    <row r="58" spans="1:34" ht="34.5" customHeight="1" x14ac:dyDescent="0.25">
      <c r="A58" s="127"/>
      <c r="B58" s="72" t="e">
        <f>LEFT(北段!#REF!,6)</f>
        <v>#REF!</v>
      </c>
      <c r="C58" s="38" t="e">
        <f>VLOOKUP(B58,北段!B:C,2,FALSE)</f>
        <v>#REF!</v>
      </c>
      <c r="D58" s="124" t="e">
        <f>LEFT(北段!#REF!,4)</f>
        <v>#REF!</v>
      </c>
      <c r="E58" s="124" t="e">
        <f>LEFT(北段!#REF!,4)</f>
        <v>#REF!</v>
      </c>
      <c r="F58" s="124" t="e">
        <f>LEFT(北段!#REF!,4)</f>
        <v>#REF!</v>
      </c>
      <c r="G58" s="124" t="e">
        <f>LEFT(北段!#REF!,4)</f>
        <v>#REF!</v>
      </c>
      <c r="H58" s="124" t="e">
        <f>LEFT(北段!#REF!,4)</f>
        <v>#REF!</v>
      </c>
      <c r="I58" s="124" t="e">
        <f>LEFT(北段!#REF!,4)</f>
        <v>#REF!</v>
      </c>
      <c r="J58" s="124" t="e">
        <f>LEFT(北段!#REF!,4)</f>
        <v>#REF!</v>
      </c>
      <c r="K58" s="124" t="e">
        <f>LEFT(北段!#REF!,4)</f>
        <v>#REF!</v>
      </c>
      <c r="L58" s="124" t="e">
        <f>LEFT(北段!#REF!,4)</f>
        <v>#REF!</v>
      </c>
      <c r="M58" s="124" t="e">
        <f>LEFT(北段!#REF!,4)</f>
        <v>#REF!</v>
      </c>
      <c r="N58" s="124" t="e">
        <f>LEFT(北段!#REF!,4)</f>
        <v>#REF!</v>
      </c>
      <c r="O58" s="124" t="e">
        <f>LEFT(北段!#REF!,4)</f>
        <v>#REF!</v>
      </c>
      <c r="P58" s="124" t="e">
        <f>LEFT(北段!#REF!,4)</f>
        <v>#REF!</v>
      </c>
      <c r="Q58" s="124" t="e">
        <f>LEFT(北段!#REF!,4)</f>
        <v>#REF!</v>
      </c>
      <c r="R58" s="124" t="e">
        <f>LEFT(北段!#REF!,4)</f>
        <v>#REF!</v>
      </c>
      <c r="S58" s="124" t="e">
        <f>LEFT(北段!#REF!,4)</f>
        <v>#REF!</v>
      </c>
      <c r="T58" s="124" t="e">
        <f>LEFT(北段!#REF!,4)</f>
        <v>#REF!</v>
      </c>
      <c r="U58" s="124" t="e">
        <f>LEFT(北段!#REF!,4)</f>
        <v>#REF!</v>
      </c>
      <c r="V58" s="124" t="e">
        <f>LEFT(北段!#REF!,4)</f>
        <v>#REF!</v>
      </c>
      <c r="W58" s="124" t="e">
        <f>LEFT(北段!#REF!,4)</f>
        <v>#REF!</v>
      </c>
      <c r="X58" s="124" t="e">
        <f>LEFT(北段!#REF!,4)</f>
        <v>#REF!</v>
      </c>
      <c r="Y58" s="124" t="e">
        <f>LEFT(北段!#REF!,4)</f>
        <v>#REF!</v>
      </c>
      <c r="Z58" s="124" t="e">
        <f>LEFT(北段!#REF!,4)</f>
        <v>#REF!</v>
      </c>
      <c r="AA58" s="124" t="e">
        <f>LEFT(北段!#REF!,4)</f>
        <v>#REF!</v>
      </c>
      <c r="AB58" s="124" t="e">
        <f>LEFT(北段!#REF!,4)</f>
        <v>#REF!</v>
      </c>
      <c r="AC58" s="124" t="e">
        <f>LEFT(北段!#REF!,4)</f>
        <v>#REF!</v>
      </c>
      <c r="AD58" s="124" t="e">
        <f>LEFT(北段!#REF!,4)</f>
        <v>#REF!</v>
      </c>
      <c r="AE58" s="124" t="e">
        <f>LEFT(北段!#REF!,4)</f>
        <v>#REF!</v>
      </c>
      <c r="AF58" s="124" t="e">
        <f>LEFT(北段!#REF!,4)</f>
        <v>#REF!</v>
      </c>
      <c r="AG58" s="124" t="e">
        <f>LEFT(北段!#REF!,4)</f>
        <v>#REF!</v>
      </c>
      <c r="AH58" s="124" t="e">
        <f>LEFT(北段!#REF!,4)</f>
        <v>#REF!</v>
      </c>
    </row>
    <row r="59" spans="1:34" ht="34.5" customHeight="1" x14ac:dyDescent="0.25">
      <c r="A59" s="127"/>
      <c r="B59" s="72" t="e">
        <f>LEFT(北段!#REF!,6)</f>
        <v>#REF!</v>
      </c>
      <c r="C59" s="38" t="e">
        <f>VLOOKUP(B59,北段!B:C,2,FALSE)</f>
        <v>#REF!</v>
      </c>
      <c r="D59" s="124" t="e">
        <f>LEFT(北段!#REF!,4)</f>
        <v>#REF!</v>
      </c>
      <c r="E59" s="124" t="e">
        <f>LEFT(北段!#REF!,4)</f>
        <v>#REF!</v>
      </c>
      <c r="F59" s="124" t="e">
        <f>LEFT(北段!#REF!,4)</f>
        <v>#REF!</v>
      </c>
      <c r="G59" s="124" t="e">
        <f>LEFT(北段!#REF!,4)</f>
        <v>#REF!</v>
      </c>
      <c r="H59" s="124" t="e">
        <f>LEFT(北段!#REF!,4)</f>
        <v>#REF!</v>
      </c>
      <c r="I59" s="124" t="e">
        <f>LEFT(北段!#REF!,4)</f>
        <v>#REF!</v>
      </c>
      <c r="J59" s="124" t="e">
        <f>LEFT(北段!#REF!,4)</f>
        <v>#REF!</v>
      </c>
      <c r="K59" s="124" t="e">
        <f>LEFT(北段!#REF!,4)</f>
        <v>#REF!</v>
      </c>
      <c r="L59" s="124" t="e">
        <f>LEFT(北段!#REF!,4)</f>
        <v>#REF!</v>
      </c>
      <c r="M59" s="124" t="e">
        <f>LEFT(北段!#REF!,4)</f>
        <v>#REF!</v>
      </c>
      <c r="N59" s="124" t="e">
        <f>LEFT(北段!#REF!,4)</f>
        <v>#REF!</v>
      </c>
      <c r="O59" s="124" t="e">
        <f>LEFT(北段!#REF!,4)</f>
        <v>#REF!</v>
      </c>
      <c r="P59" s="124" t="e">
        <f>LEFT(北段!#REF!,4)</f>
        <v>#REF!</v>
      </c>
      <c r="Q59" s="124" t="e">
        <f>LEFT(北段!#REF!,4)</f>
        <v>#REF!</v>
      </c>
      <c r="R59" s="124" t="e">
        <f>LEFT(北段!#REF!,4)</f>
        <v>#REF!</v>
      </c>
      <c r="S59" s="124" t="e">
        <f>LEFT(北段!#REF!,4)</f>
        <v>#REF!</v>
      </c>
      <c r="T59" s="124" t="e">
        <f>LEFT(北段!#REF!,4)</f>
        <v>#REF!</v>
      </c>
      <c r="U59" s="124" t="e">
        <f>LEFT(北段!#REF!,4)</f>
        <v>#REF!</v>
      </c>
      <c r="V59" s="124" t="e">
        <f>LEFT(北段!#REF!,4)</f>
        <v>#REF!</v>
      </c>
      <c r="W59" s="124" t="e">
        <f>LEFT(北段!#REF!,4)</f>
        <v>#REF!</v>
      </c>
      <c r="X59" s="124" t="e">
        <f>LEFT(北段!#REF!,4)</f>
        <v>#REF!</v>
      </c>
      <c r="Y59" s="124" t="e">
        <f>LEFT(北段!#REF!,4)</f>
        <v>#REF!</v>
      </c>
      <c r="Z59" s="124" t="e">
        <f>LEFT(北段!#REF!,4)</f>
        <v>#REF!</v>
      </c>
      <c r="AA59" s="124" t="e">
        <f>LEFT(北段!#REF!,4)</f>
        <v>#REF!</v>
      </c>
      <c r="AB59" s="124" t="e">
        <f>LEFT(北段!#REF!,4)</f>
        <v>#REF!</v>
      </c>
      <c r="AC59" s="124" t="e">
        <f>LEFT(北段!#REF!,4)</f>
        <v>#REF!</v>
      </c>
      <c r="AD59" s="124" t="e">
        <f>LEFT(北段!#REF!,4)</f>
        <v>#REF!</v>
      </c>
      <c r="AE59" s="124" t="e">
        <f>LEFT(北段!#REF!,4)</f>
        <v>#REF!</v>
      </c>
      <c r="AF59" s="124" t="e">
        <f>LEFT(北段!#REF!,4)</f>
        <v>#REF!</v>
      </c>
      <c r="AG59" s="124" t="e">
        <f>LEFT(北段!#REF!,4)</f>
        <v>#REF!</v>
      </c>
      <c r="AH59" s="124" t="e">
        <f>LEFT(北段!#REF!,4)</f>
        <v>#REF!</v>
      </c>
    </row>
    <row r="60" spans="1:34" ht="34.5" customHeight="1" x14ac:dyDescent="0.25">
      <c r="A60" s="127"/>
      <c r="B60" s="72" t="e">
        <f>LEFT(北段!#REF!,6)</f>
        <v>#REF!</v>
      </c>
      <c r="C60" s="38" t="e">
        <f>VLOOKUP(B60,北段!B:C,2,FALSE)</f>
        <v>#REF!</v>
      </c>
      <c r="D60" s="124" t="e">
        <f>LEFT(北段!#REF!,4)</f>
        <v>#REF!</v>
      </c>
      <c r="E60" s="124" t="e">
        <f>LEFT(北段!#REF!,4)</f>
        <v>#REF!</v>
      </c>
      <c r="F60" s="124" t="e">
        <f>LEFT(北段!#REF!,4)</f>
        <v>#REF!</v>
      </c>
      <c r="G60" s="124" t="e">
        <f>LEFT(北段!#REF!,4)</f>
        <v>#REF!</v>
      </c>
      <c r="H60" s="124" t="e">
        <f>LEFT(北段!#REF!,4)</f>
        <v>#REF!</v>
      </c>
      <c r="I60" s="124" t="e">
        <f>LEFT(北段!#REF!,4)</f>
        <v>#REF!</v>
      </c>
      <c r="J60" s="124" t="e">
        <f>LEFT(北段!#REF!,4)</f>
        <v>#REF!</v>
      </c>
      <c r="K60" s="124" t="e">
        <f>LEFT(北段!#REF!,4)</f>
        <v>#REF!</v>
      </c>
      <c r="L60" s="124" t="e">
        <f>LEFT(北段!#REF!,4)</f>
        <v>#REF!</v>
      </c>
      <c r="M60" s="124" t="e">
        <f>LEFT(北段!#REF!,4)</f>
        <v>#REF!</v>
      </c>
      <c r="N60" s="124" t="e">
        <f>LEFT(北段!#REF!,4)</f>
        <v>#REF!</v>
      </c>
      <c r="O60" s="124" t="e">
        <f>LEFT(北段!#REF!,4)</f>
        <v>#REF!</v>
      </c>
      <c r="P60" s="124" t="e">
        <f>LEFT(北段!#REF!,4)</f>
        <v>#REF!</v>
      </c>
      <c r="Q60" s="124" t="e">
        <f>LEFT(北段!#REF!,4)</f>
        <v>#REF!</v>
      </c>
      <c r="R60" s="124" t="e">
        <f>LEFT(北段!#REF!,4)</f>
        <v>#REF!</v>
      </c>
      <c r="S60" s="124" t="e">
        <f>LEFT(北段!#REF!,4)</f>
        <v>#REF!</v>
      </c>
      <c r="T60" s="124" t="e">
        <f>LEFT(北段!#REF!,4)</f>
        <v>#REF!</v>
      </c>
      <c r="U60" s="124" t="e">
        <f>LEFT(北段!#REF!,4)</f>
        <v>#REF!</v>
      </c>
      <c r="V60" s="124" t="e">
        <f>LEFT(北段!#REF!,4)</f>
        <v>#REF!</v>
      </c>
      <c r="W60" s="124" t="e">
        <f>LEFT(北段!#REF!,4)</f>
        <v>#REF!</v>
      </c>
      <c r="X60" s="124" t="e">
        <f>LEFT(北段!#REF!,4)</f>
        <v>#REF!</v>
      </c>
      <c r="Y60" s="124" t="e">
        <f>LEFT(北段!#REF!,4)</f>
        <v>#REF!</v>
      </c>
      <c r="Z60" s="124" t="e">
        <f>LEFT(北段!#REF!,4)</f>
        <v>#REF!</v>
      </c>
      <c r="AA60" s="124" t="e">
        <f>LEFT(北段!#REF!,4)</f>
        <v>#REF!</v>
      </c>
      <c r="AB60" s="124" t="e">
        <f>LEFT(北段!#REF!,4)</f>
        <v>#REF!</v>
      </c>
      <c r="AC60" s="124" t="e">
        <f>LEFT(北段!#REF!,4)</f>
        <v>#REF!</v>
      </c>
      <c r="AD60" s="124" t="e">
        <f>LEFT(北段!#REF!,4)</f>
        <v>#REF!</v>
      </c>
      <c r="AE60" s="124" t="e">
        <f>LEFT(北段!#REF!,4)</f>
        <v>#REF!</v>
      </c>
      <c r="AF60" s="124" t="e">
        <f>LEFT(北段!#REF!,4)</f>
        <v>#REF!</v>
      </c>
      <c r="AG60" s="124" t="e">
        <f>LEFT(北段!#REF!,4)</f>
        <v>#REF!</v>
      </c>
      <c r="AH60" s="124" t="e">
        <f>LEFT(北段!#REF!,4)</f>
        <v>#REF!</v>
      </c>
    </row>
    <row r="61" spans="1:34" ht="34.5" customHeight="1" x14ac:dyDescent="0.25">
      <c r="A61" s="127"/>
      <c r="B61" s="72" t="e">
        <f>LEFT(北段!#REF!,6)</f>
        <v>#REF!</v>
      </c>
      <c r="C61" s="38" t="e">
        <f>VLOOKUP(B61,北段!B:C,2,FALSE)</f>
        <v>#REF!</v>
      </c>
      <c r="D61" s="124" t="e">
        <f>LEFT(北段!#REF!,4)</f>
        <v>#REF!</v>
      </c>
      <c r="E61" s="124" t="e">
        <f>LEFT(北段!#REF!,4)</f>
        <v>#REF!</v>
      </c>
      <c r="F61" s="124" t="e">
        <f>LEFT(北段!#REF!,4)</f>
        <v>#REF!</v>
      </c>
      <c r="G61" s="124" t="e">
        <f>LEFT(北段!#REF!,4)</f>
        <v>#REF!</v>
      </c>
      <c r="H61" s="124" t="e">
        <f>LEFT(北段!#REF!,4)</f>
        <v>#REF!</v>
      </c>
      <c r="I61" s="124" t="e">
        <f>LEFT(北段!#REF!,4)</f>
        <v>#REF!</v>
      </c>
      <c r="J61" s="124" t="e">
        <f>LEFT(北段!#REF!,4)</f>
        <v>#REF!</v>
      </c>
      <c r="K61" s="124" t="e">
        <f>LEFT(北段!#REF!,4)</f>
        <v>#REF!</v>
      </c>
      <c r="L61" s="124" t="e">
        <f>LEFT(北段!#REF!,4)</f>
        <v>#REF!</v>
      </c>
      <c r="M61" s="124" t="e">
        <f>LEFT(北段!#REF!,4)</f>
        <v>#REF!</v>
      </c>
      <c r="N61" s="124" t="e">
        <f>LEFT(北段!#REF!,4)</f>
        <v>#REF!</v>
      </c>
      <c r="O61" s="124" t="e">
        <f>LEFT(北段!#REF!,4)</f>
        <v>#REF!</v>
      </c>
      <c r="P61" s="124" t="e">
        <f>LEFT(北段!#REF!,4)</f>
        <v>#REF!</v>
      </c>
      <c r="Q61" s="124" t="e">
        <f>LEFT(北段!#REF!,4)</f>
        <v>#REF!</v>
      </c>
      <c r="R61" s="124" t="e">
        <f>LEFT(北段!#REF!,4)</f>
        <v>#REF!</v>
      </c>
      <c r="S61" s="124" t="e">
        <f>LEFT(北段!#REF!,4)</f>
        <v>#REF!</v>
      </c>
      <c r="T61" s="124" t="e">
        <f>LEFT(北段!#REF!,4)</f>
        <v>#REF!</v>
      </c>
      <c r="U61" s="124" t="e">
        <f>LEFT(北段!#REF!,4)</f>
        <v>#REF!</v>
      </c>
      <c r="V61" s="124" t="e">
        <f>LEFT(北段!#REF!,4)</f>
        <v>#REF!</v>
      </c>
      <c r="W61" s="124" t="e">
        <f>LEFT(北段!#REF!,4)</f>
        <v>#REF!</v>
      </c>
      <c r="X61" s="124" t="e">
        <f>LEFT(北段!#REF!,4)</f>
        <v>#REF!</v>
      </c>
      <c r="Y61" s="124" t="e">
        <f>LEFT(北段!#REF!,4)</f>
        <v>#REF!</v>
      </c>
      <c r="Z61" s="124" t="e">
        <f>LEFT(北段!#REF!,4)</f>
        <v>#REF!</v>
      </c>
      <c r="AA61" s="124" t="e">
        <f>LEFT(北段!#REF!,4)</f>
        <v>#REF!</v>
      </c>
      <c r="AB61" s="124" t="e">
        <f>LEFT(北段!#REF!,4)</f>
        <v>#REF!</v>
      </c>
      <c r="AC61" s="124" t="e">
        <f>LEFT(北段!#REF!,4)</f>
        <v>#REF!</v>
      </c>
      <c r="AD61" s="124" t="e">
        <f>LEFT(北段!#REF!,4)</f>
        <v>#REF!</v>
      </c>
      <c r="AE61" s="124" t="e">
        <f>LEFT(北段!#REF!,4)</f>
        <v>#REF!</v>
      </c>
      <c r="AF61" s="124" t="e">
        <f>LEFT(北段!#REF!,4)</f>
        <v>#REF!</v>
      </c>
      <c r="AG61" s="124" t="e">
        <f>LEFT(北段!#REF!,4)</f>
        <v>#REF!</v>
      </c>
      <c r="AH61" s="124" t="e">
        <f>LEFT(北段!#REF!,4)</f>
        <v>#REF!</v>
      </c>
    </row>
    <row r="62" spans="1:34" ht="34.5" customHeight="1" x14ac:dyDescent="0.25">
      <c r="A62" s="127"/>
      <c r="B62" s="72" t="e">
        <f>LEFT(北段!#REF!,6)</f>
        <v>#REF!</v>
      </c>
      <c r="C62" s="38" t="e">
        <f>VLOOKUP(B62,北段!B:C,2,FALSE)</f>
        <v>#REF!</v>
      </c>
      <c r="D62" s="124" t="e">
        <f>LEFT(北段!#REF!,4)</f>
        <v>#REF!</v>
      </c>
      <c r="E62" s="124" t="e">
        <f>LEFT(北段!#REF!,4)</f>
        <v>#REF!</v>
      </c>
      <c r="F62" s="124" t="e">
        <f>LEFT(北段!#REF!,4)</f>
        <v>#REF!</v>
      </c>
      <c r="G62" s="124" t="e">
        <f>LEFT(北段!#REF!,4)</f>
        <v>#REF!</v>
      </c>
      <c r="H62" s="124" t="e">
        <f>LEFT(北段!#REF!,4)</f>
        <v>#REF!</v>
      </c>
      <c r="I62" s="124" t="e">
        <f>LEFT(北段!#REF!,4)</f>
        <v>#REF!</v>
      </c>
      <c r="J62" s="124" t="e">
        <f>LEFT(北段!#REF!,4)</f>
        <v>#REF!</v>
      </c>
      <c r="K62" s="124" t="e">
        <f>LEFT(北段!#REF!,4)</f>
        <v>#REF!</v>
      </c>
      <c r="L62" s="124" t="e">
        <f>LEFT(北段!#REF!,4)</f>
        <v>#REF!</v>
      </c>
      <c r="M62" s="124" t="e">
        <f>LEFT(北段!#REF!,4)</f>
        <v>#REF!</v>
      </c>
      <c r="N62" s="124" t="e">
        <f>LEFT(北段!#REF!,4)</f>
        <v>#REF!</v>
      </c>
      <c r="O62" s="124" t="e">
        <f>LEFT(北段!#REF!,4)</f>
        <v>#REF!</v>
      </c>
      <c r="P62" s="124" t="e">
        <f>LEFT(北段!#REF!,4)</f>
        <v>#REF!</v>
      </c>
      <c r="Q62" s="124" t="e">
        <f>LEFT(北段!#REF!,4)</f>
        <v>#REF!</v>
      </c>
      <c r="R62" s="124" t="e">
        <f>LEFT(北段!#REF!,4)</f>
        <v>#REF!</v>
      </c>
      <c r="S62" s="124" t="e">
        <f>LEFT(北段!#REF!,4)</f>
        <v>#REF!</v>
      </c>
      <c r="T62" s="124" t="e">
        <f>LEFT(北段!#REF!,4)</f>
        <v>#REF!</v>
      </c>
      <c r="U62" s="124" t="e">
        <f>LEFT(北段!#REF!,4)</f>
        <v>#REF!</v>
      </c>
      <c r="V62" s="124" t="e">
        <f>LEFT(北段!#REF!,4)</f>
        <v>#REF!</v>
      </c>
      <c r="W62" s="124" t="e">
        <f>LEFT(北段!#REF!,4)</f>
        <v>#REF!</v>
      </c>
      <c r="X62" s="124" t="e">
        <f>LEFT(北段!#REF!,4)</f>
        <v>#REF!</v>
      </c>
      <c r="Y62" s="124" t="e">
        <f>LEFT(北段!#REF!,4)</f>
        <v>#REF!</v>
      </c>
      <c r="Z62" s="124" t="e">
        <f>LEFT(北段!#REF!,4)</f>
        <v>#REF!</v>
      </c>
      <c r="AA62" s="124" t="e">
        <f>LEFT(北段!#REF!,4)</f>
        <v>#REF!</v>
      </c>
      <c r="AB62" s="124" t="e">
        <f>LEFT(北段!#REF!,4)</f>
        <v>#REF!</v>
      </c>
      <c r="AC62" s="124" t="e">
        <f>LEFT(北段!#REF!,4)</f>
        <v>#REF!</v>
      </c>
      <c r="AD62" s="124" t="e">
        <f>LEFT(北段!#REF!,4)</f>
        <v>#REF!</v>
      </c>
      <c r="AE62" s="124" t="e">
        <f>LEFT(北段!#REF!,4)</f>
        <v>#REF!</v>
      </c>
      <c r="AF62" s="124" t="e">
        <f>LEFT(北段!#REF!,4)</f>
        <v>#REF!</v>
      </c>
      <c r="AG62" s="124" t="e">
        <f>LEFT(北段!#REF!,4)</f>
        <v>#REF!</v>
      </c>
      <c r="AH62" s="124" t="e">
        <f>LEFT(北段!#REF!,4)</f>
        <v>#REF!</v>
      </c>
    </row>
    <row r="63" spans="1:34" ht="34.5" customHeight="1" x14ac:dyDescent="0.25">
      <c r="A63" s="127"/>
      <c r="B63" s="72" t="e">
        <f>LEFT(北段!#REF!,6)</f>
        <v>#REF!</v>
      </c>
      <c r="C63" s="38" t="e">
        <f>VLOOKUP(B63,北段!B:C,2,FALSE)</f>
        <v>#REF!</v>
      </c>
      <c r="D63" s="124" t="e">
        <f>LEFT(北段!#REF!,8)</f>
        <v>#REF!</v>
      </c>
      <c r="E63" s="124" t="e">
        <f>LEFT(北段!#REF!,4)</f>
        <v>#REF!</v>
      </c>
      <c r="F63" s="124" t="e">
        <f>LEFT(北段!#REF!,4)</f>
        <v>#REF!</v>
      </c>
      <c r="G63" s="124" t="e">
        <f>LEFT(北段!#REF!,4)</f>
        <v>#REF!</v>
      </c>
      <c r="H63" s="124" t="e">
        <f>LEFT(北段!#REF!,4)</f>
        <v>#REF!</v>
      </c>
      <c r="I63" s="124" t="e">
        <f>LEFT(北段!#REF!,4)</f>
        <v>#REF!</v>
      </c>
      <c r="J63" s="124" t="e">
        <f>LEFT(北段!#REF!,4)</f>
        <v>#REF!</v>
      </c>
      <c r="K63" s="124" t="e">
        <f>LEFT(北段!#REF!,4)</f>
        <v>#REF!</v>
      </c>
      <c r="L63" s="124" t="e">
        <f>LEFT(北段!#REF!,4)</f>
        <v>#REF!</v>
      </c>
      <c r="M63" s="124" t="e">
        <f>LEFT(北段!#REF!,4)</f>
        <v>#REF!</v>
      </c>
      <c r="N63" s="124" t="e">
        <f>LEFT(北段!#REF!,4)</f>
        <v>#REF!</v>
      </c>
      <c r="O63" s="124" t="e">
        <f>LEFT(北段!#REF!,4)</f>
        <v>#REF!</v>
      </c>
      <c r="P63" s="124" t="e">
        <f>LEFT(北段!#REF!,4)</f>
        <v>#REF!</v>
      </c>
      <c r="Q63" s="124" t="e">
        <f>LEFT(北段!#REF!,4)</f>
        <v>#REF!</v>
      </c>
      <c r="R63" s="124" t="e">
        <f>LEFT(北段!#REF!,4)</f>
        <v>#REF!</v>
      </c>
      <c r="S63" s="124" t="e">
        <f>LEFT(北段!#REF!,4)</f>
        <v>#REF!</v>
      </c>
      <c r="T63" s="124" t="e">
        <f>LEFT(北段!#REF!,4)</f>
        <v>#REF!</v>
      </c>
      <c r="U63" s="124" t="e">
        <f>LEFT(北段!#REF!,4)</f>
        <v>#REF!</v>
      </c>
      <c r="V63" s="124" t="e">
        <f>LEFT(北段!#REF!,4)</f>
        <v>#REF!</v>
      </c>
      <c r="W63" s="124" t="e">
        <f>LEFT(北段!#REF!,4)</f>
        <v>#REF!</v>
      </c>
      <c r="X63" s="124" t="e">
        <f>LEFT(北段!#REF!,4)</f>
        <v>#REF!</v>
      </c>
      <c r="Y63" s="124" t="e">
        <f>LEFT(北段!#REF!,4)</f>
        <v>#REF!</v>
      </c>
      <c r="Z63" s="124" t="e">
        <f>LEFT(北段!#REF!,4)</f>
        <v>#REF!</v>
      </c>
      <c r="AA63" s="124" t="e">
        <f>LEFT(北段!#REF!,4)</f>
        <v>#REF!</v>
      </c>
      <c r="AB63" s="124" t="e">
        <f>LEFT(北段!#REF!,4)</f>
        <v>#REF!</v>
      </c>
      <c r="AC63" s="124" t="e">
        <f>LEFT(北段!#REF!,4)</f>
        <v>#REF!</v>
      </c>
      <c r="AD63" s="124" t="e">
        <f>LEFT(北段!#REF!,4)</f>
        <v>#REF!</v>
      </c>
      <c r="AE63" s="124" t="e">
        <f>LEFT(北段!#REF!,4)</f>
        <v>#REF!</v>
      </c>
      <c r="AF63" s="124" t="e">
        <f>LEFT(北段!#REF!,4)</f>
        <v>#REF!</v>
      </c>
      <c r="AG63" s="124" t="e">
        <f>LEFT(北段!#REF!,4)</f>
        <v>#REF!</v>
      </c>
      <c r="AH63" s="124" t="e">
        <f>LEFT(北段!#REF!,4)</f>
        <v>#REF!</v>
      </c>
    </row>
    <row r="64" spans="1:34" ht="34.5" customHeight="1" x14ac:dyDescent="0.25">
      <c r="A64" s="127"/>
      <c r="B64" s="72" t="e">
        <f>LEFT(北段!#REF!,6)</f>
        <v>#REF!</v>
      </c>
      <c r="C64" s="38" t="e">
        <f>VLOOKUP(B64,北段!B:C,2,FALSE)</f>
        <v>#REF!</v>
      </c>
      <c r="D64" s="124" t="e">
        <f>LEFT(北段!#REF!,4)</f>
        <v>#REF!</v>
      </c>
      <c r="E64" s="124" t="e">
        <f>LEFT(北段!#REF!,4)</f>
        <v>#REF!</v>
      </c>
      <c r="F64" s="124" t="e">
        <f>LEFT(北段!#REF!,4)</f>
        <v>#REF!</v>
      </c>
      <c r="G64" s="124" t="e">
        <f>LEFT(北段!#REF!,4)</f>
        <v>#REF!</v>
      </c>
      <c r="H64" s="124" t="e">
        <f>LEFT(北段!#REF!,4)</f>
        <v>#REF!</v>
      </c>
      <c r="I64" s="124" t="e">
        <f>LEFT(北段!#REF!,4)</f>
        <v>#REF!</v>
      </c>
      <c r="J64" s="124" t="e">
        <f>LEFT(北段!#REF!,4)</f>
        <v>#REF!</v>
      </c>
      <c r="K64" s="124" t="e">
        <f>LEFT(北段!#REF!,4)</f>
        <v>#REF!</v>
      </c>
      <c r="L64" s="124" t="e">
        <f>LEFT(北段!#REF!,4)</f>
        <v>#REF!</v>
      </c>
      <c r="M64" s="124" t="e">
        <f>LEFT(北段!#REF!,4)</f>
        <v>#REF!</v>
      </c>
      <c r="N64" s="124" t="e">
        <f>LEFT(北段!#REF!,4)</f>
        <v>#REF!</v>
      </c>
      <c r="O64" s="124" t="e">
        <f>LEFT(北段!#REF!,4)</f>
        <v>#REF!</v>
      </c>
      <c r="P64" s="124" t="e">
        <f>LEFT(北段!#REF!,4)</f>
        <v>#REF!</v>
      </c>
      <c r="Q64" s="124" t="e">
        <f>LEFT(北段!#REF!,4)</f>
        <v>#REF!</v>
      </c>
      <c r="R64" s="124" t="e">
        <f>LEFT(北段!#REF!,4)</f>
        <v>#REF!</v>
      </c>
      <c r="S64" s="124" t="e">
        <f>LEFT(北段!#REF!,4)</f>
        <v>#REF!</v>
      </c>
      <c r="T64" s="124" t="e">
        <f>LEFT(北段!#REF!,4)</f>
        <v>#REF!</v>
      </c>
      <c r="U64" s="124" t="e">
        <f>LEFT(北段!#REF!,4)</f>
        <v>#REF!</v>
      </c>
      <c r="V64" s="124" t="e">
        <f>LEFT(北段!#REF!,4)</f>
        <v>#REF!</v>
      </c>
      <c r="W64" s="124" t="e">
        <f>LEFT(北段!#REF!,4)</f>
        <v>#REF!</v>
      </c>
      <c r="X64" s="124" t="e">
        <f>LEFT(北段!#REF!,4)</f>
        <v>#REF!</v>
      </c>
      <c r="Y64" s="124" t="e">
        <f>LEFT(北段!#REF!,4)</f>
        <v>#REF!</v>
      </c>
      <c r="Z64" s="124" t="e">
        <f>LEFT(北段!#REF!,4)</f>
        <v>#REF!</v>
      </c>
      <c r="AA64" s="124" t="e">
        <f>LEFT(北段!#REF!,4)</f>
        <v>#REF!</v>
      </c>
      <c r="AB64" s="124" t="e">
        <f>LEFT(北段!#REF!,4)</f>
        <v>#REF!</v>
      </c>
      <c r="AC64" s="124" t="e">
        <f>LEFT(北段!#REF!,4)</f>
        <v>#REF!</v>
      </c>
      <c r="AD64" s="124" t="e">
        <f>LEFT(北段!#REF!,4)</f>
        <v>#REF!</v>
      </c>
      <c r="AE64" s="124" t="e">
        <f>LEFT(北段!#REF!,4)</f>
        <v>#REF!</v>
      </c>
      <c r="AF64" s="124" t="e">
        <f>LEFT(北段!#REF!,4)</f>
        <v>#REF!</v>
      </c>
      <c r="AG64" s="124" t="e">
        <f>LEFT(北段!#REF!,4)</f>
        <v>#REF!</v>
      </c>
      <c r="AH64" s="124" t="e">
        <f>LEFT(北段!#REF!,4)</f>
        <v>#REF!</v>
      </c>
    </row>
    <row r="65" spans="1:34" ht="34.5" customHeight="1" x14ac:dyDescent="0.25">
      <c r="A65" s="127"/>
      <c r="B65" s="72" t="e">
        <f>LEFT(北段!#REF!,6)</f>
        <v>#REF!</v>
      </c>
      <c r="C65" s="38" t="e">
        <f>VLOOKUP(B65,北段!B:C,2,FALSE)</f>
        <v>#REF!</v>
      </c>
      <c r="D65" s="124" t="e">
        <f>LEFT(北段!#REF!,4)</f>
        <v>#REF!</v>
      </c>
      <c r="E65" s="124" t="e">
        <f>LEFT(北段!#REF!,4)</f>
        <v>#REF!</v>
      </c>
      <c r="F65" s="124" t="e">
        <f>LEFT(北段!#REF!,4)</f>
        <v>#REF!</v>
      </c>
      <c r="G65" s="124" t="e">
        <f>LEFT(北段!#REF!,4)</f>
        <v>#REF!</v>
      </c>
      <c r="H65" s="124" t="e">
        <f>LEFT(北段!#REF!,4)</f>
        <v>#REF!</v>
      </c>
      <c r="I65" s="124" t="e">
        <f>LEFT(北段!#REF!,4)</f>
        <v>#REF!</v>
      </c>
      <c r="J65" s="124" t="e">
        <f>LEFT(北段!#REF!,4)</f>
        <v>#REF!</v>
      </c>
      <c r="K65" s="124" t="e">
        <f>LEFT(北段!#REF!,4)</f>
        <v>#REF!</v>
      </c>
      <c r="L65" s="124" t="e">
        <f>LEFT(北段!#REF!,4)</f>
        <v>#REF!</v>
      </c>
      <c r="M65" s="124" t="e">
        <f>LEFT(北段!#REF!,4)</f>
        <v>#REF!</v>
      </c>
      <c r="N65" s="124" t="e">
        <f>LEFT(北段!#REF!,4)</f>
        <v>#REF!</v>
      </c>
      <c r="O65" s="124" t="e">
        <f>LEFT(北段!#REF!,4)</f>
        <v>#REF!</v>
      </c>
      <c r="P65" s="124" t="e">
        <f>LEFT(北段!#REF!,4)</f>
        <v>#REF!</v>
      </c>
      <c r="Q65" s="124" t="e">
        <f>LEFT(北段!#REF!,4)</f>
        <v>#REF!</v>
      </c>
      <c r="R65" s="124" t="e">
        <f>LEFT(北段!#REF!,4)</f>
        <v>#REF!</v>
      </c>
      <c r="S65" s="124" t="e">
        <f>LEFT(北段!#REF!,4)</f>
        <v>#REF!</v>
      </c>
      <c r="T65" s="124" t="e">
        <f>LEFT(北段!#REF!,4)</f>
        <v>#REF!</v>
      </c>
      <c r="U65" s="124" t="e">
        <f>LEFT(北段!#REF!,4)</f>
        <v>#REF!</v>
      </c>
      <c r="V65" s="124" t="e">
        <f>LEFT(北段!#REF!,4)</f>
        <v>#REF!</v>
      </c>
      <c r="W65" s="124" t="e">
        <f>LEFT(北段!#REF!,4)</f>
        <v>#REF!</v>
      </c>
      <c r="X65" s="124" t="e">
        <f>LEFT(北段!#REF!,4)</f>
        <v>#REF!</v>
      </c>
      <c r="Y65" s="124" t="e">
        <f>LEFT(北段!#REF!,4)</f>
        <v>#REF!</v>
      </c>
      <c r="Z65" s="124" t="e">
        <f>LEFT(北段!#REF!,4)</f>
        <v>#REF!</v>
      </c>
      <c r="AA65" s="124" t="e">
        <f>LEFT(北段!#REF!,4)</f>
        <v>#REF!</v>
      </c>
      <c r="AB65" s="124" t="e">
        <f>LEFT(北段!#REF!,4)</f>
        <v>#REF!</v>
      </c>
      <c r="AC65" s="124" t="e">
        <f>LEFT(北段!#REF!,4)</f>
        <v>#REF!</v>
      </c>
      <c r="AD65" s="124" t="e">
        <f>LEFT(北段!#REF!,4)</f>
        <v>#REF!</v>
      </c>
      <c r="AE65" s="124" t="e">
        <f>LEFT(北段!#REF!,4)</f>
        <v>#REF!</v>
      </c>
      <c r="AF65" s="124" t="e">
        <f>LEFT(北段!#REF!,4)</f>
        <v>#REF!</v>
      </c>
      <c r="AG65" s="124" t="e">
        <f>LEFT(北段!#REF!,4)</f>
        <v>#REF!</v>
      </c>
      <c r="AH65" s="124" t="e">
        <f>LEFT(北段!#REF!,4)</f>
        <v>#REF!</v>
      </c>
    </row>
    <row r="66" spans="1:34" s="36" customFormat="1" ht="34.5" customHeight="1" x14ac:dyDescent="0.25">
      <c r="A66" s="127"/>
      <c r="B66" s="72" t="e">
        <f>LEFT(北段!#REF!,6)</f>
        <v>#REF!</v>
      </c>
      <c r="C66" s="38" t="e">
        <f>VLOOKUP(B66,北段!B:C,2,FALSE)</f>
        <v>#REF!</v>
      </c>
      <c r="D66" s="124" t="e">
        <f>LEFT(北段!#REF!,4)</f>
        <v>#REF!</v>
      </c>
      <c r="E66" s="124" t="e">
        <f>LEFT(北段!#REF!,4)</f>
        <v>#REF!</v>
      </c>
      <c r="F66" s="124" t="e">
        <f>LEFT(北段!#REF!,4)</f>
        <v>#REF!</v>
      </c>
      <c r="G66" s="124" t="e">
        <f>LEFT(北段!#REF!,4)</f>
        <v>#REF!</v>
      </c>
      <c r="H66" s="124" t="e">
        <f>LEFT(北段!#REF!,4)</f>
        <v>#REF!</v>
      </c>
      <c r="I66" s="124" t="e">
        <f>LEFT(北段!#REF!,4)</f>
        <v>#REF!</v>
      </c>
      <c r="J66" s="124" t="e">
        <f>LEFT(北段!#REF!,4)</f>
        <v>#REF!</v>
      </c>
      <c r="K66" s="124" t="e">
        <f>LEFT(北段!#REF!,4)</f>
        <v>#REF!</v>
      </c>
      <c r="L66" s="124" t="e">
        <f>LEFT(北段!#REF!,4)</f>
        <v>#REF!</v>
      </c>
      <c r="M66" s="124" t="e">
        <f>LEFT(北段!#REF!,4)</f>
        <v>#REF!</v>
      </c>
      <c r="N66" s="124" t="e">
        <f>LEFT(北段!#REF!,4)</f>
        <v>#REF!</v>
      </c>
      <c r="O66" s="124" t="e">
        <f>LEFT(北段!#REF!,4)</f>
        <v>#REF!</v>
      </c>
      <c r="P66" s="124" t="e">
        <f>LEFT(北段!#REF!,4)</f>
        <v>#REF!</v>
      </c>
      <c r="Q66" s="124" t="e">
        <f>LEFT(北段!#REF!,4)</f>
        <v>#REF!</v>
      </c>
      <c r="R66" s="124" t="e">
        <f>LEFT(北段!#REF!,4)</f>
        <v>#REF!</v>
      </c>
      <c r="S66" s="124" t="e">
        <f>LEFT(北段!#REF!,4)</f>
        <v>#REF!</v>
      </c>
      <c r="T66" s="124" t="e">
        <f>LEFT(北段!#REF!,4)</f>
        <v>#REF!</v>
      </c>
      <c r="U66" s="124" t="e">
        <f>LEFT(北段!#REF!,4)</f>
        <v>#REF!</v>
      </c>
      <c r="V66" s="124" t="e">
        <f>LEFT(北段!#REF!,4)</f>
        <v>#REF!</v>
      </c>
      <c r="W66" s="124" t="e">
        <f>LEFT(北段!#REF!,4)</f>
        <v>#REF!</v>
      </c>
      <c r="X66" s="124" t="e">
        <f>LEFT(北段!#REF!,4)</f>
        <v>#REF!</v>
      </c>
      <c r="Y66" s="124" t="e">
        <f>LEFT(北段!#REF!,4)</f>
        <v>#REF!</v>
      </c>
      <c r="Z66" s="124" t="e">
        <f>LEFT(北段!#REF!,4)</f>
        <v>#REF!</v>
      </c>
      <c r="AA66" s="124" t="e">
        <f>LEFT(北段!#REF!,4)</f>
        <v>#REF!</v>
      </c>
      <c r="AB66" s="124" t="e">
        <f>LEFT(北段!#REF!,4)</f>
        <v>#REF!</v>
      </c>
      <c r="AC66" s="124" t="e">
        <f>LEFT(北段!#REF!,4)</f>
        <v>#REF!</v>
      </c>
      <c r="AD66" s="124" t="e">
        <f>LEFT(北段!#REF!,4)</f>
        <v>#REF!</v>
      </c>
      <c r="AE66" s="124" t="e">
        <f>LEFT(北段!#REF!,4)</f>
        <v>#REF!</v>
      </c>
      <c r="AF66" s="124" t="e">
        <f>LEFT(北段!#REF!,4)</f>
        <v>#REF!</v>
      </c>
      <c r="AG66" s="124" t="e">
        <f>LEFT(北段!#REF!,4)</f>
        <v>#REF!</v>
      </c>
      <c r="AH66" s="124" t="e">
        <f>LEFT(北段!#REF!,4)</f>
        <v>#REF!</v>
      </c>
    </row>
    <row r="67" spans="1:34" ht="34.5" customHeight="1" x14ac:dyDescent="0.25">
      <c r="A67" s="127"/>
      <c r="B67" s="72" t="e">
        <f>LEFT(北段!#REF!,6)</f>
        <v>#REF!</v>
      </c>
      <c r="C67" s="38" t="e">
        <f>VLOOKUP(B67,北段!B:C,2,FALSE)</f>
        <v>#REF!</v>
      </c>
      <c r="D67" s="124" t="e">
        <f>LEFT(北段!#REF!,4)</f>
        <v>#REF!</v>
      </c>
      <c r="E67" s="124" t="e">
        <f>LEFT(北段!#REF!,4)</f>
        <v>#REF!</v>
      </c>
      <c r="F67" s="124" t="e">
        <f>LEFT(北段!#REF!,4)</f>
        <v>#REF!</v>
      </c>
      <c r="G67" s="124" t="e">
        <f>LEFT(北段!#REF!,4)</f>
        <v>#REF!</v>
      </c>
      <c r="H67" s="124" t="e">
        <f>LEFT(北段!#REF!,4)</f>
        <v>#REF!</v>
      </c>
      <c r="I67" s="124" t="e">
        <f>LEFT(北段!#REF!,4)</f>
        <v>#REF!</v>
      </c>
      <c r="J67" s="124" t="e">
        <f>LEFT(北段!#REF!,4)</f>
        <v>#REF!</v>
      </c>
      <c r="K67" s="124" t="e">
        <f>LEFT(北段!#REF!,4)</f>
        <v>#REF!</v>
      </c>
      <c r="L67" s="124" t="e">
        <f>LEFT(北段!#REF!,4)</f>
        <v>#REF!</v>
      </c>
      <c r="M67" s="124" t="e">
        <f>LEFT(北段!#REF!,4)</f>
        <v>#REF!</v>
      </c>
      <c r="N67" s="124" t="e">
        <f>LEFT(北段!#REF!,4)</f>
        <v>#REF!</v>
      </c>
      <c r="O67" s="124" t="e">
        <f>LEFT(北段!#REF!,4)</f>
        <v>#REF!</v>
      </c>
      <c r="P67" s="124" t="e">
        <f>LEFT(北段!#REF!,4)</f>
        <v>#REF!</v>
      </c>
      <c r="Q67" s="124" t="e">
        <f>LEFT(北段!#REF!,4)</f>
        <v>#REF!</v>
      </c>
      <c r="R67" s="124" t="e">
        <f>LEFT(北段!#REF!,4)</f>
        <v>#REF!</v>
      </c>
      <c r="S67" s="124" t="e">
        <f>LEFT(北段!#REF!,4)</f>
        <v>#REF!</v>
      </c>
      <c r="T67" s="124" t="e">
        <f>LEFT(北段!#REF!,4)</f>
        <v>#REF!</v>
      </c>
      <c r="U67" s="124" t="e">
        <f>LEFT(北段!#REF!,4)</f>
        <v>#REF!</v>
      </c>
      <c r="V67" s="124" t="e">
        <f>LEFT(北段!#REF!,4)</f>
        <v>#REF!</v>
      </c>
      <c r="W67" s="124" t="e">
        <f>LEFT(北段!#REF!,4)</f>
        <v>#REF!</v>
      </c>
      <c r="X67" s="124" t="e">
        <f>LEFT(北段!#REF!,4)</f>
        <v>#REF!</v>
      </c>
      <c r="Y67" s="124" t="e">
        <f>LEFT(北段!#REF!,4)</f>
        <v>#REF!</v>
      </c>
      <c r="Z67" s="124" t="e">
        <f>LEFT(北段!#REF!,4)</f>
        <v>#REF!</v>
      </c>
      <c r="AA67" s="124" t="e">
        <f>LEFT(北段!#REF!,4)</f>
        <v>#REF!</v>
      </c>
      <c r="AB67" s="124" t="e">
        <f>LEFT(北段!#REF!,4)</f>
        <v>#REF!</v>
      </c>
      <c r="AC67" s="124" t="e">
        <f>LEFT(北段!#REF!,4)</f>
        <v>#REF!</v>
      </c>
      <c r="AD67" s="124" t="e">
        <f>LEFT(北段!#REF!,4)</f>
        <v>#REF!</v>
      </c>
      <c r="AE67" s="124" t="e">
        <f>LEFT(北段!#REF!,4)</f>
        <v>#REF!</v>
      </c>
      <c r="AF67" s="124" t="e">
        <f>LEFT(北段!#REF!,4)</f>
        <v>#REF!</v>
      </c>
      <c r="AG67" s="124" t="e">
        <f>LEFT(北段!#REF!,4)</f>
        <v>#REF!</v>
      </c>
      <c r="AH67" s="124" t="e">
        <f>LEFT(北段!#REF!,4)</f>
        <v>#REF!</v>
      </c>
    </row>
    <row r="68" spans="1:34" ht="34.5" customHeight="1" x14ac:dyDescent="0.25">
      <c r="A68" s="127"/>
      <c r="B68" s="72" t="e">
        <f>LEFT(北段!#REF!,6)</f>
        <v>#REF!</v>
      </c>
      <c r="C68" s="38" t="e">
        <f>VLOOKUP(B68,北段!B:C,2,FALSE)</f>
        <v>#REF!</v>
      </c>
      <c r="D68" s="124" t="e">
        <f>LEFT(北段!#REF!,4)</f>
        <v>#REF!</v>
      </c>
      <c r="E68" s="124" t="e">
        <f>LEFT(北段!#REF!,4)</f>
        <v>#REF!</v>
      </c>
      <c r="F68" s="124" t="e">
        <f>LEFT(北段!#REF!,4)</f>
        <v>#REF!</v>
      </c>
      <c r="G68" s="124" t="e">
        <f>LEFT(北段!#REF!,4)</f>
        <v>#REF!</v>
      </c>
      <c r="H68" s="124" t="e">
        <f>LEFT(北段!#REF!,4)</f>
        <v>#REF!</v>
      </c>
      <c r="I68" s="124" t="e">
        <f>LEFT(北段!#REF!,4)</f>
        <v>#REF!</v>
      </c>
      <c r="J68" s="124" t="e">
        <f>LEFT(北段!#REF!,4)</f>
        <v>#REF!</v>
      </c>
      <c r="K68" s="124" t="e">
        <f>LEFT(北段!#REF!,4)</f>
        <v>#REF!</v>
      </c>
      <c r="L68" s="124" t="e">
        <f>LEFT(北段!#REF!,4)</f>
        <v>#REF!</v>
      </c>
      <c r="M68" s="124" t="e">
        <f>LEFT(北段!#REF!,4)</f>
        <v>#REF!</v>
      </c>
      <c r="N68" s="124" t="e">
        <f>LEFT(北段!#REF!,4)</f>
        <v>#REF!</v>
      </c>
      <c r="O68" s="124" t="e">
        <f>LEFT(北段!#REF!,4)</f>
        <v>#REF!</v>
      </c>
      <c r="P68" s="124" t="e">
        <f>LEFT(北段!#REF!,4)</f>
        <v>#REF!</v>
      </c>
      <c r="Q68" s="124" t="e">
        <f>LEFT(北段!#REF!,4)</f>
        <v>#REF!</v>
      </c>
      <c r="R68" s="124" t="e">
        <f>LEFT(北段!#REF!,4)</f>
        <v>#REF!</v>
      </c>
      <c r="S68" s="124" t="e">
        <f>LEFT(北段!#REF!,4)</f>
        <v>#REF!</v>
      </c>
      <c r="T68" s="124" t="e">
        <f>LEFT(北段!#REF!,4)</f>
        <v>#REF!</v>
      </c>
      <c r="U68" s="124" t="e">
        <f>LEFT(北段!#REF!,4)</f>
        <v>#REF!</v>
      </c>
      <c r="V68" s="124" t="e">
        <f>LEFT(北段!#REF!,4)</f>
        <v>#REF!</v>
      </c>
      <c r="W68" s="124" t="e">
        <f>LEFT(北段!#REF!,4)</f>
        <v>#REF!</v>
      </c>
      <c r="X68" s="124" t="e">
        <f>LEFT(北段!#REF!,4)</f>
        <v>#REF!</v>
      </c>
      <c r="Y68" s="124" t="e">
        <f>LEFT(北段!#REF!,4)</f>
        <v>#REF!</v>
      </c>
      <c r="Z68" s="124" t="e">
        <f>LEFT(北段!#REF!,4)</f>
        <v>#REF!</v>
      </c>
      <c r="AA68" s="124" t="e">
        <f>LEFT(北段!#REF!,4)</f>
        <v>#REF!</v>
      </c>
      <c r="AB68" s="124" t="e">
        <f>LEFT(北段!#REF!,4)</f>
        <v>#REF!</v>
      </c>
      <c r="AC68" s="124" t="e">
        <f>LEFT(北段!#REF!,4)</f>
        <v>#REF!</v>
      </c>
      <c r="AD68" s="124" t="e">
        <f>LEFT(北段!#REF!,4)</f>
        <v>#REF!</v>
      </c>
      <c r="AE68" s="124" t="e">
        <f>LEFT(北段!#REF!,4)</f>
        <v>#REF!</v>
      </c>
      <c r="AF68" s="124" t="e">
        <f>LEFT(北段!#REF!,4)</f>
        <v>#REF!</v>
      </c>
      <c r="AG68" s="124" t="e">
        <f>LEFT(北段!#REF!,4)</f>
        <v>#REF!</v>
      </c>
      <c r="AH68" s="124" t="e">
        <f>LEFT(北段!#REF!,4)</f>
        <v>#REF!</v>
      </c>
    </row>
    <row r="69" spans="1:34" s="36" customFormat="1" ht="34.5" customHeight="1" x14ac:dyDescent="0.25">
      <c r="A69" s="127"/>
      <c r="B69" s="72" t="e">
        <f>LEFT(北段!#REF!,6)</f>
        <v>#REF!</v>
      </c>
      <c r="C69" s="38" t="e">
        <f>VLOOKUP(B69,北段!B:C,2,FALSE)</f>
        <v>#REF!</v>
      </c>
      <c r="D69" s="124" t="e">
        <f>LEFT(北段!#REF!,4)</f>
        <v>#REF!</v>
      </c>
      <c r="E69" s="124" t="e">
        <f>LEFT(北段!#REF!,4)</f>
        <v>#REF!</v>
      </c>
      <c r="F69" s="124" t="e">
        <f>LEFT(北段!#REF!,4)</f>
        <v>#REF!</v>
      </c>
      <c r="G69" s="124" t="e">
        <f>LEFT(北段!#REF!,4)</f>
        <v>#REF!</v>
      </c>
      <c r="H69" s="124" t="e">
        <f>LEFT(北段!#REF!,4)</f>
        <v>#REF!</v>
      </c>
      <c r="I69" s="124" t="e">
        <f>LEFT(北段!#REF!,4)</f>
        <v>#REF!</v>
      </c>
      <c r="J69" s="124" t="e">
        <f>LEFT(北段!#REF!,4)</f>
        <v>#REF!</v>
      </c>
      <c r="K69" s="124" t="e">
        <f>LEFT(北段!#REF!,4)</f>
        <v>#REF!</v>
      </c>
      <c r="L69" s="124" t="e">
        <f>LEFT(北段!#REF!,4)</f>
        <v>#REF!</v>
      </c>
      <c r="M69" s="124" t="e">
        <f>LEFT(北段!#REF!,4)</f>
        <v>#REF!</v>
      </c>
      <c r="N69" s="124" t="e">
        <f>LEFT(北段!#REF!,4)</f>
        <v>#REF!</v>
      </c>
      <c r="O69" s="124" t="e">
        <f>LEFT(北段!#REF!,4)</f>
        <v>#REF!</v>
      </c>
      <c r="P69" s="124" t="e">
        <f>LEFT(北段!#REF!,4)</f>
        <v>#REF!</v>
      </c>
      <c r="Q69" s="124" t="e">
        <f>LEFT(北段!#REF!,4)</f>
        <v>#REF!</v>
      </c>
      <c r="R69" s="124" t="e">
        <f>LEFT(北段!#REF!,4)</f>
        <v>#REF!</v>
      </c>
      <c r="S69" s="124" t="e">
        <f>LEFT(北段!#REF!,4)</f>
        <v>#REF!</v>
      </c>
      <c r="T69" s="124" t="e">
        <f>LEFT(北段!#REF!,4)</f>
        <v>#REF!</v>
      </c>
      <c r="U69" s="124" t="e">
        <f>LEFT(北段!#REF!,4)</f>
        <v>#REF!</v>
      </c>
      <c r="V69" s="124" t="e">
        <f>LEFT(北段!#REF!,4)</f>
        <v>#REF!</v>
      </c>
      <c r="W69" s="124" t="e">
        <f>LEFT(北段!#REF!,4)</f>
        <v>#REF!</v>
      </c>
      <c r="X69" s="124" t="e">
        <f>LEFT(北段!#REF!,4)</f>
        <v>#REF!</v>
      </c>
      <c r="Y69" s="124" t="e">
        <f>LEFT(北段!#REF!,4)</f>
        <v>#REF!</v>
      </c>
      <c r="Z69" s="124" t="e">
        <f>LEFT(北段!#REF!,4)</f>
        <v>#REF!</v>
      </c>
      <c r="AA69" s="124" t="e">
        <f>LEFT(北段!#REF!,4)</f>
        <v>#REF!</v>
      </c>
      <c r="AB69" s="124" t="e">
        <f>LEFT(北段!#REF!,4)</f>
        <v>#REF!</v>
      </c>
      <c r="AC69" s="124" t="e">
        <f>LEFT(北段!#REF!,4)</f>
        <v>#REF!</v>
      </c>
      <c r="AD69" s="124" t="e">
        <f>LEFT(北段!#REF!,4)</f>
        <v>#REF!</v>
      </c>
      <c r="AE69" s="124" t="e">
        <f>LEFT(北段!#REF!,4)</f>
        <v>#REF!</v>
      </c>
      <c r="AF69" s="124" t="e">
        <f>LEFT(北段!#REF!,4)</f>
        <v>#REF!</v>
      </c>
      <c r="AG69" s="124" t="e">
        <f>LEFT(北段!#REF!,4)</f>
        <v>#REF!</v>
      </c>
      <c r="AH69" s="124" t="e">
        <f>LEFT(北段!#REF!,4)</f>
        <v>#REF!</v>
      </c>
    </row>
    <row r="70" spans="1:34" s="36" customFormat="1" ht="34.5" customHeight="1" x14ac:dyDescent="0.25">
      <c r="A70" s="72"/>
      <c r="B70" s="72" t="e">
        <f>LEFT(北段!#REF!,6)</f>
        <v>#REF!</v>
      </c>
      <c r="C70" s="38" t="e">
        <f>VLOOKUP(B70,北段!B:C,2,FALSE)</f>
        <v>#REF!</v>
      </c>
      <c r="D70" s="124" t="e">
        <f>LEFT(北段!#REF!,4)</f>
        <v>#REF!</v>
      </c>
      <c r="E70" s="124" t="e">
        <f>LEFT(北段!#REF!,4)</f>
        <v>#REF!</v>
      </c>
      <c r="F70" s="124" t="e">
        <f>LEFT(北段!#REF!,4)</f>
        <v>#REF!</v>
      </c>
      <c r="G70" s="124" t="e">
        <f>LEFT(北段!#REF!,4)</f>
        <v>#REF!</v>
      </c>
      <c r="H70" s="124" t="e">
        <f>LEFT(北段!#REF!,4)</f>
        <v>#REF!</v>
      </c>
      <c r="I70" s="124" t="e">
        <f>LEFT(北段!#REF!,4)</f>
        <v>#REF!</v>
      </c>
      <c r="J70" s="124" t="e">
        <f>LEFT(北段!#REF!,4)</f>
        <v>#REF!</v>
      </c>
      <c r="K70" s="124" t="e">
        <f>LEFT(北段!#REF!,4)</f>
        <v>#REF!</v>
      </c>
      <c r="L70" s="124" t="e">
        <f>LEFT(北段!#REF!,4)</f>
        <v>#REF!</v>
      </c>
      <c r="M70" s="124" t="e">
        <f>LEFT(北段!#REF!,4)</f>
        <v>#REF!</v>
      </c>
      <c r="N70" s="124" t="e">
        <f>LEFT(北段!#REF!,4)</f>
        <v>#REF!</v>
      </c>
      <c r="O70" s="124" t="e">
        <f>LEFT(北段!#REF!,4)</f>
        <v>#REF!</v>
      </c>
      <c r="P70" s="124" t="e">
        <f>LEFT(北段!#REF!,4)</f>
        <v>#REF!</v>
      </c>
      <c r="Q70" s="124" t="e">
        <f>LEFT(北段!#REF!,4)</f>
        <v>#REF!</v>
      </c>
      <c r="R70" s="124" t="e">
        <f>LEFT(北段!#REF!,4)</f>
        <v>#REF!</v>
      </c>
      <c r="S70" s="124" t="e">
        <f>LEFT(北段!#REF!,4)</f>
        <v>#REF!</v>
      </c>
      <c r="T70" s="124" t="e">
        <f>LEFT(北段!#REF!,4)</f>
        <v>#REF!</v>
      </c>
      <c r="U70" s="124" t="e">
        <f>LEFT(北段!#REF!,4)</f>
        <v>#REF!</v>
      </c>
      <c r="V70" s="124" t="e">
        <f>LEFT(北段!#REF!,4)</f>
        <v>#REF!</v>
      </c>
      <c r="W70" s="124" t="e">
        <f>LEFT(北段!#REF!,4)</f>
        <v>#REF!</v>
      </c>
      <c r="X70" s="124" t="e">
        <f>LEFT(北段!#REF!,4)</f>
        <v>#REF!</v>
      </c>
      <c r="Y70" s="124" t="e">
        <f>LEFT(北段!#REF!,4)</f>
        <v>#REF!</v>
      </c>
      <c r="Z70" s="124" t="e">
        <f>LEFT(北段!#REF!,4)</f>
        <v>#REF!</v>
      </c>
      <c r="AA70" s="124" t="e">
        <f>LEFT(北段!#REF!,4)</f>
        <v>#REF!</v>
      </c>
      <c r="AB70" s="124" t="e">
        <f>LEFT(北段!#REF!,4)</f>
        <v>#REF!</v>
      </c>
      <c r="AC70" s="124" t="e">
        <f>LEFT(北段!#REF!,4)</f>
        <v>#REF!</v>
      </c>
      <c r="AD70" s="124" t="e">
        <f>LEFT(北段!#REF!,4)</f>
        <v>#REF!</v>
      </c>
      <c r="AE70" s="124" t="e">
        <f>LEFT(北段!#REF!,4)</f>
        <v>#REF!</v>
      </c>
      <c r="AF70" s="124" t="e">
        <f>LEFT(北段!#REF!,4)</f>
        <v>#REF!</v>
      </c>
      <c r="AG70" s="124" t="e">
        <f>LEFT(北段!#REF!,4)</f>
        <v>#REF!</v>
      </c>
      <c r="AH70" s="124" t="e">
        <f>LEFT(北段!#REF!,4)</f>
        <v>#REF!</v>
      </c>
    </row>
    <row r="71" spans="1:34" ht="34.5" customHeight="1" x14ac:dyDescent="0.25">
      <c r="A71" s="128"/>
      <c r="B71" s="72" t="e">
        <f>LEFT(北段!#REF!,6)</f>
        <v>#REF!</v>
      </c>
      <c r="C71" s="38" t="e">
        <f>VLOOKUP(B71,北段!B:C,2,FALSE)</f>
        <v>#REF!</v>
      </c>
      <c r="D71" s="124" t="e">
        <f>LEFT(北段!#REF!,4)</f>
        <v>#REF!</v>
      </c>
      <c r="E71" s="124" t="e">
        <f>LEFT(北段!#REF!,4)</f>
        <v>#REF!</v>
      </c>
      <c r="F71" s="124" t="e">
        <f>LEFT(北段!#REF!,4)</f>
        <v>#REF!</v>
      </c>
      <c r="G71" s="124" t="e">
        <f>LEFT(北段!#REF!,4)</f>
        <v>#REF!</v>
      </c>
      <c r="H71" s="124" t="e">
        <f>LEFT(北段!#REF!,4)</f>
        <v>#REF!</v>
      </c>
      <c r="I71" s="124" t="e">
        <f>LEFT(北段!#REF!,4)</f>
        <v>#REF!</v>
      </c>
      <c r="J71" s="124" t="e">
        <f>LEFT(北段!#REF!,4)</f>
        <v>#REF!</v>
      </c>
      <c r="K71" s="124" t="e">
        <f>LEFT(北段!#REF!,4)</f>
        <v>#REF!</v>
      </c>
      <c r="L71" s="124" t="e">
        <f>LEFT(北段!#REF!,4)</f>
        <v>#REF!</v>
      </c>
      <c r="M71" s="124" t="e">
        <f>LEFT(北段!#REF!,4)</f>
        <v>#REF!</v>
      </c>
      <c r="N71" s="124" t="e">
        <f>LEFT(北段!#REF!,4)</f>
        <v>#REF!</v>
      </c>
      <c r="O71" s="124" t="e">
        <f>LEFT(北段!#REF!,4)</f>
        <v>#REF!</v>
      </c>
      <c r="P71" s="124" t="e">
        <f>LEFT(北段!#REF!,4)</f>
        <v>#REF!</v>
      </c>
      <c r="Q71" s="124" t="e">
        <f>LEFT(北段!#REF!,4)</f>
        <v>#REF!</v>
      </c>
      <c r="R71" s="124" t="e">
        <f>LEFT(北段!#REF!,4)</f>
        <v>#REF!</v>
      </c>
      <c r="S71" s="124" t="e">
        <f>LEFT(北段!#REF!,4)</f>
        <v>#REF!</v>
      </c>
      <c r="T71" s="124" t="e">
        <f>LEFT(北段!#REF!,4)</f>
        <v>#REF!</v>
      </c>
      <c r="U71" s="124" t="e">
        <f>LEFT(北段!#REF!,4)</f>
        <v>#REF!</v>
      </c>
      <c r="V71" s="124" t="e">
        <f>LEFT(北段!#REF!,4)</f>
        <v>#REF!</v>
      </c>
      <c r="W71" s="124" t="e">
        <f>LEFT(北段!#REF!,4)</f>
        <v>#REF!</v>
      </c>
      <c r="X71" s="124" t="e">
        <f>LEFT(北段!#REF!,4)</f>
        <v>#REF!</v>
      </c>
      <c r="Y71" s="124" t="e">
        <f>LEFT(北段!#REF!,4)</f>
        <v>#REF!</v>
      </c>
      <c r="Z71" s="124" t="e">
        <f>LEFT(北段!#REF!,4)</f>
        <v>#REF!</v>
      </c>
      <c r="AA71" s="124" t="e">
        <f>LEFT(北段!#REF!,4)</f>
        <v>#REF!</v>
      </c>
      <c r="AB71" s="124" t="e">
        <f>LEFT(北段!#REF!,4)</f>
        <v>#REF!</v>
      </c>
      <c r="AC71" s="124" t="e">
        <f>LEFT(北段!#REF!,4)</f>
        <v>#REF!</v>
      </c>
      <c r="AD71" s="124" t="e">
        <f>LEFT(北段!#REF!,4)</f>
        <v>#REF!</v>
      </c>
      <c r="AE71" s="124" t="e">
        <f>LEFT(北段!#REF!,4)</f>
        <v>#REF!</v>
      </c>
      <c r="AF71" s="124" t="e">
        <f>LEFT(北段!#REF!,4)</f>
        <v>#REF!</v>
      </c>
      <c r="AG71" s="124" t="e">
        <f>LEFT(北段!#REF!,4)</f>
        <v>#REF!</v>
      </c>
      <c r="AH71" s="124" t="e">
        <f>LEFT(北段!#REF!,4)</f>
        <v>#REF!</v>
      </c>
    </row>
    <row r="72" spans="1:34" s="71" customFormat="1" ht="34.5" customHeight="1" x14ac:dyDescent="0.25">
      <c r="A72" s="128"/>
      <c r="B72" s="72" t="e">
        <f>LEFT(北段!#REF!,6)</f>
        <v>#REF!</v>
      </c>
      <c r="C72" s="38" t="e">
        <f>VLOOKUP(B72,北段!B:C,2,FALSE)</f>
        <v>#REF!</v>
      </c>
      <c r="D72" s="124" t="e">
        <f>LEFT(北段!#REF!,4)</f>
        <v>#REF!</v>
      </c>
      <c r="E72" s="124" t="e">
        <f>LEFT(北段!#REF!,4)</f>
        <v>#REF!</v>
      </c>
      <c r="F72" s="124" t="e">
        <f>LEFT(北段!#REF!,4)</f>
        <v>#REF!</v>
      </c>
      <c r="G72" s="124" t="e">
        <f>LEFT(北段!#REF!,4)</f>
        <v>#REF!</v>
      </c>
      <c r="H72" s="124" t="e">
        <f>LEFT(北段!#REF!,4)</f>
        <v>#REF!</v>
      </c>
      <c r="I72" s="124" t="e">
        <f>LEFT(北段!#REF!,4)</f>
        <v>#REF!</v>
      </c>
      <c r="J72" s="124" t="e">
        <f>LEFT(北段!#REF!,4)</f>
        <v>#REF!</v>
      </c>
      <c r="K72" s="124" t="e">
        <f>LEFT(北段!#REF!,4)</f>
        <v>#REF!</v>
      </c>
      <c r="L72" s="124" t="e">
        <f>LEFT(北段!#REF!,4)</f>
        <v>#REF!</v>
      </c>
      <c r="M72" s="124" t="e">
        <f>LEFT(北段!#REF!,4)</f>
        <v>#REF!</v>
      </c>
      <c r="N72" s="124" t="e">
        <f>LEFT(北段!#REF!,4)</f>
        <v>#REF!</v>
      </c>
      <c r="O72" s="124" t="e">
        <f>LEFT(北段!#REF!,4)</f>
        <v>#REF!</v>
      </c>
      <c r="P72" s="124" t="e">
        <f>LEFT(北段!#REF!,4)</f>
        <v>#REF!</v>
      </c>
      <c r="Q72" s="124" t="e">
        <f>LEFT(北段!#REF!,4)</f>
        <v>#REF!</v>
      </c>
      <c r="R72" s="124" t="e">
        <f>LEFT(北段!#REF!,4)</f>
        <v>#REF!</v>
      </c>
      <c r="S72" s="124" t="e">
        <f>LEFT(北段!#REF!,4)</f>
        <v>#REF!</v>
      </c>
      <c r="T72" s="124" t="e">
        <f>LEFT(北段!#REF!,4)</f>
        <v>#REF!</v>
      </c>
      <c r="U72" s="124" t="e">
        <f>LEFT(北段!#REF!,4)</f>
        <v>#REF!</v>
      </c>
      <c r="V72" s="124" t="e">
        <f>LEFT(北段!#REF!,4)</f>
        <v>#REF!</v>
      </c>
      <c r="W72" s="124" t="e">
        <f>LEFT(北段!#REF!,4)</f>
        <v>#REF!</v>
      </c>
      <c r="X72" s="124" t="e">
        <f>LEFT(北段!#REF!,4)</f>
        <v>#REF!</v>
      </c>
      <c r="Y72" s="124" t="e">
        <f>LEFT(北段!#REF!,4)</f>
        <v>#REF!</v>
      </c>
      <c r="Z72" s="124" t="e">
        <f>LEFT(北段!#REF!,4)</f>
        <v>#REF!</v>
      </c>
      <c r="AA72" s="124" t="e">
        <f>LEFT(北段!#REF!,4)</f>
        <v>#REF!</v>
      </c>
      <c r="AB72" s="124" t="e">
        <f>LEFT(北段!#REF!,4)</f>
        <v>#REF!</v>
      </c>
      <c r="AC72" s="124" t="e">
        <f>LEFT(北段!#REF!,4)</f>
        <v>#REF!</v>
      </c>
      <c r="AD72" s="124" t="e">
        <f>LEFT(北段!#REF!,4)</f>
        <v>#REF!</v>
      </c>
      <c r="AE72" s="124" t="e">
        <f>LEFT(北段!#REF!,4)</f>
        <v>#REF!</v>
      </c>
      <c r="AF72" s="124" t="e">
        <f>LEFT(北段!#REF!,4)</f>
        <v>#REF!</v>
      </c>
      <c r="AG72" s="124" t="e">
        <f>LEFT(北段!#REF!,4)</f>
        <v>#REF!</v>
      </c>
      <c r="AH72" s="124" t="e">
        <f>LEFT(北段!#REF!,4)</f>
        <v>#REF!</v>
      </c>
    </row>
    <row r="73" spans="1:34" s="71" customFormat="1" ht="34.5" customHeight="1" x14ac:dyDescent="0.25">
      <c r="A73" s="128"/>
      <c r="B73" s="72" t="e">
        <f>LEFT(北段!#REF!,6)</f>
        <v>#REF!</v>
      </c>
      <c r="C73" s="38" t="e">
        <f>VLOOKUP(B73,北段!B:C,2,FALSE)</f>
        <v>#REF!</v>
      </c>
      <c r="D73" s="124" t="e">
        <f>LEFT(北段!#REF!,4)</f>
        <v>#REF!</v>
      </c>
      <c r="E73" s="124" t="e">
        <f>LEFT(北段!#REF!,4)</f>
        <v>#REF!</v>
      </c>
      <c r="F73" s="124" t="e">
        <f>LEFT(北段!#REF!,4)</f>
        <v>#REF!</v>
      </c>
      <c r="G73" s="124" t="e">
        <f>LEFT(北段!#REF!,4)</f>
        <v>#REF!</v>
      </c>
      <c r="H73" s="124" t="e">
        <f>LEFT(北段!#REF!,4)</f>
        <v>#REF!</v>
      </c>
      <c r="I73" s="124" t="e">
        <f>LEFT(北段!#REF!,4)</f>
        <v>#REF!</v>
      </c>
      <c r="J73" s="124" t="e">
        <f>LEFT(北段!#REF!,4)</f>
        <v>#REF!</v>
      </c>
      <c r="K73" s="124" t="e">
        <f>LEFT(北段!#REF!,4)</f>
        <v>#REF!</v>
      </c>
      <c r="L73" s="124" t="e">
        <f>LEFT(北段!#REF!,4)</f>
        <v>#REF!</v>
      </c>
      <c r="M73" s="124" t="e">
        <f>LEFT(北段!#REF!,4)</f>
        <v>#REF!</v>
      </c>
      <c r="N73" s="124" t="e">
        <f>LEFT(北段!#REF!,4)</f>
        <v>#REF!</v>
      </c>
      <c r="O73" s="124" t="e">
        <f>LEFT(北段!#REF!,4)</f>
        <v>#REF!</v>
      </c>
      <c r="P73" s="124" t="e">
        <f>LEFT(北段!#REF!,4)</f>
        <v>#REF!</v>
      </c>
      <c r="Q73" s="124" t="e">
        <f>LEFT(北段!#REF!,4)</f>
        <v>#REF!</v>
      </c>
      <c r="R73" s="124" t="e">
        <f>LEFT(北段!#REF!,4)</f>
        <v>#REF!</v>
      </c>
      <c r="S73" s="124" t="e">
        <f>LEFT(北段!#REF!,4)</f>
        <v>#REF!</v>
      </c>
      <c r="T73" s="124" t="e">
        <f>LEFT(北段!#REF!,4)</f>
        <v>#REF!</v>
      </c>
      <c r="U73" s="124" t="e">
        <f>LEFT(北段!#REF!,4)</f>
        <v>#REF!</v>
      </c>
      <c r="V73" s="124" t="e">
        <f>LEFT(北段!#REF!,4)</f>
        <v>#REF!</v>
      </c>
      <c r="W73" s="124" t="e">
        <f>LEFT(北段!#REF!,4)</f>
        <v>#REF!</v>
      </c>
      <c r="X73" s="124" t="e">
        <f>LEFT(北段!#REF!,4)</f>
        <v>#REF!</v>
      </c>
      <c r="Y73" s="124" t="e">
        <f>LEFT(北段!#REF!,4)</f>
        <v>#REF!</v>
      </c>
      <c r="Z73" s="124" t="e">
        <f>LEFT(北段!#REF!,4)</f>
        <v>#REF!</v>
      </c>
      <c r="AA73" s="124" t="e">
        <f>LEFT(北段!#REF!,4)</f>
        <v>#REF!</v>
      </c>
      <c r="AB73" s="124" t="e">
        <f>LEFT(北段!#REF!,4)</f>
        <v>#REF!</v>
      </c>
      <c r="AC73" s="124" t="e">
        <f>LEFT(北段!#REF!,4)</f>
        <v>#REF!</v>
      </c>
      <c r="AD73" s="124" t="e">
        <f>LEFT(北段!#REF!,4)</f>
        <v>#REF!</v>
      </c>
      <c r="AE73" s="124" t="e">
        <f>LEFT(北段!#REF!,4)</f>
        <v>#REF!</v>
      </c>
      <c r="AF73" s="124" t="e">
        <f>LEFT(北段!#REF!,4)</f>
        <v>#REF!</v>
      </c>
      <c r="AG73" s="124" t="e">
        <f>LEFT(北段!#REF!,4)</f>
        <v>#REF!</v>
      </c>
      <c r="AH73" s="124" t="e">
        <f>LEFT(北段!#REF!,4)</f>
        <v>#REF!</v>
      </c>
    </row>
    <row r="74" spans="1:34" s="71" customFormat="1" ht="34.5" customHeight="1" x14ac:dyDescent="0.25">
      <c r="A74" s="128"/>
      <c r="B74" s="72" t="e">
        <f>LEFT(北段!#REF!,6)</f>
        <v>#REF!</v>
      </c>
      <c r="C74" s="38" t="e">
        <f>VLOOKUP(B74,北段!B:C,2,FALSE)</f>
        <v>#REF!</v>
      </c>
      <c r="D74" s="124" t="e">
        <f>LEFT(北段!#REF!,4)</f>
        <v>#REF!</v>
      </c>
      <c r="E74" s="124" t="e">
        <f>LEFT(北段!#REF!,4)</f>
        <v>#REF!</v>
      </c>
      <c r="F74" s="124" t="e">
        <f>LEFT(北段!#REF!,4)</f>
        <v>#REF!</v>
      </c>
      <c r="G74" s="124" t="e">
        <f>LEFT(北段!#REF!,4)</f>
        <v>#REF!</v>
      </c>
      <c r="H74" s="124" t="e">
        <f>LEFT(北段!#REF!,4)</f>
        <v>#REF!</v>
      </c>
      <c r="I74" s="124" t="e">
        <f>LEFT(北段!#REF!,4)</f>
        <v>#REF!</v>
      </c>
      <c r="J74" s="124" t="e">
        <f>LEFT(北段!#REF!,4)</f>
        <v>#REF!</v>
      </c>
      <c r="K74" s="124" t="e">
        <f>LEFT(北段!#REF!,4)</f>
        <v>#REF!</v>
      </c>
      <c r="L74" s="124" t="e">
        <f>LEFT(北段!#REF!,4)</f>
        <v>#REF!</v>
      </c>
      <c r="M74" s="124" t="e">
        <f>LEFT(北段!#REF!,4)</f>
        <v>#REF!</v>
      </c>
      <c r="N74" s="124" t="e">
        <f>LEFT(北段!#REF!,4)</f>
        <v>#REF!</v>
      </c>
      <c r="O74" s="124" t="e">
        <f>LEFT(北段!#REF!,4)</f>
        <v>#REF!</v>
      </c>
      <c r="P74" s="124" t="e">
        <f>LEFT(北段!#REF!,4)</f>
        <v>#REF!</v>
      </c>
      <c r="Q74" s="124" t="e">
        <f>LEFT(北段!#REF!,4)</f>
        <v>#REF!</v>
      </c>
      <c r="R74" s="124" t="e">
        <f>LEFT(北段!#REF!,4)</f>
        <v>#REF!</v>
      </c>
      <c r="S74" s="124" t="e">
        <f>LEFT(北段!#REF!,4)</f>
        <v>#REF!</v>
      </c>
      <c r="T74" s="124" t="e">
        <f>LEFT(北段!#REF!,4)</f>
        <v>#REF!</v>
      </c>
      <c r="U74" s="124" t="e">
        <f>LEFT(北段!#REF!,4)</f>
        <v>#REF!</v>
      </c>
      <c r="V74" s="124" t="e">
        <f>LEFT(北段!#REF!,4)</f>
        <v>#REF!</v>
      </c>
      <c r="W74" s="124" t="e">
        <f>LEFT(北段!#REF!,4)</f>
        <v>#REF!</v>
      </c>
      <c r="X74" s="124" t="e">
        <f>LEFT(北段!#REF!,4)</f>
        <v>#REF!</v>
      </c>
      <c r="Y74" s="124" t="e">
        <f>LEFT(北段!#REF!,4)</f>
        <v>#REF!</v>
      </c>
      <c r="Z74" s="124" t="e">
        <f>LEFT(北段!#REF!,4)</f>
        <v>#REF!</v>
      </c>
      <c r="AA74" s="124" t="e">
        <f>LEFT(北段!#REF!,4)</f>
        <v>#REF!</v>
      </c>
      <c r="AB74" s="124" t="e">
        <f>LEFT(北段!#REF!,4)</f>
        <v>#REF!</v>
      </c>
      <c r="AC74" s="124" t="e">
        <f>LEFT(北段!#REF!,4)</f>
        <v>#REF!</v>
      </c>
      <c r="AD74" s="124" t="e">
        <f>LEFT(北段!#REF!,4)</f>
        <v>#REF!</v>
      </c>
      <c r="AE74" s="124" t="e">
        <f>LEFT(北段!#REF!,4)</f>
        <v>#REF!</v>
      </c>
      <c r="AF74" s="124" t="e">
        <f>LEFT(北段!#REF!,4)</f>
        <v>#REF!</v>
      </c>
      <c r="AG74" s="124" t="e">
        <f>LEFT(北段!#REF!,4)</f>
        <v>#REF!</v>
      </c>
      <c r="AH74" s="124" t="e">
        <f>LEFT(北段!#REF!,4)</f>
        <v>#REF!</v>
      </c>
    </row>
    <row r="75" spans="1:34" s="71" customFormat="1" ht="34.5" customHeight="1" x14ac:dyDescent="0.25">
      <c r="A75" s="128"/>
      <c r="B75" s="72" t="e">
        <f>LEFT(北段!#REF!,6)</f>
        <v>#REF!</v>
      </c>
      <c r="C75" s="38" t="e">
        <f>VLOOKUP(B75,北段!B:C,2,FALSE)</f>
        <v>#REF!</v>
      </c>
      <c r="D75" s="124" t="e">
        <f>LEFT(北段!#REF!,4)</f>
        <v>#REF!</v>
      </c>
      <c r="E75" s="124" t="e">
        <f>LEFT(北段!#REF!,4)</f>
        <v>#REF!</v>
      </c>
      <c r="F75" s="124" t="e">
        <f>LEFT(北段!#REF!,4)</f>
        <v>#REF!</v>
      </c>
      <c r="G75" s="124" t="e">
        <f>LEFT(北段!#REF!,4)</f>
        <v>#REF!</v>
      </c>
      <c r="H75" s="124" t="e">
        <f>LEFT(北段!#REF!,4)</f>
        <v>#REF!</v>
      </c>
      <c r="I75" s="124" t="e">
        <f>LEFT(北段!#REF!,4)</f>
        <v>#REF!</v>
      </c>
      <c r="J75" s="124" t="e">
        <f>LEFT(北段!#REF!,4)</f>
        <v>#REF!</v>
      </c>
      <c r="K75" s="124" t="e">
        <f>LEFT(北段!#REF!,4)</f>
        <v>#REF!</v>
      </c>
      <c r="L75" s="124" t="e">
        <f>LEFT(北段!#REF!,4)</f>
        <v>#REF!</v>
      </c>
      <c r="M75" s="124" t="e">
        <f>LEFT(北段!#REF!,4)</f>
        <v>#REF!</v>
      </c>
      <c r="N75" s="124" t="e">
        <f>LEFT(北段!#REF!,4)</f>
        <v>#REF!</v>
      </c>
      <c r="O75" s="124" t="e">
        <f>LEFT(北段!#REF!,4)</f>
        <v>#REF!</v>
      </c>
      <c r="P75" s="124" t="e">
        <f>LEFT(北段!#REF!,4)</f>
        <v>#REF!</v>
      </c>
      <c r="Q75" s="124" t="e">
        <f>LEFT(北段!#REF!,4)</f>
        <v>#REF!</v>
      </c>
      <c r="R75" s="124" t="e">
        <f>LEFT(北段!#REF!,4)</f>
        <v>#REF!</v>
      </c>
      <c r="S75" s="124" t="e">
        <f>LEFT(北段!#REF!,4)</f>
        <v>#REF!</v>
      </c>
      <c r="T75" s="124" t="e">
        <f>LEFT(北段!#REF!,4)</f>
        <v>#REF!</v>
      </c>
      <c r="U75" s="124" t="e">
        <f>LEFT(北段!#REF!,4)</f>
        <v>#REF!</v>
      </c>
      <c r="V75" s="124" t="e">
        <f>LEFT(北段!#REF!,4)</f>
        <v>#REF!</v>
      </c>
      <c r="W75" s="124" t="e">
        <f>LEFT(北段!#REF!,4)</f>
        <v>#REF!</v>
      </c>
      <c r="X75" s="124" t="e">
        <f>LEFT(北段!#REF!,4)</f>
        <v>#REF!</v>
      </c>
      <c r="Y75" s="124" t="e">
        <f>LEFT(北段!#REF!,4)</f>
        <v>#REF!</v>
      </c>
      <c r="Z75" s="124" t="e">
        <f>LEFT(北段!#REF!,4)</f>
        <v>#REF!</v>
      </c>
      <c r="AA75" s="124" t="e">
        <f>LEFT(北段!#REF!,4)</f>
        <v>#REF!</v>
      </c>
      <c r="AB75" s="124" t="e">
        <f>LEFT(北段!#REF!,4)</f>
        <v>#REF!</v>
      </c>
      <c r="AC75" s="124" t="e">
        <f>LEFT(北段!#REF!,4)</f>
        <v>#REF!</v>
      </c>
      <c r="AD75" s="124" t="e">
        <f>LEFT(北段!#REF!,4)</f>
        <v>#REF!</v>
      </c>
      <c r="AE75" s="124" t="e">
        <f>LEFT(北段!#REF!,4)</f>
        <v>#REF!</v>
      </c>
      <c r="AF75" s="124" t="e">
        <f>LEFT(北段!#REF!,4)</f>
        <v>#REF!</v>
      </c>
      <c r="AG75" s="124" t="e">
        <f>LEFT(北段!#REF!,4)</f>
        <v>#REF!</v>
      </c>
      <c r="AH75" s="124" t="e">
        <f>LEFT(北段!#REF!,4)</f>
        <v>#REF!</v>
      </c>
    </row>
    <row r="76" spans="1:34" s="71" customFormat="1" ht="34.5" customHeight="1" x14ac:dyDescent="0.25">
      <c r="A76" s="128"/>
      <c r="B76" s="72" t="e">
        <f>LEFT(北段!#REF!,6)</f>
        <v>#REF!</v>
      </c>
      <c r="C76" s="38" t="e">
        <f>VLOOKUP(B76,北段!B:C,2,FALSE)</f>
        <v>#REF!</v>
      </c>
      <c r="D76" s="124" t="e">
        <f>LEFT(北段!#REF!,4)</f>
        <v>#REF!</v>
      </c>
      <c r="E76" s="124" t="e">
        <f>LEFT(北段!#REF!,4)</f>
        <v>#REF!</v>
      </c>
      <c r="F76" s="124" t="e">
        <f>LEFT(北段!#REF!,4)</f>
        <v>#REF!</v>
      </c>
      <c r="G76" s="124" t="e">
        <f>LEFT(北段!#REF!,4)</f>
        <v>#REF!</v>
      </c>
      <c r="H76" s="124" t="e">
        <f>LEFT(北段!#REF!,4)</f>
        <v>#REF!</v>
      </c>
      <c r="I76" s="124" t="e">
        <f>LEFT(北段!#REF!,4)</f>
        <v>#REF!</v>
      </c>
      <c r="J76" s="124" t="e">
        <f>LEFT(北段!#REF!,4)</f>
        <v>#REF!</v>
      </c>
      <c r="K76" s="124" t="e">
        <f>LEFT(北段!#REF!,4)</f>
        <v>#REF!</v>
      </c>
      <c r="L76" s="124" t="e">
        <f>LEFT(北段!#REF!,4)</f>
        <v>#REF!</v>
      </c>
      <c r="M76" s="124" t="e">
        <f>LEFT(北段!#REF!,4)</f>
        <v>#REF!</v>
      </c>
      <c r="N76" s="124" t="e">
        <f>LEFT(北段!#REF!,4)</f>
        <v>#REF!</v>
      </c>
      <c r="O76" s="124" t="e">
        <f>LEFT(北段!#REF!,4)</f>
        <v>#REF!</v>
      </c>
      <c r="P76" s="124" t="e">
        <f>LEFT(北段!#REF!,4)</f>
        <v>#REF!</v>
      </c>
      <c r="Q76" s="124" t="e">
        <f>LEFT(北段!#REF!,4)</f>
        <v>#REF!</v>
      </c>
      <c r="R76" s="124" t="e">
        <f>LEFT(北段!#REF!,4)</f>
        <v>#REF!</v>
      </c>
      <c r="S76" s="124" t="e">
        <f>LEFT(北段!#REF!,4)</f>
        <v>#REF!</v>
      </c>
      <c r="T76" s="124" t="e">
        <f>LEFT(北段!#REF!,4)</f>
        <v>#REF!</v>
      </c>
      <c r="U76" s="124" t="e">
        <f>LEFT(北段!#REF!,4)</f>
        <v>#REF!</v>
      </c>
      <c r="V76" s="124" t="e">
        <f>LEFT(北段!#REF!,4)</f>
        <v>#REF!</v>
      </c>
      <c r="W76" s="124" t="e">
        <f>LEFT(北段!#REF!,4)</f>
        <v>#REF!</v>
      </c>
      <c r="X76" s="124" t="e">
        <f>LEFT(北段!#REF!,4)</f>
        <v>#REF!</v>
      </c>
      <c r="Y76" s="124" t="e">
        <f>LEFT(北段!#REF!,4)</f>
        <v>#REF!</v>
      </c>
      <c r="Z76" s="124" t="e">
        <f>LEFT(北段!#REF!,4)</f>
        <v>#REF!</v>
      </c>
      <c r="AA76" s="124" t="e">
        <f>LEFT(北段!#REF!,4)</f>
        <v>#REF!</v>
      </c>
      <c r="AB76" s="124" t="e">
        <f>LEFT(北段!#REF!,4)</f>
        <v>#REF!</v>
      </c>
      <c r="AC76" s="124" t="e">
        <f>LEFT(北段!#REF!,4)</f>
        <v>#REF!</v>
      </c>
      <c r="AD76" s="124" t="e">
        <f>LEFT(北段!#REF!,4)</f>
        <v>#REF!</v>
      </c>
      <c r="AE76" s="124" t="e">
        <f>LEFT(北段!#REF!,4)</f>
        <v>#REF!</v>
      </c>
      <c r="AF76" s="124" t="e">
        <f>LEFT(北段!#REF!,4)</f>
        <v>#REF!</v>
      </c>
      <c r="AG76" s="124" t="e">
        <f>LEFT(北段!#REF!,4)</f>
        <v>#REF!</v>
      </c>
      <c r="AH76" s="124" t="e">
        <f>LEFT(北段!#REF!,4)</f>
        <v>#REF!</v>
      </c>
    </row>
    <row r="77" spans="1:34" s="71" customFormat="1" x14ac:dyDescent="0.25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Z77" s="10"/>
    </row>
    <row r="78" spans="1:34" s="71" customFormat="1" x14ac:dyDescent="0.25"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Z78" s="10"/>
    </row>
    <row r="79" spans="1:34" s="71" customFormat="1" x14ac:dyDescent="0.25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Z79" s="10"/>
    </row>
    <row r="80" spans="1:34" s="71" customFormat="1" ht="17.25" thickBot="1" x14ac:dyDescent="0.3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Z80" s="10"/>
    </row>
    <row r="81" spans="1:34" s="26" customFormat="1" ht="32.450000000000003" customHeight="1" x14ac:dyDescent="0.25">
      <c r="A81" s="22"/>
      <c r="B81" s="22"/>
      <c r="C81" s="53" t="s">
        <v>84</v>
      </c>
      <c r="D81" s="24">
        <f t="shared" ref="D81:AH81" si="1">COUNTIF(D$3:D$73,"41早")</f>
        <v>0</v>
      </c>
      <c r="E81" s="24">
        <f t="shared" si="1"/>
        <v>0</v>
      </c>
      <c r="F81" s="24">
        <f t="shared" si="1"/>
        <v>0</v>
      </c>
      <c r="G81" s="24">
        <f t="shared" si="1"/>
        <v>0</v>
      </c>
      <c r="H81" s="24">
        <f t="shared" si="1"/>
        <v>0</v>
      </c>
      <c r="I81" s="24">
        <f t="shared" si="1"/>
        <v>0</v>
      </c>
      <c r="J81" s="24">
        <f t="shared" si="1"/>
        <v>0</v>
      </c>
      <c r="K81" s="24">
        <f t="shared" si="1"/>
        <v>0</v>
      </c>
      <c r="L81" s="24">
        <f t="shared" si="1"/>
        <v>0</v>
      </c>
      <c r="M81" s="24">
        <f t="shared" si="1"/>
        <v>0</v>
      </c>
      <c r="N81" s="24">
        <f t="shared" si="1"/>
        <v>0</v>
      </c>
      <c r="O81" s="24">
        <f t="shared" si="1"/>
        <v>0</v>
      </c>
      <c r="P81" s="24">
        <f t="shared" si="1"/>
        <v>0</v>
      </c>
      <c r="Q81" s="24">
        <f t="shared" si="1"/>
        <v>0</v>
      </c>
      <c r="R81" s="24">
        <f t="shared" si="1"/>
        <v>0</v>
      </c>
      <c r="S81" s="24">
        <f t="shared" si="1"/>
        <v>0</v>
      </c>
      <c r="T81" s="24">
        <f t="shared" si="1"/>
        <v>0</v>
      </c>
      <c r="U81" s="24">
        <f t="shared" si="1"/>
        <v>0</v>
      </c>
      <c r="V81" s="24">
        <f t="shared" si="1"/>
        <v>0</v>
      </c>
      <c r="W81" s="24">
        <f t="shared" si="1"/>
        <v>0</v>
      </c>
      <c r="X81" s="24">
        <f t="shared" si="1"/>
        <v>0</v>
      </c>
      <c r="Y81" s="24">
        <f t="shared" si="1"/>
        <v>0</v>
      </c>
      <c r="Z81" s="24">
        <f t="shared" si="1"/>
        <v>0</v>
      </c>
      <c r="AA81" s="24">
        <f t="shared" si="1"/>
        <v>0</v>
      </c>
      <c r="AB81" s="24">
        <f t="shared" si="1"/>
        <v>0</v>
      </c>
      <c r="AC81" s="24">
        <f t="shared" si="1"/>
        <v>0</v>
      </c>
      <c r="AD81" s="24">
        <f t="shared" si="1"/>
        <v>0</v>
      </c>
      <c r="AE81" s="24">
        <f t="shared" si="1"/>
        <v>0</v>
      </c>
      <c r="AF81" s="24">
        <f t="shared" si="1"/>
        <v>0</v>
      </c>
      <c r="AG81" s="24">
        <f t="shared" si="1"/>
        <v>0</v>
      </c>
      <c r="AH81" s="24">
        <f t="shared" si="1"/>
        <v>0</v>
      </c>
    </row>
    <row r="82" spans="1:34" s="26" customFormat="1" ht="32.450000000000003" customHeight="1" x14ac:dyDescent="0.25">
      <c r="A82" s="22"/>
      <c r="B82" s="22"/>
      <c r="C82" s="28" t="s">
        <v>86</v>
      </c>
      <c r="D82" s="27">
        <f t="shared" ref="D82:AH82" si="2">COUNTIF(D$3:D$73,"41午")</f>
        <v>0</v>
      </c>
      <c r="E82" s="27">
        <f t="shared" si="2"/>
        <v>0</v>
      </c>
      <c r="F82" s="27">
        <f t="shared" si="2"/>
        <v>0</v>
      </c>
      <c r="G82" s="27">
        <f t="shared" si="2"/>
        <v>0</v>
      </c>
      <c r="H82" s="27">
        <f t="shared" si="2"/>
        <v>0</v>
      </c>
      <c r="I82" s="27">
        <f t="shared" si="2"/>
        <v>0</v>
      </c>
      <c r="J82" s="27">
        <f t="shared" si="2"/>
        <v>0</v>
      </c>
      <c r="K82" s="27">
        <f t="shared" si="2"/>
        <v>0</v>
      </c>
      <c r="L82" s="27">
        <f t="shared" si="2"/>
        <v>0</v>
      </c>
      <c r="M82" s="27">
        <f t="shared" si="2"/>
        <v>0</v>
      </c>
      <c r="N82" s="27">
        <f t="shared" si="2"/>
        <v>0</v>
      </c>
      <c r="O82" s="27">
        <f t="shared" si="2"/>
        <v>0</v>
      </c>
      <c r="P82" s="27">
        <f t="shared" si="2"/>
        <v>0</v>
      </c>
      <c r="Q82" s="27">
        <f t="shared" si="2"/>
        <v>0</v>
      </c>
      <c r="R82" s="27">
        <f t="shared" si="2"/>
        <v>0</v>
      </c>
      <c r="S82" s="27">
        <f t="shared" si="2"/>
        <v>0</v>
      </c>
      <c r="T82" s="27">
        <f t="shared" si="2"/>
        <v>0</v>
      </c>
      <c r="U82" s="27">
        <f t="shared" si="2"/>
        <v>0</v>
      </c>
      <c r="V82" s="27">
        <f t="shared" si="2"/>
        <v>0</v>
      </c>
      <c r="W82" s="27">
        <f t="shared" si="2"/>
        <v>0</v>
      </c>
      <c r="X82" s="27">
        <f t="shared" si="2"/>
        <v>0</v>
      </c>
      <c r="Y82" s="27">
        <f t="shared" si="2"/>
        <v>0</v>
      </c>
      <c r="Z82" s="27">
        <f t="shared" si="2"/>
        <v>0</v>
      </c>
      <c r="AA82" s="27">
        <f t="shared" si="2"/>
        <v>0</v>
      </c>
      <c r="AB82" s="27">
        <f t="shared" si="2"/>
        <v>0</v>
      </c>
      <c r="AC82" s="27">
        <f t="shared" si="2"/>
        <v>0</v>
      </c>
      <c r="AD82" s="27">
        <f t="shared" si="2"/>
        <v>0</v>
      </c>
      <c r="AE82" s="27">
        <f t="shared" si="2"/>
        <v>0</v>
      </c>
      <c r="AF82" s="27">
        <f t="shared" si="2"/>
        <v>0</v>
      </c>
      <c r="AG82" s="27">
        <f t="shared" si="2"/>
        <v>0</v>
      </c>
      <c r="AH82" s="27">
        <f t="shared" si="2"/>
        <v>0</v>
      </c>
    </row>
    <row r="83" spans="1:34" s="26" customFormat="1" ht="32.450000000000003" customHeight="1" thickBot="1" x14ac:dyDescent="0.3">
      <c r="A83" s="22"/>
      <c r="B83" s="22"/>
      <c r="C83" s="29" t="s">
        <v>87</v>
      </c>
      <c r="D83" s="30">
        <f t="shared" ref="D83:AH83" si="3">COUNTIF(D$3:D$73,"41夜*")</f>
        <v>0</v>
      </c>
      <c r="E83" s="30">
        <f t="shared" si="3"/>
        <v>0</v>
      </c>
      <c r="F83" s="30">
        <f t="shared" si="3"/>
        <v>0</v>
      </c>
      <c r="G83" s="30">
        <f t="shared" si="3"/>
        <v>0</v>
      </c>
      <c r="H83" s="30">
        <f t="shared" si="3"/>
        <v>0</v>
      </c>
      <c r="I83" s="30">
        <f t="shared" si="3"/>
        <v>0</v>
      </c>
      <c r="J83" s="30">
        <f t="shared" si="3"/>
        <v>0</v>
      </c>
      <c r="K83" s="30">
        <f t="shared" si="3"/>
        <v>0</v>
      </c>
      <c r="L83" s="30">
        <f t="shared" si="3"/>
        <v>0</v>
      </c>
      <c r="M83" s="30">
        <f t="shared" si="3"/>
        <v>0</v>
      </c>
      <c r="N83" s="30">
        <f t="shared" si="3"/>
        <v>0</v>
      </c>
      <c r="O83" s="30">
        <f t="shared" si="3"/>
        <v>0</v>
      </c>
      <c r="P83" s="30">
        <f t="shared" si="3"/>
        <v>0</v>
      </c>
      <c r="Q83" s="30">
        <f t="shared" si="3"/>
        <v>0</v>
      </c>
      <c r="R83" s="30">
        <f t="shared" si="3"/>
        <v>0</v>
      </c>
      <c r="S83" s="30">
        <f t="shared" si="3"/>
        <v>0</v>
      </c>
      <c r="T83" s="30">
        <f t="shared" si="3"/>
        <v>0</v>
      </c>
      <c r="U83" s="30">
        <f t="shared" si="3"/>
        <v>0</v>
      </c>
      <c r="V83" s="30">
        <f t="shared" si="3"/>
        <v>0</v>
      </c>
      <c r="W83" s="30">
        <f t="shared" si="3"/>
        <v>0</v>
      </c>
      <c r="X83" s="30">
        <f t="shared" si="3"/>
        <v>0</v>
      </c>
      <c r="Y83" s="30">
        <f t="shared" si="3"/>
        <v>0</v>
      </c>
      <c r="Z83" s="30">
        <f t="shared" si="3"/>
        <v>0</v>
      </c>
      <c r="AA83" s="30">
        <f t="shared" si="3"/>
        <v>0</v>
      </c>
      <c r="AB83" s="30">
        <f t="shared" si="3"/>
        <v>0</v>
      </c>
      <c r="AC83" s="30">
        <f t="shared" si="3"/>
        <v>0</v>
      </c>
      <c r="AD83" s="30">
        <f t="shared" si="3"/>
        <v>0</v>
      </c>
      <c r="AE83" s="30">
        <f t="shared" si="3"/>
        <v>0</v>
      </c>
      <c r="AF83" s="30">
        <f t="shared" si="3"/>
        <v>0</v>
      </c>
      <c r="AG83" s="30">
        <f t="shared" si="3"/>
        <v>0</v>
      </c>
      <c r="AH83" s="30">
        <f t="shared" si="3"/>
        <v>0</v>
      </c>
    </row>
    <row r="84" spans="1:34" s="26" customFormat="1" ht="32.450000000000003" customHeight="1" x14ac:dyDescent="0.25">
      <c r="A84" s="22"/>
      <c r="B84" s="160"/>
      <c r="C84" s="53" t="s">
        <v>27</v>
      </c>
      <c r="D84" s="24">
        <f t="shared" ref="D84:AH84" si="4">COUNTIF(D$3:D$73,"01早*")</f>
        <v>6</v>
      </c>
      <c r="E84" s="24">
        <f t="shared" si="4"/>
        <v>0</v>
      </c>
      <c r="F84" s="24">
        <f t="shared" si="4"/>
        <v>0</v>
      </c>
      <c r="G84" s="24">
        <f t="shared" si="4"/>
        <v>0</v>
      </c>
      <c r="H84" s="24">
        <f t="shared" si="4"/>
        <v>1</v>
      </c>
      <c r="I84" s="24">
        <f t="shared" si="4"/>
        <v>0</v>
      </c>
      <c r="J84" s="24">
        <f t="shared" si="4"/>
        <v>0</v>
      </c>
      <c r="K84" s="24">
        <f t="shared" si="4"/>
        <v>1</v>
      </c>
      <c r="L84" s="24">
        <f t="shared" si="4"/>
        <v>0</v>
      </c>
      <c r="M84" s="24">
        <f t="shared" si="4"/>
        <v>0</v>
      </c>
      <c r="N84" s="24">
        <f t="shared" si="4"/>
        <v>0</v>
      </c>
      <c r="O84" s="24">
        <f t="shared" si="4"/>
        <v>1</v>
      </c>
      <c r="P84" s="24">
        <f t="shared" si="4"/>
        <v>0</v>
      </c>
      <c r="Q84" s="24">
        <f t="shared" si="4"/>
        <v>0</v>
      </c>
      <c r="R84" s="24">
        <f t="shared" si="4"/>
        <v>1</v>
      </c>
      <c r="S84" s="24">
        <f t="shared" si="4"/>
        <v>0</v>
      </c>
      <c r="T84" s="24">
        <f t="shared" si="4"/>
        <v>0</v>
      </c>
      <c r="U84" s="24">
        <f t="shared" si="4"/>
        <v>0</v>
      </c>
      <c r="V84" s="24">
        <f t="shared" si="4"/>
        <v>1</v>
      </c>
      <c r="W84" s="24">
        <f t="shared" si="4"/>
        <v>0</v>
      </c>
      <c r="X84" s="24">
        <f t="shared" si="4"/>
        <v>0</v>
      </c>
      <c r="Y84" s="24">
        <f t="shared" si="4"/>
        <v>0</v>
      </c>
      <c r="Z84" s="24">
        <f t="shared" si="4"/>
        <v>0</v>
      </c>
      <c r="AA84" s="24">
        <f t="shared" si="4"/>
        <v>0</v>
      </c>
      <c r="AB84" s="24">
        <f t="shared" si="4"/>
        <v>0</v>
      </c>
      <c r="AC84" s="24">
        <f t="shared" si="4"/>
        <v>1</v>
      </c>
      <c r="AD84" s="24">
        <f t="shared" si="4"/>
        <v>0</v>
      </c>
      <c r="AE84" s="24">
        <f t="shared" si="4"/>
        <v>0</v>
      </c>
      <c r="AF84" s="24">
        <f t="shared" si="4"/>
        <v>0</v>
      </c>
      <c r="AG84" s="24">
        <f t="shared" si="4"/>
        <v>0</v>
      </c>
      <c r="AH84" s="24">
        <f t="shared" si="4"/>
        <v>0</v>
      </c>
    </row>
    <row r="85" spans="1:34" s="26" customFormat="1" ht="32.450000000000003" customHeight="1" x14ac:dyDescent="0.25">
      <c r="A85" s="22"/>
      <c r="B85" s="160"/>
      <c r="C85" s="53" t="s">
        <v>28</v>
      </c>
      <c r="D85" s="27">
        <f t="shared" ref="D85:AH85" si="5">COUNTIF(D$3:D$73,"01中A*")</f>
        <v>0</v>
      </c>
      <c r="E85" s="27">
        <f t="shared" si="5"/>
        <v>0</v>
      </c>
      <c r="F85" s="27">
        <f t="shared" si="5"/>
        <v>0</v>
      </c>
      <c r="G85" s="27">
        <f t="shared" si="5"/>
        <v>0</v>
      </c>
      <c r="H85" s="27">
        <f t="shared" si="5"/>
        <v>0</v>
      </c>
      <c r="I85" s="27">
        <f t="shared" si="5"/>
        <v>0</v>
      </c>
      <c r="J85" s="27">
        <f t="shared" si="5"/>
        <v>0</v>
      </c>
      <c r="K85" s="27">
        <f t="shared" si="5"/>
        <v>0</v>
      </c>
      <c r="L85" s="27">
        <f t="shared" si="5"/>
        <v>0</v>
      </c>
      <c r="M85" s="27">
        <f t="shared" si="5"/>
        <v>0</v>
      </c>
      <c r="N85" s="27">
        <f t="shared" si="5"/>
        <v>0</v>
      </c>
      <c r="O85" s="27">
        <f t="shared" si="5"/>
        <v>0</v>
      </c>
      <c r="P85" s="27">
        <f t="shared" si="5"/>
        <v>0</v>
      </c>
      <c r="Q85" s="27">
        <f t="shared" si="5"/>
        <v>0</v>
      </c>
      <c r="R85" s="27">
        <f t="shared" si="5"/>
        <v>0</v>
      </c>
      <c r="S85" s="27">
        <f t="shared" si="5"/>
        <v>0</v>
      </c>
      <c r="T85" s="27">
        <f t="shared" si="5"/>
        <v>0</v>
      </c>
      <c r="U85" s="27">
        <f t="shared" si="5"/>
        <v>0</v>
      </c>
      <c r="V85" s="27">
        <f t="shared" si="5"/>
        <v>0</v>
      </c>
      <c r="W85" s="27">
        <f t="shared" si="5"/>
        <v>0</v>
      </c>
      <c r="X85" s="27">
        <f t="shared" si="5"/>
        <v>0</v>
      </c>
      <c r="Y85" s="27">
        <f t="shared" si="5"/>
        <v>0</v>
      </c>
      <c r="Z85" s="27">
        <f t="shared" si="5"/>
        <v>0</v>
      </c>
      <c r="AA85" s="27">
        <f t="shared" si="5"/>
        <v>0</v>
      </c>
      <c r="AB85" s="27">
        <f t="shared" si="5"/>
        <v>0</v>
      </c>
      <c r="AC85" s="27">
        <f t="shared" si="5"/>
        <v>0</v>
      </c>
      <c r="AD85" s="27">
        <f t="shared" si="5"/>
        <v>0</v>
      </c>
      <c r="AE85" s="27">
        <f t="shared" si="5"/>
        <v>0</v>
      </c>
      <c r="AF85" s="27">
        <f t="shared" si="5"/>
        <v>0</v>
      </c>
      <c r="AG85" s="27">
        <f t="shared" si="5"/>
        <v>0</v>
      </c>
      <c r="AH85" s="27">
        <f t="shared" si="5"/>
        <v>0</v>
      </c>
    </row>
    <row r="86" spans="1:34" s="26" customFormat="1" ht="32.450000000000003" customHeight="1" x14ac:dyDescent="0.25">
      <c r="A86" s="22"/>
      <c r="B86" s="160"/>
      <c r="C86" s="53" t="s">
        <v>29</v>
      </c>
      <c r="D86" s="27">
        <f t="shared" ref="D86:AH86" si="6">COUNTIF(D$3:D$73,"01午*")</f>
        <v>6</v>
      </c>
      <c r="E86" s="27">
        <f t="shared" si="6"/>
        <v>0</v>
      </c>
      <c r="F86" s="27">
        <f t="shared" si="6"/>
        <v>0</v>
      </c>
      <c r="G86" s="27">
        <f t="shared" si="6"/>
        <v>0</v>
      </c>
      <c r="H86" s="27">
        <f t="shared" si="6"/>
        <v>0</v>
      </c>
      <c r="I86" s="27">
        <f t="shared" si="6"/>
        <v>0</v>
      </c>
      <c r="J86" s="27">
        <f t="shared" si="6"/>
        <v>0</v>
      </c>
      <c r="K86" s="27">
        <f t="shared" si="6"/>
        <v>0</v>
      </c>
      <c r="L86" s="27">
        <f t="shared" si="6"/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7">
        <f t="shared" si="6"/>
        <v>0</v>
      </c>
      <c r="Q86" s="27">
        <f t="shared" si="6"/>
        <v>0</v>
      </c>
      <c r="R86" s="27">
        <f t="shared" si="6"/>
        <v>0</v>
      </c>
      <c r="S86" s="27">
        <f t="shared" si="6"/>
        <v>0</v>
      </c>
      <c r="T86" s="27">
        <f t="shared" si="6"/>
        <v>1</v>
      </c>
      <c r="U86" s="27">
        <f t="shared" si="6"/>
        <v>0</v>
      </c>
      <c r="V86" s="27">
        <f t="shared" si="6"/>
        <v>0</v>
      </c>
      <c r="W86" s="27">
        <f t="shared" si="6"/>
        <v>0</v>
      </c>
      <c r="X86" s="27">
        <f t="shared" si="6"/>
        <v>0</v>
      </c>
      <c r="Y86" s="27">
        <f t="shared" si="6"/>
        <v>0</v>
      </c>
      <c r="Z86" s="27">
        <f t="shared" si="6"/>
        <v>0</v>
      </c>
      <c r="AA86" s="27">
        <f t="shared" si="6"/>
        <v>0</v>
      </c>
      <c r="AB86" s="27">
        <f t="shared" si="6"/>
        <v>0</v>
      </c>
      <c r="AC86" s="27">
        <f t="shared" si="6"/>
        <v>0</v>
      </c>
      <c r="AD86" s="27">
        <f t="shared" si="6"/>
        <v>0</v>
      </c>
      <c r="AE86" s="27">
        <f t="shared" si="6"/>
        <v>0</v>
      </c>
      <c r="AF86" s="27">
        <f t="shared" si="6"/>
        <v>0</v>
      </c>
      <c r="AG86" s="27">
        <f t="shared" si="6"/>
        <v>0</v>
      </c>
      <c r="AH86" s="27">
        <f t="shared" si="6"/>
        <v>0</v>
      </c>
    </row>
    <row r="87" spans="1:34" s="26" customFormat="1" ht="32.25" customHeight="1" thickBot="1" x14ac:dyDescent="0.3">
      <c r="A87" s="22"/>
      <c r="B87" s="160"/>
      <c r="C87" s="29" t="s">
        <v>30</v>
      </c>
      <c r="D87" s="30">
        <f t="shared" ref="D87:AH87" si="7">COUNTIF(D$3:D$73,"01夜*")</f>
        <v>2</v>
      </c>
      <c r="E87" s="30">
        <f t="shared" si="7"/>
        <v>0</v>
      </c>
      <c r="F87" s="30">
        <f t="shared" si="7"/>
        <v>0</v>
      </c>
      <c r="G87" s="30">
        <f t="shared" si="7"/>
        <v>0</v>
      </c>
      <c r="H87" s="30">
        <f t="shared" si="7"/>
        <v>0</v>
      </c>
      <c r="I87" s="30">
        <f t="shared" si="7"/>
        <v>0</v>
      </c>
      <c r="J87" s="30">
        <f t="shared" si="7"/>
        <v>0</v>
      </c>
      <c r="K87" s="30">
        <f t="shared" si="7"/>
        <v>1</v>
      </c>
      <c r="L87" s="30">
        <f t="shared" si="7"/>
        <v>1</v>
      </c>
      <c r="M87" s="30">
        <f t="shared" si="7"/>
        <v>1</v>
      </c>
      <c r="N87" s="30">
        <f t="shared" si="7"/>
        <v>1</v>
      </c>
      <c r="O87" s="30">
        <f t="shared" si="7"/>
        <v>1</v>
      </c>
      <c r="P87" s="30">
        <f t="shared" si="7"/>
        <v>1</v>
      </c>
      <c r="Q87" s="30">
        <f t="shared" si="7"/>
        <v>0</v>
      </c>
      <c r="R87" s="30">
        <f t="shared" si="7"/>
        <v>0</v>
      </c>
      <c r="S87" s="30">
        <f t="shared" si="7"/>
        <v>0</v>
      </c>
      <c r="T87" s="30">
        <f t="shared" si="7"/>
        <v>1</v>
      </c>
      <c r="U87" s="30">
        <f t="shared" si="7"/>
        <v>1</v>
      </c>
      <c r="V87" s="30">
        <f t="shared" si="7"/>
        <v>1</v>
      </c>
      <c r="W87" s="30">
        <f t="shared" si="7"/>
        <v>1</v>
      </c>
      <c r="X87" s="30">
        <f t="shared" si="7"/>
        <v>1</v>
      </c>
      <c r="Y87" s="30">
        <f t="shared" si="7"/>
        <v>1</v>
      </c>
      <c r="Z87" s="30">
        <f t="shared" si="7"/>
        <v>1</v>
      </c>
      <c r="AA87" s="30">
        <f t="shared" si="7"/>
        <v>0</v>
      </c>
      <c r="AB87" s="30">
        <f t="shared" si="7"/>
        <v>1</v>
      </c>
      <c r="AC87" s="30">
        <f t="shared" si="7"/>
        <v>1</v>
      </c>
      <c r="AD87" s="30">
        <f t="shared" si="7"/>
        <v>1</v>
      </c>
      <c r="AE87" s="30">
        <f t="shared" si="7"/>
        <v>1</v>
      </c>
      <c r="AF87" s="30">
        <f t="shared" si="7"/>
        <v>1</v>
      </c>
      <c r="AG87" s="30">
        <f t="shared" si="7"/>
        <v>1</v>
      </c>
      <c r="AH87" s="30">
        <f t="shared" si="7"/>
        <v>0</v>
      </c>
    </row>
    <row r="88" spans="1:34" s="26" customFormat="1" ht="32.450000000000003" customHeight="1" x14ac:dyDescent="0.25">
      <c r="A88" s="22"/>
      <c r="B88" s="22"/>
      <c r="C88" s="52" t="s">
        <v>31</v>
      </c>
      <c r="D88" s="24">
        <f t="shared" ref="D88:AH88" si="8">COUNTIF(D$3:D$76,"**02早*")</f>
        <v>0</v>
      </c>
      <c r="E88" s="24">
        <f t="shared" si="8"/>
        <v>0</v>
      </c>
      <c r="F88" s="24">
        <f t="shared" si="8"/>
        <v>0</v>
      </c>
      <c r="G88" s="24">
        <f t="shared" si="8"/>
        <v>0</v>
      </c>
      <c r="H88" s="24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8"/>
        <v>0</v>
      </c>
      <c r="N88" s="24">
        <f t="shared" si="8"/>
        <v>0</v>
      </c>
      <c r="O88" s="24">
        <f t="shared" si="8"/>
        <v>0</v>
      </c>
      <c r="P88" s="24">
        <f t="shared" si="8"/>
        <v>0</v>
      </c>
      <c r="Q88" s="24">
        <f t="shared" si="8"/>
        <v>0</v>
      </c>
      <c r="R88" s="24">
        <f t="shared" si="8"/>
        <v>0</v>
      </c>
      <c r="S88" s="24">
        <f t="shared" si="8"/>
        <v>0</v>
      </c>
      <c r="T88" s="24">
        <f t="shared" si="8"/>
        <v>0</v>
      </c>
      <c r="U88" s="24">
        <f t="shared" si="8"/>
        <v>0</v>
      </c>
      <c r="V88" s="24">
        <f t="shared" si="8"/>
        <v>0</v>
      </c>
      <c r="W88" s="24">
        <f t="shared" si="8"/>
        <v>0</v>
      </c>
      <c r="X88" s="24">
        <f t="shared" si="8"/>
        <v>0</v>
      </c>
      <c r="Y88" s="24">
        <f t="shared" si="8"/>
        <v>0</v>
      </c>
      <c r="Z88" s="24">
        <f t="shared" si="8"/>
        <v>0</v>
      </c>
      <c r="AA88" s="24">
        <f t="shared" si="8"/>
        <v>0</v>
      </c>
      <c r="AB88" s="24">
        <f t="shared" si="8"/>
        <v>0</v>
      </c>
      <c r="AC88" s="24">
        <f t="shared" si="8"/>
        <v>0</v>
      </c>
      <c r="AD88" s="24">
        <f t="shared" si="8"/>
        <v>0</v>
      </c>
      <c r="AE88" s="24">
        <f t="shared" si="8"/>
        <v>0</v>
      </c>
      <c r="AF88" s="24">
        <f t="shared" si="8"/>
        <v>0</v>
      </c>
      <c r="AG88" s="24">
        <f t="shared" si="8"/>
        <v>0</v>
      </c>
      <c r="AH88" s="24">
        <f t="shared" si="8"/>
        <v>0</v>
      </c>
    </row>
    <row r="89" spans="1:34" s="26" customFormat="1" ht="32.450000000000003" customHeight="1" x14ac:dyDescent="0.25">
      <c r="A89" s="22"/>
      <c r="B89" s="22"/>
      <c r="C89" s="28" t="s">
        <v>32</v>
      </c>
      <c r="D89" s="27">
        <f t="shared" ref="D89:AH89" si="9">COUNTIF(D$3:D$76,"02中A*")</f>
        <v>0</v>
      </c>
      <c r="E89" s="27">
        <f t="shared" si="9"/>
        <v>0</v>
      </c>
      <c r="F89" s="27">
        <f t="shared" si="9"/>
        <v>0</v>
      </c>
      <c r="G89" s="27">
        <f t="shared" si="9"/>
        <v>0</v>
      </c>
      <c r="H89" s="27">
        <f t="shared" si="9"/>
        <v>0</v>
      </c>
      <c r="I89" s="27">
        <f t="shared" si="9"/>
        <v>0</v>
      </c>
      <c r="J89" s="27">
        <f t="shared" si="9"/>
        <v>0</v>
      </c>
      <c r="K89" s="27">
        <f t="shared" si="9"/>
        <v>0</v>
      </c>
      <c r="L89" s="27">
        <f t="shared" si="9"/>
        <v>0</v>
      </c>
      <c r="M89" s="27">
        <f t="shared" si="9"/>
        <v>0</v>
      </c>
      <c r="N89" s="27">
        <f t="shared" si="9"/>
        <v>0</v>
      </c>
      <c r="O89" s="27">
        <f t="shared" si="9"/>
        <v>0</v>
      </c>
      <c r="P89" s="27">
        <f t="shared" si="9"/>
        <v>0</v>
      </c>
      <c r="Q89" s="27">
        <f t="shared" si="9"/>
        <v>0</v>
      </c>
      <c r="R89" s="27">
        <f t="shared" si="9"/>
        <v>0</v>
      </c>
      <c r="S89" s="27">
        <f t="shared" si="9"/>
        <v>0</v>
      </c>
      <c r="T89" s="27">
        <f t="shared" si="9"/>
        <v>0</v>
      </c>
      <c r="U89" s="27">
        <f t="shared" si="9"/>
        <v>0</v>
      </c>
      <c r="V89" s="27">
        <f t="shared" si="9"/>
        <v>0</v>
      </c>
      <c r="W89" s="27">
        <f t="shared" si="9"/>
        <v>0</v>
      </c>
      <c r="X89" s="27">
        <f t="shared" si="9"/>
        <v>0</v>
      </c>
      <c r="Y89" s="27">
        <f t="shared" si="9"/>
        <v>0</v>
      </c>
      <c r="Z89" s="27">
        <f t="shared" si="9"/>
        <v>0</v>
      </c>
      <c r="AA89" s="27">
        <f t="shared" si="9"/>
        <v>0</v>
      </c>
      <c r="AB89" s="27">
        <f t="shared" si="9"/>
        <v>0</v>
      </c>
      <c r="AC89" s="27">
        <f t="shared" si="9"/>
        <v>0</v>
      </c>
      <c r="AD89" s="27">
        <f t="shared" si="9"/>
        <v>0</v>
      </c>
      <c r="AE89" s="27">
        <f t="shared" si="9"/>
        <v>0</v>
      </c>
      <c r="AF89" s="27">
        <f t="shared" si="9"/>
        <v>0</v>
      </c>
      <c r="AG89" s="27">
        <f t="shared" si="9"/>
        <v>0</v>
      </c>
      <c r="AH89" s="27">
        <f t="shared" si="9"/>
        <v>0</v>
      </c>
    </row>
    <row r="90" spans="1:34" s="26" customFormat="1" ht="32.450000000000003" customHeight="1" x14ac:dyDescent="0.25">
      <c r="A90" s="22"/>
      <c r="B90" s="22"/>
      <c r="C90" s="28" t="s">
        <v>33</v>
      </c>
      <c r="D90" s="27">
        <f t="shared" ref="D90:AH90" si="10">COUNTIF(D$3:D$76,"*02午*")</f>
        <v>0</v>
      </c>
      <c r="E90" s="27">
        <f t="shared" si="10"/>
        <v>0</v>
      </c>
      <c r="F90" s="27">
        <f t="shared" si="10"/>
        <v>0</v>
      </c>
      <c r="G90" s="27">
        <f t="shared" si="10"/>
        <v>0</v>
      </c>
      <c r="H90" s="27">
        <f t="shared" si="10"/>
        <v>0</v>
      </c>
      <c r="I90" s="27">
        <f t="shared" si="10"/>
        <v>0</v>
      </c>
      <c r="J90" s="27">
        <f t="shared" si="10"/>
        <v>0</v>
      </c>
      <c r="K90" s="27">
        <f t="shared" si="10"/>
        <v>0</v>
      </c>
      <c r="L90" s="27">
        <f t="shared" si="10"/>
        <v>0</v>
      </c>
      <c r="M90" s="27">
        <f t="shared" si="10"/>
        <v>0</v>
      </c>
      <c r="N90" s="27">
        <f t="shared" si="10"/>
        <v>0</v>
      </c>
      <c r="O90" s="27">
        <f t="shared" si="10"/>
        <v>0</v>
      </c>
      <c r="P90" s="27">
        <f t="shared" si="10"/>
        <v>0</v>
      </c>
      <c r="Q90" s="27">
        <f t="shared" si="10"/>
        <v>0</v>
      </c>
      <c r="R90" s="27">
        <f t="shared" si="10"/>
        <v>0</v>
      </c>
      <c r="S90" s="27">
        <f t="shared" si="10"/>
        <v>0</v>
      </c>
      <c r="T90" s="27">
        <f t="shared" si="10"/>
        <v>0</v>
      </c>
      <c r="U90" s="27">
        <f t="shared" si="10"/>
        <v>0</v>
      </c>
      <c r="V90" s="27">
        <f t="shared" si="10"/>
        <v>0</v>
      </c>
      <c r="W90" s="27">
        <f t="shared" si="10"/>
        <v>0</v>
      </c>
      <c r="X90" s="27">
        <f t="shared" si="10"/>
        <v>0</v>
      </c>
      <c r="Y90" s="27">
        <f t="shared" si="10"/>
        <v>0</v>
      </c>
      <c r="Z90" s="27">
        <f t="shared" si="10"/>
        <v>0</v>
      </c>
      <c r="AA90" s="27">
        <f t="shared" si="10"/>
        <v>0</v>
      </c>
      <c r="AB90" s="27">
        <f t="shared" si="10"/>
        <v>0</v>
      </c>
      <c r="AC90" s="27">
        <f t="shared" si="10"/>
        <v>0</v>
      </c>
      <c r="AD90" s="27">
        <f t="shared" si="10"/>
        <v>0</v>
      </c>
      <c r="AE90" s="27">
        <f t="shared" si="10"/>
        <v>0</v>
      </c>
      <c r="AF90" s="27">
        <f t="shared" si="10"/>
        <v>0</v>
      </c>
      <c r="AG90" s="27">
        <f t="shared" si="10"/>
        <v>0</v>
      </c>
      <c r="AH90" s="27">
        <f t="shared" si="10"/>
        <v>0</v>
      </c>
    </row>
    <row r="91" spans="1:34" s="26" customFormat="1" ht="32.450000000000003" customHeight="1" thickBot="1" x14ac:dyDescent="0.3">
      <c r="A91" s="22"/>
      <c r="B91" s="22"/>
      <c r="C91" s="29" t="s">
        <v>34</v>
      </c>
      <c r="D91" s="30">
        <f t="shared" ref="D91:AH91" si="11">COUNTIF(D$3:D$76,"02夜*")</f>
        <v>0</v>
      </c>
      <c r="E91" s="30">
        <f t="shared" si="11"/>
        <v>0</v>
      </c>
      <c r="F91" s="30">
        <f t="shared" si="11"/>
        <v>0</v>
      </c>
      <c r="G91" s="30">
        <f t="shared" si="11"/>
        <v>0</v>
      </c>
      <c r="H91" s="30">
        <f t="shared" si="11"/>
        <v>0</v>
      </c>
      <c r="I91" s="30">
        <f t="shared" si="11"/>
        <v>0</v>
      </c>
      <c r="J91" s="30">
        <f t="shared" si="11"/>
        <v>0</v>
      </c>
      <c r="K91" s="30">
        <f t="shared" si="11"/>
        <v>0</v>
      </c>
      <c r="L91" s="30">
        <f t="shared" si="11"/>
        <v>0</v>
      </c>
      <c r="M91" s="30">
        <f t="shared" si="11"/>
        <v>0</v>
      </c>
      <c r="N91" s="30">
        <f t="shared" si="11"/>
        <v>0</v>
      </c>
      <c r="O91" s="30">
        <f t="shared" si="11"/>
        <v>0</v>
      </c>
      <c r="P91" s="30">
        <f t="shared" si="11"/>
        <v>0</v>
      </c>
      <c r="Q91" s="30">
        <f t="shared" si="11"/>
        <v>0</v>
      </c>
      <c r="R91" s="30">
        <f t="shared" si="11"/>
        <v>0</v>
      </c>
      <c r="S91" s="30">
        <f t="shared" si="11"/>
        <v>0</v>
      </c>
      <c r="T91" s="30">
        <f t="shared" si="11"/>
        <v>0</v>
      </c>
      <c r="U91" s="30">
        <f t="shared" si="11"/>
        <v>0</v>
      </c>
      <c r="V91" s="30">
        <f t="shared" si="11"/>
        <v>0</v>
      </c>
      <c r="W91" s="30">
        <f t="shared" si="11"/>
        <v>0</v>
      </c>
      <c r="X91" s="30">
        <f t="shared" si="11"/>
        <v>0</v>
      </c>
      <c r="Y91" s="30">
        <f t="shared" si="11"/>
        <v>0</v>
      </c>
      <c r="Z91" s="30">
        <f t="shared" si="11"/>
        <v>0</v>
      </c>
      <c r="AA91" s="30">
        <f t="shared" si="11"/>
        <v>0</v>
      </c>
      <c r="AB91" s="30">
        <f t="shared" si="11"/>
        <v>0</v>
      </c>
      <c r="AC91" s="30">
        <f t="shared" si="11"/>
        <v>0</v>
      </c>
      <c r="AD91" s="30">
        <f t="shared" si="11"/>
        <v>0</v>
      </c>
      <c r="AE91" s="30">
        <f t="shared" si="11"/>
        <v>0</v>
      </c>
      <c r="AF91" s="30">
        <f t="shared" si="11"/>
        <v>0</v>
      </c>
      <c r="AG91" s="30">
        <f t="shared" si="11"/>
        <v>0</v>
      </c>
      <c r="AH91" s="30">
        <f t="shared" si="11"/>
        <v>0</v>
      </c>
    </row>
    <row r="92" spans="1:34" s="26" customFormat="1" ht="32.450000000000003" customHeight="1" x14ac:dyDescent="0.25">
      <c r="A92" s="22"/>
      <c r="B92" s="22"/>
      <c r="C92" s="28" t="s">
        <v>35</v>
      </c>
      <c r="D92" s="24">
        <f t="shared" ref="D92:AH92" si="12">COUNTIF(D$3:D$76,"*03早*")-D93</f>
        <v>0</v>
      </c>
      <c r="E92" s="24">
        <f t="shared" si="12"/>
        <v>0</v>
      </c>
      <c r="F92" s="24">
        <f t="shared" si="12"/>
        <v>0</v>
      </c>
      <c r="G92" s="24">
        <f t="shared" si="12"/>
        <v>0</v>
      </c>
      <c r="H92" s="24">
        <f t="shared" si="12"/>
        <v>0</v>
      </c>
      <c r="I92" s="24">
        <f t="shared" si="12"/>
        <v>0</v>
      </c>
      <c r="J92" s="24">
        <f t="shared" si="12"/>
        <v>0</v>
      </c>
      <c r="K92" s="24">
        <f t="shared" si="12"/>
        <v>0</v>
      </c>
      <c r="L92" s="24">
        <f t="shared" si="12"/>
        <v>0</v>
      </c>
      <c r="M92" s="24">
        <f t="shared" si="12"/>
        <v>0</v>
      </c>
      <c r="N92" s="24">
        <f t="shared" si="12"/>
        <v>0</v>
      </c>
      <c r="O92" s="24">
        <f t="shared" si="12"/>
        <v>0</v>
      </c>
      <c r="P92" s="24">
        <f t="shared" si="12"/>
        <v>0</v>
      </c>
      <c r="Q92" s="24">
        <f t="shared" si="12"/>
        <v>0</v>
      </c>
      <c r="R92" s="24">
        <f t="shared" si="12"/>
        <v>0</v>
      </c>
      <c r="S92" s="24">
        <f t="shared" si="12"/>
        <v>0</v>
      </c>
      <c r="T92" s="24">
        <f t="shared" si="12"/>
        <v>0</v>
      </c>
      <c r="U92" s="24">
        <f t="shared" si="12"/>
        <v>0</v>
      </c>
      <c r="V92" s="24">
        <f t="shared" si="12"/>
        <v>0</v>
      </c>
      <c r="W92" s="24">
        <f t="shared" si="12"/>
        <v>0</v>
      </c>
      <c r="X92" s="24">
        <f t="shared" si="12"/>
        <v>0</v>
      </c>
      <c r="Y92" s="24">
        <f t="shared" si="12"/>
        <v>0</v>
      </c>
      <c r="Z92" s="24">
        <f t="shared" si="12"/>
        <v>0</v>
      </c>
      <c r="AA92" s="24">
        <f t="shared" si="12"/>
        <v>0</v>
      </c>
      <c r="AB92" s="24">
        <f t="shared" si="12"/>
        <v>0</v>
      </c>
      <c r="AC92" s="24">
        <f t="shared" si="12"/>
        <v>0</v>
      </c>
      <c r="AD92" s="24">
        <f t="shared" si="12"/>
        <v>0</v>
      </c>
      <c r="AE92" s="24">
        <f t="shared" si="12"/>
        <v>0</v>
      </c>
      <c r="AF92" s="24">
        <f t="shared" si="12"/>
        <v>0</v>
      </c>
      <c r="AG92" s="24">
        <f t="shared" si="12"/>
        <v>0</v>
      </c>
      <c r="AH92" s="24">
        <f t="shared" si="12"/>
        <v>0</v>
      </c>
    </row>
    <row r="93" spans="1:34" s="26" customFormat="1" ht="32.450000000000003" customHeight="1" x14ac:dyDescent="0.25">
      <c r="A93" s="22"/>
      <c r="B93" s="22"/>
      <c r="C93" s="53" t="s">
        <v>88</v>
      </c>
      <c r="D93" s="31">
        <f t="shared" ref="D93:AH93" si="13">COUNTIF(D$3:D$76,"*03早A*")</f>
        <v>0</v>
      </c>
      <c r="E93" s="31">
        <f t="shared" si="13"/>
        <v>0</v>
      </c>
      <c r="F93" s="31">
        <f t="shared" si="13"/>
        <v>0</v>
      </c>
      <c r="G93" s="31">
        <f t="shared" si="13"/>
        <v>0</v>
      </c>
      <c r="H93" s="31">
        <f t="shared" si="13"/>
        <v>0</v>
      </c>
      <c r="I93" s="31">
        <f t="shared" si="13"/>
        <v>0</v>
      </c>
      <c r="J93" s="31">
        <f t="shared" si="13"/>
        <v>0</v>
      </c>
      <c r="K93" s="31">
        <f t="shared" si="13"/>
        <v>0</v>
      </c>
      <c r="L93" s="31">
        <f t="shared" si="13"/>
        <v>0</v>
      </c>
      <c r="M93" s="31">
        <f t="shared" si="13"/>
        <v>0</v>
      </c>
      <c r="N93" s="31">
        <f t="shared" si="13"/>
        <v>0</v>
      </c>
      <c r="O93" s="31">
        <f t="shared" si="13"/>
        <v>0</v>
      </c>
      <c r="P93" s="31">
        <f t="shared" si="13"/>
        <v>0</v>
      </c>
      <c r="Q93" s="31">
        <f t="shared" si="13"/>
        <v>0</v>
      </c>
      <c r="R93" s="31">
        <f t="shared" si="13"/>
        <v>0</v>
      </c>
      <c r="S93" s="31">
        <f t="shared" si="13"/>
        <v>0</v>
      </c>
      <c r="T93" s="31">
        <f t="shared" si="13"/>
        <v>0</v>
      </c>
      <c r="U93" s="31">
        <f t="shared" si="13"/>
        <v>0</v>
      </c>
      <c r="V93" s="31">
        <f t="shared" si="13"/>
        <v>0</v>
      </c>
      <c r="W93" s="31">
        <f t="shared" si="13"/>
        <v>0</v>
      </c>
      <c r="X93" s="31">
        <f t="shared" si="13"/>
        <v>0</v>
      </c>
      <c r="Y93" s="31">
        <f t="shared" si="13"/>
        <v>0</v>
      </c>
      <c r="Z93" s="31">
        <f t="shared" si="13"/>
        <v>0</v>
      </c>
      <c r="AA93" s="31">
        <f t="shared" si="13"/>
        <v>0</v>
      </c>
      <c r="AB93" s="31">
        <f t="shared" si="13"/>
        <v>0</v>
      </c>
      <c r="AC93" s="31">
        <f t="shared" si="13"/>
        <v>0</v>
      </c>
      <c r="AD93" s="31">
        <f t="shared" si="13"/>
        <v>0</v>
      </c>
      <c r="AE93" s="31">
        <f t="shared" si="13"/>
        <v>0</v>
      </c>
      <c r="AF93" s="31">
        <f t="shared" si="13"/>
        <v>0</v>
      </c>
      <c r="AG93" s="31">
        <f t="shared" si="13"/>
        <v>0</v>
      </c>
      <c r="AH93" s="31">
        <f t="shared" si="13"/>
        <v>0</v>
      </c>
    </row>
    <row r="94" spans="1:34" s="26" customFormat="1" ht="32.450000000000003" customHeight="1" x14ac:dyDescent="0.25">
      <c r="A94" s="22"/>
      <c r="B94" s="22"/>
      <c r="C94" s="53" t="s">
        <v>36</v>
      </c>
      <c r="D94" s="27">
        <f t="shared" ref="D94:AH94" si="14">COUNTIF(D$3:D$76,"03中A*")</f>
        <v>0</v>
      </c>
      <c r="E94" s="27">
        <f t="shared" si="14"/>
        <v>0</v>
      </c>
      <c r="F94" s="27">
        <f t="shared" si="14"/>
        <v>0</v>
      </c>
      <c r="G94" s="27">
        <f t="shared" si="14"/>
        <v>0</v>
      </c>
      <c r="H94" s="27">
        <f t="shared" si="14"/>
        <v>0</v>
      </c>
      <c r="I94" s="27">
        <f t="shared" si="14"/>
        <v>0</v>
      </c>
      <c r="J94" s="27">
        <f t="shared" si="14"/>
        <v>0</v>
      </c>
      <c r="K94" s="27">
        <f t="shared" si="14"/>
        <v>0</v>
      </c>
      <c r="L94" s="27">
        <f t="shared" si="14"/>
        <v>0</v>
      </c>
      <c r="M94" s="27">
        <f t="shared" si="14"/>
        <v>0</v>
      </c>
      <c r="N94" s="27">
        <f t="shared" si="14"/>
        <v>0</v>
      </c>
      <c r="O94" s="27">
        <f t="shared" si="14"/>
        <v>0</v>
      </c>
      <c r="P94" s="27">
        <f t="shared" si="14"/>
        <v>0</v>
      </c>
      <c r="Q94" s="27">
        <f t="shared" si="14"/>
        <v>0</v>
      </c>
      <c r="R94" s="27">
        <f t="shared" si="14"/>
        <v>0</v>
      </c>
      <c r="S94" s="27">
        <f t="shared" si="14"/>
        <v>0</v>
      </c>
      <c r="T94" s="27">
        <f t="shared" si="14"/>
        <v>0</v>
      </c>
      <c r="U94" s="27">
        <f t="shared" si="14"/>
        <v>0</v>
      </c>
      <c r="V94" s="27">
        <f t="shared" si="14"/>
        <v>0</v>
      </c>
      <c r="W94" s="27">
        <f t="shared" si="14"/>
        <v>0</v>
      </c>
      <c r="X94" s="27">
        <f t="shared" si="14"/>
        <v>0</v>
      </c>
      <c r="Y94" s="27">
        <f t="shared" si="14"/>
        <v>0</v>
      </c>
      <c r="Z94" s="27">
        <f t="shared" si="14"/>
        <v>0</v>
      </c>
      <c r="AA94" s="27">
        <f t="shared" si="14"/>
        <v>0</v>
      </c>
      <c r="AB94" s="27">
        <f t="shared" si="14"/>
        <v>0</v>
      </c>
      <c r="AC94" s="27">
        <f t="shared" si="14"/>
        <v>0</v>
      </c>
      <c r="AD94" s="27">
        <f t="shared" si="14"/>
        <v>0</v>
      </c>
      <c r="AE94" s="27">
        <f t="shared" si="14"/>
        <v>0</v>
      </c>
      <c r="AF94" s="27">
        <f t="shared" si="14"/>
        <v>0</v>
      </c>
      <c r="AG94" s="27">
        <f t="shared" si="14"/>
        <v>0</v>
      </c>
      <c r="AH94" s="27">
        <f t="shared" si="14"/>
        <v>0</v>
      </c>
    </row>
    <row r="95" spans="1:34" s="26" customFormat="1" ht="32.450000000000003" customHeight="1" x14ac:dyDescent="0.25">
      <c r="A95" s="22"/>
      <c r="B95" s="22"/>
      <c r="C95" s="53" t="s">
        <v>37</v>
      </c>
      <c r="D95" s="27">
        <f t="shared" ref="D95:AH95" si="15">COUNTIF(D$3:D$76,"*03午*")-D96</f>
        <v>0</v>
      </c>
      <c r="E95" s="27">
        <f t="shared" si="15"/>
        <v>0</v>
      </c>
      <c r="F95" s="27">
        <f t="shared" si="15"/>
        <v>0</v>
      </c>
      <c r="G95" s="27">
        <f t="shared" si="15"/>
        <v>0</v>
      </c>
      <c r="H95" s="27">
        <f t="shared" si="15"/>
        <v>0</v>
      </c>
      <c r="I95" s="27">
        <f t="shared" si="15"/>
        <v>0</v>
      </c>
      <c r="J95" s="27">
        <f t="shared" si="15"/>
        <v>0</v>
      </c>
      <c r="K95" s="27">
        <f t="shared" si="15"/>
        <v>0</v>
      </c>
      <c r="L95" s="27">
        <f t="shared" si="15"/>
        <v>0</v>
      </c>
      <c r="M95" s="27">
        <f t="shared" si="15"/>
        <v>0</v>
      </c>
      <c r="N95" s="27">
        <f t="shared" si="15"/>
        <v>0</v>
      </c>
      <c r="O95" s="27">
        <f t="shared" si="15"/>
        <v>0</v>
      </c>
      <c r="P95" s="27">
        <f t="shared" si="15"/>
        <v>0</v>
      </c>
      <c r="Q95" s="27">
        <f t="shared" si="15"/>
        <v>0</v>
      </c>
      <c r="R95" s="27">
        <f t="shared" si="15"/>
        <v>0</v>
      </c>
      <c r="S95" s="27">
        <f t="shared" si="15"/>
        <v>0</v>
      </c>
      <c r="T95" s="27">
        <f t="shared" si="15"/>
        <v>0</v>
      </c>
      <c r="U95" s="27">
        <f t="shared" si="15"/>
        <v>0</v>
      </c>
      <c r="V95" s="27">
        <f t="shared" si="15"/>
        <v>0</v>
      </c>
      <c r="W95" s="27">
        <f t="shared" si="15"/>
        <v>0</v>
      </c>
      <c r="X95" s="27">
        <f t="shared" si="15"/>
        <v>0</v>
      </c>
      <c r="Y95" s="27">
        <f t="shared" si="15"/>
        <v>0</v>
      </c>
      <c r="Z95" s="27">
        <f t="shared" si="15"/>
        <v>0</v>
      </c>
      <c r="AA95" s="27">
        <f t="shared" si="15"/>
        <v>0</v>
      </c>
      <c r="AB95" s="27">
        <f t="shared" si="15"/>
        <v>0</v>
      </c>
      <c r="AC95" s="27">
        <f t="shared" si="15"/>
        <v>0</v>
      </c>
      <c r="AD95" s="27">
        <f t="shared" si="15"/>
        <v>0</v>
      </c>
      <c r="AE95" s="27">
        <f t="shared" si="15"/>
        <v>0</v>
      </c>
      <c r="AF95" s="27">
        <f t="shared" si="15"/>
        <v>0</v>
      </c>
      <c r="AG95" s="27">
        <f t="shared" si="15"/>
        <v>0</v>
      </c>
      <c r="AH95" s="27">
        <f t="shared" si="15"/>
        <v>0</v>
      </c>
    </row>
    <row r="96" spans="1:34" s="26" customFormat="1" ht="32.450000000000003" customHeight="1" x14ac:dyDescent="0.25">
      <c r="A96" s="22"/>
      <c r="B96" s="22"/>
      <c r="C96" s="53" t="s">
        <v>89</v>
      </c>
      <c r="D96" s="27">
        <f t="shared" ref="D96:AH96" si="16">COUNTIF(D$3:D$76,"*03午F*")</f>
        <v>0</v>
      </c>
      <c r="E96" s="27">
        <f t="shared" si="16"/>
        <v>0</v>
      </c>
      <c r="F96" s="27">
        <f t="shared" si="16"/>
        <v>0</v>
      </c>
      <c r="G96" s="27">
        <f t="shared" si="16"/>
        <v>0</v>
      </c>
      <c r="H96" s="27">
        <f t="shared" si="16"/>
        <v>0</v>
      </c>
      <c r="I96" s="27">
        <f t="shared" si="16"/>
        <v>0</v>
      </c>
      <c r="J96" s="27">
        <f t="shared" si="16"/>
        <v>0</v>
      </c>
      <c r="K96" s="27">
        <f t="shared" si="16"/>
        <v>0</v>
      </c>
      <c r="L96" s="27">
        <f t="shared" si="16"/>
        <v>0</v>
      </c>
      <c r="M96" s="27">
        <f t="shared" si="16"/>
        <v>0</v>
      </c>
      <c r="N96" s="27">
        <f t="shared" si="16"/>
        <v>0</v>
      </c>
      <c r="O96" s="27">
        <f t="shared" si="16"/>
        <v>0</v>
      </c>
      <c r="P96" s="27">
        <f t="shared" si="16"/>
        <v>0</v>
      </c>
      <c r="Q96" s="27">
        <f t="shared" si="16"/>
        <v>0</v>
      </c>
      <c r="R96" s="27">
        <f t="shared" si="16"/>
        <v>0</v>
      </c>
      <c r="S96" s="27">
        <f t="shared" si="16"/>
        <v>0</v>
      </c>
      <c r="T96" s="27">
        <f t="shared" si="16"/>
        <v>0</v>
      </c>
      <c r="U96" s="27">
        <f t="shared" si="16"/>
        <v>0</v>
      </c>
      <c r="V96" s="27">
        <f t="shared" si="16"/>
        <v>0</v>
      </c>
      <c r="W96" s="27">
        <f t="shared" si="16"/>
        <v>0</v>
      </c>
      <c r="X96" s="27">
        <f t="shared" si="16"/>
        <v>0</v>
      </c>
      <c r="Y96" s="27">
        <f t="shared" si="16"/>
        <v>0</v>
      </c>
      <c r="Z96" s="27">
        <f t="shared" si="16"/>
        <v>0</v>
      </c>
      <c r="AA96" s="27">
        <f t="shared" si="16"/>
        <v>0</v>
      </c>
      <c r="AB96" s="27">
        <f t="shared" si="16"/>
        <v>0</v>
      </c>
      <c r="AC96" s="27">
        <f t="shared" si="16"/>
        <v>0</v>
      </c>
      <c r="AD96" s="27">
        <f t="shared" si="16"/>
        <v>0</v>
      </c>
      <c r="AE96" s="27">
        <f t="shared" si="16"/>
        <v>0</v>
      </c>
      <c r="AF96" s="27">
        <f t="shared" si="16"/>
        <v>0</v>
      </c>
      <c r="AG96" s="27">
        <f t="shared" si="16"/>
        <v>0</v>
      </c>
      <c r="AH96" s="27">
        <f t="shared" si="16"/>
        <v>0</v>
      </c>
    </row>
    <row r="97" spans="1:34" s="26" customFormat="1" ht="32.450000000000003" customHeight="1" thickBot="1" x14ac:dyDescent="0.3">
      <c r="A97" s="22"/>
      <c r="B97" s="22"/>
      <c r="C97" s="29" t="s">
        <v>38</v>
      </c>
      <c r="D97" s="30">
        <f t="shared" ref="D97:AH97" si="17">COUNTIF(D$3:D$76,"03夜")</f>
        <v>0</v>
      </c>
      <c r="E97" s="30">
        <f t="shared" si="17"/>
        <v>0</v>
      </c>
      <c r="F97" s="30">
        <f t="shared" si="17"/>
        <v>0</v>
      </c>
      <c r="G97" s="30">
        <f t="shared" si="17"/>
        <v>0</v>
      </c>
      <c r="H97" s="30">
        <f t="shared" si="17"/>
        <v>0</v>
      </c>
      <c r="I97" s="30">
        <f t="shared" si="17"/>
        <v>0</v>
      </c>
      <c r="J97" s="30">
        <f t="shared" si="17"/>
        <v>0</v>
      </c>
      <c r="K97" s="30">
        <f t="shared" si="17"/>
        <v>0</v>
      </c>
      <c r="L97" s="30">
        <f t="shared" si="17"/>
        <v>0</v>
      </c>
      <c r="M97" s="30">
        <f t="shared" si="17"/>
        <v>0</v>
      </c>
      <c r="N97" s="30">
        <f t="shared" si="17"/>
        <v>0</v>
      </c>
      <c r="O97" s="30">
        <f t="shared" si="17"/>
        <v>0</v>
      </c>
      <c r="P97" s="30">
        <f t="shared" si="17"/>
        <v>0</v>
      </c>
      <c r="Q97" s="30">
        <f t="shared" si="17"/>
        <v>0</v>
      </c>
      <c r="R97" s="30">
        <f t="shared" si="17"/>
        <v>0</v>
      </c>
      <c r="S97" s="30">
        <f t="shared" si="17"/>
        <v>0</v>
      </c>
      <c r="T97" s="30">
        <f t="shared" si="17"/>
        <v>0</v>
      </c>
      <c r="U97" s="30">
        <f t="shared" si="17"/>
        <v>0</v>
      </c>
      <c r="V97" s="30">
        <f t="shared" si="17"/>
        <v>0</v>
      </c>
      <c r="W97" s="30">
        <f t="shared" si="17"/>
        <v>0</v>
      </c>
      <c r="X97" s="30">
        <f t="shared" si="17"/>
        <v>0</v>
      </c>
      <c r="Y97" s="30">
        <f t="shared" si="17"/>
        <v>0</v>
      </c>
      <c r="Z97" s="30">
        <f t="shared" si="17"/>
        <v>0</v>
      </c>
      <c r="AA97" s="30">
        <f t="shared" si="17"/>
        <v>0</v>
      </c>
      <c r="AB97" s="30">
        <f t="shared" si="17"/>
        <v>0</v>
      </c>
      <c r="AC97" s="30">
        <f t="shared" si="17"/>
        <v>0</v>
      </c>
      <c r="AD97" s="30">
        <f t="shared" si="17"/>
        <v>0</v>
      </c>
      <c r="AE97" s="30">
        <f t="shared" si="17"/>
        <v>0</v>
      </c>
      <c r="AF97" s="30">
        <f t="shared" si="17"/>
        <v>0</v>
      </c>
      <c r="AG97" s="30">
        <f t="shared" si="17"/>
        <v>0</v>
      </c>
      <c r="AH97" s="30">
        <f t="shared" si="17"/>
        <v>0</v>
      </c>
    </row>
    <row r="98" spans="1:34" s="26" customFormat="1" ht="32.450000000000003" customHeight="1" x14ac:dyDescent="0.25">
      <c r="A98" s="22"/>
      <c r="B98" s="22"/>
      <c r="C98" s="53" t="s">
        <v>39</v>
      </c>
      <c r="D98" s="24">
        <f t="shared" ref="D98:AH98" si="18">COUNTIF(D$3:D$76,"*04早*")</f>
        <v>0</v>
      </c>
      <c r="E98" s="24">
        <f t="shared" si="18"/>
        <v>0</v>
      </c>
      <c r="F98" s="24">
        <f t="shared" si="18"/>
        <v>0</v>
      </c>
      <c r="G98" s="24">
        <f t="shared" si="18"/>
        <v>0</v>
      </c>
      <c r="H98" s="24">
        <f t="shared" si="18"/>
        <v>0</v>
      </c>
      <c r="I98" s="24">
        <f t="shared" si="18"/>
        <v>0</v>
      </c>
      <c r="J98" s="24">
        <f t="shared" si="18"/>
        <v>0</v>
      </c>
      <c r="K98" s="24">
        <f t="shared" si="18"/>
        <v>0</v>
      </c>
      <c r="L98" s="24">
        <f t="shared" si="18"/>
        <v>0</v>
      </c>
      <c r="M98" s="24">
        <f t="shared" si="18"/>
        <v>0</v>
      </c>
      <c r="N98" s="24">
        <f t="shared" si="18"/>
        <v>0</v>
      </c>
      <c r="O98" s="24">
        <f t="shared" si="18"/>
        <v>0</v>
      </c>
      <c r="P98" s="24">
        <f t="shared" si="18"/>
        <v>0</v>
      </c>
      <c r="Q98" s="24">
        <f t="shared" si="18"/>
        <v>0</v>
      </c>
      <c r="R98" s="24">
        <f t="shared" si="18"/>
        <v>0</v>
      </c>
      <c r="S98" s="24">
        <f t="shared" si="18"/>
        <v>0</v>
      </c>
      <c r="T98" s="24">
        <f t="shared" si="18"/>
        <v>0</v>
      </c>
      <c r="U98" s="24">
        <f t="shared" si="18"/>
        <v>0</v>
      </c>
      <c r="V98" s="24">
        <f t="shared" si="18"/>
        <v>0</v>
      </c>
      <c r="W98" s="24">
        <f t="shared" si="18"/>
        <v>0</v>
      </c>
      <c r="X98" s="24">
        <f t="shared" si="18"/>
        <v>0</v>
      </c>
      <c r="Y98" s="24">
        <f t="shared" si="18"/>
        <v>0</v>
      </c>
      <c r="Z98" s="24">
        <f t="shared" si="18"/>
        <v>0</v>
      </c>
      <c r="AA98" s="24">
        <f t="shared" si="18"/>
        <v>0</v>
      </c>
      <c r="AB98" s="24">
        <f t="shared" si="18"/>
        <v>0</v>
      </c>
      <c r="AC98" s="24">
        <f t="shared" si="18"/>
        <v>0</v>
      </c>
      <c r="AD98" s="24">
        <f t="shared" si="18"/>
        <v>0</v>
      </c>
      <c r="AE98" s="24">
        <f t="shared" si="18"/>
        <v>0</v>
      </c>
      <c r="AF98" s="24">
        <f t="shared" si="18"/>
        <v>0</v>
      </c>
      <c r="AG98" s="24">
        <f t="shared" si="18"/>
        <v>0</v>
      </c>
      <c r="AH98" s="24">
        <f t="shared" si="18"/>
        <v>0</v>
      </c>
    </row>
    <row r="99" spans="1:34" s="26" customFormat="1" ht="32.450000000000003" customHeight="1" x14ac:dyDescent="0.25">
      <c r="A99" s="22"/>
      <c r="B99" s="22"/>
      <c r="C99" s="53" t="s">
        <v>40</v>
      </c>
      <c r="D99" s="27">
        <f t="shared" ref="D99:AH99" si="19">COUNTIF(D$3:D$76,"*04中A*")</f>
        <v>0</v>
      </c>
      <c r="E99" s="27">
        <f t="shared" si="19"/>
        <v>0</v>
      </c>
      <c r="F99" s="27">
        <f t="shared" si="19"/>
        <v>0</v>
      </c>
      <c r="G99" s="27">
        <f t="shared" si="19"/>
        <v>0</v>
      </c>
      <c r="H99" s="27">
        <f t="shared" si="19"/>
        <v>0</v>
      </c>
      <c r="I99" s="27">
        <f t="shared" si="19"/>
        <v>0</v>
      </c>
      <c r="J99" s="27">
        <f t="shared" si="19"/>
        <v>0</v>
      </c>
      <c r="K99" s="27">
        <f t="shared" si="19"/>
        <v>0</v>
      </c>
      <c r="L99" s="27">
        <f t="shared" si="19"/>
        <v>0</v>
      </c>
      <c r="M99" s="27">
        <f t="shared" si="19"/>
        <v>0</v>
      </c>
      <c r="N99" s="27">
        <f t="shared" si="19"/>
        <v>0</v>
      </c>
      <c r="O99" s="27">
        <f t="shared" si="19"/>
        <v>0</v>
      </c>
      <c r="P99" s="27">
        <f t="shared" si="19"/>
        <v>0</v>
      </c>
      <c r="Q99" s="27">
        <f t="shared" si="19"/>
        <v>0</v>
      </c>
      <c r="R99" s="27">
        <f t="shared" si="19"/>
        <v>0</v>
      </c>
      <c r="S99" s="27">
        <f t="shared" si="19"/>
        <v>0</v>
      </c>
      <c r="T99" s="27">
        <f t="shared" si="19"/>
        <v>0</v>
      </c>
      <c r="U99" s="27">
        <f t="shared" si="19"/>
        <v>0</v>
      </c>
      <c r="V99" s="27">
        <f t="shared" si="19"/>
        <v>0</v>
      </c>
      <c r="W99" s="27">
        <f t="shared" si="19"/>
        <v>0</v>
      </c>
      <c r="X99" s="27">
        <f t="shared" si="19"/>
        <v>0</v>
      </c>
      <c r="Y99" s="27">
        <f t="shared" si="19"/>
        <v>0</v>
      </c>
      <c r="Z99" s="27">
        <f t="shared" si="19"/>
        <v>0</v>
      </c>
      <c r="AA99" s="27">
        <f t="shared" si="19"/>
        <v>0</v>
      </c>
      <c r="AB99" s="27">
        <f t="shared" si="19"/>
        <v>0</v>
      </c>
      <c r="AC99" s="27">
        <f t="shared" si="19"/>
        <v>0</v>
      </c>
      <c r="AD99" s="27">
        <f t="shared" si="19"/>
        <v>0</v>
      </c>
      <c r="AE99" s="27">
        <f t="shared" si="19"/>
        <v>0</v>
      </c>
      <c r="AF99" s="27">
        <f t="shared" si="19"/>
        <v>0</v>
      </c>
      <c r="AG99" s="27">
        <f t="shared" si="19"/>
        <v>0</v>
      </c>
      <c r="AH99" s="27">
        <f t="shared" si="19"/>
        <v>0</v>
      </c>
    </row>
    <row r="100" spans="1:34" s="26" customFormat="1" ht="32.450000000000003" customHeight="1" x14ac:dyDescent="0.25">
      <c r="A100" s="22"/>
      <c r="B100" s="22"/>
      <c r="C100" s="53" t="s">
        <v>41</v>
      </c>
      <c r="D100" s="27">
        <f t="shared" ref="D100:AH100" si="20">COUNTIF(D$3:D$76,"*04午*")</f>
        <v>0</v>
      </c>
      <c r="E100" s="27">
        <f t="shared" si="20"/>
        <v>0</v>
      </c>
      <c r="F100" s="27">
        <f t="shared" si="20"/>
        <v>0</v>
      </c>
      <c r="G100" s="27">
        <f t="shared" si="20"/>
        <v>0</v>
      </c>
      <c r="H100" s="27">
        <f t="shared" si="20"/>
        <v>0</v>
      </c>
      <c r="I100" s="27">
        <f t="shared" si="20"/>
        <v>0</v>
      </c>
      <c r="J100" s="27">
        <f t="shared" si="20"/>
        <v>0</v>
      </c>
      <c r="K100" s="27">
        <f t="shared" si="20"/>
        <v>0</v>
      </c>
      <c r="L100" s="27">
        <f t="shared" si="20"/>
        <v>0</v>
      </c>
      <c r="M100" s="27">
        <f t="shared" si="20"/>
        <v>0</v>
      </c>
      <c r="N100" s="27">
        <f t="shared" si="20"/>
        <v>0</v>
      </c>
      <c r="O100" s="27">
        <f t="shared" si="20"/>
        <v>0</v>
      </c>
      <c r="P100" s="27">
        <f t="shared" si="20"/>
        <v>0</v>
      </c>
      <c r="Q100" s="27">
        <f t="shared" si="20"/>
        <v>0</v>
      </c>
      <c r="R100" s="27">
        <f t="shared" si="20"/>
        <v>0</v>
      </c>
      <c r="S100" s="27">
        <f t="shared" si="20"/>
        <v>0</v>
      </c>
      <c r="T100" s="27">
        <f t="shared" si="20"/>
        <v>0</v>
      </c>
      <c r="U100" s="27">
        <f t="shared" si="20"/>
        <v>0</v>
      </c>
      <c r="V100" s="27">
        <f t="shared" si="20"/>
        <v>0</v>
      </c>
      <c r="W100" s="27">
        <f t="shared" si="20"/>
        <v>0</v>
      </c>
      <c r="X100" s="27">
        <f t="shared" si="20"/>
        <v>0</v>
      </c>
      <c r="Y100" s="27">
        <f t="shared" si="20"/>
        <v>0</v>
      </c>
      <c r="Z100" s="27">
        <f t="shared" si="20"/>
        <v>0</v>
      </c>
      <c r="AA100" s="27">
        <f t="shared" si="20"/>
        <v>0</v>
      </c>
      <c r="AB100" s="27">
        <f t="shared" si="20"/>
        <v>0</v>
      </c>
      <c r="AC100" s="27">
        <f t="shared" si="20"/>
        <v>0</v>
      </c>
      <c r="AD100" s="27">
        <f t="shared" si="20"/>
        <v>0</v>
      </c>
      <c r="AE100" s="27">
        <f t="shared" si="20"/>
        <v>0</v>
      </c>
      <c r="AF100" s="27">
        <f t="shared" si="20"/>
        <v>0</v>
      </c>
      <c r="AG100" s="27">
        <f t="shared" si="20"/>
        <v>0</v>
      </c>
      <c r="AH100" s="27">
        <f t="shared" si="20"/>
        <v>0</v>
      </c>
    </row>
    <row r="101" spans="1:34" s="26" customFormat="1" ht="32.450000000000003" customHeight="1" thickBot="1" x14ac:dyDescent="0.3">
      <c r="A101" s="22"/>
      <c r="B101" s="22"/>
      <c r="C101" s="29" t="s">
        <v>42</v>
      </c>
      <c r="D101" s="30">
        <f t="shared" ref="D101:AH101" si="21">COUNTIF(D$3:D$76,"*04夜*")</f>
        <v>0</v>
      </c>
      <c r="E101" s="30">
        <f t="shared" si="21"/>
        <v>0</v>
      </c>
      <c r="F101" s="30">
        <f t="shared" si="21"/>
        <v>0</v>
      </c>
      <c r="G101" s="30">
        <f t="shared" si="21"/>
        <v>0</v>
      </c>
      <c r="H101" s="30">
        <f t="shared" si="21"/>
        <v>0</v>
      </c>
      <c r="I101" s="30">
        <f t="shared" si="21"/>
        <v>0</v>
      </c>
      <c r="J101" s="30">
        <f t="shared" si="21"/>
        <v>0</v>
      </c>
      <c r="K101" s="30">
        <f t="shared" si="21"/>
        <v>0</v>
      </c>
      <c r="L101" s="30">
        <f t="shared" si="21"/>
        <v>0</v>
      </c>
      <c r="M101" s="30">
        <f t="shared" si="21"/>
        <v>0</v>
      </c>
      <c r="N101" s="30">
        <f t="shared" si="21"/>
        <v>0</v>
      </c>
      <c r="O101" s="30">
        <f t="shared" si="21"/>
        <v>0</v>
      </c>
      <c r="P101" s="30">
        <f t="shared" si="21"/>
        <v>0</v>
      </c>
      <c r="Q101" s="30">
        <f t="shared" si="21"/>
        <v>0</v>
      </c>
      <c r="R101" s="30">
        <f t="shared" si="21"/>
        <v>0</v>
      </c>
      <c r="S101" s="30">
        <f t="shared" si="21"/>
        <v>0</v>
      </c>
      <c r="T101" s="30">
        <f t="shared" si="21"/>
        <v>0</v>
      </c>
      <c r="U101" s="30">
        <f t="shared" si="21"/>
        <v>0</v>
      </c>
      <c r="V101" s="30">
        <f t="shared" si="21"/>
        <v>0</v>
      </c>
      <c r="W101" s="30">
        <f t="shared" si="21"/>
        <v>0</v>
      </c>
      <c r="X101" s="30">
        <f t="shared" si="21"/>
        <v>0</v>
      </c>
      <c r="Y101" s="30">
        <f t="shared" si="21"/>
        <v>0</v>
      </c>
      <c r="Z101" s="30">
        <f t="shared" si="21"/>
        <v>0</v>
      </c>
      <c r="AA101" s="30">
        <f t="shared" si="21"/>
        <v>0</v>
      </c>
      <c r="AB101" s="30">
        <f t="shared" si="21"/>
        <v>0</v>
      </c>
      <c r="AC101" s="30">
        <f t="shared" si="21"/>
        <v>0</v>
      </c>
      <c r="AD101" s="30">
        <f t="shared" si="21"/>
        <v>0</v>
      </c>
      <c r="AE101" s="30">
        <f t="shared" si="21"/>
        <v>0</v>
      </c>
      <c r="AF101" s="30">
        <f t="shared" si="21"/>
        <v>0</v>
      </c>
      <c r="AG101" s="30">
        <f t="shared" si="21"/>
        <v>0</v>
      </c>
      <c r="AH101" s="30">
        <f t="shared" si="21"/>
        <v>0</v>
      </c>
    </row>
    <row r="102" spans="1:34" s="26" customFormat="1" ht="32.450000000000003" customHeight="1" x14ac:dyDescent="0.25">
      <c r="A102" s="22"/>
      <c r="B102" s="22"/>
      <c r="C102" s="53" t="s">
        <v>43</v>
      </c>
      <c r="D102" s="24">
        <f t="shared" ref="D102:AH102" si="22">COUNTIF(D$3:D$76,"*05早*")</f>
        <v>0</v>
      </c>
      <c r="E102" s="24">
        <f t="shared" si="22"/>
        <v>0</v>
      </c>
      <c r="F102" s="24">
        <f t="shared" si="22"/>
        <v>0</v>
      </c>
      <c r="G102" s="24">
        <f t="shared" si="22"/>
        <v>0</v>
      </c>
      <c r="H102" s="24">
        <f t="shared" si="22"/>
        <v>0</v>
      </c>
      <c r="I102" s="24">
        <f t="shared" si="22"/>
        <v>0</v>
      </c>
      <c r="J102" s="24">
        <f t="shared" si="22"/>
        <v>0</v>
      </c>
      <c r="K102" s="24">
        <f t="shared" si="22"/>
        <v>0</v>
      </c>
      <c r="L102" s="24">
        <f t="shared" si="22"/>
        <v>0</v>
      </c>
      <c r="M102" s="24">
        <f t="shared" si="22"/>
        <v>0</v>
      </c>
      <c r="N102" s="24">
        <f t="shared" si="22"/>
        <v>0</v>
      </c>
      <c r="O102" s="24">
        <f t="shared" si="22"/>
        <v>0</v>
      </c>
      <c r="P102" s="24">
        <f t="shared" si="22"/>
        <v>0</v>
      </c>
      <c r="Q102" s="24">
        <f t="shared" si="22"/>
        <v>0</v>
      </c>
      <c r="R102" s="24">
        <f t="shared" si="22"/>
        <v>0</v>
      </c>
      <c r="S102" s="24">
        <f t="shared" si="22"/>
        <v>0</v>
      </c>
      <c r="T102" s="24">
        <f t="shared" si="22"/>
        <v>0</v>
      </c>
      <c r="U102" s="24">
        <f t="shared" si="22"/>
        <v>0</v>
      </c>
      <c r="V102" s="24">
        <f t="shared" si="22"/>
        <v>0</v>
      </c>
      <c r="W102" s="24">
        <f t="shared" si="22"/>
        <v>0</v>
      </c>
      <c r="X102" s="24">
        <f t="shared" si="22"/>
        <v>0</v>
      </c>
      <c r="Y102" s="24">
        <f t="shared" si="22"/>
        <v>0</v>
      </c>
      <c r="Z102" s="24">
        <f t="shared" si="22"/>
        <v>0</v>
      </c>
      <c r="AA102" s="24">
        <f t="shared" si="22"/>
        <v>0</v>
      </c>
      <c r="AB102" s="24">
        <f t="shared" si="22"/>
        <v>0</v>
      </c>
      <c r="AC102" s="24">
        <f t="shared" si="22"/>
        <v>0</v>
      </c>
      <c r="AD102" s="24">
        <f t="shared" si="22"/>
        <v>0</v>
      </c>
      <c r="AE102" s="24">
        <f t="shared" si="22"/>
        <v>0</v>
      </c>
      <c r="AF102" s="24">
        <f t="shared" si="22"/>
        <v>0</v>
      </c>
      <c r="AG102" s="24">
        <f t="shared" si="22"/>
        <v>0</v>
      </c>
      <c r="AH102" s="24">
        <f t="shared" si="22"/>
        <v>0</v>
      </c>
    </row>
    <row r="103" spans="1:34" s="26" customFormat="1" ht="32.450000000000003" customHeight="1" x14ac:dyDescent="0.25">
      <c r="A103" s="22"/>
      <c r="B103" s="22"/>
      <c r="C103" s="53" t="s">
        <v>44</v>
      </c>
      <c r="D103" s="27">
        <f t="shared" ref="D103:AH103" si="23">COUNTIF(D$3:D$76,"05中A*")</f>
        <v>0</v>
      </c>
      <c r="E103" s="27">
        <f t="shared" si="23"/>
        <v>0</v>
      </c>
      <c r="F103" s="27">
        <f t="shared" si="23"/>
        <v>0</v>
      </c>
      <c r="G103" s="27">
        <f t="shared" si="23"/>
        <v>0</v>
      </c>
      <c r="H103" s="27">
        <f t="shared" si="23"/>
        <v>0</v>
      </c>
      <c r="I103" s="27">
        <f t="shared" si="23"/>
        <v>0</v>
      </c>
      <c r="J103" s="27">
        <f t="shared" si="23"/>
        <v>0</v>
      </c>
      <c r="K103" s="27">
        <f t="shared" si="23"/>
        <v>0</v>
      </c>
      <c r="L103" s="27">
        <f t="shared" si="23"/>
        <v>0</v>
      </c>
      <c r="M103" s="27">
        <f t="shared" si="23"/>
        <v>0</v>
      </c>
      <c r="N103" s="27">
        <f t="shared" si="23"/>
        <v>0</v>
      </c>
      <c r="O103" s="27">
        <f t="shared" si="23"/>
        <v>0</v>
      </c>
      <c r="P103" s="27">
        <f t="shared" si="23"/>
        <v>0</v>
      </c>
      <c r="Q103" s="27">
        <f t="shared" si="23"/>
        <v>0</v>
      </c>
      <c r="R103" s="27">
        <f t="shared" si="23"/>
        <v>0</v>
      </c>
      <c r="S103" s="27">
        <f t="shared" si="23"/>
        <v>0</v>
      </c>
      <c r="T103" s="27">
        <f t="shared" si="23"/>
        <v>0</v>
      </c>
      <c r="U103" s="27">
        <f t="shared" si="23"/>
        <v>0</v>
      </c>
      <c r="V103" s="27">
        <f t="shared" si="23"/>
        <v>0</v>
      </c>
      <c r="W103" s="27">
        <f t="shared" si="23"/>
        <v>0</v>
      </c>
      <c r="X103" s="27">
        <f t="shared" si="23"/>
        <v>0</v>
      </c>
      <c r="Y103" s="27">
        <f t="shared" si="23"/>
        <v>0</v>
      </c>
      <c r="Z103" s="27">
        <f t="shared" si="23"/>
        <v>0</v>
      </c>
      <c r="AA103" s="27">
        <f t="shared" si="23"/>
        <v>0</v>
      </c>
      <c r="AB103" s="27">
        <f t="shared" si="23"/>
        <v>0</v>
      </c>
      <c r="AC103" s="27">
        <f t="shared" si="23"/>
        <v>0</v>
      </c>
      <c r="AD103" s="27">
        <f t="shared" si="23"/>
        <v>0</v>
      </c>
      <c r="AE103" s="27">
        <f t="shared" si="23"/>
        <v>0</v>
      </c>
      <c r="AF103" s="27">
        <f t="shared" si="23"/>
        <v>0</v>
      </c>
      <c r="AG103" s="27">
        <f t="shared" si="23"/>
        <v>0</v>
      </c>
      <c r="AH103" s="27">
        <f t="shared" si="23"/>
        <v>0</v>
      </c>
    </row>
    <row r="104" spans="1:34" s="26" customFormat="1" ht="32.450000000000003" customHeight="1" x14ac:dyDescent="0.25">
      <c r="A104" s="22"/>
      <c r="B104" s="22"/>
      <c r="C104" s="28" t="s">
        <v>45</v>
      </c>
      <c r="D104" s="27">
        <f t="shared" ref="D104:AH104" si="24">COUNTIF(D$3:D$76,"*05午*")</f>
        <v>0</v>
      </c>
      <c r="E104" s="27">
        <f t="shared" si="24"/>
        <v>0</v>
      </c>
      <c r="F104" s="27">
        <f t="shared" si="24"/>
        <v>0</v>
      </c>
      <c r="G104" s="27">
        <f t="shared" si="24"/>
        <v>0</v>
      </c>
      <c r="H104" s="27">
        <f t="shared" si="24"/>
        <v>0</v>
      </c>
      <c r="I104" s="27">
        <f t="shared" si="24"/>
        <v>0</v>
      </c>
      <c r="J104" s="27">
        <f t="shared" si="24"/>
        <v>0</v>
      </c>
      <c r="K104" s="27">
        <f t="shared" si="24"/>
        <v>0</v>
      </c>
      <c r="L104" s="27">
        <f t="shared" si="24"/>
        <v>0</v>
      </c>
      <c r="M104" s="27">
        <f t="shared" si="24"/>
        <v>0</v>
      </c>
      <c r="N104" s="27">
        <f t="shared" si="24"/>
        <v>0</v>
      </c>
      <c r="O104" s="27">
        <f t="shared" si="24"/>
        <v>0</v>
      </c>
      <c r="P104" s="27">
        <f t="shared" si="24"/>
        <v>0</v>
      </c>
      <c r="Q104" s="27">
        <f t="shared" si="24"/>
        <v>0</v>
      </c>
      <c r="R104" s="27">
        <f t="shared" si="24"/>
        <v>0</v>
      </c>
      <c r="S104" s="27">
        <f t="shared" si="24"/>
        <v>0</v>
      </c>
      <c r="T104" s="27">
        <f t="shared" si="24"/>
        <v>0</v>
      </c>
      <c r="U104" s="27">
        <f t="shared" si="24"/>
        <v>0</v>
      </c>
      <c r="V104" s="27">
        <f t="shared" si="24"/>
        <v>0</v>
      </c>
      <c r="W104" s="27">
        <f t="shared" si="24"/>
        <v>0</v>
      </c>
      <c r="X104" s="27">
        <f t="shared" si="24"/>
        <v>0</v>
      </c>
      <c r="Y104" s="27">
        <f t="shared" si="24"/>
        <v>0</v>
      </c>
      <c r="Z104" s="27">
        <f t="shared" si="24"/>
        <v>0</v>
      </c>
      <c r="AA104" s="27">
        <f t="shared" si="24"/>
        <v>0</v>
      </c>
      <c r="AB104" s="27">
        <f t="shared" si="24"/>
        <v>0</v>
      </c>
      <c r="AC104" s="27">
        <f t="shared" si="24"/>
        <v>0</v>
      </c>
      <c r="AD104" s="27">
        <f t="shared" si="24"/>
        <v>0</v>
      </c>
      <c r="AE104" s="27">
        <f t="shared" si="24"/>
        <v>0</v>
      </c>
      <c r="AF104" s="27">
        <f t="shared" si="24"/>
        <v>0</v>
      </c>
      <c r="AG104" s="27">
        <f t="shared" si="24"/>
        <v>0</v>
      </c>
      <c r="AH104" s="27">
        <f t="shared" si="24"/>
        <v>0</v>
      </c>
    </row>
    <row r="105" spans="1:34" s="26" customFormat="1" ht="32.450000000000003" customHeight="1" thickBot="1" x14ac:dyDescent="0.3">
      <c r="A105" s="22"/>
      <c r="B105" s="22"/>
      <c r="C105" s="29" t="s">
        <v>46</v>
      </c>
      <c r="D105" s="30">
        <f t="shared" ref="D105:AH105" si="25">COUNTIF(D$3:D$76,"*05夜*")</f>
        <v>0</v>
      </c>
      <c r="E105" s="30">
        <f t="shared" si="25"/>
        <v>0</v>
      </c>
      <c r="F105" s="30">
        <f t="shared" si="25"/>
        <v>0</v>
      </c>
      <c r="G105" s="30">
        <f t="shared" si="25"/>
        <v>0</v>
      </c>
      <c r="H105" s="30">
        <f t="shared" si="25"/>
        <v>0</v>
      </c>
      <c r="I105" s="30">
        <f t="shared" si="25"/>
        <v>0</v>
      </c>
      <c r="J105" s="30">
        <f t="shared" si="25"/>
        <v>0</v>
      </c>
      <c r="K105" s="30">
        <f t="shared" si="25"/>
        <v>0</v>
      </c>
      <c r="L105" s="30">
        <f t="shared" si="25"/>
        <v>0</v>
      </c>
      <c r="M105" s="30">
        <f t="shared" si="25"/>
        <v>0</v>
      </c>
      <c r="N105" s="30">
        <f t="shared" si="25"/>
        <v>0</v>
      </c>
      <c r="O105" s="30">
        <f t="shared" si="25"/>
        <v>0</v>
      </c>
      <c r="P105" s="30">
        <f t="shared" si="25"/>
        <v>0</v>
      </c>
      <c r="Q105" s="30">
        <f t="shared" si="25"/>
        <v>0</v>
      </c>
      <c r="R105" s="30">
        <f t="shared" si="25"/>
        <v>0</v>
      </c>
      <c r="S105" s="30">
        <f t="shared" si="25"/>
        <v>0</v>
      </c>
      <c r="T105" s="30">
        <f t="shared" si="25"/>
        <v>0</v>
      </c>
      <c r="U105" s="30">
        <f t="shared" si="25"/>
        <v>0</v>
      </c>
      <c r="V105" s="30">
        <f t="shared" si="25"/>
        <v>0</v>
      </c>
      <c r="W105" s="30">
        <f t="shared" si="25"/>
        <v>0</v>
      </c>
      <c r="X105" s="30">
        <f t="shared" si="25"/>
        <v>0</v>
      </c>
      <c r="Y105" s="30">
        <f t="shared" si="25"/>
        <v>0</v>
      </c>
      <c r="Z105" s="30">
        <f t="shared" si="25"/>
        <v>0</v>
      </c>
      <c r="AA105" s="30">
        <f t="shared" si="25"/>
        <v>0</v>
      </c>
      <c r="AB105" s="30">
        <f t="shared" si="25"/>
        <v>0</v>
      </c>
      <c r="AC105" s="30">
        <f t="shared" si="25"/>
        <v>0</v>
      </c>
      <c r="AD105" s="30">
        <f t="shared" si="25"/>
        <v>0</v>
      </c>
      <c r="AE105" s="30">
        <f t="shared" si="25"/>
        <v>0</v>
      </c>
      <c r="AF105" s="30">
        <f t="shared" si="25"/>
        <v>0</v>
      </c>
      <c r="AG105" s="30">
        <f t="shared" si="25"/>
        <v>0</v>
      </c>
      <c r="AH105" s="30">
        <f t="shared" si="25"/>
        <v>0</v>
      </c>
    </row>
    <row r="106" spans="1:34" s="26" customFormat="1" ht="32.450000000000003" customHeight="1" x14ac:dyDescent="0.25">
      <c r="A106" s="22"/>
      <c r="B106" s="22"/>
      <c r="C106" s="53" t="s">
        <v>47</v>
      </c>
      <c r="D106" s="24">
        <f t="shared" ref="D106:AH106" si="26">COUNTIF(D$3:D$76,"*06早*")</f>
        <v>0</v>
      </c>
      <c r="E106" s="24">
        <f t="shared" si="26"/>
        <v>0</v>
      </c>
      <c r="F106" s="24">
        <f t="shared" si="26"/>
        <v>0</v>
      </c>
      <c r="G106" s="24">
        <f t="shared" si="26"/>
        <v>0</v>
      </c>
      <c r="H106" s="24">
        <f t="shared" si="26"/>
        <v>0</v>
      </c>
      <c r="I106" s="24">
        <f t="shared" si="26"/>
        <v>0</v>
      </c>
      <c r="J106" s="24">
        <f t="shared" si="26"/>
        <v>0</v>
      </c>
      <c r="K106" s="24">
        <f t="shared" si="26"/>
        <v>0</v>
      </c>
      <c r="L106" s="24">
        <f t="shared" si="26"/>
        <v>0</v>
      </c>
      <c r="M106" s="24">
        <f t="shared" si="26"/>
        <v>0</v>
      </c>
      <c r="N106" s="24">
        <f t="shared" si="26"/>
        <v>0</v>
      </c>
      <c r="O106" s="24">
        <f t="shared" si="26"/>
        <v>0</v>
      </c>
      <c r="P106" s="24">
        <f t="shared" si="26"/>
        <v>0</v>
      </c>
      <c r="Q106" s="24">
        <f t="shared" si="26"/>
        <v>0</v>
      </c>
      <c r="R106" s="24">
        <f t="shared" si="26"/>
        <v>0</v>
      </c>
      <c r="S106" s="24">
        <f t="shared" si="26"/>
        <v>0</v>
      </c>
      <c r="T106" s="24">
        <f t="shared" si="26"/>
        <v>0</v>
      </c>
      <c r="U106" s="24">
        <f t="shared" si="26"/>
        <v>0</v>
      </c>
      <c r="V106" s="24">
        <f t="shared" si="26"/>
        <v>0</v>
      </c>
      <c r="W106" s="24">
        <f t="shared" si="26"/>
        <v>0</v>
      </c>
      <c r="X106" s="24">
        <f t="shared" si="26"/>
        <v>0</v>
      </c>
      <c r="Y106" s="24">
        <f t="shared" si="26"/>
        <v>0</v>
      </c>
      <c r="Z106" s="24">
        <f t="shared" si="26"/>
        <v>0</v>
      </c>
      <c r="AA106" s="24">
        <f t="shared" si="26"/>
        <v>0</v>
      </c>
      <c r="AB106" s="24">
        <f t="shared" si="26"/>
        <v>0</v>
      </c>
      <c r="AC106" s="24">
        <f t="shared" si="26"/>
        <v>0</v>
      </c>
      <c r="AD106" s="24">
        <f t="shared" si="26"/>
        <v>0</v>
      </c>
      <c r="AE106" s="24">
        <f t="shared" si="26"/>
        <v>0</v>
      </c>
      <c r="AF106" s="24">
        <f t="shared" si="26"/>
        <v>0</v>
      </c>
      <c r="AG106" s="24">
        <f t="shared" si="26"/>
        <v>0</v>
      </c>
      <c r="AH106" s="24">
        <f t="shared" si="26"/>
        <v>0</v>
      </c>
    </row>
    <row r="107" spans="1:34" s="26" customFormat="1" ht="32.450000000000003" customHeight="1" x14ac:dyDescent="0.25">
      <c r="A107" s="22"/>
      <c r="B107" s="22"/>
      <c r="C107" s="53" t="s">
        <v>48</v>
      </c>
      <c r="D107" s="27">
        <f t="shared" ref="D107:AH107" si="27">COUNTIF(D$3:D$76,"06中A*")</f>
        <v>0</v>
      </c>
      <c r="E107" s="27">
        <f t="shared" si="27"/>
        <v>0</v>
      </c>
      <c r="F107" s="27">
        <f t="shared" si="27"/>
        <v>0</v>
      </c>
      <c r="G107" s="27">
        <f t="shared" si="27"/>
        <v>0</v>
      </c>
      <c r="H107" s="27">
        <f t="shared" si="27"/>
        <v>0</v>
      </c>
      <c r="I107" s="27">
        <f t="shared" si="27"/>
        <v>0</v>
      </c>
      <c r="J107" s="27">
        <f t="shared" si="27"/>
        <v>0</v>
      </c>
      <c r="K107" s="27">
        <f t="shared" si="27"/>
        <v>0</v>
      </c>
      <c r="L107" s="27">
        <f t="shared" si="27"/>
        <v>0</v>
      </c>
      <c r="M107" s="27">
        <f t="shared" si="27"/>
        <v>0</v>
      </c>
      <c r="N107" s="27">
        <f t="shared" si="27"/>
        <v>0</v>
      </c>
      <c r="O107" s="27">
        <f t="shared" si="27"/>
        <v>0</v>
      </c>
      <c r="P107" s="27">
        <f t="shared" si="27"/>
        <v>0</v>
      </c>
      <c r="Q107" s="27">
        <f t="shared" si="27"/>
        <v>0</v>
      </c>
      <c r="R107" s="27">
        <f t="shared" si="27"/>
        <v>0</v>
      </c>
      <c r="S107" s="27">
        <f t="shared" si="27"/>
        <v>0</v>
      </c>
      <c r="T107" s="27">
        <f t="shared" si="27"/>
        <v>0</v>
      </c>
      <c r="U107" s="27">
        <f t="shared" si="27"/>
        <v>0</v>
      </c>
      <c r="V107" s="27">
        <f t="shared" si="27"/>
        <v>0</v>
      </c>
      <c r="W107" s="27">
        <f t="shared" si="27"/>
        <v>0</v>
      </c>
      <c r="X107" s="27">
        <f t="shared" si="27"/>
        <v>0</v>
      </c>
      <c r="Y107" s="27">
        <f t="shared" si="27"/>
        <v>0</v>
      </c>
      <c r="Z107" s="27">
        <f t="shared" si="27"/>
        <v>0</v>
      </c>
      <c r="AA107" s="27">
        <f t="shared" si="27"/>
        <v>0</v>
      </c>
      <c r="AB107" s="27">
        <f t="shared" si="27"/>
        <v>0</v>
      </c>
      <c r="AC107" s="27">
        <f t="shared" si="27"/>
        <v>0</v>
      </c>
      <c r="AD107" s="27">
        <f t="shared" si="27"/>
        <v>0</v>
      </c>
      <c r="AE107" s="27">
        <f t="shared" si="27"/>
        <v>0</v>
      </c>
      <c r="AF107" s="27">
        <f t="shared" si="27"/>
        <v>0</v>
      </c>
      <c r="AG107" s="27">
        <f t="shared" si="27"/>
        <v>0</v>
      </c>
      <c r="AH107" s="27">
        <f t="shared" si="27"/>
        <v>0</v>
      </c>
    </row>
    <row r="108" spans="1:34" s="26" customFormat="1" ht="32.450000000000003" customHeight="1" x14ac:dyDescent="0.25">
      <c r="A108" s="22"/>
      <c r="B108" s="22"/>
      <c r="C108" s="53" t="s">
        <v>49</v>
      </c>
      <c r="D108" s="27">
        <f t="shared" ref="D108:AH108" si="28">COUNTIF(D$3:D$76,"*06午*")</f>
        <v>0</v>
      </c>
      <c r="E108" s="27">
        <f t="shared" si="28"/>
        <v>0</v>
      </c>
      <c r="F108" s="27">
        <f t="shared" si="28"/>
        <v>0</v>
      </c>
      <c r="G108" s="27">
        <f t="shared" si="28"/>
        <v>0</v>
      </c>
      <c r="H108" s="27">
        <f t="shared" si="28"/>
        <v>0</v>
      </c>
      <c r="I108" s="27">
        <f t="shared" si="28"/>
        <v>0</v>
      </c>
      <c r="J108" s="27">
        <f t="shared" si="28"/>
        <v>0</v>
      </c>
      <c r="K108" s="27">
        <f t="shared" si="28"/>
        <v>0</v>
      </c>
      <c r="L108" s="27">
        <f t="shared" si="28"/>
        <v>0</v>
      </c>
      <c r="M108" s="27">
        <f t="shared" si="28"/>
        <v>0</v>
      </c>
      <c r="N108" s="27">
        <f t="shared" si="28"/>
        <v>0</v>
      </c>
      <c r="O108" s="27">
        <f t="shared" si="28"/>
        <v>0</v>
      </c>
      <c r="P108" s="27">
        <f t="shared" si="28"/>
        <v>0</v>
      </c>
      <c r="Q108" s="27">
        <f t="shared" si="28"/>
        <v>0</v>
      </c>
      <c r="R108" s="27">
        <f t="shared" si="28"/>
        <v>0</v>
      </c>
      <c r="S108" s="27">
        <f t="shared" si="28"/>
        <v>0</v>
      </c>
      <c r="T108" s="27">
        <f t="shared" si="28"/>
        <v>0</v>
      </c>
      <c r="U108" s="27">
        <f t="shared" si="28"/>
        <v>0</v>
      </c>
      <c r="V108" s="27">
        <f t="shared" si="28"/>
        <v>0</v>
      </c>
      <c r="W108" s="27">
        <f t="shared" si="28"/>
        <v>0</v>
      </c>
      <c r="X108" s="27">
        <f t="shared" si="28"/>
        <v>0</v>
      </c>
      <c r="Y108" s="27">
        <f t="shared" si="28"/>
        <v>0</v>
      </c>
      <c r="Z108" s="27">
        <f t="shared" si="28"/>
        <v>0</v>
      </c>
      <c r="AA108" s="27">
        <f t="shared" si="28"/>
        <v>0</v>
      </c>
      <c r="AB108" s="27">
        <f t="shared" si="28"/>
        <v>0</v>
      </c>
      <c r="AC108" s="27">
        <f t="shared" si="28"/>
        <v>0</v>
      </c>
      <c r="AD108" s="27">
        <f t="shared" si="28"/>
        <v>0</v>
      </c>
      <c r="AE108" s="27">
        <f t="shared" si="28"/>
        <v>0</v>
      </c>
      <c r="AF108" s="27">
        <f t="shared" si="28"/>
        <v>0</v>
      </c>
      <c r="AG108" s="27">
        <f t="shared" si="28"/>
        <v>0</v>
      </c>
      <c r="AH108" s="27">
        <f t="shared" si="28"/>
        <v>0</v>
      </c>
    </row>
    <row r="109" spans="1:34" s="26" customFormat="1" ht="36" customHeight="1" thickBot="1" x14ac:dyDescent="0.3">
      <c r="A109" s="22"/>
      <c r="B109" s="22"/>
      <c r="C109" s="29" t="s">
        <v>50</v>
      </c>
      <c r="D109" s="30">
        <f t="shared" ref="D109:AH109" si="29">COUNTIF(D$3:D$76,"06夜*")</f>
        <v>0</v>
      </c>
      <c r="E109" s="30">
        <f t="shared" si="29"/>
        <v>0</v>
      </c>
      <c r="F109" s="30">
        <f t="shared" si="29"/>
        <v>0</v>
      </c>
      <c r="G109" s="30">
        <f t="shared" si="29"/>
        <v>0</v>
      </c>
      <c r="H109" s="30">
        <f t="shared" si="29"/>
        <v>0</v>
      </c>
      <c r="I109" s="30">
        <f t="shared" si="29"/>
        <v>0</v>
      </c>
      <c r="J109" s="30">
        <f t="shared" si="29"/>
        <v>0</v>
      </c>
      <c r="K109" s="30">
        <f t="shared" si="29"/>
        <v>0</v>
      </c>
      <c r="L109" s="30">
        <f t="shared" si="29"/>
        <v>0</v>
      </c>
      <c r="M109" s="30">
        <f t="shared" si="29"/>
        <v>0</v>
      </c>
      <c r="N109" s="30">
        <f t="shared" si="29"/>
        <v>0</v>
      </c>
      <c r="O109" s="30">
        <f t="shared" si="29"/>
        <v>0</v>
      </c>
      <c r="P109" s="30">
        <f t="shared" si="29"/>
        <v>0</v>
      </c>
      <c r="Q109" s="30">
        <f t="shared" si="29"/>
        <v>0</v>
      </c>
      <c r="R109" s="30">
        <f t="shared" si="29"/>
        <v>0</v>
      </c>
      <c r="S109" s="30">
        <f t="shared" si="29"/>
        <v>0</v>
      </c>
      <c r="T109" s="30">
        <f t="shared" si="29"/>
        <v>0</v>
      </c>
      <c r="U109" s="30">
        <f t="shared" si="29"/>
        <v>0</v>
      </c>
      <c r="V109" s="30">
        <f t="shared" si="29"/>
        <v>0</v>
      </c>
      <c r="W109" s="30">
        <f t="shared" si="29"/>
        <v>0</v>
      </c>
      <c r="X109" s="30">
        <f t="shared" si="29"/>
        <v>0</v>
      </c>
      <c r="Y109" s="30">
        <f t="shared" si="29"/>
        <v>0</v>
      </c>
      <c r="Z109" s="30">
        <f t="shared" si="29"/>
        <v>0</v>
      </c>
      <c r="AA109" s="30">
        <f t="shared" si="29"/>
        <v>0</v>
      </c>
      <c r="AB109" s="30">
        <f t="shared" si="29"/>
        <v>0</v>
      </c>
      <c r="AC109" s="30">
        <f t="shared" si="29"/>
        <v>0</v>
      </c>
      <c r="AD109" s="30">
        <f t="shared" si="29"/>
        <v>0</v>
      </c>
      <c r="AE109" s="30">
        <f t="shared" si="29"/>
        <v>0</v>
      </c>
      <c r="AF109" s="30">
        <f t="shared" si="29"/>
        <v>0</v>
      </c>
      <c r="AG109" s="30">
        <f t="shared" si="29"/>
        <v>0</v>
      </c>
      <c r="AH109" s="30">
        <f t="shared" si="29"/>
        <v>0</v>
      </c>
    </row>
  </sheetData>
  <sheetProtection autoFilter="0"/>
  <autoFilter ref="A2:Z70" xr:uid="{00000000-0009-0000-0000-000001000000}"/>
  <mergeCells count="3">
    <mergeCell ref="B84:B87"/>
    <mergeCell ref="B1:B2"/>
    <mergeCell ref="C1:C2"/>
  </mergeCells>
  <phoneticPr fontId="1" type="noConversion"/>
  <conditionalFormatting sqref="D81:AH82 D93:AH93 D96:AH96">
    <cfRule type="cellIs" dxfId="8" priority="9" operator="notEqual">
      <formula>1</formula>
    </cfRule>
  </conditionalFormatting>
  <conditionalFormatting sqref="D83:AH83 D91:AH91 D97:AH97 D101:AH101 D105:AH105 D109:AH109">
    <cfRule type="cellIs" dxfId="7" priority="6" operator="notEqual">
      <formula>1</formula>
    </cfRule>
  </conditionalFormatting>
  <conditionalFormatting sqref="D84:AH84 D86:AH86">
    <cfRule type="cellIs" dxfId="6" priority="3" operator="equal">
      <formula>4</formula>
    </cfRule>
    <cfRule type="cellIs" dxfId="5" priority="4" operator="greaterThan">
      <formula>5</formula>
    </cfRule>
    <cfRule type="cellIs" dxfId="4" priority="5" operator="lessThan">
      <formula>4</formula>
    </cfRule>
  </conditionalFormatting>
  <conditionalFormatting sqref="D85:AH85 D89:AH89 D94:AH94 D99:AH99 D103:AH103 D107:AH107">
    <cfRule type="cellIs" dxfId="3" priority="7" operator="notEqual">
      <formula>0</formula>
    </cfRule>
  </conditionalFormatting>
  <conditionalFormatting sqref="D88:AH88 D90:AH90 D92:AH92 D95:AH95 D98:AH98 D100:AH100 D102:AH102 D104:AH104 D106:AH106 D108:AH108">
    <cfRule type="cellIs" dxfId="2" priority="8" operator="lessThan">
      <formula>1</formula>
    </cfRule>
  </conditionalFormatting>
  <conditionalFormatting sqref="D88:XFD88 D90:XFD90 D92:XFD92 D95:XFD95 D98:XFD98 D100:XFD100 D102:XFD102 D104:XFD104 D106:XFD106 D108:XFD108">
    <cfRule type="cellIs" dxfId="1" priority="2" operator="notEqual">
      <formula>2</formula>
    </cfRule>
  </conditionalFormatting>
  <pageMargins left="0.25" right="0.25" top="0.75" bottom="0.75" header="0.3" footer="0.3"/>
  <pageSetup paperSize="8" scale="19" orientation="landscape" r:id="rId1"/>
  <headerFooter>
    <oddHeader>&amp;C&amp;"微軟正黑體,標準"&amp;48桃園捷運公司 運務處站務中心
112年1月員工輪值表(北段)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76"/>
  <sheetViews>
    <sheetView view="pageBreakPreview" zoomScale="55" zoomScaleNormal="25" zoomScaleSheetLayoutView="55" zoomScalePageLayoutView="85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D63" sqref="D63"/>
    </sheetView>
  </sheetViews>
  <sheetFormatPr defaultColWidth="8.875" defaultRowHeight="16.5" x14ac:dyDescent="0.25"/>
  <cols>
    <col min="1" max="1" width="11.875" style="5" customWidth="1"/>
    <col min="2" max="3" width="20.625" style="10" customWidth="1"/>
    <col min="4" max="19" width="13.5" style="10" customWidth="1"/>
    <col min="20" max="23" width="13.5" style="5" customWidth="1"/>
    <col min="24" max="25" width="13.5" style="10" customWidth="1"/>
    <col min="26" max="28" width="13.5" style="5" customWidth="1"/>
    <col min="29" max="29" width="14.25" style="5" customWidth="1"/>
    <col min="30" max="30" width="15.5" style="5" customWidth="1"/>
    <col min="31" max="31" width="15.5" style="21" customWidth="1"/>
    <col min="32" max="33" width="14.875" style="21" customWidth="1"/>
    <col min="34" max="34" width="14.875" style="5" customWidth="1"/>
    <col min="35" max="16384" width="8.875" style="5"/>
  </cols>
  <sheetData>
    <row r="1" spans="1:41" ht="63.75" customHeight="1" x14ac:dyDescent="0.25">
      <c r="A1" s="197"/>
      <c r="B1" s="193" t="s">
        <v>0</v>
      </c>
      <c r="C1" s="193" t="s">
        <v>51</v>
      </c>
      <c r="D1" s="18">
        <f>'北段 (人資版)'!D1</f>
        <v>46204</v>
      </c>
      <c r="E1" s="18">
        <f>'北段 (人資版)'!E1</f>
        <v>46205</v>
      </c>
      <c r="F1" s="18">
        <f>'北段 (人資版)'!F1</f>
        <v>46206</v>
      </c>
      <c r="G1" s="18">
        <f>'北段 (人資版)'!G1</f>
        <v>46207</v>
      </c>
      <c r="H1" s="18">
        <f>'北段 (人資版)'!H1</f>
        <v>46208</v>
      </c>
      <c r="I1" s="18">
        <f>'北段 (人資版)'!I1</f>
        <v>46209</v>
      </c>
      <c r="J1" s="18">
        <f>'北段 (人資版)'!J1</f>
        <v>46210</v>
      </c>
      <c r="K1" s="18">
        <f>'北段 (人資版)'!K1</f>
        <v>46211</v>
      </c>
      <c r="L1" s="18">
        <f>'北段 (人資版)'!L1</f>
        <v>46212</v>
      </c>
      <c r="M1" s="18">
        <f>'北段 (人資版)'!M1</f>
        <v>46213</v>
      </c>
      <c r="N1" s="18">
        <f>'北段 (人資版)'!N1</f>
        <v>46214</v>
      </c>
      <c r="O1" s="18">
        <f>'北段 (人資版)'!O1</f>
        <v>46215</v>
      </c>
      <c r="P1" s="18">
        <f>'北段 (人資版)'!P1</f>
        <v>46216</v>
      </c>
      <c r="Q1" s="18">
        <f>'北段 (人資版)'!Q1</f>
        <v>46217</v>
      </c>
      <c r="R1" s="18">
        <f>'北段 (人資版)'!R1</f>
        <v>46218</v>
      </c>
      <c r="S1" s="18">
        <f>'北段 (人資版)'!S1</f>
        <v>46219</v>
      </c>
      <c r="T1" s="18">
        <f>'北段 (人資版)'!T1</f>
        <v>46220</v>
      </c>
      <c r="U1" s="18">
        <f>'北段 (人資版)'!U1</f>
        <v>46221</v>
      </c>
      <c r="V1" s="18">
        <f>'北段 (人資版)'!V1</f>
        <v>46222</v>
      </c>
      <c r="W1" s="18">
        <f>'北段 (人資版)'!W1</f>
        <v>46223</v>
      </c>
      <c r="X1" s="18">
        <f>'北段 (人資版)'!X1</f>
        <v>46224</v>
      </c>
      <c r="Y1" s="18">
        <f>'北段 (人資版)'!Y1</f>
        <v>46225</v>
      </c>
      <c r="Z1" s="18">
        <f>'北段 (人資版)'!Z1</f>
        <v>46226</v>
      </c>
      <c r="AA1" s="18">
        <f>'北段 (人資版)'!AA1</f>
        <v>46227</v>
      </c>
      <c r="AB1" s="18">
        <f>'北段 (人資版)'!AB1</f>
        <v>46228</v>
      </c>
      <c r="AC1" s="18">
        <f>'北段 (人資版)'!AC1</f>
        <v>46229</v>
      </c>
      <c r="AD1" s="18">
        <f>'北段 (人資版)'!AD1</f>
        <v>46230</v>
      </c>
      <c r="AE1" s="18">
        <f>'北段 (人資版)'!AE1</f>
        <v>46231</v>
      </c>
      <c r="AF1" s="18">
        <f>'北段 (人資版)'!AF1</f>
        <v>46232</v>
      </c>
      <c r="AG1" s="18">
        <f>'北段 (人資版)'!AG1</f>
        <v>46233</v>
      </c>
      <c r="AH1" s="18">
        <f>'北段 (人資版)'!AH1</f>
        <v>46234</v>
      </c>
      <c r="AI1" s="18" t="e">
        <f>'北段 (人資版)'!#REF!</f>
        <v>#REF!</v>
      </c>
      <c r="AJ1" s="18" t="e">
        <f>'北段 (人資版)'!#REF!</f>
        <v>#REF!</v>
      </c>
      <c r="AK1" s="18" t="e">
        <f>'北段 (人資版)'!#REF!</f>
        <v>#REF!</v>
      </c>
      <c r="AL1" s="18" t="e">
        <f>'北段 (人資版)'!#REF!</f>
        <v>#REF!</v>
      </c>
      <c r="AM1" s="18" t="e">
        <f>'北段 (人資版)'!#REF!</f>
        <v>#REF!</v>
      </c>
      <c r="AN1" s="18">
        <f>'北段 (人資版)'!AI1</f>
        <v>0</v>
      </c>
      <c r="AO1" s="18">
        <f>'北段 (人資版)'!AJ1</f>
        <v>0</v>
      </c>
    </row>
    <row r="2" spans="1:41" ht="43.5" customHeight="1" thickBot="1" x14ac:dyDescent="0.3">
      <c r="A2" s="198"/>
      <c r="B2" s="194"/>
      <c r="C2" s="194"/>
      <c r="D2" s="33">
        <f t="shared" ref="D2:E2" si="0">IFERROR(IF(WEEKDAY(D1,2)=7,"日",WEEKDAY(D1,2)),"")</f>
        <v>3</v>
      </c>
      <c r="E2" s="33">
        <f t="shared" si="0"/>
        <v>4</v>
      </c>
      <c r="F2" s="33">
        <f t="shared" ref="F2:Z2" si="1">IFERROR(IF(WEEKDAY(F1,2)=7,"日",WEEKDAY(F1,2)),"")</f>
        <v>5</v>
      </c>
      <c r="G2" s="33">
        <f t="shared" si="1"/>
        <v>6</v>
      </c>
      <c r="H2" s="33" t="str">
        <f t="shared" si="1"/>
        <v>日</v>
      </c>
      <c r="I2" s="33">
        <f t="shared" si="1"/>
        <v>1</v>
      </c>
      <c r="J2" s="33">
        <f t="shared" si="1"/>
        <v>2</v>
      </c>
      <c r="K2" s="33">
        <f t="shared" si="1"/>
        <v>3</v>
      </c>
      <c r="L2" s="33">
        <f t="shared" si="1"/>
        <v>4</v>
      </c>
      <c r="M2" s="33">
        <f t="shared" si="1"/>
        <v>5</v>
      </c>
      <c r="N2" s="33">
        <f t="shared" si="1"/>
        <v>6</v>
      </c>
      <c r="O2" s="33" t="str">
        <f t="shared" si="1"/>
        <v>日</v>
      </c>
      <c r="P2" s="33">
        <f t="shared" si="1"/>
        <v>1</v>
      </c>
      <c r="Q2" s="33">
        <f t="shared" si="1"/>
        <v>2</v>
      </c>
      <c r="R2" s="33">
        <f t="shared" si="1"/>
        <v>3</v>
      </c>
      <c r="S2" s="33">
        <f t="shared" si="1"/>
        <v>4</v>
      </c>
      <c r="T2" s="33">
        <f t="shared" si="1"/>
        <v>5</v>
      </c>
      <c r="U2" s="33">
        <f t="shared" si="1"/>
        <v>6</v>
      </c>
      <c r="V2" s="33" t="str">
        <f t="shared" si="1"/>
        <v>日</v>
      </c>
      <c r="W2" s="33">
        <f t="shared" si="1"/>
        <v>1</v>
      </c>
      <c r="X2" s="33">
        <f t="shared" si="1"/>
        <v>2</v>
      </c>
      <c r="Y2" s="33">
        <f t="shared" si="1"/>
        <v>3</v>
      </c>
      <c r="Z2" s="33">
        <f t="shared" si="1"/>
        <v>4</v>
      </c>
      <c r="AA2" s="37">
        <f t="shared" ref="AA2:AG2" si="2">IFERROR(IF(WEEKDAY(AA1,2)=7,"日",WEEKDAY(AA1,2)),"")</f>
        <v>5</v>
      </c>
      <c r="AB2" s="37">
        <f t="shared" si="2"/>
        <v>6</v>
      </c>
      <c r="AC2" s="37" t="str">
        <f t="shared" si="2"/>
        <v>日</v>
      </c>
      <c r="AD2" s="37">
        <f t="shared" si="2"/>
        <v>1</v>
      </c>
      <c r="AE2" s="37">
        <f t="shared" si="2"/>
        <v>2</v>
      </c>
      <c r="AF2" s="37">
        <f t="shared" si="2"/>
        <v>3</v>
      </c>
      <c r="AG2" s="37">
        <f t="shared" si="2"/>
        <v>4</v>
      </c>
      <c r="AH2" s="37">
        <f t="shared" ref="AH2" si="3">IFERROR(IF(WEEKDAY(AH1,2)=7,"日",WEEKDAY(AH1,2)),"")</f>
        <v>5</v>
      </c>
    </row>
    <row r="3" spans="1:41" ht="39.75" customHeight="1" x14ac:dyDescent="0.25">
      <c r="A3" s="165" t="s">
        <v>52</v>
      </c>
      <c r="B3" s="34" t="e">
        <f>北段!#REF!</f>
        <v>#REF!</v>
      </c>
      <c r="C3" s="35" t="e">
        <f>VLOOKUP(B3,北段!B:C,2,FALSE)</f>
        <v>#REF!</v>
      </c>
      <c r="D3" s="124" t="e">
        <f>VLOOKUP('北段 (人資版)'!D3,工作表1!$A$3:$B$78,2,FALSE)</f>
        <v>#REF!</v>
      </c>
      <c r="E3" s="124" t="e">
        <f>VLOOKUP('北段 (人資版)'!E3,工作表1!$A$3:$B$78,2,FALSE)</f>
        <v>#REF!</v>
      </c>
      <c r="F3" s="124" t="e">
        <f>VLOOKUP('北段 (人資版)'!F3,工作表1!$A$3:$B$78,2,FALSE)</f>
        <v>#REF!</v>
      </c>
      <c r="G3" s="124" t="e">
        <f>VLOOKUP('北段 (人資版)'!G3,工作表1!$A$3:$B$78,2,FALSE)</f>
        <v>#REF!</v>
      </c>
      <c r="H3" s="124" t="e">
        <f>VLOOKUP('北段 (人資版)'!H3,工作表1!$A$3:$B$78,2,FALSE)</f>
        <v>#REF!</v>
      </c>
      <c r="I3" s="124" t="e">
        <f>VLOOKUP('北段 (人資版)'!I3,工作表1!$A$3:$B$78,2,FALSE)</f>
        <v>#REF!</v>
      </c>
      <c r="J3" s="124" t="e">
        <f>VLOOKUP('北段 (人資版)'!J3,工作表1!$A$3:$B$78,2,FALSE)</f>
        <v>#REF!</v>
      </c>
      <c r="K3" s="124" t="e">
        <f>VLOOKUP('北段 (人資版)'!K3,工作表1!$A$3:$B$78,2,FALSE)</f>
        <v>#REF!</v>
      </c>
      <c r="L3" s="124" t="e">
        <f>VLOOKUP('北段 (人資版)'!L3,工作表1!$A$3:$B$78,2,FALSE)</f>
        <v>#REF!</v>
      </c>
      <c r="M3" s="124" t="e">
        <f>VLOOKUP('北段 (人資版)'!M3,工作表1!$A$3:$B$78,2,FALSE)</f>
        <v>#REF!</v>
      </c>
      <c r="N3" s="124" t="e">
        <f>VLOOKUP('北段 (人資版)'!N3,工作表1!$A$3:$B$78,2,FALSE)</f>
        <v>#REF!</v>
      </c>
      <c r="O3" s="124" t="e">
        <f>VLOOKUP('北段 (人資版)'!O3,工作表1!$A$3:$B$78,2,FALSE)</f>
        <v>#REF!</v>
      </c>
      <c r="P3" s="124" t="e">
        <f>VLOOKUP('北段 (人資版)'!P3,工作表1!$A$3:$B$78,2,FALSE)</f>
        <v>#REF!</v>
      </c>
      <c r="Q3" s="124" t="e">
        <f>VLOOKUP('北段 (人資版)'!Q3,工作表1!$A$3:$B$78,2,FALSE)</f>
        <v>#REF!</v>
      </c>
      <c r="R3" s="124" t="e">
        <f>VLOOKUP('北段 (人資版)'!R3,工作表1!$A$3:$B$78,2,FALSE)</f>
        <v>#REF!</v>
      </c>
      <c r="S3" s="124" t="e">
        <f>VLOOKUP('北段 (人資版)'!S3,工作表1!$A$3:$B$78,2,FALSE)</f>
        <v>#REF!</v>
      </c>
      <c r="T3" s="124" t="e">
        <f>VLOOKUP('北段 (人資版)'!T3,工作表1!$A$3:$B$78,2,FALSE)</f>
        <v>#REF!</v>
      </c>
      <c r="U3" s="124" t="e">
        <f>VLOOKUP('北段 (人資版)'!U3,工作表1!$A$3:$B$78,2,FALSE)</f>
        <v>#REF!</v>
      </c>
      <c r="V3" s="124" t="e">
        <f>VLOOKUP('北段 (人資版)'!V3,工作表1!$A$3:$B$78,2,FALSE)</f>
        <v>#REF!</v>
      </c>
      <c r="W3" s="124" t="e">
        <f>VLOOKUP('北段 (人資版)'!W3,工作表1!$A$3:$B$78,2,FALSE)</f>
        <v>#REF!</v>
      </c>
      <c r="X3" s="124" t="e">
        <f>VLOOKUP('北段 (人資版)'!X3,工作表1!$A$3:$B$78,2,FALSE)</f>
        <v>#REF!</v>
      </c>
      <c r="Y3" s="124" t="e">
        <f>VLOOKUP('北段 (人資版)'!Y3,工作表1!$A$3:$B$78,2,FALSE)</f>
        <v>#REF!</v>
      </c>
      <c r="Z3" s="124" t="e">
        <f>VLOOKUP('北段 (人資版)'!Z3,工作表1!$A$3:$B$78,2,FALSE)</f>
        <v>#REF!</v>
      </c>
      <c r="AA3" s="124" t="e">
        <f>VLOOKUP('北段 (人資版)'!AA3,工作表1!$A$3:$B$78,2,FALSE)</f>
        <v>#REF!</v>
      </c>
      <c r="AB3" s="124" t="e">
        <f>VLOOKUP('北段 (人資版)'!AB3,工作表1!$A$3:$B$78,2,FALSE)</f>
        <v>#REF!</v>
      </c>
      <c r="AC3" s="124" t="e">
        <f>VLOOKUP('北段 (人資版)'!AC3,工作表1!$A$3:$B$78,2,FALSE)</f>
        <v>#REF!</v>
      </c>
      <c r="AD3" s="124" t="e">
        <f>VLOOKUP('北段 (人資版)'!AD3,工作表1!$A$3:$B$78,2,FALSE)</f>
        <v>#REF!</v>
      </c>
      <c r="AE3" s="124" t="e">
        <f>VLOOKUP('北段 (人資版)'!AE3,工作表1!$A$3:$B$78,2,FALSE)</f>
        <v>#REF!</v>
      </c>
      <c r="AF3" s="124" t="e">
        <f>VLOOKUP('北段 (人資版)'!AF3,工作表1!$A$3:$B$78,2,FALSE)</f>
        <v>#REF!</v>
      </c>
      <c r="AG3" s="124" t="e">
        <f>VLOOKUP('北段 (人資版)'!AG3,工作表1!$A$3:$B$78,2,FALSE)</f>
        <v>#REF!</v>
      </c>
      <c r="AH3" s="124" t="e">
        <f>VLOOKUP('北段 (人資版)'!AH3,工作表1!$A$3:$B$78,2,FALSE)</f>
        <v>#REF!</v>
      </c>
    </row>
    <row r="4" spans="1:41" ht="39.75" customHeight="1" x14ac:dyDescent="0.25">
      <c r="A4" s="196"/>
      <c r="B4" s="72" t="e">
        <f>北段!#REF!</f>
        <v>#REF!</v>
      </c>
      <c r="C4" s="38" t="e">
        <f>VLOOKUP(B4,北段!B:C,2,FALSE)</f>
        <v>#REF!</v>
      </c>
      <c r="D4" s="124" t="e">
        <f>VLOOKUP('北段 (人資版)'!D4,工作表1!$A$3:$B$78,2,FALSE)</f>
        <v>#REF!</v>
      </c>
      <c r="E4" s="124" t="e">
        <f>VLOOKUP('北段 (人資版)'!E4,工作表1!$A$3:$B$78,2,FALSE)</f>
        <v>#REF!</v>
      </c>
      <c r="F4" s="124" t="e">
        <f>VLOOKUP('北段 (人資版)'!F4,工作表1!$A$3:$B$78,2,FALSE)</f>
        <v>#REF!</v>
      </c>
      <c r="G4" s="124" t="e">
        <f>VLOOKUP('北段 (人資版)'!G4,工作表1!$A$3:$B$78,2,FALSE)</f>
        <v>#REF!</v>
      </c>
      <c r="H4" s="124" t="e">
        <f>VLOOKUP('北段 (人資版)'!H4,工作表1!$A$3:$B$78,2,FALSE)</f>
        <v>#REF!</v>
      </c>
      <c r="I4" s="124" t="e">
        <f>VLOOKUP('北段 (人資版)'!I4,工作表1!$A$3:$B$78,2,FALSE)</f>
        <v>#REF!</v>
      </c>
      <c r="J4" s="124" t="e">
        <f>VLOOKUP('北段 (人資版)'!J4,工作表1!$A$3:$B$78,2,FALSE)</f>
        <v>#REF!</v>
      </c>
      <c r="K4" s="124" t="e">
        <f>VLOOKUP('北段 (人資版)'!K4,工作表1!$A$3:$B$78,2,FALSE)</f>
        <v>#REF!</v>
      </c>
      <c r="L4" s="124" t="e">
        <f>VLOOKUP('北段 (人資版)'!L4,工作表1!$A$3:$B$78,2,FALSE)</f>
        <v>#REF!</v>
      </c>
      <c r="M4" s="124" t="e">
        <f>VLOOKUP('北段 (人資版)'!M4,工作表1!$A$3:$B$78,2,FALSE)</f>
        <v>#REF!</v>
      </c>
      <c r="N4" s="124" t="e">
        <f>VLOOKUP('北段 (人資版)'!N4,工作表1!$A$3:$B$78,2,FALSE)</f>
        <v>#REF!</v>
      </c>
      <c r="O4" s="124" t="e">
        <f>VLOOKUP('北段 (人資版)'!O4,工作表1!$A$3:$B$78,2,FALSE)</f>
        <v>#REF!</v>
      </c>
      <c r="P4" s="124" t="e">
        <f>VLOOKUP('北段 (人資版)'!P4,工作表1!$A$3:$B$78,2,FALSE)</f>
        <v>#REF!</v>
      </c>
      <c r="Q4" s="124" t="e">
        <f>VLOOKUP('北段 (人資版)'!Q4,工作表1!$A$3:$B$78,2,FALSE)</f>
        <v>#REF!</v>
      </c>
      <c r="R4" s="124" t="e">
        <f>VLOOKUP('北段 (人資版)'!R4,工作表1!$A$3:$B$78,2,FALSE)</f>
        <v>#REF!</v>
      </c>
      <c r="S4" s="124" t="e">
        <f>VLOOKUP('北段 (人資版)'!S4,工作表1!$A$3:$B$78,2,FALSE)</f>
        <v>#REF!</v>
      </c>
      <c r="T4" s="124" t="e">
        <f>VLOOKUP('北段 (人資版)'!T4,工作表1!$A$3:$B$78,2,FALSE)</f>
        <v>#REF!</v>
      </c>
      <c r="U4" s="124" t="e">
        <f>VLOOKUP('北段 (人資版)'!U4,工作表1!$A$3:$B$78,2,FALSE)</f>
        <v>#REF!</v>
      </c>
      <c r="V4" s="124" t="e">
        <f>VLOOKUP('北段 (人資版)'!V4,工作表1!$A$3:$B$78,2,FALSE)</f>
        <v>#REF!</v>
      </c>
      <c r="W4" s="124" t="e">
        <f>VLOOKUP('北段 (人資版)'!W4,工作表1!$A$3:$B$78,2,FALSE)</f>
        <v>#REF!</v>
      </c>
      <c r="X4" s="124" t="e">
        <f>VLOOKUP('北段 (人資版)'!X4,工作表1!$A$3:$B$78,2,FALSE)</f>
        <v>#REF!</v>
      </c>
      <c r="Y4" s="124" t="e">
        <f>VLOOKUP('北段 (人資版)'!Y4,工作表1!$A$3:$B$78,2,FALSE)</f>
        <v>#REF!</v>
      </c>
      <c r="Z4" s="124" t="e">
        <f>VLOOKUP('北段 (人資版)'!Z4,工作表1!$A$3:$B$78,2,FALSE)</f>
        <v>#REF!</v>
      </c>
      <c r="AA4" s="124" t="e">
        <f>VLOOKUP('北段 (人資版)'!AA4,工作表1!$A$3:$B$78,2,FALSE)</f>
        <v>#REF!</v>
      </c>
      <c r="AB4" s="124" t="e">
        <f>VLOOKUP('北段 (人資版)'!AB4,工作表1!$A$3:$B$78,2,FALSE)</f>
        <v>#REF!</v>
      </c>
      <c r="AC4" s="124" t="e">
        <f>VLOOKUP('北段 (人資版)'!AC4,工作表1!$A$3:$B$78,2,FALSE)</f>
        <v>#REF!</v>
      </c>
      <c r="AD4" s="124" t="e">
        <f>VLOOKUP('北段 (人資版)'!AD4,工作表1!$A$3:$B$78,2,FALSE)</f>
        <v>#REF!</v>
      </c>
      <c r="AE4" s="124" t="e">
        <f>VLOOKUP('北段 (人資版)'!AE4,工作表1!$A$3:$B$78,2,FALSE)</f>
        <v>#REF!</v>
      </c>
      <c r="AF4" s="124" t="e">
        <f>VLOOKUP('北段 (人資版)'!AF4,工作表1!$A$3:$B$78,2,FALSE)</f>
        <v>#REF!</v>
      </c>
      <c r="AG4" s="124" t="e">
        <f>VLOOKUP('北段 (人資版)'!AG4,工作表1!$A$3:$B$78,2,FALSE)</f>
        <v>#REF!</v>
      </c>
      <c r="AH4" s="124" t="e">
        <f>VLOOKUP('北段 (人資版)'!AH4,工作表1!$A$3:$B$78,2,FALSE)</f>
        <v>#REF!</v>
      </c>
    </row>
    <row r="5" spans="1:41" ht="39.75" customHeight="1" x14ac:dyDescent="0.25">
      <c r="A5" s="196"/>
      <c r="B5" s="72" t="e">
        <f>北段!#REF!</f>
        <v>#REF!</v>
      </c>
      <c r="C5" s="38" t="e">
        <f>VLOOKUP(B5,北段!B:C,2,FALSE)</f>
        <v>#REF!</v>
      </c>
      <c r="D5" s="124" t="e">
        <f>VLOOKUP('北段 (人資版)'!D5,工作表1!$A$3:$B$78,2,FALSE)</f>
        <v>#REF!</v>
      </c>
      <c r="E5" s="124" t="e">
        <f>VLOOKUP('北段 (人資版)'!E5,工作表1!$A$3:$B$78,2,FALSE)</f>
        <v>#REF!</v>
      </c>
      <c r="F5" s="124" t="e">
        <f>VLOOKUP('北段 (人資版)'!F5,工作表1!$A$3:$B$78,2,FALSE)</f>
        <v>#REF!</v>
      </c>
      <c r="G5" s="124" t="e">
        <f>VLOOKUP('北段 (人資版)'!G5,工作表1!$A$3:$B$78,2,FALSE)</f>
        <v>#REF!</v>
      </c>
      <c r="H5" s="124" t="e">
        <f>VLOOKUP('北段 (人資版)'!H5,工作表1!$A$3:$B$78,2,FALSE)</f>
        <v>#REF!</v>
      </c>
      <c r="I5" s="124" t="e">
        <f>VLOOKUP('北段 (人資版)'!I5,工作表1!$A$3:$B$78,2,FALSE)</f>
        <v>#REF!</v>
      </c>
      <c r="J5" s="124" t="e">
        <f>VLOOKUP('北段 (人資版)'!J5,工作表1!$A$3:$B$78,2,FALSE)</f>
        <v>#REF!</v>
      </c>
      <c r="K5" s="124" t="e">
        <f>VLOOKUP('北段 (人資版)'!K5,工作表1!$A$3:$B$78,2,FALSE)</f>
        <v>#REF!</v>
      </c>
      <c r="L5" s="124" t="e">
        <f>VLOOKUP('北段 (人資版)'!L5,工作表1!$A$3:$B$78,2,FALSE)</f>
        <v>#REF!</v>
      </c>
      <c r="M5" s="124" t="e">
        <f>VLOOKUP('北段 (人資版)'!M5,工作表1!$A$3:$B$78,2,FALSE)</f>
        <v>#REF!</v>
      </c>
      <c r="N5" s="124" t="e">
        <f>VLOOKUP('北段 (人資版)'!N5,工作表1!$A$3:$B$78,2,FALSE)</f>
        <v>#REF!</v>
      </c>
      <c r="O5" s="124" t="e">
        <f>VLOOKUP('北段 (人資版)'!O5,工作表1!$A$3:$B$78,2,FALSE)</f>
        <v>#REF!</v>
      </c>
      <c r="P5" s="124" t="e">
        <f>VLOOKUP('北段 (人資版)'!P5,工作表1!$A$3:$B$78,2,FALSE)</f>
        <v>#REF!</v>
      </c>
      <c r="Q5" s="124" t="e">
        <f>VLOOKUP('北段 (人資版)'!Q5,工作表1!$A$3:$B$78,2,FALSE)</f>
        <v>#REF!</v>
      </c>
      <c r="R5" s="124" t="e">
        <f>VLOOKUP('北段 (人資版)'!R5,工作表1!$A$3:$B$78,2,FALSE)</f>
        <v>#REF!</v>
      </c>
      <c r="S5" s="124" t="e">
        <f>VLOOKUP('北段 (人資版)'!S5,工作表1!$A$3:$B$78,2,FALSE)</f>
        <v>#REF!</v>
      </c>
      <c r="T5" s="124" t="e">
        <f>VLOOKUP('北段 (人資版)'!T5,工作表1!$A$3:$B$78,2,FALSE)</f>
        <v>#REF!</v>
      </c>
      <c r="U5" s="124" t="e">
        <f>VLOOKUP('北段 (人資版)'!U5,工作表1!$A$3:$B$78,2,FALSE)</f>
        <v>#REF!</v>
      </c>
      <c r="V5" s="124" t="e">
        <f>VLOOKUP('北段 (人資版)'!V5,工作表1!$A$3:$B$78,2,FALSE)</f>
        <v>#REF!</v>
      </c>
      <c r="W5" s="124" t="e">
        <f>VLOOKUP('北段 (人資版)'!W5,工作表1!$A$3:$B$78,2,FALSE)</f>
        <v>#REF!</v>
      </c>
      <c r="X5" s="124" t="e">
        <f>VLOOKUP('北段 (人資版)'!X5,工作表1!$A$3:$B$78,2,FALSE)</f>
        <v>#REF!</v>
      </c>
      <c r="Y5" s="124" t="e">
        <f>VLOOKUP('北段 (人資版)'!Y5,工作表1!$A$3:$B$78,2,FALSE)</f>
        <v>#REF!</v>
      </c>
      <c r="Z5" s="124" t="e">
        <f>VLOOKUP('北段 (人資版)'!Z5,工作表1!$A$3:$B$78,2,FALSE)</f>
        <v>#REF!</v>
      </c>
      <c r="AA5" s="124" t="e">
        <f>VLOOKUP('北段 (人資版)'!AA5,工作表1!$A$3:$B$78,2,FALSE)</f>
        <v>#REF!</v>
      </c>
      <c r="AB5" s="124" t="e">
        <f>VLOOKUP('北段 (人資版)'!AB5,工作表1!$A$3:$B$78,2,FALSE)</f>
        <v>#REF!</v>
      </c>
      <c r="AC5" s="124" t="e">
        <f>VLOOKUP('北段 (人資版)'!AC5,工作表1!$A$3:$B$78,2,FALSE)</f>
        <v>#REF!</v>
      </c>
      <c r="AD5" s="124" t="e">
        <f>VLOOKUP('北段 (人資版)'!AD5,工作表1!$A$3:$B$78,2,FALSE)</f>
        <v>#REF!</v>
      </c>
      <c r="AE5" s="124" t="e">
        <f>VLOOKUP('北段 (人資版)'!AE5,工作表1!$A$3:$B$78,2,FALSE)</f>
        <v>#REF!</v>
      </c>
      <c r="AF5" s="124" t="e">
        <f>VLOOKUP('北段 (人資版)'!AF5,工作表1!$A$3:$B$78,2,FALSE)</f>
        <v>#REF!</v>
      </c>
      <c r="AG5" s="124" t="e">
        <f>VLOOKUP('北段 (人資版)'!AG5,工作表1!$A$3:$B$78,2,FALSE)</f>
        <v>#REF!</v>
      </c>
      <c r="AH5" s="124" t="e">
        <f>VLOOKUP('北段 (人資版)'!AH5,工作表1!$A$3:$B$78,2,FALSE)</f>
        <v>#REF!</v>
      </c>
    </row>
    <row r="6" spans="1:41" ht="39.75" customHeight="1" x14ac:dyDescent="0.25">
      <c r="A6" s="196"/>
      <c r="B6" s="72" t="e">
        <f>北段!#REF!</f>
        <v>#REF!</v>
      </c>
      <c r="C6" s="38" t="e">
        <f>VLOOKUP(B6,北段!B:C,2,FALSE)</f>
        <v>#REF!</v>
      </c>
      <c r="D6" s="124" t="e">
        <f>VLOOKUP('北段 (人資版)'!D6,工作表1!$A$3:$B$78,2,FALSE)</f>
        <v>#REF!</v>
      </c>
      <c r="E6" s="124" t="e">
        <f>VLOOKUP('北段 (人資版)'!E6,工作表1!$A$3:$B$78,2,FALSE)</f>
        <v>#REF!</v>
      </c>
      <c r="F6" s="124" t="e">
        <f>VLOOKUP('北段 (人資版)'!F6,工作表1!$A$3:$B$78,2,FALSE)</f>
        <v>#REF!</v>
      </c>
      <c r="G6" s="124" t="e">
        <f>VLOOKUP('北段 (人資版)'!G6,工作表1!$A$3:$B$78,2,FALSE)</f>
        <v>#REF!</v>
      </c>
      <c r="H6" s="124" t="e">
        <f>VLOOKUP('北段 (人資版)'!H6,工作表1!$A$3:$B$78,2,FALSE)</f>
        <v>#REF!</v>
      </c>
      <c r="I6" s="124" t="e">
        <f>VLOOKUP('北段 (人資版)'!I6,工作表1!$A$3:$B$78,2,FALSE)</f>
        <v>#REF!</v>
      </c>
      <c r="J6" s="124" t="e">
        <f>VLOOKUP('北段 (人資版)'!J6,工作表1!$A$3:$B$78,2,FALSE)</f>
        <v>#REF!</v>
      </c>
      <c r="K6" s="124" t="e">
        <f>VLOOKUP('北段 (人資版)'!K6,工作表1!$A$3:$B$78,2,FALSE)</f>
        <v>#REF!</v>
      </c>
      <c r="L6" s="124" t="e">
        <f>VLOOKUP('北段 (人資版)'!L6,工作表1!$A$3:$B$78,2,FALSE)</f>
        <v>#REF!</v>
      </c>
      <c r="M6" s="124" t="e">
        <f>VLOOKUP('北段 (人資版)'!M6,工作表1!$A$3:$B$78,2,FALSE)</f>
        <v>#REF!</v>
      </c>
      <c r="N6" s="124" t="e">
        <f>VLOOKUP('北段 (人資版)'!N6,工作表1!$A$3:$B$78,2,FALSE)</f>
        <v>#REF!</v>
      </c>
      <c r="O6" s="124" t="e">
        <f>VLOOKUP('北段 (人資版)'!O6,工作表1!$A$3:$B$78,2,FALSE)</f>
        <v>#REF!</v>
      </c>
      <c r="P6" s="124" t="e">
        <f>VLOOKUP('北段 (人資版)'!P6,工作表1!$A$3:$B$78,2,FALSE)</f>
        <v>#REF!</v>
      </c>
      <c r="Q6" s="124" t="e">
        <f>VLOOKUP('北段 (人資版)'!Q6,工作表1!$A$3:$B$78,2,FALSE)</f>
        <v>#REF!</v>
      </c>
      <c r="R6" s="124" t="e">
        <f>VLOOKUP('北段 (人資版)'!R6,工作表1!$A$3:$B$78,2,FALSE)</f>
        <v>#REF!</v>
      </c>
      <c r="S6" s="124" t="e">
        <f>VLOOKUP('北段 (人資版)'!S6,工作表1!$A$3:$B$78,2,FALSE)</f>
        <v>#REF!</v>
      </c>
      <c r="T6" s="124" t="e">
        <f>VLOOKUP('北段 (人資版)'!T6,工作表1!$A$3:$B$78,2,FALSE)</f>
        <v>#REF!</v>
      </c>
      <c r="U6" s="124" t="e">
        <f>VLOOKUP('北段 (人資版)'!U6,工作表1!$A$3:$B$78,2,FALSE)</f>
        <v>#REF!</v>
      </c>
      <c r="V6" s="124" t="e">
        <f>VLOOKUP('北段 (人資版)'!V6,工作表1!$A$3:$B$78,2,FALSE)</f>
        <v>#REF!</v>
      </c>
      <c r="W6" s="124" t="e">
        <f>VLOOKUP('北段 (人資版)'!W6,工作表1!$A$3:$B$78,2,FALSE)</f>
        <v>#REF!</v>
      </c>
      <c r="X6" s="124" t="e">
        <f>VLOOKUP('北段 (人資版)'!X6,工作表1!$A$3:$B$78,2,FALSE)</f>
        <v>#REF!</v>
      </c>
      <c r="Y6" s="124" t="e">
        <f>VLOOKUP('北段 (人資版)'!Y6,工作表1!$A$3:$B$78,2,FALSE)</f>
        <v>#REF!</v>
      </c>
      <c r="Z6" s="124" t="e">
        <f>VLOOKUP('北段 (人資版)'!Z6,工作表1!$A$3:$B$78,2,FALSE)</f>
        <v>#REF!</v>
      </c>
      <c r="AA6" s="124" t="e">
        <f>VLOOKUP('北段 (人資版)'!AA6,工作表1!$A$3:$B$78,2,FALSE)</f>
        <v>#REF!</v>
      </c>
      <c r="AB6" s="124" t="e">
        <f>VLOOKUP('北段 (人資版)'!AB6,工作表1!$A$3:$B$78,2,FALSE)</f>
        <v>#REF!</v>
      </c>
      <c r="AC6" s="124" t="e">
        <f>VLOOKUP('北段 (人資版)'!AC6,工作表1!$A$3:$B$78,2,FALSE)</f>
        <v>#REF!</v>
      </c>
      <c r="AD6" s="124" t="e">
        <f>VLOOKUP('北段 (人資版)'!AD6,工作表1!$A$3:$B$78,2,FALSE)</f>
        <v>#REF!</v>
      </c>
      <c r="AE6" s="124" t="e">
        <f>VLOOKUP('北段 (人資版)'!AE6,工作表1!$A$3:$B$78,2,FALSE)</f>
        <v>#REF!</v>
      </c>
      <c r="AF6" s="124" t="e">
        <f>VLOOKUP('北段 (人資版)'!AF6,工作表1!$A$3:$B$78,2,FALSE)</f>
        <v>#REF!</v>
      </c>
      <c r="AG6" s="124" t="e">
        <f>VLOOKUP('北段 (人資版)'!AG6,工作表1!$A$3:$B$78,2,FALSE)</f>
        <v>#REF!</v>
      </c>
      <c r="AH6" s="124" t="e">
        <f>VLOOKUP('北段 (人資版)'!AH6,工作表1!$A$3:$B$78,2,FALSE)</f>
        <v>#REF!</v>
      </c>
    </row>
    <row r="7" spans="1:41" ht="39.75" customHeight="1" x14ac:dyDescent="0.25">
      <c r="A7" s="196"/>
      <c r="B7" s="72" t="e">
        <f>北段!#REF!</f>
        <v>#REF!</v>
      </c>
      <c r="C7" s="38" t="e">
        <f>VLOOKUP(B7,北段!B:C,2,FALSE)</f>
        <v>#REF!</v>
      </c>
      <c r="D7" s="124" t="e">
        <f>VLOOKUP('北段 (人資版)'!D7,工作表1!$A$3:$B$78,2,FALSE)</f>
        <v>#REF!</v>
      </c>
      <c r="E7" s="124" t="e">
        <f>VLOOKUP('北段 (人資版)'!E7,工作表1!$A$3:$B$78,2,FALSE)</f>
        <v>#REF!</v>
      </c>
      <c r="F7" s="124" t="e">
        <f>VLOOKUP('北段 (人資版)'!F7,工作表1!$A$3:$B$78,2,FALSE)</f>
        <v>#REF!</v>
      </c>
      <c r="G7" s="124" t="e">
        <f>VLOOKUP('北段 (人資版)'!G7,工作表1!$A$3:$B$78,2,FALSE)</f>
        <v>#REF!</v>
      </c>
      <c r="H7" s="124" t="e">
        <f>VLOOKUP('北段 (人資版)'!H7,工作表1!$A$3:$B$78,2,FALSE)</f>
        <v>#REF!</v>
      </c>
      <c r="I7" s="124" t="e">
        <f>VLOOKUP('北段 (人資版)'!I7,工作表1!$A$3:$B$78,2,FALSE)</f>
        <v>#REF!</v>
      </c>
      <c r="J7" s="124" t="e">
        <f>VLOOKUP('北段 (人資版)'!J7,工作表1!$A$3:$B$78,2,FALSE)</f>
        <v>#REF!</v>
      </c>
      <c r="K7" s="124" t="e">
        <f>VLOOKUP('北段 (人資版)'!K7,工作表1!$A$3:$B$78,2,FALSE)</f>
        <v>#REF!</v>
      </c>
      <c r="L7" s="124" t="e">
        <f>VLOOKUP('北段 (人資版)'!L7,工作表1!$A$3:$B$78,2,FALSE)</f>
        <v>#REF!</v>
      </c>
      <c r="M7" s="124" t="e">
        <f>VLOOKUP('北段 (人資版)'!M7,工作表1!$A$3:$B$78,2,FALSE)</f>
        <v>#REF!</v>
      </c>
      <c r="N7" s="124" t="e">
        <f>VLOOKUP('北段 (人資版)'!N7,工作表1!$A$3:$B$78,2,FALSE)</f>
        <v>#REF!</v>
      </c>
      <c r="O7" s="124" t="e">
        <f>VLOOKUP('北段 (人資版)'!O7,工作表1!$A$3:$B$78,2,FALSE)</f>
        <v>#REF!</v>
      </c>
      <c r="P7" s="124" t="e">
        <f>VLOOKUP('北段 (人資版)'!P7,工作表1!$A$3:$B$78,2,FALSE)</f>
        <v>#REF!</v>
      </c>
      <c r="Q7" s="124" t="e">
        <f>VLOOKUP('北段 (人資版)'!Q7,工作表1!$A$3:$B$78,2,FALSE)</f>
        <v>#REF!</v>
      </c>
      <c r="R7" s="124" t="e">
        <f>VLOOKUP('北段 (人資版)'!R7,工作表1!$A$3:$B$78,2,FALSE)</f>
        <v>#REF!</v>
      </c>
      <c r="S7" s="124" t="e">
        <f>VLOOKUP('北段 (人資版)'!S7,工作表1!$A$3:$B$78,2,FALSE)</f>
        <v>#REF!</v>
      </c>
      <c r="T7" s="124" t="e">
        <f>VLOOKUP('北段 (人資版)'!T7,工作表1!$A$3:$B$78,2,FALSE)</f>
        <v>#REF!</v>
      </c>
      <c r="U7" s="124" t="e">
        <f>VLOOKUP('北段 (人資版)'!U7,工作表1!$A$3:$B$78,2,FALSE)</f>
        <v>#REF!</v>
      </c>
      <c r="V7" s="124" t="e">
        <f>VLOOKUP('北段 (人資版)'!V7,工作表1!$A$3:$B$78,2,FALSE)</f>
        <v>#REF!</v>
      </c>
      <c r="W7" s="124" t="e">
        <f>VLOOKUP('北段 (人資版)'!W7,工作表1!$A$3:$B$78,2,FALSE)</f>
        <v>#REF!</v>
      </c>
      <c r="X7" s="124" t="e">
        <f>VLOOKUP('北段 (人資版)'!X7,工作表1!$A$3:$B$78,2,FALSE)</f>
        <v>#REF!</v>
      </c>
      <c r="Y7" s="124" t="e">
        <f>VLOOKUP('北段 (人資版)'!Y7,工作表1!$A$3:$B$78,2,FALSE)</f>
        <v>#REF!</v>
      </c>
      <c r="Z7" s="124" t="e">
        <f>VLOOKUP('北段 (人資版)'!Z7,工作表1!$A$3:$B$78,2,FALSE)</f>
        <v>#REF!</v>
      </c>
      <c r="AA7" s="124" t="e">
        <f>VLOOKUP('北段 (人資版)'!AA7,工作表1!$A$3:$B$78,2,FALSE)</f>
        <v>#REF!</v>
      </c>
      <c r="AB7" s="124" t="e">
        <f>VLOOKUP('北段 (人資版)'!AB7,工作表1!$A$3:$B$78,2,FALSE)</f>
        <v>#REF!</v>
      </c>
      <c r="AC7" s="124" t="e">
        <f>VLOOKUP('北段 (人資版)'!AC7,工作表1!$A$3:$B$78,2,FALSE)</f>
        <v>#REF!</v>
      </c>
      <c r="AD7" s="124" t="e">
        <f>VLOOKUP('北段 (人資版)'!AD7,工作表1!$A$3:$B$78,2,FALSE)</f>
        <v>#REF!</v>
      </c>
      <c r="AE7" s="124" t="e">
        <f>VLOOKUP('北段 (人資版)'!AE7,工作表1!$A$3:$B$78,2,FALSE)</f>
        <v>#REF!</v>
      </c>
      <c r="AF7" s="124" t="e">
        <f>VLOOKUP('北段 (人資版)'!AF7,工作表1!$A$3:$B$78,2,FALSE)</f>
        <v>#REF!</v>
      </c>
      <c r="AG7" s="124" t="e">
        <f>VLOOKUP('北段 (人資版)'!AG7,工作表1!$A$3:$B$78,2,FALSE)</f>
        <v>#REF!</v>
      </c>
      <c r="AH7" s="124" t="e">
        <f>VLOOKUP('北段 (人資版)'!AH7,工作表1!$A$3:$B$78,2,FALSE)</f>
        <v>#REF!</v>
      </c>
    </row>
    <row r="8" spans="1:41" ht="39.75" customHeight="1" x14ac:dyDescent="0.25">
      <c r="A8" s="196"/>
      <c r="B8" s="72" t="e">
        <f>北段!#REF!</f>
        <v>#REF!</v>
      </c>
      <c r="C8" s="38" t="e">
        <f>VLOOKUP(B8,北段!B:C,2,FALSE)</f>
        <v>#REF!</v>
      </c>
      <c r="D8" s="124" t="e">
        <f>VLOOKUP('北段 (人資版)'!D8,工作表1!$A$3:$B$78,2,FALSE)</f>
        <v>#REF!</v>
      </c>
      <c r="E8" s="124" t="e">
        <f>VLOOKUP('北段 (人資版)'!E8,工作表1!$A$3:$B$78,2,FALSE)</f>
        <v>#REF!</v>
      </c>
      <c r="F8" s="124" t="e">
        <f>VLOOKUP('北段 (人資版)'!F8,工作表1!$A$3:$B$78,2,FALSE)</f>
        <v>#REF!</v>
      </c>
      <c r="G8" s="124" t="e">
        <f>VLOOKUP('北段 (人資版)'!G8,工作表1!$A$3:$B$78,2,FALSE)</f>
        <v>#REF!</v>
      </c>
      <c r="H8" s="124" t="e">
        <f>VLOOKUP('北段 (人資版)'!H8,工作表1!$A$3:$B$78,2,FALSE)</f>
        <v>#REF!</v>
      </c>
      <c r="I8" s="124" t="e">
        <f>VLOOKUP('北段 (人資版)'!I8,工作表1!$A$3:$B$78,2,FALSE)</f>
        <v>#REF!</v>
      </c>
      <c r="J8" s="124" t="e">
        <f>VLOOKUP('北段 (人資版)'!J8,工作表1!$A$3:$B$78,2,FALSE)</f>
        <v>#REF!</v>
      </c>
      <c r="K8" s="124" t="e">
        <f>VLOOKUP('北段 (人資版)'!K8,工作表1!$A$3:$B$78,2,FALSE)</f>
        <v>#REF!</v>
      </c>
      <c r="L8" s="124" t="e">
        <f>VLOOKUP('北段 (人資版)'!L8,工作表1!$A$3:$B$78,2,FALSE)</f>
        <v>#REF!</v>
      </c>
      <c r="M8" s="124" t="e">
        <f>VLOOKUP('北段 (人資版)'!M8,工作表1!$A$3:$B$78,2,FALSE)</f>
        <v>#REF!</v>
      </c>
      <c r="N8" s="124" t="e">
        <f>VLOOKUP('北段 (人資版)'!N8,工作表1!$A$3:$B$78,2,FALSE)</f>
        <v>#REF!</v>
      </c>
      <c r="O8" s="124" t="e">
        <f>VLOOKUP('北段 (人資版)'!O8,工作表1!$A$3:$B$78,2,FALSE)</f>
        <v>#REF!</v>
      </c>
      <c r="P8" s="124" t="e">
        <f>VLOOKUP('北段 (人資版)'!P8,工作表1!$A$3:$B$78,2,FALSE)</f>
        <v>#REF!</v>
      </c>
      <c r="Q8" s="124" t="e">
        <f>VLOOKUP('北段 (人資版)'!Q8,工作表1!$A$3:$B$78,2,FALSE)</f>
        <v>#REF!</v>
      </c>
      <c r="R8" s="124" t="e">
        <f>VLOOKUP('北段 (人資版)'!R8,工作表1!$A$3:$B$78,2,FALSE)</f>
        <v>#REF!</v>
      </c>
      <c r="S8" s="124" t="e">
        <f>VLOOKUP('北段 (人資版)'!S8,工作表1!$A$3:$B$78,2,FALSE)</f>
        <v>#REF!</v>
      </c>
      <c r="T8" s="124" t="e">
        <f>VLOOKUP('北段 (人資版)'!T8,工作表1!$A$3:$B$78,2,FALSE)</f>
        <v>#REF!</v>
      </c>
      <c r="U8" s="124" t="e">
        <f>VLOOKUP('北段 (人資版)'!U8,工作表1!$A$3:$B$78,2,FALSE)</f>
        <v>#REF!</v>
      </c>
      <c r="V8" s="124" t="e">
        <f>VLOOKUP('北段 (人資版)'!V8,工作表1!$A$3:$B$78,2,FALSE)</f>
        <v>#REF!</v>
      </c>
      <c r="W8" s="124" t="e">
        <f>VLOOKUP('北段 (人資版)'!W8,工作表1!$A$3:$B$78,2,FALSE)</f>
        <v>#REF!</v>
      </c>
      <c r="X8" s="124" t="e">
        <f>VLOOKUP('北段 (人資版)'!X8,工作表1!$A$3:$B$78,2,FALSE)</f>
        <v>#REF!</v>
      </c>
      <c r="Y8" s="124" t="e">
        <f>VLOOKUP('北段 (人資版)'!Y8,工作表1!$A$3:$B$78,2,FALSE)</f>
        <v>#REF!</v>
      </c>
      <c r="Z8" s="124" t="e">
        <f>VLOOKUP('北段 (人資版)'!Z8,工作表1!$A$3:$B$78,2,FALSE)</f>
        <v>#REF!</v>
      </c>
      <c r="AA8" s="124" t="e">
        <f>VLOOKUP('北段 (人資版)'!AA8,工作表1!$A$3:$B$78,2,FALSE)</f>
        <v>#REF!</v>
      </c>
      <c r="AB8" s="124" t="e">
        <f>VLOOKUP('北段 (人資版)'!AB8,工作表1!$A$3:$B$78,2,FALSE)</f>
        <v>#REF!</v>
      </c>
      <c r="AC8" s="124" t="e">
        <f>VLOOKUP('北段 (人資版)'!AC8,工作表1!$A$3:$B$78,2,FALSE)</f>
        <v>#REF!</v>
      </c>
      <c r="AD8" s="124" t="e">
        <f>VLOOKUP('北段 (人資版)'!AD8,工作表1!$A$3:$B$78,2,FALSE)</f>
        <v>#REF!</v>
      </c>
      <c r="AE8" s="124" t="e">
        <f>VLOOKUP('北段 (人資版)'!AE8,工作表1!$A$3:$B$78,2,FALSE)</f>
        <v>#REF!</v>
      </c>
      <c r="AF8" s="124" t="e">
        <f>VLOOKUP('北段 (人資版)'!AF8,工作表1!$A$3:$B$78,2,FALSE)</f>
        <v>#REF!</v>
      </c>
      <c r="AG8" s="124" t="e">
        <f>VLOOKUP('北段 (人資版)'!AG8,工作表1!$A$3:$B$78,2,FALSE)</f>
        <v>#REF!</v>
      </c>
      <c r="AH8" s="124" t="e">
        <f>VLOOKUP('北段 (人資版)'!AH8,工作表1!$A$3:$B$78,2,FALSE)</f>
        <v>#REF!</v>
      </c>
    </row>
    <row r="9" spans="1:41" ht="39.6" customHeight="1" x14ac:dyDescent="0.25">
      <c r="A9" s="196"/>
      <c r="B9" s="72" t="e">
        <f>北段!#REF!</f>
        <v>#REF!</v>
      </c>
      <c r="C9" s="38" t="e">
        <f>VLOOKUP(B9,北段!B:C,2,FALSE)</f>
        <v>#REF!</v>
      </c>
      <c r="D9" s="124" t="e">
        <f>VLOOKUP('北段 (人資版)'!D9,工作表1!$A$3:$B$78,2,FALSE)</f>
        <v>#REF!</v>
      </c>
      <c r="E9" s="124" t="e">
        <f>VLOOKUP('北段 (人資版)'!E9,工作表1!$A$3:$B$78,2,FALSE)</f>
        <v>#REF!</v>
      </c>
      <c r="F9" s="124" t="e">
        <f>VLOOKUP('北段 (人資版)'!F9,工作表1!$A$3:$B$78,2,FALSE)</f>
        <v>#REF!</v>
      </c>
      <c r="G9" s="124" t="e">
        <f>VLOOKUP('北段 (人資版)'!G9,工作表1!$A$3:$B$78,2,FALSE)</f>
        <v>#REF!</v>
      </c>
      <c r="H9" s="124" t="e">
        <f>VLOOKUP('北段 (人資版)'!H9,工作表1!$A$3:$B$78,2,FALSE)</f>
        <v>#REF!</v>
      </c>
      <c r="I9" s="124" t="e">
        <f>VLOOKUP('北段 (人資版)'!I9,工作表1!$A$3:$B$78,2,FALSE)</f>
        <v>#REF!</v>
      </c>
      <c r="J9" s="124" t="e">
        <f>VLOOKUP('北段 (人資版)'!J9,工作表1!$A$3:$B$78,2,FALSE)</f>
        <v>#REF!</v>
      </c>
      <c r="K9" s="124" t="e">
        <f>VLOOKUP('北段 (人資版)'!K9,工作表1!$A$3:$B$78,2,FALSE)</f>
        <v>#REF!</v>
      </c>
      <c r="L9" s="124" t="e">
        <f>VLOOKUP('北段 (人資版)'!L9,工作表1!$A$3:$B$78,2,FALSE)</f>
        <v>#REF!</v>
      </c>
      <c r="M9" s="124" t="e">
        <f>VLOOKUP('北段 (人資版)'!M9,工作表1!$A$3:$B$78,2,FALSE)</f>
        <v>#REF!</v>
      </c>
      <c r="N9" s="124" t="e">
        <f>VLOOKUP('北段 (人資版)'!N9,工作表1!$A$3:$B$78,2,FALSE)</f>
        <v>#REF!</v>
      </c>
      <c r="O9" s="124" t="e">
        <f>VLOOKUP('北段 (人資版)'!O9,工作表1!$A$3:$B$78,2,FALSE)</f>
        <v>#REF!</v>
      </c>
      <c r="P9" s="124" t="e">
        <f>VLOOKUP('北段 (人資版)'!P9,工作表1!$A$3:$B$78,2,FALSE)</f>
        <v>#REF!</v>
      </c>
      <c r="Q9" s="124" t="e">
        <f>VLOOKUP('北段 (人資版)'!Q9,工作表1!$A$3:$B$78,2,FALSE)</f>
        <v>#REF!</v>
      </c>
      <c r="R9" s="124" t="e">
        <f>VLOOKUP('北段 (人資版)'!R9,工作表1!$A$3:$B$78,2,FALSE)</f>
        <v>#REF!</v>
      </c>
      <c r="S9" s="124" t="e">
        <f>VLOOKUP('北段 (人資版)'!S9,工作表1!$A$3:$B$78,2,FALSE)</f>
        <v>#REF!</v>
      </c>
      <c r="T9" s="124" t="e">
        <f>VLOOKUP('北段 (人資版)'!T9,工作表1!$A$3:$B$78,2,FALSE)</f>
        <v>#REF!</v>
      </c>
      <c r="U9" s="124" t="e">
        <f>VLOOKUP('北段 (人資版)'!U9,工作表1!$A$3:$B$78,2,FALSE)</f>
        <v>#REF!</v>
      </c>
      <c r="V9" s="124" t="e">
        <f>VLOOKUP('北段 (人資版)'!V9,工作表1!$A$3:$B$78,2,FALSE)</f>
        <v>#REF!</v>
      </c>
      <c r="W9" s="124" t="e">
        <f>VLOOKUP('北段 (人資版)'!W9,工作表1!$A$3:$B$78,2,FALSE)</f>
        <v>#REF!</v>
      </c>
      <c r="X9" s="124" t="e">
        <f>VLOOKUP('北段 (人資版)'!X9,工作表1!$A$3:$B$78,2,FALSE)</f>
        <v>#REF!</v>
      </c>
      <c r="Y9" s="124" t="e">
        <f>VLOOKUP('北段 (人資版)'!Y9,工作表1!$A$3:$B$78,2,FALSE)</f>
        <v>#REF!</v>
      </c>
      <c r="Z9" s="124" t="e">
        <f>VLOOKUP('北段 (人資版)'!Z9,工作表1!$A$3:$B$78,2,FALSE)</f>
        <v>#REF!</v>
      </c>
      <c r="AA9" s="124" t="e">
        <f>VLOOKUP('北段 (人資版)'!AA9,工作表1!$A$3:$B$78,2,FALSE)</f>
        <v>#REF!</v>
      </c>
      <c r="AB9" s="124" t="e">
        <f>VLOOKUP('北段 (人資版)'!AB9,工作表1!$A$3:$B$78,2,FALSE)</f>
        <v>#REF!</v>
      </c>
      <c r="AC9" s="124" t="e">
        <f>VLOOKUP('北段 (人資版)'!AC9,工作表1!$A$3:$B$78,2,FALSE)</f>
        <v>#REF!</v>
      </c>
      <c r="AD9" s="124" t="e">
        <f>VLOOKUP('北段 (人資版)'!AD9,工作表1!$A$3:$B$78,2,FALSE)</f>
        <v>#REF!</v>
      </c>
      <c r="AE9" s="124" t="e">
        <f>VLOOKUP('北段 (人資版)'!AE9,工作表1!$A$3:$B$78,2,FALSE)</f>
        <v>#REF!</v>
      </c>
      <c r="AF9" s="124" t="e">
        <f>VLOOKUP('北段 (人資版)'!AF9,工作表1!$A$3:$B$78,2,FALSE)</f>
        <v>#REF!</v>
      </c>
      <c r="AG9" s="124" t="e">
        <f>VLOOKUP('北段 (人資版)'!AG9,工作表1!$A$3:$B$78,2,FALSE)</f>
        <v>#REF!</v>
      </c>
      <c r="AH9" s="124" t="e">
        <f>VLOOKUP('北段 (人資版)'!AH9,工作表1!$A$3:$B$78,2,FALSE)</f>
        <v>#REF!</v>
      </c>
    </row>
    <row r="10" spans="1:41" ht="39.6" customHeight="1" x14ac:dyDescent="0.25">
      <c r="A10" s="196"/>
      <c r="B10" s="72" t="e">
        <f>北段!#REF!</f>
        <v>#REF!</v>
      </c>
      <c r="C10" s="38" t="e">
        <f>VLOOKUP(B10,北段!B:C,2,FALSE)</f>
        <v>#REF!</v>
      </c>
      <c r="D10" s="124" t="e">
        <f>VLOOKUP('北段 (人資版)'!D10,工作表1!$A$3:$B$78,2,FALSE)</f>
        <v>#REF!</v>
      </c>
      <c r="E10" s="124" t="e">
        <f>VLOOKUP('北段 (人資版)'!E10,工作表1!$A$3:$B$78,2,FALSE)</f>
        <v>#REF!</v>
      </c>
      <c r="F10" s="124" t="e">
        <f>VLOOKUP('北段 (人資版)'!F10,工作表1!$A$3:$B$78,2,FALSE)</f>
        <v>#REF!</v>
      </c>
      <c r="G10" s="124" t="e">
        <f>VLOOKUP('北段 (人資版)'!G10,工作表1!$A$3:$B$78,2,FALSE)</f>
        <v>#REF!</v>
      </c>
      <c r="H10" s="124" t="e">
        <f>VLOOKUP('北段 (人資版)'!H10,工作表1!$A$3:$B$78,2,FALSE)</f>
        <v>#REF!</v>
      </c>
      <c r="I10" s="124" t="e">
        <f>VLOOKUP('北段 (人資版)'!I10,工作表1!$A$3:$B$78,2,FALSE)</f>
        <v>#REF!</v>
      </c>
      <c r="J10" s="124" t="e">
        <f>VLOOKUP('北段 (人資版)'!J10,工作表1!$A$3:$B$78,2,FALSE)</f>
        <v>#REF!</v>
      </c>
      <c r="K10" s="124" t="e">
        <f>VLOOKUP('北段 (人資版)'!K10,工作表1!$A$3:$B$78,2,FALSE)</f>
        <v>#REF!</v>
      </c>
      <c r="L10" s="124" t="e">
        <f>VLOOKUP('北段 (人資版)'!L10,工作表1!$A$3:$B$78,2,FALSE)</f>
        <v>#REF!</v>
      </c>
      <c r="M10" s="124" t="e">
        <f>VLOOKUP('北段 (人資版)'!M10,工作表1!$A$3:$B$78,2,FALSE)</f>
        <v>#REF!</v>
      </c>
      <c r="N10" s="124" t="e">
        <f>VLOOKUP('北段 (人資版)'!N10,工作表1!$A$3:$B$78,2,FALSE)</f>
        <v>#REF!</v>
      </c>
      <c r="O10" s="124" t="e">
        <f>VLOOKUP('北段 (人資版)'!O10,工作表1!$A$3:$B$78,2,FALSE)</f>
        <v>#REF!</v>
      </c>
      <c r="P10" s="124" t="e">
        <f>VLOOKUP('北段 (人資版)'!P10,工作表1!$A$3:$B$78,2,FALSE)</f>
        <v>#REF!</v>
      </c>
      <c r="Q10" s="124" t="e">
        <f>VLOOKUP('北段 (人資版)'!Q10,工作表1!$A$3:$B$78,2,FALSE)</f>
        <v>#REF!</v>
      </c>
      <c r="R10" s="124" t="e">
        <f>VLOOKUP('北段 (人資版)'!R10,工作表1!$A$3:$B$78,2,FALSE)</f>
        <v>#REF!</v>
      </c>
      <c r="S10" s="124" t="e">
        <f>VLOOKUP('北段 (人資版)'!S10,工作表1!$A$3:$B$78,2,FALSE)</f>
        <v>#REF!</v>
      </c>
      <c r="T10" s="124" t="e">
        <f>VLOOKUP('北段 (人資版)'!T10,工作表1!$A$3:$B$78,2,FALSE)</f>
        <v>#REF!</v>
      </c>
      <c r="U10" s="124" t="e">
        <f>VLOOKUP('北段 (人資版)'!U10,工作表1!$A$3:$B$78,2,FALSE)</f>
        <v>#REF!</v>
      </c>
      <c r="V10" s="124" t="e">
        <f>VLOOKUP('北段 (人資版)'!V10,工作表1!$A$3:$B$78,2,FALSE)</f>
        <v>#REF!</v>
      </c>
      <c r="W10" s="124" t="e">
        <f>VLOOKUP('北段 (人資版)'!W10,工作表1!$A$3:$B$78,2,FALSE)</f>
        <v>#REF!</v>
      </c>
      <c r="X10" s="124" t="e">
        <f>VLOOKUP('北段 (人資版)'!X10,工作表1!$A$3:$B$78,2,FALSE)</f>
        <v>#REF!</v>
      </c>
      <c r="Y10" s="124" t="e">
        <f>VLOOKUP('北段 (人資版)'!Y10,工作表1!$A$3:$B$78,2,FALSE)</f>
        <v>#REF!</v>
      </c>
      <c r="Z10" s="124" t="e">
        <f>VLOOKUP('北段 (人資版)'!Z10,工作表1!$A$3:$B$78,2,FALSE)</f>
        <v>#REF!</v>
      </c>
      <c r="AA10" s="124" t="e">
        <f>VLOOKUP('北段 (人資版)'!AA10,工作表1!$A$3:$B$78,2,FALSE)</f>
        <v>#REF!</v>
      </c>
      <c r="AB10" s="124" t="e">
        <f>VLOOKUP('北段 (人資版)'!AB10,工作表1!$A$3:$B$78,2,FALSE)</f>
        <v>#REF!</v>
      </c>
      <c r="AC10" s="124" t="e">
        <f>VLOOKUP('北段 (人資版)'!AC10,工作表1!$A$3:$B$78,2,FALSE)</f>
        <v>#REF!</v>
      </c>
      <c r="AD10" s="124" t="e">
        <f>VLOOKUP('北段 (人資版)'!AD10,工作表1!$A$3:$B$78,2,FALSE)</f>
        <v>#REF!</v>
      </c>
      <c r="AE10" s="124" t="e">
        <f>VLOOKUP('北段 (人資版)'!AE10,工作表1!$A$3:$B$78,2,FALSE)</f>
        <v>#REF!</v>
      </c>
      <c r="AF10" s="124" t="e">
        <f>VLOOKUP('北段 (人資版)'!AF10,工作表1!$A$3:$B$78,2,FALSE)</f>
        <v>#REF!</v>
      </c>
      <c r="AG10" s="124" t="e">
        <f>VLOOKUP('北段 (人資版)'!AG10,工作表1!$A$3:$B$78,2,FALSE)</f>
        <v>#REF!</v>
      </c>
      <c r="AH10" s="124" t="e">
        <f>VLOOKUP('北段 (人資版)'!AH10,工作表1!$A$3:$B$78,2,FALSE)</f>
        <v>#REF!</v>
      </c>
    </row>
    <row r="11" spans="1:41" ht="39.6" customHeight="1" x14ac:dyDescent="0.25">
      <c r="A11" s="196"/>
      <c r="B11" s="72" t="e">
        <f>北段!#REF!</f>
        <v>#REF!</v>
      </c>
      <c r="C11" s="38" t="e">
        <f>VLOOKUP(B11,北段!B:C,2,FALSE)</f>
        <v>#REF!</v>
      </c>
      <c r="D11" s="124" t="e">
        <f>VLOOKUP('北段 (人資版)'!D11,工作表1!$A$3:$B$78,2,FALSE)</f>
        <v>#REF!</v>
      </c>
      <c r="E11" s="124" t="e">
        <f>VLOOKUP('北段 (人資版)'!E11,工作表1!$A$3:$B$78,2,FALSE)</f>
        <v>#REF!</v>
      </c>
      <c r="F11" s="124" t="e">
        <f>VLOOKUP('北段 (人資版)'!F11,工作表1!$A$3:$B$78,2,FALSE)</f>
        <v>#REF!</v>
      </c>
      <c r="G11" s="124" t="e">
        <f>VLOOKUP('北段 (人資版)'!G11,工作表1!$A$3:$B$78,2,FALSE)</f>
        <v>#REF!</v>
      </c>
      <c r="H11" s="124" t="e">
        <f>VLOOKUP('北段 (人資版)'!H11,工作表1!$A$3:$B$78,2,FALSE)</f>
        <v>#REF!</v>
      </c>
      <c r="I11" s="124" t="e">
        <f>VLOOKUP('北段 (人資版)'!I11,工作表1!$A$3:$B$78,2,FALSE)</f>
        <v>#REF!</v>
      </c>
      <c r="J11" s="124" t="e">
        <f>VLOOKUP('北段 (人資版)'!J11,工作表1!$A$3:$B$78,2,FALSE)</f>
        <v>#REF!</v>
      </c>
      <c r="K11" s="124" t="e">
        <f>VLOOKUP('北段 (人資版)'!K11,工作表1!$A$3:$B$78,2,FALSE)</f>
        <v>#REF!</v>
      </c>
      <c r="L11" s="124" t="e">
        <f>VLOOKUP('北段 (人資版)'!L11,工作表1!$A$3:$B$78,2,FALSE)</f>
        <v>#REF!</v>
      </c>
      <c r="M11" s="124" t="e">
        <f>VLOOKUP('北段 (人資版)'!M11,工作表1!$A$3:$B$78,2,FALSE)</f>
        <v>#REF!</v>
      </c>
      <c r="N11" s="124" t="e">
        <f>VLOOKUP('北段 (人資版)'!N11,工作表1!$A$3:$B$78,2,FALSE)</f>
        <v>#REF!</v>
      </c>
      <c r="O11" s="124" t="e">
        <f>VLOOKUP('北段 (人資版)'!O11,工作表1!$A$3:$B$78,2,FALSE)</f>
        <v>#REF!</v>
      </c>
      <c r="P11" s="124" t="e">
        <f>VLOOKUP('北段 (人資版)'!P11,工作表1!$A$3:$B$78,2,FALSE)</f>
        <v>#REF!</v>
      </c>
      <c r="Q11" s="124" t="e">
        <f>VLOOKUP('北段 (人資版)'!Q11,工作表1!$A$3:$B$78,2,FALSE)</f>
        <v>#REF!</v>
      </c>
      <c r="R11" s="124" t="e">
        <f>VLOOKUP('北段 (人資版)'!R11,工作表1!$A$3:$B$78,2,FALSE)</f>
        <v>#REF!</v>
      </c>
      <c r="S11" s="124" t="e">
        <f>VLOOKUP('北段 (人資版)'!S11,工作表1!$A$3:$B$78,2,FALSE)</f>
        <v>#REF!</v>
      </c>
      <c r="T11" s="124" t="e">
        <f>VLOOKUP('北段 (人資版)'!T11,工作表1!$A$3:$B$78,2,FALSE)</f>
        <v>#REF!</v>
      </c>
      <c r="U11" s="124" t="e">
        <f>VLOOKUP('北段 (人資版)'!U11,工作表1!$A$3:$B$78,2,FALSE)</f>
        <v>#REF!</v>
      </c>
      <c r="V11" s="124" t="e">
        <f>VLOOKUP('北段 (人資版)'!V11,工作表1!$A$3:$B$78,2,FALSE)</f>
        <v>#REF!</v>
      </c>
      <c r="W11" s="124" t="e">
        <f>VLOOKUP('北段 (人資版)'!W11,工作表1!$A$3:$B$78,2,FALSE)</f>
        <v>#REF!</v>
      </c>
      <c r="X11" s="124" t="e">
        <f>VLOOKUP('北段 (人資版)'!X11,工作表1!$A$3:$B$78,2,FALSE)</f>
        <v>#REF!</v>
      </c>
      <c r="Y11" s="124" t="e">
        <f>VLOOKUP('北段 (人資版)'!Y11,工作表1!$A$3:$B$78,2,FALSE)</f>
        <v>#REF!</v>
      </c>
      <c r="Z11" s="124" t="e">
        <f>VLOOKUP('北段 (人資版)'!Z11,工作表1!$A$3:$B$78,2,FALSE)</f>
        <v>#REF!</v>
      </c>
      <c r="AA11" s="124" t="e">
        <f>VLOOKUP('北段 (人資版)'!AA11,工作表1!$A$3:$B$78,2,FALSE)</f>
        <v>#REF!</v>
      </c>
      <c r="AB11" s="124" t="e">
        <f>VLOOKUP('北段 (人資版)'!AB11,工作表1!$A$3:$B$78,2,FALSE)</f>
        <v>#REF!</v>
      </c>
      <c r="AC11" s="124" t="e">
        <f>VLOOKUP('北段 (人資版)'!AC11,工作表1!$A$3:$B$78,2,FALSE)</f>
        <v>#REF!</v>
      </c>
      <c r="AD11" s="124" t="e">
        <f>VLOOKUP('北段 (人資版)'!AD11,工作表1!$A$3:$B$78,2,FALSE)</f>
        <v>#REF!</v>
      </c>
      <c r="AE11" s="124" t="e">
        <f>VLOOKUP('北段 (人資版)'!AE11,工作表1!$A$3:$B$78,2,FALSE)</f>
        <v>#REF!</v>
      </c>
      <c r="AF11" s="124" t="e">
        <f>VLOOKUP('北段 (人資版)'!AF11,工作表1!$A$3:$B$78,2,FALSE)</f>
        <v>#REF!</v>
      </c>
      <c r="AG11" s="124" t="e">
        <f>VLOOKUP('北段 (人資版)'!AG11,工作表1!$A$3:$B$78,2,FALSE)</f>
        <v>#REF!</v>
      </c>
      <c r="AH11" s="124" t="e">
        <f>VLOOKUP('北段 (人資版)'!AH11,工作表1!$A$3:$B$78,2,FALSE)</f>
        <v>#REF!</v>
      </c>
    </row>
    <row r="12" spans="1:41" ht="39.75" customHeight="1" thickBot="1" x14ac:dyDescent="0.3">
      <c r="A12" s="166"/>
      <c r="B12" s="72" t="e">
        <f>北段!#REF!</f>
        <v>#REF!</v>
      </c>
      <c r="C12" s="38" t="e">
        <f>VLOOKUP(B12,北段!B:C,2,FALSE)</f>
        <v>#REF!</v>
      </c>
      <c r="D12" s="124" t="e">
        <f>VLOOKUP('北段 (人資版)'!D12,工作表1!$A$3:$B$78,2,FALSE)</f>
        <v>#REF!</v>
      </c>
      <c r="E12" s="124" t="e">
        <f>VLOOKUP('北段 (人資版)'!E12,工作表1!$A$3:$B$78,2,FALSE)</f>
        <v>#REF!</v>
      </c>
      <c r="F12" s="124" t="e">
        <f>VLOOKUP('北段 (人資版)'!F12,工作表1!$A$3:$B$78,2,FALSE)</f>
        <v>#REF!</v>
      </c>
      <c r="G12" s="124" t="e">
        <f>VLOOKUP('北段 (人資版)'!G12,工作表1!$A$3:$B$78,2,FALSE)</f>
        <v>#REF!</v>
      </c>
      <c r="H12" s="124" t="e">
        <f>VLOOKUP('北段 (人資版)'!H12,工作表1!$A$3:$B$78,2,FALSE)</f>
        <v>#REF!</v>
      </c>
      <c r="I12" s="124" t="e">
        <f>VLOOKUP('北段 (人資版)'!I12,工作表1!$A$3:$B$78,2,FALSE)</f>
        <v>#REF!</v>
      </c>
      <c r="J12" s="124" t="e">
        <f>VLOOKUP('北段 (人資版)'!J12,工作表1!$A$3:$B$78,2,FALSE)</f>
        <v>#REF!</v>
      </c>
      <c r="K12" s="124" t="e">
        <f>VLOOKUP('北段 (人資版)'!K12,工作表1!$A$3:$B$78,2,FALSE)</f>
        <v>#REF!</v>
      </c>
      <c r="L12" s="124" t="e">
        <f>VLOOKUP('北段 (人資版)'!L12,工作表1!$A$3:$B$78,2,FALSE)</f>
        <v>#REF!</v>
      </c>
      <c r="M12" s="124" t="e">
        <f>VLOOKUP('北段 (人資版)'!M12,工作表1!$A$3:$B$78,2,FALSE)</f>
        <v>#REF!</v>
      </c>
      <c r="N12" s="124" t="e">
        <f>VLOOKUP('北段 (人資版)'!N12,工作表1!$A$3:$B$78,2,FALSE)</f>
        <v>#REF!</v>
      </c>
      <c r="O12" s="124" t="e">
        <f>VLOOKUP('北段 (人資版)'!O12,工作表1!$A$3:$B$78,2,FALSE)</f>
        <v>#REF!</v>
      </c>
      <c r="P12" s="124" t="e">
        <f>VLOOKUP('北段 (人資版)'!P12,工作表1!$A$3:$B$78,2,FALSE)</f>
        <v>#REF!</v>
      </c>
      <c r="Q12" s="124" t="e">
        <f>VLOOKUP('北段 (人資版)'!Q12,工作表1!$A$3:$B$78,2,FALSE)</f>
        <v>#REF!</v>
      </c>
      <c r="R12" s="124" t="e">
        <f>VLOOKUP('北段 (人資版)'!R12,工作表1!$A$3:$B$78,2,FALSE)</f>
        <v>#REF!</v>
      </c>
      <c r="S12" s="124" t="e">
        <f>VLOOKUP('北段 (人資版)'!S12,工作表1!$A$3:$B$78,2,FALSE)</f>
        <v>#REF!</v>
      </c>
      <c r="T12" s="124" t="e">
        <f>VLOOKUP('北段 (人資版)'!T12,工作表1!$A$3:$B$78,2,FALSE)</f>
        <v>#REF!</v>
      </c>
      <c r="U12" s="124" t="e">
        <f>VLOOKUP('北段 (人資版)'!U12,工作表1!$A$3:$B$78,2,FALSE)</f>
        <v>#REF!</v>
      </c>
      <c r="V12" s="124" t="e">
        <f>VLOOKUP('北段 (人資版)'!V12,工作表1!$A$3:$B$78,2,FALSE)</f>
        <v>#REF!</v>
      </c>
      <c r="W12" s="124" t="e">
        <f>VLOOKUP('北段 (人資版)'!W12,工作表1!$A$3:$B$78,2,FALSE)</f>
        <v>#REF!</v>
      </c>
      <c r="X12" s="124" t="e">
        <f>VLOOKUP('北段 (人資版)'!X12,工作表1!$A$3:$B$78,2,FALSE)</f>
        <v>#REF!</v>
      </c>
      <c r="Y12" s="124" t="e">
        <f>VLOOKUP('北段 (人資版)'!Y12,工作表1!$A$3:$B$78,2,FALSE)</f>
        <v>#REF!</v>
      </c>
      <c r="Z12" s="124" t="e">
        <f>VLOOKUP('北段 (人資版)'!Z12,工作表1!$A$3:$B$78,2,FALSE)</f>
        <v>#REF!</v>
      </c>
      <c r="AA12" s="124" t="e">
        <f>VLOOKUP('北段 (人資版)'!AA12,工作表1!$A$3:$B$78,2,FALSE)</f>
        <v>#REF!</v>
      </c>
      <c r="AB12" s="124" t="e">
        <f>VLOOKUP('北段 (人資版)'!AB12,工作表1!$A$3:$B$78,2,FALSE)</f>
        <v>#REF!</v>
      </c>
      <c r="AC12" s="124" t="e">
        <f>VLOOKUP('北段 (人資版)'!AC12,工作表1!$A$3:$B$78,2,FALSE)</f>
        <v>#REF!</v>
      </c>
      <c r="AD12" s="124" t="e">
        <f>VLOOKUP('北段 (人資版)'!AD12,工作表1!$A$3:$B$78,2,FALSE)</f>
        <v>#REF!</v>
      </c>
      <c r="AE12" s="124" t="e">
        <f>VLOOKUP('北段 (人資版)'!AE12,工作表1!$A$3:$B$78,2,FALSE)</f>
        <v>#REF!</v>
      </c>
      <c r="AF12" s="124" t="e">
        <f>VLOOKUP('北段 (人資版)'!AF12,工作表1!$A$3:$B$78,2,FALSE)</f>
        <v>#REF!</v>
      </c>
      <c r="AG12" s="124" t="e">
        <f>VLOOKUP('北段 (人資版)'!AG12,工作表1!$A$3:$B$78,2,FALSE)</f>
        <v>#REF!</v>
      </c>
      <c r="AH12" s="124" t="e">
        <f>VLOOKUP('北段 (人資版)'!AH12,工作表1!$A$3:$B$78,2,FALSE)</f>
        <v>#REF!</v>
      </c>
    </row>
    <row r="13" spans="1:41" ht="39.75" customHeight="1" x14ac:dyDescent="0.25">
      <c r="A13" s="46" t="s">
        <v>11</v>
      </c>
      <c r="B13" s="72" t="str">
        <f>北段!B3</f>
        <v>T01028</v>
      </c>
      <c r="C13" s="38" t="str">
        <f>VLOOKUP(B13,北段!B:C,2,FALSE)</f>
        <v>林金緗</v>
      </c>
      <c r="D13" s="124">
        <f>VLOOKUP('北段 (人資版)'!D13,工作表1!$A$3:$B$78,2,FALSE)</f>
        <v>66</v>
      </c>
      <c r="E13" s="124" t="e">
        <f>VLOOKUP('北段 (人資版)'!E13,工作表1!$A$3:$B$78,2,FALSE)</f>
        <v>#N/A</v>
      </c>
      <c r="F13" s="124" t="e">
        <f>VLOOKUP('北段 (人資版)'!F13,工作表1!$A$3:$B$78,2,FALSE)</f>
        <v>#N/A</v>
      </c>
      <c r="G13" s="124">
        <f>VLOOKUP('北段 (人資版)'!G13,工作表1!$A$3:$B$78,2,FALSE)</f>
        <v>91</v>
      </c>
      <c r="H13" s="124" t="e">
        <f>VLOOKUP('北段 (人資版)'!H13,工作表1!$A$3:$B$78,2,FALSE)</f>
        <v>#N/A</v>
      </c>
      <c r="I13" s="124" t="e">
        <f>VLOOKUP('北段 (人資版)'!I13,工作表1!$A$3:$B$78,2,FALSE)</f>
        <v>#N/A</v>
      </c>
      <c r="J13" s="124" t="e">
        <f>VLOOKUP('北段 (人資版)'!J13,工作表1!$A$3:$B$78,2,FALSE)</f>
        <v>#N/A</v>
      </c>
      <c r="K13" s="124" t="e">
        <f>VLOOKUP('北段 (人資版)'!K13,工作表1!$A$3:$B$78,2,FALSE)</f>
        <v>#N/A</v>
      </c>
      <c r="L13" s="124" t="e">
        <f>VLOOKUP('北段 (人資版)'!L13,工作表1!$A$3:$B$78,2,FALSE)</f>
        <v>#N/A</v>
      </c>
      <c r="M13" s="124" t="e">
        <f>VLOOKUP('北段 (人資版)'!M13,工作表1!$A$3:$B$78,2,FALSE)</f>
        <v>#N/A</v>
      </c>
      <c r="N13" s="124" t="e">
        <f>VLOOKUP('北段 (人資版)'!N13,工作表1!$A$3:$B$78,2,FALSE)</f>
        <v>#N/A</v>
      </c>
      <c r="O13" s="124" t="e">
        <f>VLOOKUP('北段 (人資版)'!O13,工作表1!$A$3:$B$78,2,FALSE)</f>
        <v>#N/A</v>
      </c>
      <c r="P13" s="124" t="e">
        <f>VLOOKUP('北段 (人資版)'!P13,工作表1!$A$3:$B$78,2,FALSE)</f>
        <v>#N/A</v>
      </c>
      <c r="Q13" s="124" t="e">
        <f>VLOOKUP('北段 (人資版)'!Q13,工作表1!$A$3:$B$78,2,FALSE)</f>
        <v>#N/A</v>
      </c>
      <c r="R13" s="124">
        <f>VLOOKUP('北段 (人資版)'!R13,工作表1!$A$3:$B$78,2,FALSE)</f>
        <v>91</v>
      </c>
      <c r="S13" s="124" t="e">
        <f>VLOOKUP('北段 (人資版)'!S13,工作表1!$A$3:$B$78,2,FALSE)</f>
        <v>#N/A</v>
      </c>
      <c r="T13" s="124" t="e">
        <f>VLOOKUP('北段 (人資版)'!T13,工作表1!$A$3:$B$78,2,FALSE)</f>
        <v>#N/A</v>
      </c>
      <c r="U13" s="124" t="e">
        <f>VLOOKUP('北段 (人資版)'!U13,工作表1!$A$3:$B$78,2,FALSE)</f>
        <v>#N/A</v>
      </c>
      <c r="V13" s="124" t="e">
        <f>VLOOKUP('北段 (人資版)'!V13,工作表1!$A$3:$B$78,2,FALSE)</f>
        <v>#N/A</v>
      </c>
      <c r="W13" s="124" t="e">
        <f>VLOOKUP('北段 (人資版)'!W13,工作表1!$A$3:$B$78,2,FALSE)</f>
        <v>#N/A</v>
      </c>
      <c r="X13" s="124" t="e">
        <f>VLOOKUP('北段 (人資版)'!X13,工作表1!$A$3:$B$78,2,FALSE)</f>
        <v>#N/A</v>
      </c>
      <c r="Y13" s="124" t="e">
        <f>VLOOKUP('北段 (人資版)'!Y13,工作表1!$A$3:$B$78,2,FALSE)</f>
        <v>#N/A</v>
      </c>
      <c r="Z13" s="124" t="e">
        <f>VLOOKUP('北段 (人資版)'!Z13,工作表1!$A$3:$B$78,2,FALSE)</f>
        <v>#N/A</v>
      </c>
      <c r="AA13" s="124" t="e">
        <f>VLOOKUP('北段 (人資版)'!AA13,工作表1!$A$3:$B$78,2,FALSE)</f>
        <v>#N/A</v>
      </c>
      <c r="AB13" s="124" t="e">
        <f>VLOOKUP('北段 (人資版)'!AB13,工作表1!$A$3:$B$78,2,FALSE)</f>
        <v>#N/A</v>
      </c>
      <c r="AC13" s="124">
        <f>VLOOKUP('北段 (人資版)'!AC13,工作表1!$A$3:$B$78,2,FALSE)</f>
        <v>92</v>
      </c>
      <c r="AD13" s="124" t="e">
        <f>VLOOKUP('北段 (人資版)'!AD13,工作表1!$A$3:$B$78,2,FALSE)</f>
        <v>#N/A</v>
      </c>
      <c r="AE13" s="124" t="e">
        <f>VLOOKUP('北段 (人資版)'!AE13,工作表1!$A$3:$B$78,2,FALSE)</f>
        <v>#N/A</v>
      </c>
      <c r="AF13" s="124">
        <f>VLOOKUP('北段 (人資版)'!AF13,工作表1!$A$3:$B$78,2,FALSE)</f>
        <v>91</v>
      </c>
      <c r="AG13" s="124" t="e">
        <f>VLOOKUP('北段 (人資版)'!AG13,工作表1!$A$3:$B$78,2,FALSE)</f>
        <v>#N/A</v>
      </c>
      <c r="AH13" s="124" t="e">
        <f>VLOOKUP('北段 (人資版)'!AH13,工作表1!$A$3:$B$78,2,FALSE)</f>
        <v>#N/A</v>
      </c>
    </row>
    <row r="14" spans="1:41" ht="39.75" customHeight="1" x14ac:dyDescent="0.25">
      <c r="A14" s="47"/>
      <c r="B14" s="72" t="str">
        <f>北段!B4</f>
        <v>T00509</v>
      </c>
      <c r="C14" s="38" t="str">
        <f>VLOOKUP(B14,北段!B:C,2,FALSE)</f>
        <v>郭秋儀</v>
      </c>
      <c r="D14" s="124">
        <f>VLOOKUP('北段 (人資版)'!D14,工作表1!$A$3:$B$78,2,FALSE)</f>
        <v>66</v>
      </c>
      <c r="E14" s="124" t="e">
        <f>VLOOKUP('北段 (人資版)'!E14,工作表1!$A$3:$B$78,2,FALSE)</f>
        <v>#N/A</v>
      </c>
      <c r="F14" s="124" t="e">
        <f>VLOOKUP('北段 (人資版)'!F14,工作表1!$A$3:$B$78,2,FALSE)</f>
        <v>#N/A</v>
      </c>
      <c r="G14" s="124" t="e">
        <f>VLOOKUP('北段 (人資版)'!G14,工作表1!$A$3:$B$78,2,FALSE)</f>
        <v>#N/A</v>
      </c>
      <c r="H14" s="124" t="str">
        <f>VLOOKUP('北段 (人資版)'!H14,工作表1!$A$3:$B$78,2,FALSE)</f>
        <v>07</v>
      </c>
      <c r="I14" s="124" t="e">
        <f>VLOOKUP('北段 (人資版)'!I14,工作表1!$A$3:$B$78,2,FALSE)</f>
        <v>#N/A</v>
      </c>
      <c r="J14" s="124" t="e">
        <f>VLOOKUP('北段 (人資版)'!J14,工作表1!$A$3:$B$78,2,FALSE)</f>
        <v>#N/A</v>
      </c>
      <c r="K14" s="124" t="e">
        <f>VLOOKUP('北段 (人資版)'!K14,工作表1!$A$3:$B$78,2,FALSE)</f>
        <v>#N/A</v>
      </c>
      <c r="L14" s="124" t="e">
        <f>VLOOKUP('北段 (人資版)'!L14,工作表1!$A$3:$B$78,2,FALSE)</f>
        <v>#N/A</v>
      </c>
      <c r="M14" s="124" t="e">
        <f>VLOOKUP('北段 (人資版)'!M14,工作表1!$A$3:$B$78,2,FALSE)</f>
        <v>#N/A</v>
      </c>
      <c r="N14" s="124" t="e">
        <f>VLOOKUP('北段 (人資版)'!N14,工作表1!$A$3:$B$78,2,FALSE)</f>
        <v>#N/A</v>
      </c>
      <c r="O14" s="124" t="e">
        <f>VLOOKUP('北段 (人資版)'!O14,工作表1!$A$3:$B$78,2,FALSE)</f>
        <v>#N/A</v>
      </c>
      <c r="P14" s="124" t="e">
        <f>VLOOKUP('北段 (人資版)'!P14,工作表1!$A$3:$B$78,2,FALSE)</f>
        <v>#N/A</v>
      </c>
      <c r="Q14" s="124" t="e">
        <f>VLOOKUP('北段 (人資版)'!Q14,工作表1!$A$3:$B$78,2,FALSE)</f>
        <v>#N/A</v>
      </c>
      <c r="R14" s="124" t="e">
        <f>VLOOKUP('北段 (人資版)'!R14,工作表1!$A$3:$B$78,2,FALSE)</f>
        <v>#N/A</v>
      </c>
      <c r="S14" s="124" t="e">
        <f>VLOOKUP('北段 (人資版)'!S14,工作表1!$A$3:$B$78,2,FALSE)</f>
        <v>#N/A</v>
      </c>
      <c r="T14" s="124" t="e">
        <f>VLOOKUP('北段 (人資版)'!T14,工作表1!$A$3:$B$78,2,FALSE)</f>
        <v>#N/A</v>
      </c>
      <c r="U14" s="124">
        <f>VLOOKUP('北段 (人資版)'!U14,工作表1!$A$3:$B$78,2,FALSE)</f>
        <v>92</v>
      </c>
      <c r="V14" s="124" t="str">
        <f>VLOOKUP('北段 (人資版)'!V14,工作表1!$A$3:$B$78,2,FALSE)</f>
        <v>07</v>
      </c>
      <c r="W14" s="124">
        <f>VLOOKUP('北段 (人資版)'!W14,工作表1!$A$3:$B$78,2,FALSE)</f>
        <v>92</v>
      </c>
      <c r="X14" s="124">
        <f>VLOOKUP('北段 (人資版)'!X14,工作表1!$A$3:$B$78,2,FALSE)</f>
        <v>92</v>
      </c>
      <c r="Y14" s="124">
        <f>VLOOKUP('北段 (人資版)'!Y14,工作表1!$A$3:$B$78,2,FALSE)</f>
        <v>91</v>
      </c>
      <c r="Z14" s="124">
        <f>VLOOKUP('北段 (人資版)'!Z14,工作表1!$A$3:$B$78,2,FALSE)</f>
        <v>91</v>
      </c>
      <c r="AA14" s="124" t="e">
        <f>VLOOKUP('北段 (人資版)'!AA14,工作表1!$A$3:$B$78,2,FALSE)</f>
        <v>#N/A</v>
      </c>
      <c r="AB14" s="124" t="e">
        <f>VLOOKUP('北段 (人資版)'!AB14,工作表1!$A$3:$B$78,2,FALSE)</f>
        <v>#N/A</v>
      </c>
      <c r="AC14" s="124" t="e">
        <f>VLOOKUP('北段 (人資版)'!AC14,工作表1!$A$3:$B$78,2,FALSE)</f>
        <v>#N/A</v>
      </c>
      <c r="AD14" s="124" t="e">
        <f>VLOOKUP('北段 (人資版)'!AD14,工作表1!$A$3:$B$78,2,FALSE)</f>
        <v>#N/A</v>
      </c>
      <c r="AE14" s="124" t="e">
        <f>VLOOKUP('北段 (人資版)'!AE14,工作表1!$A$3:$B$78,2,FALSE)</f>
        <v>#N/A</v>
      </c>
      <c r="AF14" s="124" t="e">
        <f>VLOOKUP('北段 (人資版)'!AF14,工作表1!$A$3:$B$78,2,FALSE)</f>
        <v>#N/A</v>
      </c>
      <c r="AG14" s="124" t="e">
        <f>VLOOKUP('北段 (人資版)'!AG14,工作表1!$A$3:$B$78,2,FALSE)</f>
        <v>#N/A</v>
      </c>
      <c r="AH14" s="124" t="e">
        <f>VLOOKUP('北段 (人資版)'!AH14,工作表1!$A$3:$B$78,2,FALSE)</f>
        <v>#N/A</v>
      </c>
    </row>
    <row r="15" spans="1:41" ht="39.6" customHeight="1" x14ac:dyDescent="0.25">
      <c r="A15" s="47"/>
      <c r="B15" s="72" t="str">
        <f>北段!B5</f>
        <v>T01029</v>
      </c>
      <c r="C15" s="38" t="str">
        <f>VLOOKUP(B15,北段!B:C,2,FALSE)</f>
        <v>林雯琳</v>
      </c>
      <c r="D15" s="124">
        <f>VLOOKUP('北段 (人資版)'!D15,工作表1!$A$3:$B$78,2,FALSE)</f>
        <v>70</v>
      </c>
      <c r="E15" s="124" t="e">
        <f>VLOOKUP('北段 (人資版)'!E15,工作表1!$A$3:$B$78,2,FALSE)</f>
        <v>#N/A</v>
      </c>
      <c r="F15" s="124" t="e">
        <f>VLOOKUP('北段 (人資版)'!F15,工作表1!$A$3:$B$78,2,FALSE)</f>
        <v>#N/A</v>
      </c>
      <c r="G15" s="124" t="e">
        <f>VLOOKUP('北段 (人資版)'!G15,工作表1!$A$3:$B$78,2,FALSE)</f>
        <v>#N/A</v>
      </c>
      <c r="H15" s="124" t="e">
        <f>VLOOKUP('北段 (人資版)'!H15,工作表1!$A$3:$B$78,2,FALSE)</f>
        <v>#N/A</v>
      </c>
      <c r="I15" s="124" t="e">
        <f>VLOOKUP('北段 (人資版)'!I15,工作表1!$A$3:$B$78,2,FALSE)</f>
        <v>#N/A</v>
      </c>
      <c r="J15" s="124" t="e">
        <f>VLOOKUP('北段 (人資版)'!J15,工作表1!$A$3:$B$78,2,FALSE)</f>
        <v>#N/A</v>
      </c>
      <c r="K15" s="124" t="e">
        <f>VLOOKUP('北段 (人資版)'!K15,工作表1!$A$3:$B$78,2,FALSE)</f>
        <v>#N/A</v>
      </c>
      <c r="L15" s="124" t="e">
        <f>VLOOKUP('北段 (人資版)'!L15,工作表1!$A$3:$B$78,2,FALSE)</f>
        <v>#N/A</v>
      </c>
      <c r="M15" s="124" t="e">
        <f>VLOOKUP('北段 (人資版)'!M15,工作表1!$A$3:$B$78,2,FALSE)</f>
        <v>#N/A</v>
      </c>
      <c r="N15" s="124" t="e">
        <f>VLOOKUP('北段 (人資版)'!N15,工作表1!$A$3:$B$78,2,FALSE)</f>
        <v>#N/A</v>
      </c>
      <c r="O15" s="124" t="e">
        <f>VLOOKUP('北段 (人資版)'!O15,工作表1!$A$3:$B$78,2,FALSE)</f>
        <v>#N/A</v>
      </c>
      <c r="P15" s="124" t="e">
        <f>VLOOKUP('北段 (人資版)'!P15,工作表1!$A$3:$B$78,2,FALSE)</f>
        <v>#N/A</v>
      </c>
      <c r="Q15" s="124" t="e">
        <f>VLOOKUP('北段 (人資版)'!Q15,工作表1!$A$3:$B$78,2,FALSE)</f>
        <v>#N/A</v>
      </c>
      <c r="R15" s="124" t="e">
        <f>VLOOKUP('北段 (人資版)'!R15,工作表1!$A$3:$B$78,2,FALSE)</f>
        <v>#N/A</v>
      </c>
      <c r="S15" s="124" t="e">
        <f>VLOOKUP('北段 (人資版)'!S15,工作表1!$A$3:$B$78,2,FALSE)</f>
        <v>#N/A</v>
      </c>
      <c r="T15" s="124" t="e">
        <f>VLOOKUP('北段 (人資版)'!T15,工作表1!$A$3:$B$78,2,FALSE)</f>
        <v>#N/A</v>
      </c>
      <c r="U15" s="124" t="str">
        <f>VLOOKUP('北段 (人資版)'!U15,工作表1!$A$3:$B$78,2,FALSE)</f>
        <v>07</v>
      </c>
      <c r="V15" s="124" t="str">
        <f>VLOOKUP('北段 (人資版)'!V15,工作表1!$A$3:$B$78,2,FALSE)</f>
        <v>07</v>
      </c>
      <c r="W15" s="124">
        <f>VLOOKUP('北段 (人資版)'!W15,工作表1!$A$3:$B$78,2,FALSE)</f>
        <v>92</v>
      </c>
      <c r="X15" s="124">
        <f>VLOOKUP('北段 (人資版)'!X15,工作表1!$A$3:$B$78,2,FALSE)</f>
        <v>91</v>
      </c>
      <c r="Y15" s="124" t="str">
        <f>VLOOKUP('北段 (人資版)'!Y15,工作表1!$A$3:$B$78,2,FALSE)</f>
        <v>07</v>
      </c>
      <c r="Z15" s="124" t="str">
        <f>VLOOKUP('北段 (人資版)'!Z15,工作表1!$A$3:$B$78,2,FALSE)</f>
        <v>07</v>
      </c>
      <c r="AA15" s="124" t="e">
        <f>VLOOKUP('北段 (人資版)'!AA15,工作表1!$A$3:$B$78,2,FALSE)</f>
        <v>#N/A</v>
      </c>
      <c r="AB15" s="124" t="e">
        <f>VLOOKUP('北段 (人資版)'!AB15,工作表1!$A$3:$B$78,2,FALSE)</f>
        <v>#N/A</v>
      </c>
      <c r="AC15" s="124" t="e">
        <f>VLOOKUP('北段 (人資版)'!AC15,工作表1!$A$3:$B$78,2,FALSE)</f>
        <v>#N/A</v>
      </c>
      <c r="AD15" s="124" t="e">
        <f>VLOOKUP('北段 (人資版)'!AD15,工作表1!$A$3:$B$78,2,FALSE)</f>
        <v>#N/A</v>
      </c>
      <c r="AE15" s="124">
        <f>VLOOKUP('北段 (人資版)'!AE15,工作表1!$A$3:$B$78,2,FALSE)</f>
        <v>91</v>
      </c>
      <c r="AF15" s="124" t="e">
        <f>VLOOKUP('北段 (人資版)'!AF15,工作表1!$A$3:$B$78,2,FALSE)</f>
        <v>#N/A</v>
      </c>
      <c r="AG15" s="124" t="e">
        <f>VLOOKUP('北段 (人資版)'!AG15,工作表1!$A$3:$B$78,2,FALSE)</f>
        <v>#N/A</v>
      </c>
      <c r="AH15" s="124" t="e">
        <f>VLOOKUP('北段 (人資版)'!AH15,工作表1!$A$3:$B$78,2,FALSE)</f>
        <v>#N/A</v>
      </c>
    </row>
    <row r="16" spans="1:41" ht="39.75" customHeight="1" x14ac:dyDescent="0.25">
      <c r="A16" s="47"/>
      <c r="B16" s="72" t="str">
        <f>北段!B6</f>
        <v>T01734</v>
      </c>
      <c r="C16" s="38" t="str">
        <f>VLOOKUP(B16,北段!B:C,2,FALSE)</f>
        <v>黃冠銘</v>
      </c>
      <c r="D16" s="124">
        <f>VLOOKUP('北段 (人資版)'!D16,工作表1!$A$3:$B$78,2,FALSE)</f>
        <v>38</v>
      </c>
      <c r="E16" s="124" t="e">
        <f>VLOOKUP('北段 (人資版)'!E16,工作表1!$A$3:$B$78,2,FALSE)</f>
        <v>#N/A</v>
      </c>
      <c r="F16" s="124" t="e">
        <f>VLOOKUP('北段 (人資版)'!F16,工作表1!$A$3:$B$78,2,FALSE)</f>
        <v>#N/A</v>
      </c>
      <c r="G16" s="124" t="e">
        <f>VLOOKUP('北段 (人資版)'!G16,工作表1!$A$3:$B$78,2,FALSE)</f>
        <v>#N/A</v>
      </c>
      <c r="H16" s="124" t="e">
        <f>VLOOKUP('北段 (人資版)'!H16,工作表1!$A$3:$B$78,2,FALSE)</f>
        <v>#N/A</v>
      </c>
      <c r="I16" s="124" t="e">
        <f>VLOOKUP('北段 (人資版)'!I16,工作表1!$A$3:$B$78,2,FALSE)</f>
        <v>#N/A</v>
      </c>
      <c r="J16" s="124" t="e">
        <f>VLOOKUP('北段 (人資版)'!J16,工作表1!$A$3:$B$78,2,FALSE)</f>
        <v>#N/A</v>
      </c>
      <c r="K16" s="124" t="e">
        <f>VLOOKUP('北段 (人資版)'!K16,工作表1!$A$3:$B$78,2,FALSE)</f>
        <v>#N/A</v>
      </c>
      <c r="L16" s="124" t="e">
        <f>VLOOKUP('北段 (人資版)'!L16,工作表1!$A$3:$B$78,2,FALSE)</f>
        <v>#N/A</v>
      </c>
      <c r="M16" s="124" t="e">
        <f>VLOOKUP('北段 (人資版)'!M16,工作表1!$A$3:$B$78,2,FALSE)</f>
        <v>#N/A</v>
      </c>
      <c r="N16" s="124" t="e">
        <f>VLOOKUP('北段 (人資版)'!N16,工作表1!$A$3:$B$78,2,FALSE)</f>
        <v>#N/A</v>
      </c>
      <c r="O16" s="124" t="e">
        <f>VLOOKUP('北段 (人資版)'!O16,工作表1!$A$3:$B$78,2,FALSE)</f>
        <v>#N/A</v>
      </c>
      <c r="P16" s="124" t="e">
        <f>VLOOKUP('北段 (人資版)'!P16,工作表1!$A$3:$B$78,2,FALSE)</f>
        <v>#N/A</v>
      </c>
      <c r="Q16" s="124" t="e">
        <f>VLOOKUP('北段 (人資版)'!Q16,工作表1!$A$3:$B$78,2,FALSE)</f>
        <v>#N/A</v>
      </c>
      <c r="R16" s="124" t="e">
        <f>VLOOKUP('北段 (人資版)'!R16,工作表1!$A$3:$B$78,2,FALSE)</f>
        <v>#N/A</v>
      </c>
      <c r="S16" s="124" t="e">
        <f>VLOOKUP('北段 (人資版)'!S16,工作表1!$A$3:$B$78,2,FALSE)</f>
        <v>#N/A</v>
      </c>
      <c r="T16" s="124" t="e">
        <f>VLOOKUP('北段 (人資版)'!T16,工作表1!$A$3:$B$78,2,FALSE)</f>
        <v>#N/A</v>
      </c>
      <c r="U16" s="124" t="e">
        <f>VLOOKUP('北段 (人資版)'!U16,工作表1!$A$3:$B$78,2,FALSE)</f>
        <v>#N/A</v>
      </c>
      <c r="V16" s="124" t="e">
        <f>VLOOKUP('北段 (人資版)'!V16,工作表1!$A$3:$B$78,2,FALSE)</f>
        <v>#N/A</v>
      </c>
      <c r="W16" s="124" t="e">
        <f>VLOOKUP('北段 (人資版)'!W16,工作表1!$A$3:$B$78,2,FALSE)</f>
        <v>#N/A</v>
      </c>
      <c r="X16" s="124" t="e">
        <f>VLOOKUP('北段 (人資版)'!X16,工作表1!$A$3:$B$78,2,FALSE)</f>
        <v>#N/A</v>
      </c>
      <c r="Y16" s="124" t="e">
        <f>VLOOKUP('北段 (人資版)'!Y16,工作表1!$A$3:$B$78,2,FALSE)</f>
        <v>#N/A</v>
      </c>
      <c r="Z16" s="124" t="e">
        <f>VLOOKUP('北段 (人資版)'!Z16,工作表1!$A$3:$B$78,2,FALSE)</f>
        <v>#N/A</v>
      </c>
      <c r="AA16" s="124" t="e">
        <f>VLOOKUP('北段 (人資版)'!AA16,工作表1!$A$3:$B$78,2,FALSE)</f>
        <v>#N/A</v>
      </c>
      <c r="AB16" s="124" t="e">
        <f>VLOOKUP('北段 (人資版)'!AB16,工作表1!$A$3:$B$78,2,FALSE)</f>
        <v>#N/A</v>
      </c>
      <c r="AC16" s="124" t="e">
        <f>VLOOKUP('北段 (人資版)'!AC16,工作表1!$A$3:$B$78,2,FALSE)</f>
        <v>#N/A</v>
      </c>
      <c r="AD16" s="124" t="e">
        <f>VLOOKUP('北段 (人資版)'!AD16,工作表1!$A$3:$B$78,2,FALSE)</f>
        <v>#N/A</v>
      </c>
      <c r="AE16" s="124" t="e">
        <f>VLOOKUP('北段 (人資版)'!AE16,工作表1!$A$3:$B$78,2,FALSE)</f>
        <v>#N/A</v>
      </c>
      <c r="AF16" s="124" t="e">
        <f>VLOOKUP('北段 (人資版)'!AF16,工作表1!$A$3:$B$78,2,FALSE)</f>
        <v>#N/A</v>
      </c>
      <c r="AG16" s="124" t="e">
        <f>VLOOKUP('北段 (人資版)'!AG16,工作表1!$A$3:$B$78,2,FALSE)</f>
        <v>#N/A</v>
      </c>
      <c r="AH16" s="124" t="e">
        <f>VLOOKUP('北段 (人資版)'!AH16,工作表1!$A$3:$B$78,2,FALSE)</f>
        <v>#N/A</v>
      </c>
    </row>
    <row r="17" spans="1:34" ht="39.6" customHeight="1" x14ac:dyDescent="0.25">
      <c r="A17" s="47"/>
      <c r="B17" s="72" t="str">
        <f>北段!B7</f>
        <v>T02287</v>
      </c>
      <c r="C17" s="38" t="str">
        <f>VLOOKUP(B17,北段!B:C,2,FALSE)</f>
        <v>林江玉</v>
      </c>
      <c r="D17" s="124">
        <f>VLOOKUP('北段 (人資版)'!D17,工作表1!$A$3:$B$78,2,FALSE)</f>
        <v>38</v>
      </c>
      <c r="E17" s="124" t="e">
        <f>VLOOKUP('北段 (人資版)'!E17,工作表1!$A$3:$B$78,2,FALSE)</f>
        <v>#N/A</v>
      </c>
      <c r="F17" s="124" t="e">
        <f>VLOOKUP('北段 (人資版)'!F17,工作表1!$A$3:$B$78,2,FALSE)</f>
        <v>#N/A</v>
      </c>
      <c r="G17" s="124" t="str">
        <f>VLOOKUP('北段 (人資版)'!G17,工作表1!$A$3:$B$78,2,FALSE)</f>
        <v>07</v>
      </c>
      <c r="H17" s="124" t="str">
        <f>VLOOKUP('北段 (人資版)'!H17,工作表1!$A$3:$B$78,2,FALSE)</f>
        <v>07</v>
      </c>
      <c r="I17" s="124" t="str">
        <f>VLOOKUP('北段 (人資版)'!I17,工作表1!$A$3:$B$78,2,FALSE)</f>
        <v>07</v>
      </c>
      <c r="J17" s="124" t="str">
        <f>VLOOKUP('北段 (人資版)'!J17,工作表1!$A$3:$B$78,2,FALSE)</f>
        <v>07</v>
      </c>
      <c r="K17" s="124">
        <f>VLOOKUP('北段 (人資版)'!K17,工作表1!$A$3:$B$78,2,FALSE)</f>
        <v>91</v>
      </c>
      <c r="L17" s="124">
        <f>VLOOKUP('北段 (人資版)'!L17,工作表1!$A$3:$B$78,2,FALSE)</f>
        <v>91</v>
      </c>
      <c r="M17" s="124" t="str">
        <f>VLOOKUP('北段 (人資版)'!M17,工作表1!$A$3:$B$78,2,FALSE)</f>
        <v>07</v>
      </c>
      <c r="N17" s="124" t="str">
        <f>VLOOKUP('北段 (人資版)'!N17,工作表1!$A$3:$B$78,2,FALSE)</f>
        <v>07</v>
      </c>
      <c r="O17" s="124" t="e">
        <f>VLOOKUP('北段 (人資版)'!O17,工作表1!$A$3:$B$78,2,FALSE)</f>
        <v>#N/A</v>
      </c>
      <c r="P17" s="124" t="e">
        <f>VLOOKUP('北段 (人資版)'!P17,工作表1!$A$3:$B$78,2,FALSE)</f>
        <v>#N/A</v>
      </c>
      <c r="Q17" s="124" t="e">
        <f>VLOOKUP('北段 (人資版)'!Q17,工作表1!$A$3:$B$78,2,FALSE)</f>
        <v>#N/A</v>
      </c>
      <c r="R17" s="124" t="e">
        <f>VLOOKUP('北段 (人資版)'!R17,工作表1!$A$3:$B$78,2,FALSE)</f>
        <v>#N/A</v>
      </c>
      <c r="S17" s="124" t="e">
        <f>VLOOKUP('北段 (人資版)'!S17,工作表1!$A$3:$B$78,2,FALSE)</f>
        <v>#N/A</v>
      </c>
      <c r="T17" s="124" t="e">
        <f>VLOOKUP('北段 (人資版)'!T17,工作表1!$A$3:$B$78,2,FALSE)</f>
        <v>#N/A</v>
      </c>
      <c r="U17" s="124" t="e">
        <f>VLOOKUP('北段 (人資版)'!U17,工作表1!$A$3:$B$78,2,FALSE)</f>
        <v>#N/A</v>
      </c>
      <c r="V17" s="124" t="e">
        <f>VLOOKUP('北段 (人資版)'!V17,工作表1!$A$3:$B$78,2,FALSE)</f>
        <v>#N/A</v>
      </c>
      <c r="W17" s="124" t="e">
        <f>VLOOKUP('北段 (人資版)'!W17,工作表1!$A$3:$B$78,2,FALSE)</f>
        <v>#N/A</v>
      </c>
      <c r="X17" s="124" t="e">
        <f>VLOOKUP('北段 (人資版)'!X17,工作表1!$A$3:$B$78,2,FALSE)</f>
        <v>#N/A</v>
      </c>
      <c r="Y17" s="124" t="e">
        <f>VLOOKUP('北段 (人資版)'!Y17,工作表1!$A$3:$B$78,2,FALSE)</f>
        <v>#N/A</v>
      </c>
      <c r="Z17" s="124">
        <f>VLOOKUP('北段 (人資版)'!Z17,工作表1!$A$3:$B$78,2,FALSE)</f>
        <v>91</v>
      </c>
      <c r="AA17" s="124">
        <f>VLOOKUP('北段 (人資版)'!AA17,工作表1!$A$3:$B$78,2,FALSE)</f>
        <v>92</v>
      </c>
      <c r="AB17" s="124" t="e">
        <f>VLOOKUP('北段 (人資版)'!AB17,工作表1!$A$3:$B$78,2,FALSE)</f>
        <v>#N/A</v>
      </c>
      <c r="AC17" s="124" t="e">
        <f>VLOOKUP('北段 (人資版)'!AC17,工作表1!$A$3:$B$78,2,FALSE)</f>
        <v>#N/A</v>
      </c>
      <c r="AD17" s="124" t="e">
        <f>VLOOKUP('北段 (人資版)'!AD17,工作表1!$A$3:$B$78,2,FALSE)</f>
        <v>#N/A</v>
      </c>
      <c r="AE17" s="124" t="e">
        <f>VLOOKUP('北段 (人資版)'!AE17,工作表1!$A$3:$B$78,2,FALSE)</f>
        <v>#N/A</v>
      </c>
      <c r="AF17" s="124" t="e">
        <f>VLOOKUP('北段 (人資版)'!AF17,工作表1!$A$3:$B$78,2,FALSE)</f>
        <v>#N/A</v>
      </c>
      <c r="AG17" s="124">
        <f>VLOOKUP('北段 (人資版)'!AG17,工作表1!$A$3:$B$78,2,FALSE)</f>
        <v>91</v>
      </c>
      <c r="AH17" s="124">
        <f>VLOOKUP('北段 (人資版)'!AH17,工作表1!$A$3:$B$78,2,FALSE)</f>
        <v>92</v>
      </c>
    </row>
    <row r="18" spans="1:34" ht="39.6" customHeight="1" x14ac:dyDescent="0.25">
      <c r="A18" s="47"/>
      <c r="B18" s="72" t="str">
        <f>北段!B8</f>
        <v>T02359</v>
      </c>
      <c r="C18" s="38" t="str">
        <f>VLOOKUP(B18,北段!B:C,2,FALSE)</f>
        <v>陳佳婷</v>
      </c>
      <c r="D18" s="124">
        <f>VLOOKUP('北段 (人資版)'!D18,工作表1!$A$3:$B$78,2,FALSE)</f>
        <v>38</v>
      </c>
      <c r="E18" s="124" t="e">
        <f>VLOOKUP('北段 (人資版)'!E18,工作表1!$A$3:$B$78,2,FALSE)</f>
        <v>#N/A</v>
      </c>
      <c r="F18" s="124" t="e">
        <f>VLOOKUP('北段 (人資版)'!F18,工作表1!$A$3:$B$78,2,FALSE)</f>
        <v>#N/A</v>
      </c>
      <c r="G18" s="124" t="e">
        <f>VLOOKUP('北段 (人資版)'!G18,工作表1!$A$3:$B$78,2,FALSE)</f>
        <v>#N/A</v>
      </c>
      <c r="H18" s="124" t="e">
        <f>VLOOKUP('北段 (人資版)'!H18,工作表1!$A$3:$B$78,2,FALSE)</f>
        <v>#N/A</v>
      </c>
      <c r="I18" s="124" t="e">
        <f>VLOOKUP('北段 (人資版)'!I18,工作表1!$A$3:$B$78,2,FALSE)</f>
        <v>#N/A</v>
      </c>
      <c r="J18" s="124" t="e">
        <f>VLOOKUP('北段 (人資版)'!J18,工作表1!$A$3:$B$78,2,FALSE)</f>
        <v>#N/A</v>
      </c>
      <c r="K18" s="124">
        <f>VLOOKUP('北段 (人資版)'!K18,工作表1!$A$3:$B$78,2,FALSE)</f>
        <v>91</v>
      </c>
      <c r="L18" s="124">
        <f>VLOOKUP('北段 (人資版)'!L18,工作表1!$A$3:$B$78,2,FALSE)</f>
        <v>91</v>
      </c>
      <c r="M18" s="124" t="e">
        <f>VLOOKUP('北段 (人資版)'!M18,工作表1!$A$3:$B$78,2,FALSE)</f>
        <v>#N/A</v>
      </c>
      <c r="N18" s="124" t="e">
        <f>VLOOKUP('北段 (人資版)'!N18,工作表1!$A$3:$B$78,2,FALSE)</f>
        <v>#N/A</v>
      </c>
      <c r="O18" s="124" t="e">
        <f>VLOOKUP('北段 (人資版)'!O18,工作表1!$A$3:$B$78,2,FALSE)</f>
        <v>#N/A</v>
      </c>
      <c r="P18" s="124" t="e">
        <f>VLOOKUP('北段 (人資版)'!P18,工作表1!$A$3:$B$78,2,FALSE)</f>
        <v>#N/A</v>
      </c>
      <c r="Q18" s="124" t="e">
        <f>VLOOKUP('北段 (人資版)'!Q18,工作表1!$A$3:$B$78,2,FALSE)</f>
        <v>#N/A</v>
      </c>
      <c r="R18" s="124" t="e">
        <f>VLOOKUP('北段 (人資版)'!R18,工作表1!$A$3:$B$78,2,FALSE)</f>
        <v>#N/A</v>
      </c>
      <c r="S18" s="124" t="e">
        <f>VLOOKUP('北段 (人資版)'!S18,工作表1!$A$3:$B$78,2,FALSE)</f>
        <v>#N/A</v>
      </c>
      <c r="T18" s="124" t="e">
        <f>VLOOKUP('北段 (人資版)'!T18,工作表1!$A$3:$B$78,2,FALSE)</f>
        <v>#N/A</v>
      </c>
      <c r="U18" s="124" t="e">
        <f>VLOOKUP('北段 (人資版)'!U18,工作表1!$A$3:$B$78,2,FALSE)</f>
        <v>#N/A</v>
      </c>
      <c r="V18" s="124" t="e">
        <f>VLOOKUP('北段 (人資版)'!V18,工作表1!$A$3:$B$78,2,FALSE)</f>
        <v>#N/A</v>
      </c>
      <c r="W18" s="124" t="e">
        <f>VLOOKUP('北段 (人資版)'!W18,工作表1!$A$3:$B$78,2,FALSE)</f>
        <v>#N/A</v>
      </c>
      <c r="X18" s="124" t="e">
        <f>VLOOKUP('北段 (人資版)'!X18,工作表1!$A$3:$B$78,2,FALSE)</f>
        <v>#N/A</v>
      </c>
      <c r="Y18" s="124" t="e">
        <f>VLOOKUP('北段 (人資版)'!Y18,工作表1!$A$3:$B$78,2,FALSE)</f>
        <v>#N/A</v>
      </c>
      <c r="Z18" s="124" t="e">
        <f>VLOOKUP('北段 (人資版)'!Z18,工作表1!$A$3:$B$78,2,FALSE)</f>
        <v>#N/A</v>
      </c>
      <c r="AA18" s="124" t="e">
        <f>VLOOKUP('北段 (人資版)'!AA18,工作表1!$A$3:$B$78,2,FALSE)</f>
        <v>#N/A</v>
      </c>
      <c r="AB18" s="124" t="e">
        <f>VLOOKUP('北段 (人資版)'!AB18,工作表1!$A$3:$B$78,2,FALSE)</f>
        <v>#N/A</v>
      </c>
      <c r="AC18" s="124" t="e">
        <f>VLOOKUP('北段 (人資版)'!AC18,工作表1!$A$3:$B$78,2,FALSE)</f>
        <v>#N/A</v>
      </c>
      <c r="AD18" s="124" t="e">
        <f>VLOOKUP('北段 (人資版)'!AD18,工作表1!$A$3:$B$78,2,FALSE)</f>
        <v>#N/A</v>
      </c>
      <c r="AE18" s="124" t="e">
        <f>VLOOKUP('北段 (人資版)'!AE18,工作表1!$A$3:$B$78,2,FALSE)</f>
        <v>#N/A</v>
      </c>
      <c r="AF18" s="124" t="e">
        <f>VLOOKUP('北段 (人資版)'!AF18,工作表1!$A$3:$B$78,2,FALSE)</f>
        <v>#N/A</v>
      </c>
      <c r="AG18" s="124" t="e">
        <f>VLOOKUP('北段 (人資版)'!AG18,工作表1!$A$3:$B$78,2,FALSE)</f>
        <v>#N/A</v>
      </c>
      <c r="AH18" s="124" t="e">
        <f>VLOOKUP('北段 (人資版)'!AH18,工作表1!$A$3:$B$78,2,FALSE)</f>
        <v>#N/A</v>
      </c>
    </row>
    <row r="19" spans="1:34" ht="39.6" customHeight="1" x14ac:dyDescent="0.25">
      <c r="A19" s="47"/>
      <c r="B19" s="72" t="str">
        <f>北段!B9</f>
        <v>T02363</v>
      </c>
      <c r="C19" s="38" t="str">
        <f>VLOOKUP(B19,北段!B:C,2,FALSE)</f>
        <v>林孟錡</v>
      </c>
      <c r="D19" s="124">
        <f>VLOOKUP('北段 (人資版)'!D19,工作表1!$A$3:$B$78,2,FALSE)</f>
        <v>91</v>
      </c>
      <c r="E19" s="124">
        <f>VLOOKUP('北段 (人資版)'!E19,工作表1!$A$3:$B$78,2,FALSE)</f>
        <v>92</v>
      </c>
      <c r="F19" s="124">
        <f>VLOOKUP('北段 (人資版)'!F19,工作表1!$A$3:$B$78,2,FALSE)</f>
        <v>91</v>
      </c>
      <c r="G19" s="124" t="str">
        <f>VLOOKUP('北段 (人資版)'!G19,工作表1!$A$3:$B$78,2,FALSE)</f>
        <v>07</v>
      </c>
      <c r="H19" s="124" t="str">
        <f>VLOOKUP('北段 (人資版)'!H19,工作表1!$A$3:$B$78,2,FALSE)</f>
        <v>07</v>
      </c>
      <c r="I19" s="124" t="str">
        <f>VLOOKUP('北段 (人資版)'!I19,工作表1!$A$3:$B$78,2,FALSE)</f>
        <v>07</v>
      </c>
      <c r="J19" s="124">
        <f>VLOOKUP('北段 (人資版)'!J19,工作表1!$A$3:$B$78,2,FALSE)</f>
        <v>92</v>
      </c>
      <c r="K19" s="124" t="e">
        <f>VLOOKUP('北段 (人資版)'!K19,工作表1!$A$3:$B$78,2,FALSE)</f>
        <v>#N/A</v>
      </c>
      <c r="L19" s="124" t="e">
        <f>VLOOKUP('北段 (人資版)'!L19,工作表1!$A$3:$B$78,2,FALSE)</f>
        <v>#N/A</v>
      </c>
      <c r="M19" s="124" t="e">
        <f>VLOOKUP('北段 (人資版)'!M19,工作表1!$A$3:$B$78,2,FALSE)</f>
        <v>#N/A</v>
      </c>
      <c r="N19" s="124" t="e">
        <f>VLOOKUP('北段 (人資版)'!N19,工作表1!$A$3:$B$78,2,FALSE)</f>
        <v>#N/A</v>
      </c>
      <c r="O19" s="124" t="e">
        <f>VLOOKUP('北段 (人資版)'!O19,工作表1!$A$3:$B$78,2,FALSE)</f>
        <v>#N/A</v>
      </c>
      <c r="P19" s="124" t="e">
        <f>VLOOKUP('北段 (人資版)'!P19,工作表1!$A$3:$B$78,2,FALSE)</f>
        <v>#N/A</v>
      </c>
      <c r="Q19" s="124">
        <f>VLOOKUP('北段 (人資版)'!Q19,工作表1!$A$3:$B$78,2,FALSE)</f>
        <v>91</v>
      </c>
      <c r="R19" s="124" t="str">
        <f>VLOOKUP('北段 (人資版)'!R19,工作表1!$A$3:$B$78,2,FALSE)</f>
        <v>07</v>
      </c>
      <c r="S19" s="124">
        <f>VLOOKUP('北段 (人資版)'!S19,工作表1!$A$3:$B$78,2,FALSE)</f>
        <v>91</v>
      </c>
      <c r="T19" s="124" t="e">
        <f>VLOOKUP('北段 (人資版)'!T19,工作表1!$A$3:$B$78,2,FALSE)</f>
        <v>#N/A</v>
      </c>
      <c r="U19" s="124" t="e">
        <f>VLOOKUP('北段 (人資版)'!U19,工作表1!$A$3:$B$78,2,FALSE)</f>
        <v>#N/A</v>
      </c>
      <c r="V19" s="124" t="e">
        <f>VLOOKUP('北段 (人資版)'!V19,工作表1!$A$3:$B$78,2,FALSE)</f>
        <v>#N/A</v>
      </c>
      <c r="W19" s="124" t="e">
        <f>VLOOKUP('北段 (人資版)'!W19,工作表1!$A$3:$B$78,2,FALSE)</f>
        <v>#N/A</v>
      </c>
      <c r="X19" s="124" t="e">
        <f>VLOOKUP('北段 (人資版)'!X19,工作表1!$A$3:$B$78,2,FALSE)</f>
        <v>#N/A</v>
      </c>
      <c r="Y19" s="124" t="e">
        <f>VLOOKUP('北段 (人資版)'!Y19,工作表1!$A$3:$B$78,2,FALSE)</f>
        <v>#N/A</v>
      </c>
      <c r="Z19" s="124" t="e">
        <f>VLOOKUP('北段 (人資版)'!Z19,工作表1!$A$3:$B$78,2,FALSE)</f>
        <v>#N/A</v>
      </c>
      <c r="AA19" s="124">
        <f>VLOOKUP('北段 (人資版)'!AA19,工作表1!$A$3:$B$78,2,FALSE)</f>
        <v>91</v>
      </c>
      <c r="AB19" s="124" t="e">
        <f>VLOOKUP('北段 (人資版)'!AB19,工作表1!$A$3:$B$78,2,FALSE)</f>
        <v>#N/A</v>
      </c>
      <c r="AC19" s="124" t="e">
        <f>VLOOKUP('北段 (人資版)'!AC19,工作表1!$A$3:$B$78,2,FALSE)</f>
        <v>#N/A</v>
      </c>
      <c r="AD19" s="124" t="e">
        <f>VLOOKUP('北段 (人資版)'!AD19,工作表1!$A$3:$B$78,2,FALSE)</f>
        <v>#N/A</v>
      </c>
      <c r="AE19" s="124" t="e">
        <f>VLOOKUP('北段 (人資版)'!AE19,工作表1!$A$3:$B$78,2,FALSE)</f>
        <v>#N/A</v>
      </c>
      <c r="AF19" s="124" t="e">
        <f>VLOOKUP('北段 (人資版)'!AF19,工作表1!$A$3:$B$78,2,FALSE)</f>
        <v>#N/A</v>
      </c>
      <c r="AG19" s="124" t="e">
        <f>VLOOKUP('北段 (人資版)'!AG19,工作表1!$A$3:$B$78,2,FALSE)</f>
        <v>#N/A</v>
      </c>
      <c r="AH19" s="124" t="e">
        <f>VLOOKUP('北段 (人資版)'!AH19,工作表1!$A$3:$B$78,2,FALSE)</f>
        <v>#N/A</v>
      </c>
    </row>
    <row r="20" spans="1:34" ht="39.6" customHeight="1" x14ac:dyDescent="0.25">
      <c r="A20" s="47"/>
      <c r="B20" s="72" t="e">
        <f>北段!#REF!</f>
        <v>#REF!</v>
      </c>
      <c r="C20" s="38" t="e">
        <f>VLOOKUP(B20,北段!B:C,2,FALSE)</f>
        <v>#REF!</v>
      </c>
      <c r="D20" s="124" t="e">
        <f>VLOOKUP('北段 (人資版)'!D20,工作表1!$A$3:$B$78,2,FALSE)</f>
        <v>#REF!</v>
      </c>
      <c r="E20" s="124" t="e">
        <f>VLOOKUP('北段 (人資版)'!E20,工作表1!$A$3:$B$78,2,FALSE)</f>
        <v>#REF!</v>
      </c>
      <c r="F20" s="124" t="e">
        <f>VLOOKUP('北段 (人資版)'!F20,工作表1!$A$3:$B$78,2,FALSE)</f>
        <v>#REF!</v>
      </c>
      <c r="G20" s="124" t="e">
        <f>VLOOKUP('北段 (人資版)'!G20,工作表1!$A$3:$B$78,2,FALSE)</f>
        <v>#REF!</v>
      </c>
      <c r="H20" s="124" t="e">
        <f>VLOOKUP('北段 (人資版)'!H20,工作表1!$A$3:$B$78,2,FALSE)</f>
        <v>#REF!</v>
      </c>
      <c r="I20" s="124" t="e">
        <f>VLOOKUP('北段 (人資版)'!I20,工作表1!$A$3:$B$78,2,FALSE)</f>
        <v>#REF!</v>
      </c>
      <c r="J20" s="124" t="e">
        <f>VLOOKUP('北段 (人資版)'!J20,工作表1!$A$3:$B$78,2,FALSE)</f>
        <v>#REF!</v>
      </c>
      <c r="K20" s="124" t="e">
        <f>VLOOKUP('北段 (人資版)'!K20,工作表1!$A$3:$B$78,2,FALSE)</f>
        <v>#REF!</v>
      </c>
      <c r="L20" s="124" t="e">
        <f>VLOOKUP('北段 (人資版)'!L20,工作表1!$A$3:$B$78,2,FALSE)</f>
        <v>#REF!</v>
      </c>
      <c r="M20" s="124" t="e">
        <f>VLOOKUP('北段 (人資版)'!M20,工作表1!$A$3:$B$78,2,FALSE)</f>
        <v>#REF!</v>
      </c>
      <c r="N20" s="124" t="e">
        <f>VLOOKUP('北段 (人資版)'!N20,工作表1!$A$3:$B$78,2,FALSE)</f>
        <v>#REF!</v>
      </c>
      <c r="O20" s="124" t="e">
        <f>VLOOKUP('北段 (人資版)'!O20,工作表1!$A$3:$B$78,2,FALSE)</f>
        <v>#REF!</v>
      </c>
      <c r="P20" s="124" t="e">
        <f>VLOOKUP('北段 (人資版)'!P20,工作表1!$A$3:$B$78,2,FALSE)</f>
        <v>#REF!</v>
      </c>
      <c r="Q20" s="124" t="e">
        <f>VLOOKUP('北段 (人資版)'!Q20,工作表1!$A$3:$B$78,2,FALSE)</f>
        <v>#REF!</v>
      </c>
      <c r="R20" s="124" t="e">
        <f>VLOOKUP('北段 (人資版)'!R20,工作表1!$A$3:$B$78,2,FALSE)</f>
        <v>#REF!</v>
      </c>
      <c r="S20" s="124" t="e">
        <f>VLOOKUP('北段 (人資版)'!S20,工作表1!$A$3:$B$78,2,FALSE)</f>
        <v>#REF!</v>
      </c>
      <c r="T20" s="124" t="e">
        <f>VLOOKUP('北段 (人資版)'!T20,工作表1!$A$3:$B$78,2,FALSE)</f>
        <v>#REF!</v>
      </c>
      <c r="U20" s="124" t="e">
        <f>VLOOKUP('北段 (人資版)'!U20,工作表1!$A$3:$B$78,2,FALSE)</f>
        <v>#REF!</v>
      </c>
      <c r="V20" s="124" t="e">
        <f>VLOOKUP('北段 (人資版)'!V20,工作表1!$A$3:$B$78,2,FALSE)</f>
        <v>#REF!</v>
      </c>
      <c r="W20" s="124" t="e">
        <f>VLOOKUP('北段 (人資版)'!W20,工作表1!$A$3:$B$78,2,FALSE)</f>
        <v>#REF!</v>
      </c>
      <c r="X20" s="124" t="e">
        <f>VLOOKUP('北段 (人資版)'!X20,工作表1!$A$3:$B$78,2,FALSE)</f>
        <v>#REF!</v>
      </c>
      <c r="Y20" s="124" t="e">
        <f>VLOOKUP('北段 (人資版)'!Y20,工作表1!$A$3:$B$78,2,FALSE)</f>
        <v>#REF!</v>
      </c>
      <c r="Z20" s="124" t="e">
        <f>VLOOKUP('北段 (人資版)'!Z20,工作表1!$A$3:$B$78,2,FALSE)</f>
        <v>#REF!</v>
      </c>
      <c r="AA20" s="124" t="e">
        <f>VLOOKUP('北段 (人資版)'!AA20,工作表1!$A$3:$B$78,2,FALSE)</f>
        <v>#REF!</v>
      </c>
      <c r="AB20" s="124" t="e">
        <f>VLOOKUP('北段 (人資版)'!AB20,工作表1!$A$3:$B$78,2,FALSE)</f>
        <v>#REF!</v>
      </c>
      <c r="AC20" s="124" t="e">
        <f>VLOOKUP('北段 (人資版)'!AC20,工作表1!$A$3:$B$78,2,FALSE)</f>
        <v>#REF!</v>
      </c>
      <c r="AD20" s="124" t="e">
        <f>VLOOKUP('北段 (人資版)'!AD20,工作表1!$A$3:$B$78,2,FALSE)</f>
        <v>#REF!</v>
      </c>
      <c r="AE20" s="124" t="e">
        <f>VLOOKUP('北段 (人資版)'!AE20,工作表1!$A$3:$B$78,2,FALSE)</f>
        <v>#REF!</v>
      </c>
      <c r="AF20" s="124" t="e">
        <f>VLOOKUP('北段 (人資版)'!AF20,工作表1!$A$3:$B$78,2,FALSE)</f>
        <v>#REF!</v>
      </c>
      <c r="AG20" s="124" t="e">
        <f>VLOOKUP('北段 (人資版)'!AG20,工作表1!$A$3:$B$78,2,FALSE)</f>
        <v>#REF!</v>
      </c>
      <c r="AH20" s="124" t="e">
        <f>VLOOKUP('北段 (人資版)'!AH20,工作表1!$A$3:$B$78,2,FALSE)</f>
        <v>#REF!</v>
      </c>
    </row>
    <row r="21" spans="1:34" ht="39.6" customHeight="1" x14ac:dyDescent="0.25">
      <c r="A21" s="47"/>
      <c r="B21" s="72" t="str">
        <f>北段!B10</f>
        <v>T02505</v>
      </c>
      <c r="C21" s="38" t="str">
        <f>VLOOKUP(B21,北段!B:C,2,FALSE)</f>
        <v>李慧盺</v>
      </c>
      <c r="D21" s="124">
        <f>VLOOKUP('北段 (人資版)'!D21,工作表1!$A$3:$B$78,2,FALSE)</f>
        <v>91</v>
      </c>
      <c r="E21" s="124" t="e">
        <f>VLOOKUP('北段 (人資版)'!E21,工作表1!$A$3:$B$78,2,FALSE)</f>
        <v>#N/A</v>
      </c>
      <c r="F21" s="124" t="e">
        <f>VLOOKUP('北段 (人資版)'!F21,工作表1!$A$3:$B$78,2,FALSE)</f>
        <v>#N/A</v>
      </c>
      <c r="G21" s="124" t="e">
        <f>VLOOKUP('北段 (人資版)'!G21,工作表1!$A$3:$B$78,2,FALSE)</f>
        <v>#N/A</v>
      </c>
      <c r="H21" s="124" t="e">
        <f>VLOOKUP('北段 (人資版)'!H21,工作表1!$A$3:$B$78,2,FALSE)</f>
        <v>#N/A</v>
      </c>
      <c r="I21" s="124" t="e">
        <f>VLOOKUP('北段 (人資版)'!I21,工作表1!$A$3:$B$78,2,FALSE)</f>
        <v>#N/A</v>
      </c>
      <c r="J21" s="124" t="e">
        <f>VLOOKUP('北段 (人資版)'!J21,工作表1!$A$3:$B$78,2,FALSE)</f>
        <v>#N/A</v>
      </c>
      <c r="K21" s="124" t="e">
        <f>VLOOKUP('北段 (人資版)'!K21,工作表1!$A$3:$B$78,2,FALSE)</f>
        <v>#N/A</v>
      </c>
      <c r="L21" s="124" t="e">
        <f>VLOOKUP('北段 (人資版)'!L21,工作表1!$A$3:$B$78,2,FALSE)</f>
        <v>#N/A</v>
      </c>
      <c r="M21" s="124" t="e">
        <f>VLOOKUP('北段 (人資版)'!M21,工作表1!$A$3:$B$78,2,FALSE)</f>
        <v>#N/A</v>
      </c>
      <c r="N21" s="124" t="e">
        <f>VLOOKUP('北段 (人資版)'!N21,工作表1!$A$3:$B$78,2,FALSE)</f>
        <v>#N/A</v>
      </c>
      <c r="O21" s="124" t="e">
        <f>VLOOKUP('北段 (人資版)'!O21,工作表1!$A$3:$B$78,2,FALSE)</f>
        <v>#N/A</v>
      </c>
      <c r="P21" s="124" t="e">
        <f>VLOOKUP('北段 (人資版)'!P21,工作表1!$A$3:$B$78,2,FALSE)</f>
        <v>#N/A</v>
      </c>
      <c r="Q21" s="124" t="e">
        <f>VLOOKUP('北段 (人資版)'!Q21,工作表1!$A$3:$B$78,2,FALSE)</f>
        <v>#N/A</v>
      </c>
      <c r="R21" s="124" t="e">
        <f>VLOOKUP('北段 (人資版)'!R21,工作表1!$A$3:$B$78,2,FALSE)</f>
        <v>#N/A</v>
      </c>
      <c r="S21" s="124" t="e">
        <f>VLOOKUP('北段 (人資版)'!S21,工作表1!$A$3:$B$78,2,FALSE)</f>
        <v>#N/A</v>
      </c>
      <c r="T21" s="124" t="e">
        <f>VLOOKUP('北段 (人資版)'!T21,工作表1!$A$3:$B$78,2,FALSE)</f>
        <v>#N/A</v>
      </c>
      <c r="U21" s="124" t="e">
        <f>VLOOKUP('北段 (人資版)'!U21,工作表1!$A$3:$B$78,2,FALSE)</f>
        <v>#N/A</v>
      </c>
      <c r="V21" s="124" t="e">
        <f>VLOOKUP('北段 (人資版)'!V21,工作表1!$A$3:$B$78,2,FALSE)</f>
        <v>#N/A</v>
      </c>
      <c r="W21" s="124">
        <f>VLOOKUP('北段 (人資版)'!W21,工作表1!$A$3:$B$78,2,FALSE)</f>
        <v>92</v>
      </c>
      <c r="X21" s="124">
        <f>VLOOKUP('北段 (人資版)'!X21,工作表1!$A$3:$B$78,2,FALSE)</f>
        <v>92</v>
      </c>
      <c r="Y21" s="124">
        <f>VLOOKUP('北段 (人資版)'!Y21,工作表1!$A$3:$B$78,2,FALSE)</f>
        <v>91</v>
      </c>
      <c r="Z21" s="124">
        <f>VLOOKUP('北段 (人資版)'!Z21,工作表1!$A$3:$B$78,2,FALSE)</f>
        <v>91</v>
      </c>
      <c r="AA21" s="124" t="e">
        <f>VLOOKUP('北段 (人資版)'!AA21,工作表1!$A$3:$B$78,2,FALSE)</f>
        <v>#N/A</v>
      </c>
      <c r="AB21" s="124" t="e">
        <f>VLOOKUP('北段 (人資版)'!AB21,工作表1!$A$3:$B$78,2,FALSE)</f>
        <v>#N/A</v>
      </c>
      <c r="AC21" s="124" t="e">
        <f>VLOOKUP('北段 (人資版)'!AC21,工作表1!$A$3:$B$78,2,FALSE)</f>
        <v>#N/A</v>
      </c>
      <c r="AD21" s="124" t="e">
        <f>VLOOKUP('北段 (人資版)'!AD21,工作表1!$A$3:$B$78,2,FALSE)</f>
        <v>#N/A</v>
      </c>
      <c r="AE21" s="124" t="e">
        <f>VLOOKUP('北段 (人資版)'!AE21,工作表1!$A$3:$B$78,2,FALSE)</f>
        <v>#N/A</v>
      </c>
      <c r="AF21" s="124" t="e">
        <f>VLOOKUP('北段 (人資版)'!AF21,工作表1!$A$3:$B$78,2,FALSE)</f>
        <v>#N/A</v>
      </c>
      <c r="AG21" s="124" t="e">
        <f>VLOOKUP('北段 (人資版)'!AG21,工作表1!$A$3:$B$78,2,FALSE)</f>
        <v>#N/A</v>
      </c>
      <c r="AH21" s="124" t="e">
        <f>VLOOKUP('北段 (人資版)'!AH21,工作表1!$A$3:$B$78,2,FALSE)</f>
        <v>#N/A</v>
      </c>
    </row>
    <row r="22" spans="1:34" ht="39.75" customHeight="1" x14ac:dyDescent="0.25">
      <c r="A22" s="47"/>
      <c r="B22" s="72" t="str">
        <f>北段!B11</f>
        <v>T02776</v>
      </c>
      <c r="C22" s="38" t="str">
        <f>VLOOKUP(B22,北段!B:C,2,FALSE)</f>
        <v>陳怡臻</v>
      </c>
      <c r="D22" s="124">
        <f>VLOOKUP('北段 (人資版)'!D22,工作表1!$A$3:$B$78,2,FALSE)</f>
        <v>70</v>
      </c>
      <c r="E22" s="124" t="e">
        <f>VLOOKUP('北段 (人資版)'!E22,工作表1!$A$3:$B$78,2,FALSE)</f>
        <v>#N/A</v>
      </c>
      <c r="F22" s="124" t="e">
        <f>VLOOKUP('北段 (人資版)'!F22,工作表1!$A$3:$B$78,2,FALSE)</f>
        <v>#N/A</v>
      </c>
      <c r="G22" s="124" t="e">
        <f>VLOOKUP('北段 (人資版)'!G22,工作表1!$A$3:$B$78,2,FALSE)</f>
        <v>#N/A</v>
      </c>
      <c r="H22" s="124" t="e">
        <f>VLOOKUP('北段 (人資版)'!H22,工作表1!$A$3:$B$78,2,FALSE)</f>
        <v>#N/A</v>
      </c>
      <c r="I22" s="124" t="e">
        <f>VLOOKUP('北段 (人資版)'!I22,工作表1!$A$3:$B$78,2,FALSE)</f>
        <v>#N/A</v>
      </c>
      <c r="J22" s="124">
        <f>VLOOKUP('北段 (人資版)'!J22,工作表1!$A$3:$B$78,2,FALSE)</f>
        <v>91</v>
      </c>
      <c r="K22" s="124" t="e">
        <f>VLOOKUP('北段 (人資版)'!K22,工作表1!$A$3:$B$78,2,FALSE)</f>
        <v>#N/A</v>
      </c>
      <c r="L22" s="124" t="e">
        <f>VLOOKUP('北段 (人資版)'!L22,工作表1!$A$3:$B$78,2,FALSE)</f>
        <v>#N/A</v>
      </c>
      <c r="M22" s="124" t="e">
        <f>VLOOKUP('北段 (人資版)'!M22,工作表1!$A$3:$B$78,2,FALSE)</f>
        <v>#N/A</v>
      </c>
      <c r="N22" s="124" t="e">
        <f>VLOOKUP('北段 (人資版)'!N22,工作表1!$A$3:$B$78,2,FALSE)</f>
        <v>#N/A</v>
      </c>
      <c r="O22" s="124" t="e">
        <f>VLOOKUP('北段 (人資版)'!O22,工作表1!$A$3:$B$78,2,FALSE)</f>
        <v>#N/A</v>
      </c>
      <c r="P22" s="124" t="e">
        <f>VLOOKUP('北段 (人資版)'!P22,工作表1!$A$3:$B$78,2,FALSE)</f>
        <v>#N/A</v>
      </c>
      <c r="Q22" s="124" t="e">
        <f>VLOOKUP('北段 (人資版)'!Q22,工作表1!$A$3:$B$78,2,FALSE)</f>
        <v>#N/A</v>
      </c>
      <c r="R22" s="124" t="e">
        <f>VLOOKUP('北段 (人資版)'!R22,工作表1!$A$3:$B$78,2,FALSE)</f>
        <v>#N/A</v>
      </c>
      <c r="S22" s="124" t="e">
        <f>VLOOKUP('北段 (人資版)'!S22,工作表1!$A$3:$B$78,2,FALSE)</f>
        <v>#N/A</v>
      </c>
      <c r="T22" s="124" t="e">
        <f>VLOOKUP('北段 (人資版)'!T22,工作表1!$A$3:$B$78,2,FALSE)</f>
        <v>#N/A</v>
      </c>
      <c r="U22" s="124" t="e">
        <f>VLOOKUP('北段 (人資版)'!U22,工作表1!$A$3:$B$78,2,FALSE)</f>
        <v>#N/A</v>
      </c>
      <c r="V22" s="124" t="e">
        <f>VLOOKUP('北段 (人資版)'!V22,工作表1!$A$3:$B$78,2,FALSE)</f>
        <v>#N/A</v>
      </c>
      <c r="W22" s="124" t="e">
        <f>VLOOKUP('北段 (人資版)'!W22,工作表1!$A$3:$B$78,2,FALSE)</f>
        <v>#N/A</v>
      </c>
      <c r="X22" s="124" t="e">
        <f>VLOOKUP('北段 (人資版)'!X22,工作表1!$A$3:$B$78,2,FALSE)</f>
        <v>#N/A</v>
      </c>
      <c r="Y22" s="124">
        <f>VLOOKUP('北段 (人資版)'!Y22,工作表1!$A$3:$B$78,2,FALSE)</f>
        <v>91</v>
      </c>
      <c r="Z22" s="124">
        <f>VLOOKUP('北段 (人資版)'!Z22,工作表1!$A$3:$B$78,2,FALSE)</f>
        <v>91</v>
      </c>
      <c r="AA22" s="124">
        <f>VLOOKUP('北段 (人資版)'!AA22,工作表1!$A$3:$B$78,2,FALSE)</f>
        <v>92</v>
      </c>
      <c r="AB22" s="124" t="e">
        <f>VLOOKUP('北段 (人資版)'!AB22,工作表1!$A$3:$B$78,2,FALSE)</f>
        <v>#N/A</v>
      </c>
      <c r="AC22" s="124" t="e">
        <f>VLOOKUP('北段 (人資版)'!AC22,工作表1!$A$3:$B$78,2,FALSE)</f>
        <v>#N/A</v>
      </c>
      <c r="AD22" s="124" t="e">
        <f>VLOOKUP('北段 (人資版)'!AD22,工作表1!$A$3:$B$78,2,FALSE)</f>
        <v>#N/A</v>
      </c>
      <c r="AE22" s="124" t="e">
        <f>VLOOKUP('北段 (人資版)'!AE22,工作表1!$A$3:$B$78,2,FALSE)</f>
        <v>#N/A</v>
      </c>
      <c r="AF22" s="124" t="e">
        <f>VLOOKUP('北段 (人資版)'!AF22,工作表1!$A$3:$B$78,2,FALSE)</f>
        <v>#N/A</v>
      </c>
      <c r="AG22" s="124" t="e">
        <f>VLOOKUP('北段 (人資版)'!AG22,工作表1!$A$3:$B$78,2,FALSE)</f>
        <v>#N/A</v>
      </c>
      <c r="AH22" s="124" t="e">
        <f>VLOOKUP('北段 (人資版)'!AH22,工作表1!$A$3:$B$78,2,FALSE)</f>
        <v>#N/A</v>
      </c>
    </row>
    <row r="23" spans="1:34" ht="39.6" customHeight="1" x14ac:dyDescent="0.25">
      <c r="A23" s="47"/>
      <c r="B23" s="72" t="str">
        <f>北段!B12</f>
        <v>T02777</v>
      </c>
      <c r="C23" s="38" t="str">
        <f>VLOOKUP(B23,北段!B:C,2,FALSE)</f>
        <v>彭裕涵</v>
      </c>
      <c r="D23" s="124">
        <f>VLOOKUP('北段 (人資版)'!D23,工作表1!$A$3:$B$78,2,FALSE)</f>
        <v>92</v>
      </c>
      <c r="E23" s="124" t="e">
        <f>VLOOKUP('北段 (人資版)'!E23,工作表1!$A$3:$B$78,2,FALSE)</f>
        <v>#N/A</v>
      </c>
      <c r="F23" s="124" t="e">
        <f>VLOOKUP('北段 (人資版)'!F23,工作表1!$A$3:$B$78,2,FALSE)</f>
        <v>#N/A</v>
      </c>
      <c r="G23" s="124" t="e">
        <f>VLOOKUP('北段 (人資版)'!G23,工作表1!$A$3:$B$78,2,FALSE)</f>
        <v>#N/A</v>
      </c>
      <c r="H23" s="124" t="e">
        <f>VLOOKUP('北段 (人資版)'!H23,工作表1!$A$3:$B$78,2,FALSE)</f>
        <v>#N/A</v>
      </c>
      <c r="I23" s="124" t="e">
        <f>VLOOKUP('北段 (人資版)'!I23,工作表1!$A$3:$B$78,2,FALSE)</f>
        <v>#N/A</v>
      </c>
      <c r="J23" s="124" t="e">
        <f>VLOOKUP('北段 (人資版)'!J23,工作表1!$A$3:$B$78,2,FALSE)</f>
        <v>#N/A</v>
      </c>
      <c r="K23" s="124" t="e">
        <f>VLOOKUP('北段 (人資版)'!K23,工作表1!$A$3:$B$78,2,FALSE)</f>
        <v>#N/A</v>
      </c>
      <c r="L23" s="124" t="e">
        <f>VLOOKUP('北段 (人資版)'!L23,工作表1!$A$3:$B$78,2,FALSE)</f>
        <v>#N/A</v>
      </c>
      <c r="M23" s="124" t="e">
        <f>VLOOKUP('北段 (人資版)'!M23,工作表1!$A$3:$B$78,2,FALSE)</f>
        <v>#N/A</v>
      </c>
      <c r="N23" s="124" t="e">
        <f>VLOOKUP('北段 (人資版)'!N23,工作表1!$A$3:$B$78,2,FALSE)</f>
        <v>#N/A</v>
      </c>
      <c r="O23" s="124" t="e">
        <f>VLOOKUP('北段 (人資版)'!O23,工作表1!$A$3:$B$78,2,FALSE)</f>
        <v>#N/A</v>
      </c>
      <c r="P23" s="124" t="e">
        <f>VLOOKUP('北段 (人資版)'!P23,工作表1!$A$3:$B$78,2,FALSE)</f>
        <v>#N/A</v>
      </c>
      <c r="Q23" s="124" t="e">
        <f>VLOOKUP('北段 (人資版)'!Q23,工作表1!$A$3:$B$78,2,FALSE)</f>
        <v>#N/A</v>
      </c>
      <c r="R23" s="124" t="e">
        <f>VLOOKUP('北段 (人資版)'!R23,工作表1!$A$3:$B$78,2,FALSE)</f>
        <v>#N/A</v>
      </c>
      <c r="S23" s="124" t="e">
        <f>VLOOKUP('北段 (人資版)'!S23,工作表1!$A$3:$B$78,2,FALSE)</f>
        <v>#N/A</v>
      </c>
      <c r="T23" s="124" t="e">
        <f>VLOOKUP('北段 (人資版)'!T23,工作表1!$A$3:$B$78,2,FALSE)</f>
        <v>#N/A</v>
      </c>
      <c r="U23" s="124" t="e">
        <f>VLOOKUP('北段 (人資版)'!U23,工作表1!$A$3:$B$78,2,FALSE)</f>
        <v>#N/A</v>
      </c>
      <c r="V23" s="124" t="e">
        <f>VLOOKUP('北段 (人資版)'!V23,工作表1!$A$3:$B$78,2,FALSE)</f>
        <v>#N/A</v>
      </c>
      <c r="W23" s="124" t="e">
        <f>VLOOKUP('北段 (人資版)'!W23,工作表1!$A$3:$B$78,2,FALSE)</f>
        <v>#N/A</v>
      </c>
      <c r="X23" s="124" t="e">
        <f>VLOOKUP('北段 (人資版)'!X23,工作表1!$A$3:$B$78,2,FALSE)</f>
        <v>#N/A</v>
      </c>
      <c r="Y23" s="124" t="e">
        <f>VLOOKUP('北段 (人資版)'!Y23,工作表1!$A$3:$B$78,2,FALSE)</f>
        <v>#N/A</v>
      </c>
      <c r="Z23" s="124" t="e">
        <f>VLOOKUP('北段 (人資版)'!Z23,工作表1!$A$3:$B$78,2,FALSE)</f>
        <v>#N/A</v>
      </c>
      <c r="AA23" s="124">
        <f>VLOOKUP('北段 (人資版)'!AA23,工作表1!$A$3:$B$78,2,FALSE)</f>
        <v>92</v>
      </c>
      <c r="AB23" s="124">
        <f>VLOOKUP('北段 (人資版)'!AB23,工作表1!$A$3:$B$78,2,FALSE)</f>
        <v>91</v>
      </c>
      <c r="AC23" s="124">
        <f>VLOOKUP('北段 (人資版)'!AC23,工作表1!$A$3:$B$78,2,FALSE)</f>
        <v>90</v>
      </c>
      <c r="AD23" s="124">
        <f>VLOOKUP('北段 (人資版)'!AD23,工作表1!$A$3:$B$78,2,FALSE)</f>
        <v>92</v>
      </c>
      <c r="AE23" s="124" t="e">
        <f>VLOOKUP('北段 (人資版)'!AE23,工作表1!$A$3:$B$78,2,FALSE)</f>
        <v>#N/A</v>
      </c>
      <c r="AF23" s="124" t="e">
        <f>VLOOKUP('北段 (人資版)'!AF23,工作表1!$A$3:$B$78,2,FALSE)</f>
        <v>#N/A</v>
      </c>
      <c r="AG23" s="124" t="e">
        <f>VLOOKUP('北段 (人資版)'!AG23,工作表1!$A$3:$B$78,2,FALSE)</f>
        <v>#N/A</v>
      </c>
      <c r="AH23" s="124" t="e">
        <f>VLOOKUP('北段 (人資版)'!AH23,工作表1!$A$3:$B$78,2,FALSE)</f>
        <v>#N/A</v>
      </c>
    </row>
    <row r="24" spans="1:34" ht="39.6" customHeight="1" x14ac:dyDescent="0.25">
      <c r="A24" s="47"/>
      <c r="B24" s="72" t="str">
        <f>北段!B13</f>
        <v>T00557</v>
      </c>
      <c r="C24" s="38" t="str">
        <f>VLOOKUP(B24,北段!B:C,2,FALSE)</f>
        <v>陳志明</v>
      </c>
      <c r="D24" s="124">
        <f>VLOOKUP('北段 (人資版)'!D24,工作表1!$A$3:$B$78,2,FALSE)</f>
        <v>66</v>
      </c>
      <c r="E24" s="124" t="e">
        <f>VLOOKUP('北段 (人資版)'!E24,工作表1!$A$3:$B$78,2,FALSE)</f>
        <v>#N/A</v>
      </c>
      <c r="F24" s="124" t="e">
        <f>VLOOKUP('北段 (人資版)'!F24,工作表1!$A$3:$B$78,2,FALSE)</f>
        <v>#N/A</v>
      </c>
      <c r="G24" s="124" t="e">
        <f>VLOOKUP('北段 (人資版)'!G24,工作表1!$A$3:$B$78,2,FALSE)</f>
        <v>#N/A</v>
      </c>
      <c r="H24" s="124" t="e">
        <f>VLOOKUP('北段 (人資版)'!H24,工作表1!$A$3:$B$78,2,FALSE)</f>
        <v>#N/A</v>
      </c>
      <c r="I24" s="124" t="e">
        <f>VLOOKUP('北段 (人資版)'!I24,工作表1!$A$3:$B$78,2,FALSE)</f>
        <v>#N/A</v>
      </c>
      <c r="J24" s="124" t="str">
        <f>VLOOKUP('北段 (人資版)'!J24,工作表1!$A$3:$B$78,2,FALSE)</f>
        <v>07</v>
      </c>
      <c r="K24" s="124">
        <f>VLOOKUP('北段 (人資版)'!K24,工作表1!$A$3:$B$78,2,FALSE)</f>
        <v>91</v>
      </c>
      <c r="L24" s="124" t="e">
        <f>VLOOKUP('北段 (人資版)'!L24,工作表1!$A$3:$B$78,2,FALSE)</f>
        <v>#N/A</v>
      </c>
      <c r="M24" s="124" t="e">
        <f>VLOOKUP('北段 (人資版)'!M24,工作表1!$A$3:$B$78,2,FALSE)</f>
        <v>#N/A</v>
      </c>
      <c r="N24" s="124" t="e">
        <f>VLOOKUP('北段 (人資版)'!N24,工作表1!$A$3:$B$78,2,FALSE)</f>
        <v>#N/A</v>
      </c>
      <c r="O24" s="124" t="e">
        <f>VLOOKUP('北段 (人資版)'!O24,工作表1!$A$3:$B$78,2,FALSE)</f>
        <v>#N/A</v>
      </c>
      <c r="P24" s="124" t="e">
        <f>VLOOKUP('北段 (人資版)'!P24,工作表1!$A$3:$B$78,2,FALSE)</f>
        <v>#N/A</v>
      </c>
      <c r="Q24" s="124" t="e">
        <f>VLOOKUP('北段 (人資版)'!Q24,工作表1!$A$3:$B$78,2,FALSE)</f>
        <v>#N/A</v>
      </c>
      <c r="R24" s="124" t="e">
        <f>VLOOKUP('北段 (人資版)'!R24,工作表1!$A$3:$B$78,2,FALSE)</f>
        <v>#N/A</v>
      </c>
      <c r="S24" s="124" t="e">
        <f>VLOOKUP('北段 (人資版)'!S24,工作表1!$A$3:$B$78,2,FALSE)</f>
        <v>#N/A</v>
      </c>
      <c r="T24" s="124" t="e">
        <f>VLOOKUP('北段 (人資版)'!T24,工作表1!$A$3:$B$78,2,FALSE)</f>
        <v>#N/A</v>
      </c>
      <c r="U24" s="124" t="e">
        <f>VLOOKUP('北段 (人資版)'!U24,工作表1!$A$3:$B$78,2,FALSE)</f>
        <v>#N/A</v>
      </c>
      <c r="V24" s="124" t="e">
        <f>VLOOKUP('北段 (人資版)'!V24,工作表1!$A$3:$B$78,2,FALSE)</f>
        <v>#N/A</v>
      </c>
      <c r="W24" s="124" t="e">
        <f>VLOOKUP('北段 (人資版)'!W24,工作表1!$A$3:$B$78,2,FALSE)</f>
        <v>#N/A</v>
      </c>
      <c r="X24" s="124">
        <f>VLOOKUP('北段 (人資版)'!X24,工作表1!$A$3:$B$78,2,FALSE)</f>
        <v>92</v>
      </c>
      <c r="Y24" s="124">
        <f>VLOOKUP('北段 (人資版)'!Y24,工作表1!$A$3:$B$78,2,FALSE)</f>
        <v>91</v>
      </c>
      <c r="Z24" s="124" t="e">
        <f>VLOOKUP('北段 (人資版)'!Z24,工作表1!$A$3:$B$78,2,FALSE)</f>
        <v>#N/A</v>
      </c>
      <c r="AA24" s="124" t="e">
        <f>VLOOKUP('北段 (人資版)'!AA24,工作表1!$A$3:$B$78,2,FALSE)</f>
        <v>#N/A</v>
      </c>
      <c r="AB24" s="124" t="e">
        <f>VLOOKUP('北段 (人資版)'!AB24,工作表1!$A$3:$B$78,2,FALSE)</f>
        <v>#N/A</v>
      </c>
      <c r="AC24" s="124" t="e">
        <f>VLOOKUP('北段 (人資版)'!AC24,工作表1!$A$3:$B$78,2,FALSE)</f>
        <v>#N/A</v>
      </c>
      <c r="AD24" s="124" t="e">
        <f>VLOOKUP('北段 (人資版)'!AD24,工作表1!$A$3:$B$78,2,FALSE)</f>
        <v>#N/A</v>
      </c>
      <c r="AE24" s="124" t="e">
        <f>VLOOKUP('北段 (人資版)'!AE24,工作表1!$A$3:$B$78,2,FALSE)</f>
        <v>#N/A</v>
      </c>
      <c r="AF24" s="124" t="e">
        <f>VLOOKUP('北段 (人資版)'!AF24,工作表1!$A$3:$B$78,2,FALSE)</f>
        <v>#N/A</v>
      </c>
      <c r="AG24" s="124" t="e">
        <f>VLOOKUP('北段 (人資版)'!AG24,工作表1!$A$3:$B$78,2,FALSE)</f>
        <v>#N/A</v>
      </c>
      <c r="AH24" s="124" t="e">
        <f>VLOOKUP('北段 (人資版)'!AH24,工作表1!$A$3:$B$78,2,FALSE)</f>
        <v>#N/A</v>
      </c>
    </row>
    <row r="25" spans="1:34" ht="39.75" customHeight="1" x14ac:dyDescent="0.25">
      <c r="A25" s="47"/>
      <c r="B25" s="72" t="str">
        <f>北段!B14</f>
        <v>T00929</v>
      </c>
      <c r="C25" s="38" t="str">
        <f>VLOOKUP(B25,北段!B:C,2,FALSE)</f>
        <v>簡婉蓁</v>
      </c>
      <c r="D25" s="124">
        <f>VLOOKUP('北段 (人資版)'!D25,工作表1!$A$3:$B$78,2,FALSE)</f>
        <v>38</v>
      </c>
      <c r="E25" s="124" t="e">
        <f>VLOOKUP('北段 (人資版)'!E25,工作表1!$A$3:$B$78,2,FALSE)</f>
        <v>#N/A</v>
      </c>
      <c r="F25" s="124" t="e">
        <f>VLOOKUP('北段 (人資版)'!F25,工作表1!$A$3:$B$78,2,FALSE)</f>
        <v>#N/A</v>
      </c>
      <c r="G25" s="124" t="e">
        <f>VLOOKUP('北段 (人資版)'!G25,工作表1!$A$3:$B$78,2,FALSE)</f>
        <v>#N/A</v>
      </c>
      <c r="H25" s="124" t="e">
        <f>VLOOKUP('北段 (人資版)'!H25,工作表1!$A$3:$B$78,2,FALSE)</f>
        <v>#N/A</v>
      </c>
      <c r="I25" s="124" t="e">
        <f>VLOOKUP('北段 (人資版)'!I25,工作表1!$A$3:$B$78,2,FALSE)</f>
        <v>#N/A</v>
      </c>
      <c r="J25" s="124" t="e">
        <f>VLOOKUP('北段 (人資版)'!J25,工作表1!$A$3:$B$78,2,FALSE)</f>
        <v>#N/A</v>
      </c>
      <c r="K25" s="124" t="e">
        <f>VLOOKUP('北段 (人資版)'!K25,工作表1!$A$3:$B$78,2,FALSE)</f>
        <v>#N/A</v>
      </c>
      <c r="L25" s="124" t="e">
        <f>VLOOKUP('北段 (人資版)'!L25,工作表1!$A$3:$B$78,2,FALSE)</f>
        <v>#N/A</v>
      </c>
      <c r="M25" s="124" t="e">
        <f>VLOOKUP('北段 (人資版)'!M25,工作表1!$A$3:$B$78,2,FALSE)</f>
        <v>#N/A</v>
      </c>
      <c r="N25" s="124" t="e">
        <f>VLOOKUP('北段 (人資版)'!N25,工作表1!$A$3:$B$78,2,FALSE)</f>
        <v>#N/A</v>
      </c>
      <c r="O25" s="124" t="e">
        <f>VLOOKUP('北段 (人資版)'!O25,工作表1!$A$3:$B$78,2,FALSE)</f>
        <v>#N/A</v>
      </c>
      <c r="P25" s="124" t="e">
        <f>VLOOKUP('北段 (人資版)'!P25,工作表1!$A$3:$B$78,2,FALSE)</f>
        <v>#N/A</v>
      </c>
      <c r="Q25" s="124" t="e">
        <f>VLOOKUP('北段 (人資版)'!Q25,工作表1!$A$3:$B$78,2,FALSE)</f>
        <v>#N/A</v>
      </c>
      <c r="R25" s="124" t="e">
        <f>VLOOKUP('北段 (人資版)'!R25,工作表1!$A$3:$B$78,2,FALSE)</f>
        <v>#N/A</v>
      </c>
      <c r="S25" s="124">
        <f>VLOOKUP('北段 (人資版)'!S25,工作表1!$A$3:$B$78,2,FALSE)</f>
        <v>91</v>
      </c>
      <c r="T25" s="124">
        <f>VLOOKUP('北段 (人資版)'!T25,工作表1!$A$3:$B$78,2,FALSE)</f>
        <v>92</v>
      </c>
      <c r="U25" s="124" t="e">
        <f>VLOOKUP('北段 (人資版)'!U25,工作表1!$A$3:$B$78,2,FALSE)</f>
        <v>#N/A</v>
      </c>
      <c r="V25" s="124" t="e">
        <f>VLOOKUP('北段 (人資版)'!V25,工作表1!$A$3:$B$78,2,FALSE)</f>
        <v>#N/A</v>
      </c>
      <c r="W25" s="124" t="e">
        <f>VLOOKUP('北段 (人資版)'!W25,工作表1!$A$3:$B$78,2,FALSE)</f>
        <v>#N/A</v>
      </c>
      <c r="X25" s="124" t="e">
        <f>VLOOKUP('北段 (人資版)'!X25,工作表1!$A$3:$B$78,2,FALSE)</f>
        <v>#N/A</v>
      </c>
      <c r="Y25" s="124" t="e">
        <f>VLOOKUP('北段 (人資版)'!Y25,工作表1!$A$3:$B$78,2,FALSE)</f>
        <v>#N/A</v>
      </c>
      <c r="Z25" s="124" t="e">
        <f>VLOOKUP('北段 (人資版)'!Z25,工作表1!$A$3:$B$78,2,FALSE)</f>
        <v>#N/A</v>
      </c>
      <c r="AA25" s="124" t="e">
        <f>VLOOKUP('北段 (人資版)'!AA25,工作表1!$A$3:$B$78,2,FALSE)</f>
        <v>#N/A</v>
      </c>
      <c r="AB25" s="124" t="e">
        <f>VLOOKUP('北段 (人資版)'!AB25,工作表1!$A$3:$B$78,2,FALSE)</f>
        <v>#N/A</v>
      </c>
      <c r="AC25" s="124" t="e">
        <f>VLOOKUP('北段 (人資版)'!AC25,工作表1!$A$3:$B$78,2,FALSE)</f>
        <v>#N/A</v>
      </c>
      <c r="AD25" s="124" t="e">
        <f>VLOOKUP('北段 (人資版)'!AD25,工作表1!$A$3:$B$78,2,FALSE)</f>
        <v>#N/A</v>
      </c>
      <c r="AE25" s="124" t="e">
        <f>VLOOKUP('北段 (人資版)'!AE25,工作表1!$A$3:$B$78,2,FALSE)</f>
        <v>#N/A</v>
      </c>
      <c r="AF25" s="124" t="e">
        <f>VLOOKUP('北段 (人資版)'!AF25,工作表1!$A$3:$B$78,2,FALSE)</f>
        <v>#N/A</v>
      </c>
      <c r="AG25" s="124" t="e">
        <f>VLOOKUP('北段 (人資版)'!AG25,工作表1!$A$3:$B$78,2,FALSE)</f>
        <v>#N/A</v>
      </c>
      <c r="AH25" s="124">
        <f>VLOOKUP('北段 (人資版)'!AH25,工作表1!$A$3:$B$78,2,FALSE)</f>
        <v>91</v>
      </c>
    </row>
    <row r="26" spans="1:34" ht="39.75" customHeight="1" x14ac:dyDescent="0.25">
      <c r="A26" s="47"/>
      <c r="B26" s="72" t="str">
        <f>北段!B15</f>
        <v>T01459</v>
      </c>
      <c r="C26" s="38" t="str">
        <f>VLOOKUP(B26,北段!B:C,2,FALSE)</f>
        <v>林禹丞</v>
      </c>
      <c r="D26" s="124">
        <f>VLOOKUP('北段 (人資版)'!D26,工作表1!$A$3:$B$78,2,FALSE)</f>
        <v>38</v>
      </c>
      <c r="E26" s="124">
        <f>VLOOKUP('北段 (人資版)'!E26,工作表1!$A$3:$B$78,2,FALSE)</f>
        <v>92</v>
      </c>
      <c r="F26" s="124">
        <f>VLOOKUP('北段 (人資版)'!F26,工作表1!$A$3:$B$78,2,FALSE)</f>
        <v>91</v>
      </c>
      <c r="G26" s="124" t="e">
        <f>VLOOKUP('北段 (人資版)'!G26,工作表1!$A$3:$B$78,2,FALSE)</f>
        <v>#N/A</v>
      </c>
      <c r="H26" s="124" t="e">
        <f>VLOOKUP('北段 (人資版)'!H26,工作表1!$A$3:$B$78,2,FALSE)</f>
        <v>#N/A</v>
      </c>
      <c r="I26" s="124" t="e">
        <f>VLOOKUP('北段 (人資版)'!I26,工作表1!$A$3:$B$78,2,FALSE)</f>
        <v>#N/A</v>
      </c>
      <c r="J26" s="124" t="e">
        <f>VLOOKUP('北段 (人資版)'!J26,工作表1!$A$3:$B$78,2,FALSE)</f>
        <v>#N/A</v>
      </c>
      <c r="K26" s="124" t="e">
        <f>VLOOKUP('北段 (人資版)'!K26,工作表1!$A$3:$B$78,2,FALSE)</f>
        <v>#N/A</v>
      </c>
      <c r="L26" s="124">
        <f>VLOOKUP('北段 (人資版)'!L26,工作表1!$A$3:$B$78,2,FALSE)</f>
        <v>92</v>
      </c>
      <c r="M26" s="124">
        <f>VLOOKUP('北段 (人資版)'!M26,工作表1!$A$3:$B$78,2,FALSE)</f>
        <v>91</v>
      </c>
      <c r="N26" s="124" t="e">
        <f>VLOOKUP('北段 (人資版)'!N26,工作表1!$A$3:$B$78,2,FALSE)</f>
        <v>#N/A</v>
      </c>
      <c r="O26" s="124" t="e">
        <f>VLOOKUP('北段 (人資版)'!O26,工作表1!$A$3:$B$78,2,FALSE)</f>
        <v>#N/A</v>
      </c>
      <c r="P26" s="124" t="e">
        <f>VLOOKUP('北段 (人資版)'!P26,工作表1!$A$3:$B$78,2,FALSE)</f>
        <v>#N/A</v>
      </c>
      <c r="Q26" s="124" t="e">
        <f>VLOOKUP('北段 (人資版)'!Q26,工作表1!$A$3:$B$78,2,FALSE)</f>
        <v>#N/A</v>
      </c>
      <c r="R26" s="124" t="e">
        <f>VLOOKUP('北段 (人資版)'!R26,工作表1!$A$3:$B$78,2,FALSE)</f>
        <v>#N/A</v>
      </c>
      <c r="S26" s="124">
        <f>VLOOKUP('北段 (人資版)'!S26,工作表1!$A$3:$B$78,2,FALSE)</f>
        <v>92</v>
      </c>
      <c r="T26" s="124">
        <f>VLOOKUP('北段 (人資版)'!T26,工作表1!$A$3:$B$78,2,FALSE)</f>
        <v>91</v>
      </c>
      <c r="U26" s="124" t="e">
        <f>VLOOKUP('北段 (人資版)'!U26,工作表1!$A$3:$B$78,2,FALSE)</f>
        <v>#N/A</v>
      </c>
      <c r="V26" s="124" t="e">
        <f>VLOOKUP('北段 (人資版)'!V26,工作表1!$A$3:$B$78,2,FALSE)</f>
        <v>#N/A</v>
      </c>
      <c r="W26" s="124" t="e">
        <f>VLOOKUP('北段 (人資版)'!W26,工作表1!$A$3:$B$78,2,FALSE)</f>
        <v>#N/A</v>
      </c>
      <c r="X26" s="124" t="e">
        <f>VLOOKUP('北段 (人資版)'!X26,工作表1!$A$3:$B$78,2,FALSE)</f>
        <v>#N/A</v>
      </c>
      <c r="Y26" s="124" t="str">
        <f>VLOOKUP('北段 (人資版)'!Y26,工作表1!$A$3:$B$78,2,FALSE)</f>
        <v>07</v>
      </c>
      <c r="Z26" s="124" t="str">
        <f>VLOOKUP('北段 (人資版)'!Z26,工作表1!$A$3:$B$78,2,FALSE)</f>
        <v>07</v>
      </c>
      <c r="AA26" s="124">
        <f>VLOOKUP('北段 (人資版)'!AA26,工作表1!$A$3:$B$78,2,FALSE)</f>
        <v>91</v>
      </c>
      <c r="AB26" s="124" t="e">
        <f>VLOOKUP('北段 (人資版)'!AB26,工作表1!$A$3:$B$78,2,FALSE)</f>
        <v>#N/A</v>
      </c>
      <c r="AC26" s="124" t="e">
        <f>VLOOKUP('北段 (人資版)'!AC26,工作表1!$A$3:$B$78,2,FALSE)</f>
        <v>#N/A</v>
      </c>
      <c r="AD26" s="124" t="e">
        <f>VLOOKUP('北段 (人資版)'!AD26,工作表1!$A$3:$B$78,2,FALSE)</f>
        <v>#N/A</v>
      </c>
      <c r="AE26" s="124" t="e">
        <f>VLOOKUP('北段 (人資版)'!AE26,工作表1!$A$3:$B$78,2,FALSE)</f>
        <v>#N/A</v>
      </c>
      <c r="AF26" s="124" t="e">
        <f>VLOOKUP('北段 (人資版)'!AF26,工作表1!$A$3:$B$78,2,FALSE)</f>
        <v>#N/A</v>
      </c>
      <c r="AG26" s="124">
        <f>VLOOKUP('北段 (人資版)'!AG26,工作表1!$A$3:$B$78,2,FALSE)</f>
        <v>92</v>
      </c>
      <c r="AH26" s="124">
        <f>VLOOKUP('北段 (人資版)'!AH26,工作表1!$A$3:$B$78,2,FALSE)</f>
        <v>91</v>
      </c>
    </row>
    <row r="27" spans="1:34" s="36" customFormat="1" ht="39.75" customHeight="1" x14ac:dyDescent="0.25">
      <c r="A27" s="47"/>
      <c r="B27" s="72" t="str">
        <f>北段!B16</f>
        <v>T01600</v>
      </c>
      <c r="C27" s="38" t="str">
        <f>VLOOKUP(B27,北段!B:C,2,FALSE)</f>
        <v>陳奎羽</v>
      </c>
      <c r="D27" s="124" t="str">
        <f>VLOOKUP('北段 (人資版)'!D27,工作表1!$A$3:$B$78,2,FALSE)</f>
        <v>07</v>
      </c>
      <c r="E27" s="124">
        <f>VLOOKUP('北段 (人資版)'!E27,工作表1!$A$3:$B$78,2,FALSE)</f>
        <v>92</v>
      </c>
      <c r="F27" s="124">
        <f>VLOOKUP('北段 (人資版)'!F27,工作表1!$A$3:$B$78,2,FALSE)</f>
        <v>91</v>
      </c>
      <c r="G27" s="124" t="e">
        <f>VLOOKUP('北段 (人資版)'!G27,工作表1!$A$3:$B$78,2,FALSE)</f>
        <v>#N/A</v>
      </c>
      <c r="H27" s="124" t="e">
        <f>VLOOKUP('北段 (人資版)'!H27,工作表1!$A$3:$B$78,2,FALSE)</f>
        <v>#N/A</v>
      </c>
      <c r="I27" s="124" t="e">
        <f>VLOOKUP('北段 (人資版)'!I27,工作表1!$A$3:$B$78,2,FALSE)</f>
        <v>#N/A</v>
      </c>
      <c r="J27" s="124" t="e">
        <f>VLOOKUP('北段 (人資版)'!J27,工作表1!$A$3:$B$78,2,FALSE)</f>
        <v>#N/A</v>
      </c>
      <c r="K27" s="124" t="e">
        <f>VLOOKUP('北段 (人資版)'!K27,工作表1!$A$3:$B$78,2,FALSE)</f>
        <v>#N/A</v>
      </c>
      <c r="L27" s="124" t="e">
        <f>VLOOKUP('北段 (人資版)'!L27,工作表1!$A$3:$B$78,2,FALSE)</f>
        <v>#N/A</v>
      </c>
      <c r="M27" s="124" t="e">
        <f>VLOOKUP('北段 (人資版)'!M27,工作表1!$A$3:$B$78,2,FALSE)</f>
        <v>#N/A</v>
      </c>
      <c r="N27" s="124" t="e">
        <f>VLOOKUP('北段 (人資版)'!N27,工作表1!$A$3:$B$78,2,FALSE)</f>
        <v>#N/A</v>
      </c>
      <c r="O27" s="124" t="e">
        <f>VLOOKUP('北段 (人資版)'!O27,工作表1!$A$3:$B$78,2,FALSE)</f>
        <v>#N/A</v>
      </c>
      <c r="P27" s="124" t="e">
        <f>VLOOKUP('北段 (人資版)'!P27,工作表1!$A$3:$B$78,2,FALSE)</f>
        <v>#N/A</v>
      </c>
      <c r="Q27" s="124">
        <f>VLOOKUP('北段 (人資版)'!Q27,工作表1!$A$3:$B$78,2,FALSE)</f>
        <v>92</v>
      </c>
      <c r="R27" s="124">
        <f>VLOOKUP('北段 (人資版)'!R27,工作表1!$A$3:$B$78,2,FALSE)</f>
        <v>91</v>
      </c>
      <c r="S27" s="124" t="e">
        <f>VLOOKUP('北段 (人資版)'!S27,工作表1!$A$3:$B$78,2,FALSE)</f>
        <v>#N/A</v>
      </c>
      <c r="T27" s="124" t="e">
        <f>VLOOKUP('北段 (人資版)'!T27,工作表1!$A$3:$B$78,2,FALSE)</f>
        <v>#N/A</v>
      </c>
      <c r="U27" s="124" t="e">
        <f>VLOOKUP('北段 (人資版)'!U27,工作表1!$A$3:$B$78,2,FALSE)</f>
        <v>#N/A</v>
      </c>
      <c r="V27" s="124" t="e">
        <f>VLOOKUP('北段 (人資版)'!V27,工作表1!$A$3:$B$78,2,FALSE)</f>
        <v>#N/A</v>
      </c>
      <c r="W27" s="124" t="e">
        <f>VLOOKUP('北段 (人資版)'!W27,工作表1!$A$3:$B$78,2,FALSE)</f>
        <v>#N/A</v>
      </c>
      <c r="X27" s="124" t="e">
        <f>VLOOKUP('北段 (人資版)'!X27,工作表1!$A$3:$B$78,2,FALSE)</f>
        <v>#N/A</v>
      </c>
      <c r="Y27" s="124" t="e">
        <f>VLOOKUP('北段 (人資版)'!Y27,工作表1!$A$3:$B$78,2,FALSE)</f>
        <v>#N/A</v>
      </c>
      <c r="Z27" s="124" t="e">
        <f>VLOOKUP('北段 (人資版)'!Z27,工作表1!$A$3:$B$78,2,FALSE)</f>
        <v>#N/A</v>
      </c>
      <c r="AA27" s="124" t="e">
        <f>VLOOKUP('北段 (人資版)'!AA27,工作表1!$A$3:$B$78,2,FALSE)</f>
        <v>#N/A</v>
      </c>
      <c r="AB27" s="124" t="e">
        <f>VLOOKUP('北段 (人資版)'!AB27,工作表1!$A$3:$B$78,2,FALSE)</f>
        <v>#N/A</v>
      </c>
      <c r="AC27" s="124" t="e">
        <f>VLOOKUP('北段 (人資版)'!AC27,工作表1!$A$3:$B$78,2,FALSE)</f>
        <v>#N/A</v>
      </c>
      <c r="AD27" s="124" t="e">
        <f>VLOOKUP('北段 (人資版)'!AD27,工作表1!$A$3:$B$78,2,FALSE)</f>
        <v>#N/A</v>
      </c>
      <c r="AE27" s="124" t="e">
        <f>VLOOKUP('北段 (人資版)'!AE27,工作表1!$A$3:$B$78,2,FALSE)</f>
        <v>#N/A</v>
      </c>
      <c r="AF27" s="124" t="e">
        <f>VLOOKUP('北段 (人資版)'!AF27,工作表1!$A$3:$B$78,2,FALSE)</f>
        <v>#N/A</v>
      </c>
      <c r="AG27" s="124" t="e">
        <f>VLOOKUP('北段 (人資版)'!AG27,工作表1!$A$3:$B$78,2,FALSE)</f>
        <v>#N/A</v>
      </c>
      <c r="AH27" s="124" t="e">
        <f>VLOOKUP('北段 (人資版)'!AH27,工作表1!$A$3:$B$78,2,FALSE)</f>
        <v>#N/A</v>
      </c>
    </row>
    <row r="28" spans="1:34" s="36" customFormat="1" ht="39.75" customHeight="1" x14ac:dyDescent="0.25">
      <c r="A28" s="47"/>
      <c r="B28" s="72" t="str">
        <f>北段!B17</f>
        <v>T01795</v>
      </c>
      <c r="C28" s="38" t="str">
        <f>VLOOKUP(B28,北段!B:C,2,FALSE)</f>
        <v>黃羿綾</v>
      </c>
      <c r="D28" s="124">
        <f>VLOOKUP('北段 (人資版)'!D28,工作表1!$A$3:$B$78,2,FALSE)</f>
        <v>91</v>
      </c>
      <c r="E28" s="124">
        <f>VLOOKUP('北段 (人資版)'!E28,工作表1!$A$3:$B$78,2,FALSE)</f>
        <v>92</v>
      </c>
      <c r="F28" s="124">
        <f>VLOOKUP('北段 (人資版)'!F28,工作表1!$A$3:$B$78,2,FALSE)</f>
        <v>91</v>
      </c>
      <c r="G28" s="124">
        <f>VLOOKUP('北段 (人資版)'!G28,工作表1!$A$3:$B$78,2,FALSE)</f>
        <v>92</v>
      </c>
      <c r="H28" s="124" t="e">
        <f>VLOOKUP('北段 (人資版)'!H28,工作表1!$A$3:$B$78,2,FALSE)</f>
        <v>#N/A</v>
      </c>
      <c r="I28" s="124" t="e">
        <f>VLOOKUP('北段 (人資版)'!I28,工作表1!$A$3:$B$78,2,FALSE)</f>
        <v>#N/A</v>
      </c>
      <c r="J28" s="124" t="e">
        <f>VLOOKUP('北段 (人資版)'!J28,工作表1!$A$3:$B$78,2,FALSE)</f>
        <v>#N/A</v>
      </c>
      <c r="K28" s="124" t="e">
        <f>VLOOKUP('北段 (人資版)'!K28,工作表1!$A$3:$B$78,2,FALSE)</f>
        <v>#N/A</v>
      </c>
      <c r="L28" s="124" t="e">
        <f>VLOOKUP('北段 (人資版)'!L28,工作表1!$A$3:$B$78,2,FALSE)</f>
        <v>#N/A</v>
      </c>
      <c r="M28" s="124" t="e">
        <f>VLOOKUP('北段 (人資版)'!M28,工作表1!$A$3:$B$78,2,FALSE)</f>
        <v>#N/A</v>
      </c>
      <c r="N28" s="124" t="e">
        <f>VLOOKUP('北段 (人資版)'!N28,工作表1!$A$3:$B$78,2,FALSE)</f>
        <v>#N/A</v>
      </c>
      <c r="O28" s="124" t="e">
        <f>VLOOKUP('北段 (人資版)'!O28,工作表1!$A$3:$B$78,2,FALSE)</f>
        <v>#N/A</v>
      </c>
      <c r="P28" s="124" t="e">
        <f>VLOOKUP('北段 (人資版)'!P28,工作表1!$A$3:$B$78,2,FALSE)</f>
        <v>#N/A</v>
      </c>
      <c r="Q28" s="124" t="e">
        <f>VLOOKUP('北段 (人資版)'!Q28,工作表1!$A$3:$B$78,2,FALSE)</f>
        <v>#N/A</v>
      </c>
      <c r="R28" s="124" t="e">
        <f>VLOOKUP('北段 (人資版)'!R28,工作表1!$A$3:$B$78,2,FALSE)</f>
        <v>#N/A</v>
      </c>
      <c r="S28" s="124">
        <f>VLOOKUP('北段 (人資版)'!S28,工作表1!$A$3:$B$78,2,FALSE)</f>
        <v>91</v>
      </c>
      <c r="T28" s="124" t="e">
        <f>VLOOKUP('北段 (人資版)'!T28,工作表1!$A$3:$B$78,2,FALSE)</f>
        <v>#N/A</v>
      </c>
      <c r="U28" s="124" t="e">
        <f>VLOOKUP('北段 (人資版)'!U28,工作表1!$A$3:$B$78,2,FALSE)</f>
        <v>#N/A</v>
      </c>
      <c r="V28" s="124" t="e">
        <f>VLOOKUP('北段 (人資版)'!V28,工作表1!$A$3:$B$78,2,FALSE)</f>
        <v>#N/A</v>
      </c>
      <c r="W28" s="124" t="e">
        <f>VLOOKUP('北段 (人資版)'!W28,工作表1!$A$3:$B$78,2,FALSE)</f>
        <v>#N/A</v>
      </c>
      <c r="X28" s="124" t="e">
        <f>VLOOKUP('北段 (人資版)'!X28,工作表1!$A$3:$B$78,2,FALSE)</f>
        <v>#N/A</v>
      </c>
      <c r="Y28" s="124" t="e">
        <f>VLOOKUP('北段 (人資版)'!Y28,工作表1!$A$3:$B$78,2,FALSE)</f>
        <v>#N/A</v>
      </c>
      <c r="Z28" s="124" t="e">
        <f>VLOOKUP('北段 (人資版)'!Z28,工作表1!$A$3:$B$78,2,FALSE)</f>
        <v>#N/A</v>
      </c>
      <c r="AA28" s="124" t="e">
        <f>VLOOKUP('北段 (人資版)'!AA28,工作表1!$A$3:$B$78,2,FALSE)</f>
        <v>#N/A</v>
      </c>
      <c r="AB28" s="124" t="e">
        <f>VLOOKUP('北段 (人資版)'!AB28,工作表1!$A$3:$B$78,2,FALSE)</f>
        <v>#N/A</v>
      </c>
      <c r="AC28" s="124" t="e">
        <f>VLOOKUP('北段 (人資版)'!AC28,工作表1!$A$3:$B$78,2,FALSE)</f>
        <v>#N/A</v>
      </c>
      <c r="AD28" s="124" t="e">
        <f>VLOOKUP('北段 (人資版)'!AD28,工作表1!$A$3:$B$78,2,FALSE)</f>
        <v>#N/A</v>
      </c>
      <c r="AE28" s="124" t="e">
        <f>VLOOKUP('北段 (人資版)'!AE28,工作表1!$A$3:$B$78,2,FALSE)</f>
        <v>#N/A</v>
      </c>
      <c r="AF28" s="124" t="e">
        <f>VLOOKUP('北段 (人資版)'!AF28,工作表1!$A$3:$B$78,2,FALSE)</f>
        <v>#N/A</v>
      </c>
      <c r="AG28" s="124" t="e">
        <f>VLOOKUP('北段 (人資版)'!AG28,工作表1!$A$3:$B$78,2,FALSE)</f>
        <v>#N/A</v>
      </c>
      <c r="AH28" s="124" t="e">
        <f>VLOOKUP('北段 (人資版)'!AH28,工作表1!$A$3:$B$78,2,FALSE)</f>
        <v>#N/A</v>
      </c>
    </row>
    <row r="29" spans="1:34" s="36" customFormat="1" ht="39.75" customHeight="1" x14ac:dyDescent="0.25">
      <c r="A29" s="47"/>
      <c r="B29" s="72" t="str">
        <f>北段!B18</f>
        <v>T02222</v>
      </c>
      <c r="C29" s="38" t="str">
        <f>VLOOKUP(B29,北段!B:C,2,FALSE)</f>
        <v>𡍼文妤</v>
      </c>
      <c r="D29" s="124">
        <f>VLOOKUP('北段 (人資版)'!D29,工作表1!$A$3:$B$78,2,FALSE)</f>
        <v>92</v>
      </c>
      <c r="E29" s="124" t="e">
        <f>VLOOKUP('北段 (人資版)'!E29,工作表1!$A$3:$B$78,2,FALSE)</f>
        <v>#N/A</v>
      </c>
      <c r="F29" s="124" t="e">
        <f>VLOOKUP('北段 (人資版)'!F29,工作表1!$A$3:$B$78,2,FALSE)</f>
        <v>#N/A</v>
      </c>
      <c r="G29" s="124" t="e">
        <f>VLOOKUP('北段 (人資版)'!G29,工作表1!$A$3:$B$78,2,FALSE)</f>
        <v>#N/A</v>
      </c>
      <c r="H29" s="124" t="e">
        <f>VLOOKUP('北段 (人資版)'!H29,工作表1!$A$3:$B$78,2,FALSE)</f>
        <v>#N/A</v>
      </c>
      <c r="I29" s="124" t="e">
        <f>VLOOKUP('北段 (人資版)'!I29,工作表1!$A$3:$B$78,2,FALSE)</f>
        <v>#N/A</v>
      </c>
      <c r="J29" s="124" t="e">
        <f>VLOOKUP('北段 (人資版)'!J29,工作表1!$A$3:$B$78,2,FALSE)</f>
        <v>#N/A</v>
      </c>
      <c r="K29" s="124" t="e">
        <f>VLOOKUP('北段 (人資版)'!K29,工作表1!$A$3:$B$78,2,FALSE)</f>
        <v>#N/A</v>
      </c>
      <c r="L29" s="124">
        <f>VLOOKUP('北段 (人資版)'!L29,工作表1!$A$3:$B$78,2,FALSE)</f>
        <v>91</v>
      </c>
      <c r="M29" s="124">
        <f>VLOOKUP('北段 (人資版)'!M29,工作表1!$A$3:$B$78,2,FALSE)</f>
        <v>92</v>
      </c>
      <c r="N29" s="124" t="e">
        <f>VLOOKUP('北段 (人資版)'!N29,工作表1!$A$3:$B$78,2,FALSE)</f>
        <v>#N/A</v>
      </c>
      <c r="O29" s="124" t="e">
        <f>VLOOKUP('北段 (人資版)'!O29,工作表1!$A$3:$B$78,2,FALSE)</f>
        <v>#N/A</v>
      </c>
      <c r="P29" s="124" t="e">
        <f>VLOOKUP('北段 (人資版)'!P29,工作表1!$A$3:$B$78,2,FALSE)</f>
        <v>#N/A</v>
      </c>
      <c r="Q29" s="124" t="e">
        <f>VLOOKUP('北段 (人資版)'!Q29,工作表1!$A$3:$B$78,2,FALSE)</f>
        <v>#N/A</v>
      </c>
      <c r="R29" s="124" t="e">
        <f>VLOOKUP('北段 (人資版)'!R29,工作表1!$A$3:$B$78,2,FALSE)</f>
        <v>#N/A</v>
      </c>
      <c r="S29" s="124" t="e">
        <f>VLOOKUP('北段 (人資版)'!S29,工作表1!$A$3:$B$78,2,FALSE)</f>
        <v>#N/A</v>
      </c>
      <c r="T29" s="124" t="e">
        <f>VLOOKUP('北段 (人資版)'!T29,工作表1!$A$3:$B$78,2,FALSE)</f>
        <v>#N/A</v>
      </c>
      <c r="U29" s="124" t="e">
        <f>VLOOKUP('北段 (人資版)'!U29,工作表1!$A$3:$B$78,2,FALSE)</f>
        <v>#N/A</v>
      </c>
      <c r="V29" s="124" t="e">
        <f>VLOOKUP('北段 (人資版)'!V29,工作表1!$A$3:$B$78,2,FALSE)</f>
        <v>#N/A</v>
      </c>
      <c r="W29" s="124" t="e">
        <f>VLOOKUP('北段 (人資版)'!W29,工作表1!$A$3:$B$78,2,FALSE)</f>
        <v>#N/A</v>
      </c>
      <c r="X29" s="124" t="e">
        <f>VLOOKUP('北段 (人資版)'!X29,工作表1!$A$3:$B$78,2,FALSE)</f>
        <v>#N/A</v>
      </c>
      <c r="Y29" s="124" t="e">
        <f>VLOOKUP('北段 (人資版)'!Y29,工作表1!$A$3:$B$78,2,FALSE)</f>
        <v>#N/A</v>
      </c>
      <c r="Z29" s="124" t="e">
        <f>VLOOKUP('北段 (人資版)'!Z29,工作表1!$A$3:$B$78,2,FALSE)</f>
        <v>#N/A</v>
      </c>
      <c r="AA29" s="124" t="e">
        <f>VLOOKUP('北段 (人資版)'!AA29,工作表1!$A$3:$B$78,2,FALSE)</f>
        <v>#N/A</v>
      </c>
      <c r="AB29" s="124" t="e">
        <f>VLOOKUP('北段 (人資版)'!AB29,工作表1!$A$3:$B$78,2,FALSE)</f>
        <v>#N/A</v>
      </c>
      <c r="AC29" s="124" t="e">
        <f>VLOOKUP('北段 (人資版)'!AC29,工作表1!$A$3:$B$78,2,FALSE)</f>
        <v>#N/A</v>
      </c>
      <c r="AD29" s="124" t="e">
        <f>VLOOKUP('北段 (人資版)'!AD29,工作表1!$A$3:$B$78,2,FALSE)</f>
        <v>#N/A</v>
      </c>
      <c r="AE29" s="124">
        <f>VLOOKUP('北段 (人資版)'!AE29,工作表1!$A$3:$B$78,2,FALSE)</f>
        <v>91</v>
      </c>
      <c r="AF29" s="124">
        <f>VLOOKUP('北段 (人資版)'!AF29,工作表1!$A$3:$B$78,2,FALSE)</f>
        <v>92</v>
      </c>
      <c r="AG29" s="124" t="e">
        <f>VLOOKUP('北段 (人資版)'!AG29,工作表1!$A$3:$B$78,2,FALSE)</f>
        <v>#N/A</v>
      </c>
      <c r="AH29" s="124" t="e">
        <f>VLOOKUP('北段 (人資版)'!AH29,工作表1!$A$3:$B$78,2,FALSE)</f>
        <v>#N/A</v>
      </c>
    </row>
    <row r="30" spans="1:34" s="36" customFormat="1" ht="39.75" customHeight="1" thickBot="1" x14ac:dyDescent="0.3">
      <c r="A30" s="48"/>
      <c r="B30" s="72" t="str">
        <f>北段!B19</f>
        <v>T02233</v>
      </c>
      <c r="C30" s="38" t="str">
        <f>VLOOKUP(B30,北段!B:C,2,FALSE)</f>
        <v>簡悅如</v>
      </c>
      <c r="D30" s="124">
        <f>VLOOKUP('北段 (人資版)'!D30,工作表1!$A$3:$B$78,2,FALSE)</f>
        <v>38</v>
      </c>
      <c r="E30" s="124" t="e">
        <f>VLOOKUP('北段 (人資版)'!E30,工作表1!$A$3:$B$78,2,FALSE)</f>
        <v>#N/A</v>
      </c>
      <c r="F30" s="124" t="e">
        <f>VLOOKUP('北段 (人資版)'!F30,工作表1!$A$3:$B$78,2,FALSE)</f>
        <v>#N/A</v>
      </c>
      <c r="G30" s="124" t="e">
        <f>VLOOKUP('北段 (人資版)'!G30,工作表1!$A$3:$B$78,2,FALSE)</f>
        <v>#N/A</v>
      </c>
      <c r="H30" s="124" t="e">
        <f>VLOOKUP('北段 (人資版)'!H30,工作表1!$A$3:$B$78,2,FALSE)</f>
        <v>#N/A</v>
      </c>
      <c r="I30" s="124" t="e">
        <f>VLOOKUP('北段 (人資版)'!I30,工作表1!$A$3:$B$78,2,FALSE)</f>
        <v>#N/A</v>
      </c>
      <c r="J30" s="124" t="e">
        <f>VLOOKUP('北段 (人資版)'!J30,工作表1!$A$3:$B$78,2,FALSE)</f>
        <v>#N/A</v>
      </c>
      <c r="K30" s="124" t="e">
        <f>VLOOKUP('北段 (人資版)'!K30,工作表1!$A$3:$B$78,2,FALSE)</f>
        <v>#N/A</v>
      </c>
      <c r="L30" s="124" t="e">
        <f>VLOOKUP('北段 (人資版)'!L30,工作表1!$A$3:$B$78,2,FALSE)</f>
        <v>#N/A</v>
      </c>
      <c r="M30" s="124" t="e">
        <f>VLOOKUP('北段 (人資版)'!M30,工作表1!$A$3:$B$78,2,FALSE)</f>
        <v>#N/A</v>
      </c>
      <c r="N30" s="124" t="e">
        <f>VLOOKUP('北段 (人資版)'!N30,工作表1!$A$3:$B$78,2,FALSE)</f>
        <v>#N/A</v>
      </c>
      <c r="O30" s="124" t="e">
        <f>VLOOKUP('北段 (人資版)'!O30,工作表1!$A$3:$B$78,2,FALSE)</f>
        <v>#N/A</v>
      </c>
      <c r="P30" s="124" t="e">
        <f>VLOOKUP('北段 (人資版)'!P30,工作表1!$A$3:$B$78,2,FALSE)</f>
        <v>#N/A</v>
      </c>
      <c r="Q30" s="124" t="e">
        <f>VLOOKUP('北段 (人資版)'!Q30,工作表1!$A$3:$B$78,2,FALSE)</f>
        <v>#N/A</v>
      </c>
      <c r="R30" s="124">
        <f>VLOOKUP('北段 (人資版)'!R30,工作表1!$A$3:$B$78,2,FALSE)</f>
        <v>91</v>
      </c>
      <c r="S30" s="124">
        <f>VLOOKUP('北段 (人資版)'!S30,工作表1!$A$3:$B$78,2,FALSE)</f>
        <v>91</v>
      </c>
      <c r="T30" s="124" t="e">
        <f>VLOOKUP('北段 (人資版)'!T30,工作表1!$A$3:$B$78,2,FALSE)</f>
        <v>#N/A</v>
      </c>
      <c r="U30" s="124" t="e">
        <f>VLOOKUP('北段 (人資版)'!U30,工作表1!$A$3:$B$78,2,FALSE)</f>
        <v>#N/A</v>
      </c>
      <c r="V30" s="124" t="e">
        <f>VLOOKUP('北段 (人資版)'!V30,工作表1!$A$3:$B$78,2,FALSE)</f>
        <v>#N/A</v>
      </c>
      <c r="W30" s="124" t="e">
        <f>VLOOKUP('北段 (人資版)'!W30,工作表1!$A$3:$B$78,2,FALSE)</f>
        <v>#N/A</v>
      </c>
      <c r="X30" s="124" t="str">
        <f>VLOOKUP('北段 (人資版)'!X30,工作表1!$A$3:$B$78,2,FALSE)</f>
        <v>07</v>
      </c>
      <c r="Y30" s="124" t="e">
        <f>VLOOKUP('北段 (人資版)'!Y30,工作表1!$A$3:$B$78,2,FALSE)</f>
        <v>#N/A</v>
      </c>
      <c r="Z30" s="124" t="e">
        <f>VLOOKUP('北段 (人資版)'!Z30,工作表1!$A$3:$B$78,2,FALSE)</f>
        <v>#N/A</v>
      </c>
      <c r="AA30" s="124" t="e">
        <f>VLOOKUP('北段 (人資版)'!AA30,工作表1!$A$3:$B$78,2,FALSE)</f>
        <v>#N/A</v>
      </c>
      <c r="AB30" s="124" t="e">
        <f>VLOOKUP('北段 (人資版)'!AB30,工作表1!$A$3:$B$78,2,FALSE)</f>
        <v>#N/A</v>
      </c>
      <c r="AC30" s="124" t="e">
        <f>VLOOKUP('北段 (人資版)'!AC30,工作表1!$A$3:$B$78,2,FALSE)</f>
        <v>#N/A</v>
      </c>
      <c r="AD30" s="124" t="e">
        <f>VLOOKUP('北段 (人資版)'!AD30,工作表1!$A$3:$B$78,2,FALSE)</f>
        <v>#N/A</v>
      </c>
      <c r="AE30" s="124" t="e">
        <f>VLOOKUP('北段 (人資版)'!AE30,工作表1!$A$3:$B$78,2,FALSE)</f>
        <v>#N/A</v>
      </c>
      <c r="AF30" s="124" t="e">
        <f>VLOOKUP('北段 (人資版)'!AF30,工作表1!$A$3:$B$78,2,FALSE)</f>
        <v>#N/A</v>
      </c>
      <c r="AG30" s="124" t="e">
        <f>VLOOKUP('北段 (人資版)'!AG30,工作表1!$A$3:$B$78,2,FALSE)</f>
        <v>#N/A</v>
      </c>
      <c r="AH30" s="124" t="e">
        <f>VLOOKUP('北段 (人資版)'!AH30,工作表1!$A$3:$B$78,2,FALSE)</f>
        <v>#N/A</v>
      </c>
    </row>
    <row r="31" spans="1:34" ht="39.75" customHeight="1" x14ac:dyDescent="0.25">
      <c r="A31" s="46" t="s">
        <v>23</v>
      </c>
      <c r="B31" s="72" t="str">
        <f>北段!B20</f>
        <v>T02613</v>
      </c>
      <c r="C31" s="38" t="str">
        <f>VLOOKUP(B31,北段!B:C,2,FALSE)</f>
        <v>張雅荃</v>
      </c>
      <c r="D31" s="124">
        <f>VLOOKUP('北段 (人資版)'!D31,工作表1!$A$3:$B$78,2,FALSE)</f>
        <v>66</v>
      </c>
      <c r="E31" s="124" t="e">
        <f>VLOOKUP('北段 (人資版)'!E31,工作表1!$A$3:$B$78,2,FALSE)</f>
        <v>#N/A</v>
      </c>
      <c r="F31" s="124" t="e">
        <f>VLOOKUP('北段 (人資版)'!F31,工作表1!$A$3:$B$78,2,FALSE)</f>
        <v>#N/A</v>
      </c>
      <c r="G31" s="124" t="e">
        <f>VLOOKUP('北段 (人資版)'!G31,工作表1!$A$3:$B$78,2,FALSE)</f>
        <v>#N/A</v>
      </c>
      <c r="H31" s="124" t="e">
        <f>VLOOKUP('北段 (人資版)'!H31,工作表1!$A$3:$B$78,2,FALSE)</f>
        <v>#N/A</v>
      </c>
      <c r="I31" s="124" t="e">
        <f>VLOOKUP('北段 (人資版)'!I31,工作表1!$A$3:$B$78,2,FALSE)</f>
        <v>#N/A</v>
      </c>
      <c r="J31" s="124" t="e">
        <f>VLOOKUP('北段 (人資版)'!J31,工作表1!$A$3:$B$78,2,FALSE)</f>
        <v>#N/A</v>
      </c>
      <c r="K31" s="124" t="e">
        <f>VLOOKUP('北段 (人資版)'!K31,工作表1!$A$3:$B$78,2,FALSE)</f>
        <v>#N/A</v>
      </c>
      <c r="L31" s="124" t="e">
        <f>VLOOKUP('北段 (人資版)'!L31,工作表1!$A$3:$B$78,2,FALSE)</f>
        <v>#N/A</v>
      </c>
      <c r="M31" s="124" t="e">
        <f>VLOOKUP('北段 (人資版)'!M31,工作表1!$A$3:$B$78,2,FALSE)</f>
        <v>#N/A</v>
      </c>
      <c r="N31" s="124" t="e">
        <f>VLOOKUP('北段 (人資版)'!N31,工作表1!$A$3:$B$78,2,FALSE)</f>
        <v>#N/A</v>
      </c>
      <c r="O31" s="124">
        <f>VLOOKUP('北段 (人資版)'!O31,工作表1!$A$3:$B$78,2,FALSE)</f>
        <v>91</v>
      </c>
      <c r="P31" s="124" t="e">
        <f>VLOOKUP('北段 (人資版)'!P31,工作表1!$A$3:$B$78,2,FALSE)</f>
        <v>#N/A</v>
      </c>
      <c r="Q31" s="124" t="e">
        <f>VLOOKUP('北段 (人資版)'!Q31,工作表1!$A$3:$B$78,2,FALSE)</f>
        <v>#N/A</v>
      </c>
      <c r="R31" s="124" t="e">
        <f>VLOOKUP('北段 (人資版)'!R31,工作表1!$A$3:$B$78,2,FALSE)</f>
        <v>#N/A</v>
      </c>
      <c r="S31" s="124" t="e">
        <f>VLOOKUP('北段 (人資版)'!S31,工作表1!$A$3:$B$78,2,FALSE)</f>
        <v>#N/A</v>
      </c>
      <c r="T31" s="124" t="e">
        <f>VLOOKUP('北段 (人資版)'!T31,工作表1!$A$3:$B$78,2,FALSE)</f>
        <v>#N/A</v>
      </c>
      <c r="U31" s="124" t="e">
        <f>VLOOKUP('北段 (人資版)'!U31,工作表1!$A$3:$B$78,2,FALSE)</f>
        <v>#N/A</v>
      </c>
      <c r="V31" s="124" t="e">
        <f>VLOOKUP('北段 (人資版)'!V31,工作表1!$A$3:$B$78,2,FALSE)</f>
        <v>#N/A</v>
      </c>
      <c r="W31" s="124" t="e">
        <f>VLOOKUP('北段 (人資版)'!W31,工作表1!$A$3:$B$78,2,FALSE)</f>
        <v>#N/A</v>
      </c>
      <c r="X31" s="124" t="e">
        <f>VLOOKUP('北段 (人資版)'!X31,工作表1!$A$3:$B$78,2,FALSE)</f>
        <v>#N/A</v>
      </c>
      <c r="Y31" s="124">
        <f>VLOOKUP('北段 (人資版)'!Y31,工作表1!$A$3:$B$78,2,FALSE)</f>
        <v>91</v>
      </c>
      <c r="Z31" s="124">
        <f>VLOOKUP('北段 (人資版)'!Z31,工作表1!$A$3:$B$78,2,FALSE)</f>
        <v>91</v>
      </c>
      <c r="AA31" s="124" t="e">
        <f>VLOOKUP('北段 (人資版)'!AA31,工作表1!$A$3:$B$78,2,FALSE)</f>
        <v>#N/A</v>
      </c>
      <c r="AB31" s="124" t="e">
        <f>VLOOKUP('北段 (人資版)'!AB31,工作表1!$A$3:$B$78,2,FALSE)</f>
        <v>#N/A</v>
      </c>
      <c r="AC31" s="124" t="e">
        <f>VLOOKUP('北段 (人資版)'!AC31,工作表1!$A$3:$B$78,2,FALSE)</f>
        <v>#N/A</v>
      </c>
      <c r="AD31" s="124" t="e">
        <f>VLOOKUP('北段 (人資版)'!AD31,工作表1!$A$3:$B$78,2,FALSE)</f>
        <v>#N/A</v>
      </c>
      <c r="AE31" s="124">
        <f>VLOOKUP('北段 (人資版)'!AE31,工作表1!$A$3:$B$78,2,FALSE)</f>
        <v>92</v>
      </c>
      <c r="AF31" s="124" t="e">
        <f>VLOOKUP('北段 (人資版)'!AF31,工作表1!$A$3:$B$78,2,FALSE)</f>
        <v>#N/A</v>
      </c>
      <c r="AG31" s="124" t="e">
        <f>VLOOKUP('北段 (人資版)'!AG31,工作表1!$A$3:$B$78,2,FALSE)</f>
        <v>#N/A</v>
      </c>
      <c r="AH31" s="124" t="e">
        <f>VLOOKUP('北段 (人資版)'!AH31,工作表1!$A$3:$B$78,2,FALSE)</f>
        <v>#N/A</v>
      </c>
    </row>
    <row r="32" spans="1:34" ht="39.75" customHeight="1" x14ac:dyDescent="0.25">
      <c r="A32" s="47"/>
      <c r="B32" s="72" t="str">
        <f>北段!B21</f>
        <v>T02758</v>
      </c>
      <c r="C32" s="38" t="str">
        <f>VLOOKUP(B32,北段!B:C,2,FALSE)</f>
        <v>王映心</v>
      </c>
      <c r="D32" s="124">
        <f>VLOOKUP('北段 (人資版)'!D32,工作表1!$A$3:$B$78,2,FALSE)</f>
        <v>66</v>
      </c>
      <c r="E32" s="124" t="e">
        <f>VLOOKUP('北段 (人資版)'!E32,工作表1!$A$3:$B$78,2,FALSE)</f>
        <v>#N/A</v>
      </c>
      <c r="F32" s="124" t="e">
        <f>VLOOKUP('北段 (人資版)'!F32,工作表1!$A$3:$B$78,2,FALSE)</f>
        <v>#N/A</v>
      </c>
      <c r="G32" s="124" t="e">
        <f>VLOOKUP('北段 (人資版)'!G32,工作表1!$A$3:$B$78,2,FALSE)</f>
        <v>#N/A</v>
      </c>
      <c r="H32" s="124" t="e">
        <f>VLOOKUP('北段 (人資版)'!H32,工作表1!$A$3:$B$78,2,FALSE)</f>
        <v>#N/A</v>
      </c>
      <c r="I32" s="124" t="e">
        <f>VLOOKUP('北段 (人資版)'!I32,工作表1!$A$3:$B$78,2,FALSE)</f>
        <v>#N/A</v>
      </c>
      <c r="J32" s="124" t="e">
        <f>VLOOKUP('北段 (人資版)'!J32,工作表1!$A$3:$B$78,2,FALSE)</f>
        <v>#N/A</v>
      </c>
      <c r="K32" s="124" t="e">
        <f>VLOOKUP('北段 (人資版)'!K32,工作表1!$A$3:$B$78,2,FALSE)</f>
        <v>#N/A</v>
      </c>
      <c r="L32" s="124">
        <f>VLOOKUP('北段 (人資版)'!L32,工作表1!$A$3:$B$78,2,FALSE)</f>
        <v>92</v>
      </c>
      <c r="M32" s="124">
        <f>VLOOKUP('北段 (人資版)'!M32,工作表1!$A$3:$B$78,2,FALSE)</f>
        <v>92</v>
      </c>
      <c r="N32" s="124" t="e">
        <f>VLOOKUP('北段 (人資版)'!N32,工作表1!$A$3:$B$78,2,FALSE)</f>
        <v>#N/A</v>
      </c>
      <c r="O32" s="124" t="e">
        <f>VLOOKUP('北段 (人資版)'!O32,工作表1!$A$3:$B$78,2,FALSE)</f>
        <v>#N/A</v>
      </c>
      <c r="P32" s="124" t="e">
        <f>VLOOKUP('北段 (人資版)'!P32,工作表1!$A$3:$B$78,2,FALSE)</f>
        <v>#N/A</v>
      </c>
      <c r="Q32" s="124">
        <f>VLOOKUP('北段 (人資版)'!Q32,工作表1!$A$3:$B$78,2,FALSE)</f>
        <v>91</v>
      </c>
      <c r="R32" s="124">
        <f>VLOOKUP('北段 (人資版)'!R32,工作表1!$A$3:$B$78,2,FALSE)</f>
        <v>92</v>
      </c>
      <c r="S32" s="124" t="e">
        <f>VLOOKUP('北段 (人資版)'!S32,工作表1!$A$3:$B$78,2,FALSE)</f>
        <v>#N/A</v>
      </c>
      <c r="T32" s="124" t="e">
        <f>VLOOKUP('北段 (人資版)'!T32,工作表1!$A$3:$B$78,2,FALSE)</f>
        <v>#N/A</v>
      </c>
      <c r="U32" s="124" t="e">
        <f>VLOOKUP('北段 (人資版)'!U32,工作表1!$A$3:$B$78,2,FALSE)</f>
        <v>#N/A</v>
      </c>
      <c r="V32" s="124" t="e">
        <f>VLOOKUP('北段 (人資版)'!V32,工作表1!$A$3:$B$78,2,FALSE)</f>
        <v>#N/A</v>
      </c>
      <c r="W32" s="124" t="e">
        <f>VLOOKUP('北段 (人資版)'!W32,工作表1!$A$3:$B$78,2,FALSE)</f>
        <v>#N/A</v>
      </c>
      <c r="X32" s="124" t="e">
        <f>VLOOKUP('北段 (人資版)'!X32,工作表1!$A$3:$B$78,2,FALSE)</f>
        <v>#N/A</v>
      </c>
      <c r="Y32" s="124" t="e">
        <f>VLOOKUP('北段 (人資版)'!Y32,工作表1!$A$3:$B$78,2,FALSE)</f>
        <v>#N/A</v>
      </c>
      <c r="Z32" s="124" t="e">
        <f>VLOOKUP('北段 (人資版)'!Z32,工作表1!$A$3:$B$78,2,FALSE)</f>
        <v>#N/A</v>
      </c>
      <c r="AA32" s="124" t="e">
        <f>VLOOKUP('北段 (人資版)'!AA32,工作表1!$A$3:$B$78,2,FALSE)</f>
        <v>#N/A</v>
      </c>
      <c r="AB32" s="124" t="e">
        <f>VLOOKUP('北段 (人資版)'!AB32,工作表1!$A$3:$B$78,2,FALSE)</f>
        <v>#N/A</v>
      </c>
      <c r="AC32" s="124" t="e">
        <f>VLOOKUP('北段 (人資版)'!AC32,工作表1!$A$3:$B$78,2,FALSE)</f>
        <v>#N/A</v>
      </c>
      <c r="AD32" s="124" t="e">
        <f>VLOOKUP('北段 (人資版)'!AD32,工作表1!$A$3:$B$78,2,FALSE)</f>
        <v>#N/A</v>
      </c>
      <c r="AE32" s="124" t="e">
        <f>VLOOKUP('北段 (人資版)'!AE32,工作表1!$A$3:$B$78,2,FALSE)</f>
        <v>#N/A</v>
      </c>
      <c r="AF32" s="124" t="e">
        <f>VLOOKUP('北段 (人資版)'!AF32,工作表1!$A$3:$B$78,2,FALSE)</f>
        <v>#N/A</v>
      </c>
      <c r="AG32" s="124" t="e">
        <f>VLOOKUP('北段 (人資版)'!AG32,工作表1!$A$3:$B$78,2,FALSE)</f>
        <v>#N/A</v>
      </c>
      <c r="AH32" s="124" t="e">
        <f>VLOOKUP('北段 (人資版)'!AH32,工作表1!$A$3:$B$78,2,FALSE)</f>
        <v>#N/A</v>
      </c>
    </row>
    <row r="33" spans="1:34" ht="39.75" customHeight="1" x14ac:dyDescent="0.25">
      <c r="A33" s="47"/>
      <c r="B33" s="72" t="str">
        <f>北段!B22</f>
        <v>T02762</v>
      </c>
      <c r="C33" s="38" t="str">
        <f>VLOOKUP(B33,北段!B:C,2,FALSE)</f>
        <v>周怡萍</v>
      </c>
      <c r="D33" s="124">
        <f>VLOOKUP('北段 (人資版)'!D33,工作表1!$A$3:$B$78,2,FALSE)</f>
        <v>66</v>
      </c>
      <c r="E33" s="124" t="e">
        <f>VLOOKUP('北段 (人資版)'!E33,工作表1!$A$3:$B$78,2,FALSE)</f>
        <v>#N/A</v>
      </c>
      <c r="F33" s="124" t="e">
        <f>VLOOKUP('北段 (人資版)'!F33,工作表1!$A$3:$B$78,2,FALSE)</f>
        <v>#N/A</v>
      </c>
      <c r="G33" s="124" t="e">
        <f>VLOOKUP('北段 (人資版)'!G33,工作表1!$A$3:$B$78,2,FALSE)</f>
        <v>#N/A</v>
      </c>
      <c r="H33" s="124" t="e">
        <f>VLOOKUP('北段 (人資版)'!H33,工作表1!$A$3:$B$78,2,FALSE)</f>
        <v>#N/A</v>
      </c>
      <c r="I33" s="124" t="e">
        <f>VLOOKUP('北段 (人資版)'!I33,工作表1!$A$3:$B$78,2,FALSE)</f>
        <v>#N/A</v>
      </c>
      <c r="J33" s="124" t="e">
        <f>VLOOKUP('北段 (人資版)'!J33,工作表1!$A$3:$B$78,2,FALSE)</f>
        <v>#N/A</v>
      </c>
      <c r="K33" s="124">
        <f>VLOOKUP('北段 (人資版)'!K33,工作表1!$A$3:$B$78,2,FALSE)</f>
        <v>91</v>
      </c>
      <c r="L33" s="124">
        <f>VLOOKUP('北段 (人資版)'!L33,工作表1!$A$3:$B$78,2,FALSE)</f>
        <v>91</v>
      </c>
      <c r="M33" s="124" t="e">
        <f>VLOOKUP('北段 (人資版)'!M33,工作表1!$A$3:$B$78,2,FALSE)</f>
        <v>#N/A</v>
      </c>
      <c r="N33" s="124" t="e">
        <f>VLOOKUP('北段 (人資版)'!N33,工作表1!$A$3:$B$78,2,FALSE)</f>
        <v>#N/A</v>
      </c>
      <c r="O33" s="124" t="e">
        <f>VLOOKUP('北段 (人資版)'!O33,工作表1!$A$3:$B$78,2,FALSE)</f>
        <v>#N/A</v>
      </c>
      <c r="P33" s="124" t="e">
        <f>VLOOKUP('北段 (人資版)'!P33,工作表1!$A$3:$B$78,2,FALSE)</f>
        <v>#N/A</v>
      </c>
      <c r="Q33" s="124" t="e">
        <f>VLOOKUP('北段 (人資版)'!Q33,工作表1!$A$3:$B$78,2,FALSE)</f>
        <v>#N/A</v>
      </c>
      <c r="R33" s="124" t="e">
        <f>VLOOKUP('北段 (人資版)'!R33,工作表1!$A$3:$B$78,2,FALSE)</f>
        <v>#N/A</v>
      </c>
      <c r="S33" s="124" t="e">
        <f>VLOOKUP('北段 (人資版)'!S33,工作表1!$A$3:$B$78,2,FALSE)</f>
        <v>#N/A</v>
      </c>
      <c r="T33" s="124" t="e">
        <f>VLOOKUP('北段 (人資版)'!T33,工作表1!$A$3:$B$78,2,FALSE)</f>
        <v>#N/A</v>
      </c>
      <c r="U33" s="124" t="e">
        <f>VLOOKUP('北段 (人資版)'!U33,工作表1!$A$3:$B$78,2,FALSE)</f>
        <v>#N/A</v>
      </c>
      <c r="V33" s="124">
        <f>VLOOKUP('北段 (人資版)'!V33,工作表1!$A$3:$B$78,2,FALSE)</f>
        <v>90</v>
      </c>
      <c r="W33" s="124">
        <f>VLOOKUP('北段 (人資版)'!W33,工作表1!$A$3:$B$78,2,FALSE)</f>
        <v>91</v>
      </c>
      <c r="X33" s="124">
        <f>VLOOKUP('北段 (人資版)'!X33,工作表1!$A$3:$B$78,2,FALSE)</f>
        <v>92</v>
      </c>
      <c r="Y33" s="124" t="e">
        <f>VLOOKUP('北段 (人資版)'!Y33,工作表1!$A$3:$B$78,2,FALSE)</f>
        <v>#N/A</v>
      </c>
      <c r="Z33" s="124" t="e">
        <f>VLOOKUP('北段 (人資版)'!Z33,工作表1!$A$3:$B$78,2,FALSE)</f>
        <v>#N/A</v>
      </c>
      <c r="AA33" s="124" t="e">
        <f>VLOOKUP('北段 (人資版)'!AA33,工作表1!$A$3:$B$78,2,FALSE)</f>
        <v>#N/A</v>
      </c>
      <c r="AB33" s="124" t="e">
        <f>VLOOKUP('北段 (人資版)'!AB33,工作表1!$A$3:$B$78,2,FALSE)</f>
        <v>#N/A</v>
      </c>
      <c r="AC33" s="124" t="e">
        <f>VLOOKUP('北段 (人資版)'!AC33,工作表1!$A$3:$B$78,2,FALSE)</f>
        <v>#N/A</v>
      </c>
      <c r="AD33" s="124" t="e">
        <f>VLOOKUP('北段 (人資版)'!AD33,工作表1!$A$3:$B$78,2,FALSE)</f>
        <v>#N/A</v>
      </c>
      <c r="AE33" s="124" t="e">
        <f>VLOOKUP('北段 (人資版)'!AE33,工作表1!$A$3:$B$78,2,FALSE)</f>
        <v>#N/A</v>
      </c>
      <c r="AF33" s="124" t="e">
        <f>VLOOKUP('北段 (人資版)'!AF33,工作表1!$A$3:$B$78,2,FALSE)</f>
        <v>#N/A</v>
      </c>
      <c r="AG33" s="124" t="e">
        <f>VLOOKUP('北段 (人資版)'!AG33,工作表1!$A$3:$B$78,2,FALSE)</f>
        <v>#N/A</v>
      </c>
      <c r="AH33" s="124" t="e">
        <f>VLOOKUP('北段 (人資版)'!AH33,工作表1!$A$3:$B$78,2,FALSE)</f>
        <v>#N/A</v>
      </c>
    </row>
    <row r="34" spans="1:34" ht="39.75" customHeight="1" x14ac:dyDescent="0.25">
      <c r="A34" s="47"/>
      <c r="B34" s="72" t="str">
        <f>北段!B23</f>
        <v>T02763</v>
      </c>
      <c r="C34" s="38" t="str">
        <f>VLOOKUP(B34,北段!B:C,2,FALSE)</f>
        <v>陳佑融</v>
      </c>
      <c r="D34" s="124">
        <f>VLOOKUP('北段 (人資版)'!D34,工作表1!$A$3:$B$78,2,FALSE)</f>
        <v>92</v>
      </c>
      <c r="E34" s="124">
        <f>VLOOKUP('北段 (人資版)'!E34,工作表1!$A$3:$B$78,2,FALSE)</f>
        <v>92</v>
      </c>
      <c r="F34" s="124">
        <f>VLOOKUP('北段 (人資版)'!F34,工作表1!$A$3:$B$78,2,FALSE)</f>
        <v>91</v>
      </c>
      <c r="G34" s="124" t="e">
        <f>VLOOKUP('北段 (人資版)'!G34,工作表1!$A$3:$B$78,2,FALSE)</f>
        <v>#N/A</v>
      </c>
      <c r="H34" s="124" t="e">
        <f>VLOOKUP('北段 (人資版)'!H34,工作表1!$A$3:$B$78,2,FALSE)</f>
        <v>#N/A</v>
      </c>
      <c r="I34" s="124" t="e">
        <f>VLOOKUP('北段 (人資版)'!I34,工作表1!$A$3:$B$78,2,FALSE)</f>
        <v>#N/A</v>
      </c>
      <c r="J34" s="124" t="e">
        <f>VLOOKUP('北段 (人資版)'!J34,工作表1!$A$3:$B$78,2,FALSE)</f>
        <v>#N/A</v>
      </c>
      <c r="K34" s="124" t="e">
        <f>VLOOKUP('北段 (人資版)'!K34,工作表1!$A$3:$B$78,2,FALSE)</f>
        <v>#N/A</v>
      </c>
      <c r="L34" s="124" t="e">
        <f>VLOOKUP('北段 (人資版)'!L34,工作表1!$A$3:$B$78,2,FALSE)</f>
        <v>#N/A</v>
      </c>
      <c r="M34" s="124" t="e">
        <f>VLOOKUP('北段 (人資版)'!M34,工作表1!$A$3:$B$78,2,FALSE)</f>
        <v>#N/A</v>
      </c>
      <c r="N34" s="124" t="e">
        <f>VLOOKUP('北段 (人資版)'!N34,工作表1!$A$3:$B$78,2,FALSE)</f>
        <v>#N/A</v>
      </c>
      <c r="O34" s="124" t="e">
        <f>VLOOKUP('北段 (人資版)'!O34,工作表1!$A$3:$B$78,2,FALSE)</f>
        <v>#N/A</v>
      </c>
      <c r="P34" s="124" t="e">
        <f>VLOOKUP('北段 (人資版)'!P34,工作表1!$A$3:$B$78,2,FALSE)</f>
        <v>#N/A</v>
      </c>
      <c r="Q34" s="124">
        <f>VLOOKUP('北段 (人資版)'!Q34,工作表1!$A$3:$B$78,2,FALSE)</f>
        <v>91</v>
      </c>
      <c r="R34" s="124">
        <f>VLOOKUP('北段 (人資版)'!R34,工作表1!$A$3:$B$78,2,FALSE)</f>
        <v>92</v>
      </c>
      <c r="S34" s="124" t="e">
        <f>VLOOKUP('北段 (人資版)'!S34,工作表1!$A$3:$B$78,2,FALSE)</f>
        <v>#N/A</v>
      </c>
      <c r="T34" s="124" t="e">
        <f>VLOOKUP('北段 (人資版)'!T34,工作表1!$A$3:$B$78,2,FALSE)</f>
        <v>#N/A</v>
      </c>
      <c r="U34" s="124" t="e">
        <f>VLOOKUP('北段 (人資版)'!U34,工作表1!$A$3:$B$78,2,FALSE)</f>
        <v>#N/A</v>
      </c>
      <c r="V34" s="124" t="e">
        <f>VLOOKUP('北段 (人資版)'!V34,工作表1!$A$3:$B$78,2,FALSE)</f>
        <v>#N/A</v>
      </c>
      <c r="W34" s="124" t="e">
        <f>VLOOKUP('北段 (人資版)'!W34,工作表1!$A$3:$B$78,2,FALSE)</f>
        <v>#N/A</v>
      </c>
      <c r="X34" s="124" t="e">
        <f>VLOOKUP('北段 (人資版)'!X34,工作表1!$A$3:$B$78,2,FALSE)</f>
        <v>#N/A</v>
      </c>
      <c r="Y34" s="124" t="e">
        <f>VLOOKUP('北段 (人資版)'!Y34,工作表1!$A$3:$B$78,2,FALSE)</f>
        <v>#N/A</v>
      </c>
      <c r="Z34" s="124" t="e">
        <f>VLOOKUP('北段 (人資版)'!Z34,工作表1!$A$3:$B$78,2,FALSE)</f>
        <v>#N/A</v>
      </c>
      <c r="AA34" s="124" t="e">
        <f>VLOOKUP('北段 (人資版)'!AA34,工作表1!$A$3:$B$78,2,FALSE)</f>
        <v>#N/A</v>
      </c>
      <c r="AB34" s="124" t="e">
        <f>VLOOKUP('北段 (人資版)'!AB34,工作表1!$A$3:$B$78,2,FALSE)</f>
        <v>#N/A</v>
      </c>
      <c r="AC34" s="124" t="e">
        <f>VLOOKUP('北段 (人資版)'!AC34,工作表1!$A$3:$B$78,2,FALSE)</f>
        <v>#N/A</v>
      </c>
      <c r="AD34" s="124" t="e">
        <f>VLOOKUP('北段 (人資版)'!AD34,工作表1!$A$3:$B$78,2,FALSE)</f>
        <v>#N/A</v>
      </c>
      <c r="AE34" s="124" t="e">
        <f>VLOOKUP('北段 (人資版)'!AE34,工作表1!$A$3:$B$78,2,FALSE)</f>
        <v>#N/A</v>
      </c>
      <c r="AF34" s="124" t="e">
        <f>VLOOKUP('北段 (人資版)'!AF34,工作表1!$A$3:$B$78,2,FALSE)</f>
        <v>#N/A</v>
      </c>
      <c r="AG34" s="124" t="e">
        <f>VLOOKUP('北段 (人資版)'!AG34,工作表1!$A$3:$B$78,2,FALSE)</f>
        <v>#N/A</v>
      </c>
      <c r="AH34" s="124" t="e">
        <f>VLOOKUP('北段 (人資版)'!AH34,工作表1!$A$3:$B$78,2,FALSE)</f>
        <v>#N/A</v>
      </c>
    </row>
    <row r="35" spans="1:34" ht="39.75" customHeight="1" x14ac:dyDescent="0.25">
      <c r="A35" s="47"/>
      <c r="B35" s="72" t="str">
        <f>北段!B24</f>
        <v>T02769</v>
      </c>
      <c r="C35" s="38" t="str">
        <f>VLOOKUP(B35,北段!B:C,2,FALSE)</f>
        <v>吳東翰</v>
      </c>
      <c r="D35" s="124">
        <f>VLOOKUP('北段 (人資版)'!D35,工作表1!$A$3:$B$78,2,FALSE)</f>
        <v>92</v>
      </c>
      <c r="E35" s="124" t="e">
        <f>VLOOKUP('北段 (人資版)'!E35,工作表1!$A$3:$B$78,2,FALSE)</f>
        <v>#N/A</v>
      </c>
      <c r="F35" s="124" t="e">
        <f>VLOOKUP('北段 (人資版)'!F35,工作表1!$A$3:$B$78,2,FALSE)</f>
        <v>#N/A</v>
      </c>
      <c r="G35" s="124" t="e">
        <f>VLOOKUP('北段 (人資版)'!G35,工作表1!$A$3:$B$78,2,FALSE)</f>
        <v>#N/A</v>
      </c>
      <c r="H35" s="124" t="e">
        <f>VLOOKUP('北段 (人資版)'!H35,工作表1!$A$3:$B$78,2,FALSE)</f>
        <v>#N/A</v>
      </c>
      <c r="I35" s="124" t="e">
        <f>VLOOKUP('北段 (人資版)'!I35,工作表1!$A$3:$B$78,2,FALSE)</f>
        <v>#N/A</v>
      </c>
      <c r="J35" s="124" t="e">
        <f>VLOOKUP('北段 (人資版)'!J35,工作表1!$A$3:$B$78,2,FALSE)</f>
        <v>#N/A</v>
      </c>
      <c r="K35" s="124" t="e">
        <f>VLOOKUP('北段 (人資版)'!K35,工作表1!$A$3:$B$78,2,FALSE)</f>
        <v>#N/A</v>
      </c>
      <c r="L35" s="124">
        <f>VLOOKUP('北段 (人資版)'!L35,工作表1!$A$3:$B$78,2,FALSE)</f>
        <v>91</v>
      </c>
      <c r="M35" s="124">
        <f>VLOOKUP('北段 (人資版)'!M35,工作表1!$A$3:$B$78,2,FALSE)</f>
        <v>92</v>
      </c>
      <c r="N35" s="124">
        <f>VLOOKUP('北段 (人資版)'!N35,工作表1!$A$3:$B$78,2,FALSE)</f>
        <v>92</v>
      </c>
      <c r="O35" s="124" t="e">
        <f>VLOOKUP('北段 (人資版)'!O35,工作表1!$A$3:$B$78,2,FALSE)</f>
        <v>#N/A</v>
      </c>
      <c r="P35" s="124" t="e">
        <f>VLOOKUP('北段 (人資版)'!P35,工作表1!$A$3:$B$78,2,FALSE)</f>
        <v>#N/A</v>
      </c>
      <c r="Q35" s="124" t="e">
        <f>VLOOKUP('北段 (人資版)'!Q35,工作表1!$A$3:$B$78,2,FALSE)</f>
        <v>#N/A</v>
      </c>
      <c r="R35" s="124" t="e">
        <f>VLOOKUP('北段 (人資版)'!R35,工作表1!$A$3:$B$78,2,FALSE)</f>
        <v>#N/A</v>
      </c>
      <c r="S35" s="124" t="e">
        <f>VLOOKUP('北段 (人資版)'!S35,工作表1!$A$3:$B$78,2,FALSE)</f>
        <v>#N/A</v>
      </c>
      <c r="T35" s="124" t="e">
        <f>VLOOKUP('北段 (人資版)'!T35,工作表1!$A$3:$B$78,2,FALSE)</f>
        <v>#N/A</v>
      </c>
      <c r="U35" s="124" t="e">
        <f>VLOOKUP('北段 (人資版)'!U35,工作表1!$A$3:$B$78,2,FALSE)</f>
        <v>#N/A</v>
      </c>
      <c r="V35" s="124" t="e">
        <f>VLOOKUP('北段 (人資版)'!V35,工作表1!$A$3:$B$78,2,FALSE)</f>
        <v>#N/A</v>
      </c>
      <c r="W35" s="124" t="e">
        <f>VLOOKUP('北段 (人資版)'!W35,工作表1!$A$3:$B$78,2,FALSE)</f>
        <v>#N/A</v>
      </c>
      <c r="X35" s="124" t="e">
        <f>VLOOKUP('北段 (人資版)'!X35,工作表1!$A$3:$B$78,2,FALSE)</f>
        <v>#N/A</v>
      </c>
      <c r="Y35" s="124" t="e">
        <f>VLOOKUP('北段 (人資版)'!Y35,工作表1!$A$3:$B$78,2,FALSE)</f>
        <v>#N/A</v>
      </c>
      <c r="Z35" s="124" t="e">
        <f>VLOOKUP('北段 (人資版)'!Z35,工作表1!$A$3:$B$78,2,FALSE)</f>
        <v>#N/A</v>
      </c>
      <c r="AA35" s="124" t="e">
        <f>VLOOKUP('北段 (人資版)'!AA35,工作表1!$A$3:$B$78,2,FALSE)</f>
        <v>#N/A</v>
      </c>
      <c r="AB35" s="124" t="e">
        <f>VLOOKUP('北段 (人資版)'!AB35,工作表1!$A$3:$B$78,2,FALSE)</f>
        <v>#N/A</v>
      </c>
      <c r="AC35" s="124" t="e">
        <f>VLOOKUP('北段 (人資版)'!AC35,工作表1!$A$3:$B$78,2,FALSE)</f>
        <v>#N/A</v>
      </c>
      <c r="AD35" s="124" t="e">
        <f>VLOOKUP('北段 (人資版)'!AD35,工作表1!$A$3:$B$78,2,FALSE)</f>
        <v>#N/A</v>
      </c>
      <c r="AE35" s="124" t="e">
        <f>VLOOKUP('北段 (人資版)'!AE35,工作表1!$A$3:$B$78,2,FALSE)</f>
        <v>#N/A</v>
      </c>
      <c r="AF35" s="124">
        <f>VLOOKUP('北段 (人資版)'!AF35,工作表1!$A$3:$B$78,2,FALSE)</f>
        <v>91</v>
      </c>
      <c r="AG35" s="124" t="e">
        <f>VLOOKUP('北段 (人資版)'!AG35,工作表1!$A$3:$B$78,2,FALSE)</f>
        <v>#N/A</v>
      </c>
      <c r="AH35" s="124" t="e">
        <f>VLOOKUP('北段 (人資版)'!AH35,工作表1!$A$3:$B$78,2,FALSE)</f>
        <v>#N/A</v>
      </c>
    </row>
    <row r="36" spans="1:34" ht="39.75" customHeight="1" x14ac:dyDescent="0.25">
      <c r="A36" s="47"/>
      <c r="B36" s="72" t="e">
        <f>北段!#REF!</f>
        <v>#REF!</v>
      </c>
      <c r="C36" s="38" t="e">
        <f>VLOOKUP(B36,北段!B:C,2,FALSE)</f>
        <v>#REF!</v>
      </c>
      <c r="D36" s="124" t="e">
        <f>VLOOKUP('北段 (人資版)'!D36,工作表1!$A$3:$B$78,2,FALSE)</f>
        <v>#REF!</v>
      </c>
      <c r="E36" s="124" t="e">
        <f>VLOOKUP('北段 (人資版)'!E36,工作表1!$A$3:$B$78,2,FALSE)</f>
        <v>#REF!</v>
      </c>
      <c r="F36" s="124" t="e">
        <f>VLOOKUP('北段 (人資版)'!F36,工作表1!$A$3:$B$78,2,FALSE)</f>
        <v>#REF!</v>
      </c>
      <c r="G36" s="124" t="e">
        <f>VLOOKUP('北段 (人資版)'!G36,工作表1!$A$3:$B$78,2,FALSE)</f>
        <v>#REF!</v>
      </c>
      <c r="H36" s="124" t="e">
        <f>VLOOKUP('北段 (人資版)'!H36,工作表1!$A$3:$B$78,2,FALSE)</f>
        <v>#REF!</v>
      </c>
      <c r="I36" s="124" t="e">
        <f>VLOOKUP('北段 (人資版)'!I36,工作表1!$A$3:$B$78,2,FALSE)</f>
        <v>#REF!</v>
      </c>
      <c r="J36" s="124" t="e">
        <f>VLOOKUP('北段 (人資版)'!J36,工作表1!$A$3:$B$78,2,FALSE)</f>
        <v>#REF!</v>
      </c>
      <c r="K36" s="124" t="e">
        <f>VLOOKUP('北段 (人資版)'!K36,工作表1!$A$3:$B$78,2,FALSE)</f>
        <v>#REF!</v>
      </c>
      <c r="L36" s="124" t="e">
        <f>VLOOKUP('北段 (人資版)'!L36,工作表1!$A$3:$B$78,2,FALSE)</f>
        <v>#REF!</v>
      </c>
      <c r="M36" s="124" t="e">
        <f>VLOOKUP('北段 (人資版)'!M36,工作表1!$A$3:$B$78,2,FALSE)</f>
        <v>#REF!</v>
      </c>
      <c r="N36" s="124" t="e">
        <f>VLOOKUP('北段 (人資版)'!N36,工作表1!$A$3:$B$78,2,FALSE)</f>
        <v>#REF!</v>
      </c>
      <c r="O36" s="124" t="e">
        <f>VLOOKUP('北段 (人資版)'!O36,工作表1!$A$3:$B$78,2,FALSE)</f>
        <v>#REF!</v>
      </c>
      <c r="P36" s="124" t="e">
        <f>VLOOKUP('北段 (人資版)'!P36,工作表1!$A$3:$B$78,2,FALSE)</f>
        <v>#REF!</v>
      </c>
      <c r="Q36" s="124" t="e">
        <f>VLOOKUP('北段 (人資版)'!Q36,工作表1!$A$3:$B$78,2,FALSE)</f>
        <v>#REF!</v>
      </c>
      <c r="R36" s="124" t="e">
        <f>VLOOKUP('北段 (人資版)'!R36,工作表1!$A$3:$B$78,2,FALSE)</f>
        <v>#REF!</v>
      </c>
      <c r="S36" s="124" t="e">
        <f>VLOOKUP('北段 (人資版)'!S36,工作表1!$A$3:$B$78,2,FALSE)</f>
        <v>#REF!</v>
      </c>
      <c r="T36" s="124" t="e">
        <f>VLOOKUP('北段 (人資版)'!T36,工作表1!$A$3:$B$78,2,FALSE)</f>
        <v>#REF!</v>
      </c>
      <c r="U36" s="124" t="e">
        <f>VLOOKUP('北段 (人資版)'!U36,工作表1!$A$3:$B$78,2,FALSE)</f>
        <v>#REF!</v>
      </c>
      <c r="V36" s="124" t="e">
        <f>VLOOKUP('北段 (人資版)'!V36,工作表1!$A$3:$B$78,2,FALSE)</f>
        <v>#REF!</v>
      </c>
      <c r="W36" s="124" t="e">
        <f>VLOOKUP('北段 (人資版)'!W36,工作表1!$A$3:$B$78,2,FALSE)</f>
        <v>#REF!</v>
      </c>
      <c r="X36" s="124" t="e">
        <f>VLOOKUP('北段 (人資版)'!X36,工作表1!$A$3:$B$78,2,FALSE)</f>
        <v>#REF!</v>
      </c>
      <c r="Y36" s="124" t="e">
        <f>VLOOKUP('北段 (人資版)'!Y36,工作表1!$A$3:$B$78,2,FALSE)</f>
        <v>#REF!</v>
      </c>
      <c r="Z36" s="124" t="e">
        <f>VLOOKUP('北段 (人資版)'!Z36,工作表1!$A$3:$B$78,2,FALSE)</f>
        <v>#REF!</v>
      </c>
      <c r="AA36" s="124" t="e">
        <f>VLOOKUP('北段 (人資版)'!AA36,工作表1!$A$3:$B$78,2,FALSE)</f>
        <v>#REF!</v>
      </c>
      <c r="AB36" s="124" t="e">
        <f>VLOOKUP('北段 (人資版)'!AB36,工作表1!$A$3:$B$78,2,FALSE)</f>
        <v>#REF!</v>
      </c>
      <c r="AC36" s="124" t="e">
        <f>VLOOKUP('北段 (人資版)'!AC36,工作表1!$A$3:$B$78,2,FALSE)</f>
        <v>#REF!</v>
      </c>
      <c r="AD36" s="124" t="e">
        <f>VLOOKUP('北段 (人資版)'!AD36,工作表1!$A$3:$B$78,2,FALSE)</f>
        <v>#REF!</v>
      </c>
      <c r="AE36" s="124" t="e">
        <f>VLOOKUP('北段 (人資版)'!AE36,工作表1!$A$3:$B$78,2,FALSE)</f>
        <v>#REF!</v>
      </c>
      <c r="AF36" s="124" t="e">
        <f>VLOOKUP('北段 (人資版)'!AF36,工作表1!$A$3:$B$78,2,FALSE)</f>
        <v>#REF!</v>
      </c>
      <c r="AG36" s="124" t="e">
        <f>VLOOKUP('北段 (人資版)'!AG36,工作表1!$A$3:$B$78,2,FALSE)</f>
        <v>#REF!</v>
      </c>
      <c r="AH36" s="124" t="e">
        <f>VLOOKUP('北段 (人資版)'!AH36,工作表1!$A$3:$B$78,2,FALSE)</f>
        <v>#REF!</v>
      </c>
    </row>
    <row r="37" spans="1:34" ht="39.75" customHeight="1" x14ac:dyDescent="0.25">
      <c r="A37" s="47"/>
      <c r="B37" s="72" t="e">
        <f>北段!#REF!</f>
        <v>#REF!</v>
      </c>
      <c r="C37" s="38" t="e">
        <f>VLOOKUP(B37,北段!B:C,2,FALSE)</f>
        <v>#REF!</v>
      </c>
      <c r="D37" s="124" t="e">
        <f>VLOOKUP('北段 (人資版)'!D37,工作表1!$A$3:$B$78,2,FALSE)</f>
        <v>#REF!</v>
      </c>
      <c r="E37" s="124" t="e">
        <f>VLOOKUP('北段 (人資版)'!E37,工作表1!$A$3:$B$78,2,FALSE)</f>
        <v>#REF!</v>
      </c>
      <c r="F37" s="124" t="e">
        <f>VLOOKUP('北段 (人資版)'!F37,工作表1!$A$3:$B$78,2,FALSE)</f>
        <v>#REF!</v>
      </c>
      <c r="G37" s="124" t="e">
        <f>VLOOKUP('北段 (人資版)'!G37,工作表1!$A$3:$B$78,2,FALSE)</f>
        <v>#REF!</v>
      </c>
      <c r="H37" s="124" t="e">
        <f>VLOOKUP('北段 (人資版)'!H37,工作表1!$A$3:$B$78,2,FALSE)</f>
        <v>#REF!</v>
      </c>
      <c r="I37" s="124" t="e">
        <f>VLOOKUP('北段 (人資版)'!I37,工作表1!$A$3:$B$78,2,FALSE)</f>
        <v>#REF!</v>
      </c>
      <c r="J37" s="124" t="e">
        <f>VLOOKUP('北段 (人資版)'!J37,工作表1!$A$3:$B$78,2,FALSE)</f>
        <v>#REF!</v>
      </c>
      <c r="K37" s="124" t="e">
        <f>VLOOKUP('北段 (人資版)'!K37,工作表1!$A$3:$B$78,2,FALSE)</f>
        <v>#REF!</v>
      </c>
      <c r="L37" s="124" t="e">
        <f>VLOOKUP('北段 (人資版)'!L37,工作表1!$A$3:$B$78,2,FALSE)</f>
        <v>#REF!</v>
      </c>
      <c r="M37" s="124" t="e">
        <f>VLOOKUP('北段 (人資版)'!M37,工作表1!$A$3:$B$78,2,FALSE)</f>
        <v>#REF!</v>
      </c>
      <c r="N37" s="124" t="e">
        <f>VLOOKUP('北段 (人資版)'!N37,工作表1!$A$3:$B$78,2,FALSE)</f>
        <v>#REF!</v>
      </c>
      <c r="O37" s="124" t="e">
        <f>VLOOKUP('北段 (人資版)'!O37,工作表1!$A$3:$B$78,2,FALSE)</f>
        <v>#REF!</v>
      </c>
      <c r="P37" s="124" t="e">
        <f>VLOOKUP('北段 (人資版)'!P37,工作表1!$A$3:$B$78,2,FALSE)</f>
        <v>#REF!</v>
      </c>
      <c r="Q37" s="124" t="e">
        <f>VLOOKUP('北段 (人資版)'!Q37,工作表1!$A$3:$B$78,2,FALSE)</f>
        <v>#REF!</v>
      </c>
      <c r="R37" s="124" t="e">
        <f>VLOOKUP('北段 (人資版)'!R37,工作表1!$A$3:$B$78,2,FALSE)</f>
        <v>#REF!</v>
      </c>
      <c r="S37" s="124" t="e">
        <f>VLOOKUP('北段 (人資版)'!S37,工作表1!$A$3:$B$78,2,FALSE)</f>
        <v>#REF!</v>
      </c>
      <c r="T37" s="124" t="e">
        <f>VLOOKUP('北段 (人資版)'!T37,工作表1!$A$3:$B$78,2,FALSE)</f>
        <v>#REF!</v>
      </c>
      <c r="U37" s="124" t="e">
        <f>VLOOKUP('北段 (人資版)'!U37,工作表1!$A$3:$B$78,2,FALSE)</f>
        <v>#REF!</v>
      </c>
      <c r="V37" s="124" t="e">
        <f>VLOOKUP('北段 (人資版)'!V37,工作表1!$A$3:$B$78,2,FALSE)</f>
        <v>#REF!</v>
      </c>
      <c r="W37" s="124" t="e">
        <f>VLOOKUP('北段 (人資版)'!W37,工作表1!$A$3:$B$78,2,FALSE)</f>
        <v>#REF!</v>
      </c>
      <c r="X37" s="124" t="e">
        <f>VLOOKUP('北段 (人資版)'!X37,工作表1!$A$3:$B$78,2,FALSE)</f>
        <v>#REF!</v>
      </c>
      <c r="Y37" s="124" t="e">
        <f>VLOOKUP('北段 (人資版)'!Y37,工作表1!$A$3:$B$78,2,FALSE)</f>
        <v>#REF!</v>
      </c>
      <c r="Z37" s="124" t="e">
        <f>VLOOKUP('北段 (人資版)'!Z37,工作表1!$A$3:$B$78,2,FALSE)</f>
        <v>#REF!</v>
      </c>
      <c r="AA37" s="124" t="e">
        <f>VLOOKUP('北段 (人資版)'!AA37,工作表1!$A$3:$B$78,2,FALSE)</f>
        <v>#REF!</v>
      </c>
      <c r="AB37" s="124" t="e">
        <f>VLOOKUP('北段 (人資版)'!AB37,工作表1!$A$3:$B$78,2,FALSE)</f>
        <v>#REF!</v>
      </c>
      <c r="AC37" s="124" t="e">
        <f>VLOOKUP('北段 (人資版)'!AC37,工作表1!$A$3:$B$78,2,FALSE)</f>
        <v>#REF!</v>
      </c>
      <c r="AD37" s="124" t="e">
        <f>VLOOKUP('北段 (人資版)'!AD37,工作表1!$A$3:$B$78,2,FALSE)</f>
        <v>#REF!</v>
      </c>
      <c r="AE37" s="124" t="e">
        <f>VLOOKUP('北段 (人資版)'!AE37,工作表1!$A$3:$B$78,2,FALSE)</f>
        <v>#REF!</v>
      </c>
      <c r="AF37" s="124" t="e">
        <f>VLOOKUP('北段 (人資版)'!AF37,工作表1!$A$3:$B$78,2,FALSE)</f>
        <v>#REF!</v>
      </c>
      <c r="AG37" s="124" t="e">
        <f>VLOOKUP('北段 (人資版)'!AG37,工作表1!$A$3:$B$78,2,FALSE)</f>
        <v>#REF!</v>
      </c>
      <c r="AH37" s="124" t="e">
        <f>VLOOKUP('北段 (人資版)'!AH37,工作表1!$A$3:$B$78,2,FALSE)</f>
        <v>#REF!</v>
      </c>
    </row>
    <row r="38" spans="1:34" ht="39.75" customHeight="1" x14ac:dyDescent="0.25">
      <c r="A38" s="47"/>
      <c r="B38" s="72" t="e">
        <f>北段!#REF!</f>
        <v>#REF!</v>
      </c>
      <c r="C38" s="38" t="e">
        <f>VLOOKUP(B38,北段!B:C,2,FALSE)</f>
        <v>#REF!</v>
      </c>
      <c r="D38" s="124" t="e">
        <f>VLOOKUP('北段 (人資版)'!D38,工作表1!$A$3:$B$78,2,FALSE)</f>
        <v>#REF!</v>
      </c>
      <c r="E38" s="124" t="e">
        <f>VLOOKUP('北段 (人資版)'!E38,工作表1!$A$3:$B$78,2,FALSE)</f>
        <v>#REF!</v>
      </c>
      <c r="F38" s="124" t="e">
        <f>VLOOKUP('北段 (人資版)'!F38,工作表1!$A$3:$B$78,2,FALSE)</f>
        <v>#REF!</v>
      </c>
      <c r="G38" s="124" t="e">
        <f>VLOOKUP('北段 (人資版)'!G38,工作表1!$A$3:$B$78,2,FALSE)</f>
        <v>#REF!</v>
      </c>
      <c r="H38" s="124" t="e">
        <f>VLOOKUP('北段 (人資版)'!H38,工作表1!$A$3:$B$78,2,FALSE)</f>
        <v>#REF!</v>
      </c>
      <c r="I38" s="124" t="e">
        <f>VLOOKUP('北段 (人資版)'!I38,工作表1!$A$3:$B$78,2,FALSE)</f>
        <v>#REF!</v>
      </c>
      <c r="J38" s="124" t="e">
        <f>VLOOKUP('北段 (人資版)'!J38,工作表1!$A$3:$B$78,2,FALSE)</f>
        <v>#REF!</v>
      </c>
      <c r="K38" s="124" t="e">
        <f>VLOOKUP('北段 (人資版)'!K38,工作表1!$A$3:$B$78,2,FALSE)</f>
        <v>#REF!</v>
      </c>
      <c r="L38" s="124" t="e">
        <f>VLOOKUP('北段 (人資版)'!L38,工作表1!$A$3:$B$78,2,FALSE)</f>
        <v>#REF!</v>
      </c>
      <c r="M38" s="124" t="e">
        <f>VLOOKUP('北段 (人資版)'!M38,工作表1!$A$3:$B$78,2,FALSE)</f>
        <v>#REF!</v>
      </c>
      <c r="N38" s="124" t="e">
        <f>VLOOKUP('北段 (人資版)'!N38,工作表1!$A$3:$B$78,2,FALSE)</f>
        <v>#REF!</v>
      </c>
      <c r="O38" s="124" t="e">
        <f>VLOOKUP('北段 (人資版)'!O38,工作表1!$A$3:$B$78,2,FALSE)</f>
        <v>#REF!</v>
      </c>
      <c r="P38" s="124" t="e">
        <f>VLOOKUP('北段 (人資版)'!P38,工作表1!$A$3:$B$78,2,FALSE)</f>
        <v>#REF!</v>
      </c>
      <c r="Q38" s="124" t="e">
        <f>VLOOKUP('北段 (人資版)'!Q38,工作表1!$A$3:$B$78,2,FALSE)</f>
        <v>#REF!</v>
      </c>
      <c r="R38" s="124" t="e">
        <f>VLOOKUP('北段 (人資版)'!R38,工作表1!$A$3:$B$78,2,FALSE)</f>
        <v>#REF!</v>
      </c>
      <c r="S38" s="124" t="e">
        <f>VLOOKUP('北段 (人資版)'!S38,工作表1!$A$3:$B$78,2,FALSE)</f>
        <v>#REF!</v>
      </c>
      <c r="T38" s="124" t="e">
        <f>VLOOKUP('北段 (人資版)'!T38,工作表1!$A$3:$B$78,2,FALSE)</f>
        <v>#REF!</v>
      </c>
      <c r="U38" s="124" t="e">
        <f>VLOOKUP('北段 (人資版)'!U38,工作表1!$A$3:$B$78,2,FALSE)</f>
        <v>#REF!</v>
      </c>
      <c r="V38" s="124" t="e">
        <f>VLOOKUP('北段 (人資版)'!V38,工作表1!$A$3:$B$78,2,FALSE)</f>
        <v>#REF!</v>
      </c>
      <c r="W38" s="124" t="e">
        <f>VLOOKUP('北段 (人資版)'!W38,工作表1!$A$3:$B$78,2,FALSE)</f>
        <v>#REF!</v>
      </c>
      <c r="X38" s="124" t="e">
        <f>VLOOKUP('北段 (人資版)'!X38,工作表1!$A$3:$B$78,2,FALSE)</f>
        <v>#REF!</v>
      </c>
      <c r="Y38" s="124" t="e">
        <f>VLOOKUP('北段 (人資版)'!Y38,工作表1!$A$3:$B$78,2,FALSE)</f>
        <v>#REF!</v>
      </c>
      <c r="Z38" s="124" t="e">
        <f>VLOOKUP('北段 (人資版)'!Z38,工作表1!$A$3:$B$78,2,FALSE)</f>
        <v>#REF!</v>
      </c>
      <c r="AA38" s="124" t="e">
        <f>VLOOKUP('北段 (人資版)'!AA38,工作表1!$A$3:$B$78,2,FALSE)</f>
        <v>#REF!</v>
      </c>
      <c r="AB38" s="124" t="e">
        <f>VLOOKUP('北段 (人資版)'!AB38,工作表1!$A$3:$B$78,2,FALSE)</f>
        <v>#REF!</v>
      </c>
      <c r="AC38" s="124" t="e">
        <f>VLOOKUP('北段 (人資版)'!AC38,工作表1!$A$3:$B$78,2,FALSE)</f>
        <v>#REF!</v>
      </c>
      <c r="AD38" s="124" t="e">
        <f>VLOOKUP('北段 (人資版)'!AD38,工作表1!$A$3:$B$78,2,FALSE)</f>
        <v>#REF!</v>
      </c>
      <c r="AE38" s="124" t="e">
        <f>VLOOKUP('北段 (人資版)'!AE38,工作表1!$A$3:$B$78,2,FALSE)</f>
        <v>#REF!</v>
      </c>
      <c r="AF38" s="124" t="e">
        <f>VLOOKUP('北段 (人資版)'!AF38,工作表1!$A$3:$B$78,2,FALSE)</f>
        <v>#REF!</v>
      </c>
      <c r="AG38" s="124" t="e">
        <f>VLOOKUP('北段 (人資版)'!AG38,工作表1!$A$3:$B$78,2,FALSE)</f>
        <v>#REF!</v>
      </c>
      <c r="AH38" s="124" t="e">
        <f>VLOOKUP('北段 (人資版)'!AH38,工作表1!$A$3:$B$78,2,FALSE)</f>
        <v>#REF!</v>
      </c>
    </row>
    <row r="39" spans="1:34" ht="39.6" customHeight="1" thickBot="1" x14ac:dyDescent="0.3">
      <c r="A39" s="48"/>
      <c r="B39" s="72" t="e">
        <f>北段!#REF!</f>
        <v>#REF!</v>
      </c>
      <c r="C39" s="38" t="e">
        <f>VLOOKUP(B39,北段!B:C,2,FALSE)</f>
        <v>#REF!</v>
      </c>
      <c r="D39" s="124" t="e">
        <f>VLOOKUP('北段 (人資版)'!D39,工作表1!$A$3:$B$78,2,FALSE)</f>
        <v>#REF!</v>
      </c>
      <c r="E39" s="124" t="e">
        <f>VLOOKUP('北段 (人資版)'!E39,工作表1!$A$3:$B$78,2,FALSE)</f>
        <v>#REF!</v>
      </c>
      <c r="F39" s="124" t="e">
        <f>VLOOKUP('北段 (人資版)'!F39,工作表1!$A$3:$B$78,2,FALSE)</f>
        <v>#REF!</v>
      </c>
      <c r="G39" s="124" t="e">
        <f>VLOOKUP('北段 (人資版)'!G39,工作表1!$A$3:$B$78,2,FALSE)</f>
        <v>#REF!</v>
      </c>
      <c r="H39" s="124" t="e">
        <f>VLOOKUP('北段 (人資版)'!H39,工作表1!$A$3:$B$78,2,FALSE)</f>
        <v>#REF!</v>
      </c>
      <c r="I39" s="124" t="e">
        <f>VLOOKUP('北段 (人資版)'!I39,工作表1!$A$3:$B$78,2,FALSE)</f>
        <v>#REF!</v>
      </c>
      <c r="J39" s="124" t="e">
        <f>VLOOKUP('北段 (人資版)'!J39,工作表1!$A$3:$B$78,2,FALSE)</f>
        <v>#REF!</v>
      </c>
      <c r="K39" s="124" t="e">
        <f>VLOOKUP('北段 (人資版)'!K39,工作表1!$A$3:$B$78,2,FALSE)</f>
        <v>#REF!</v>
      </c>
      <c r="L39" s="124" t="e">
        <f>VLOOKUP('北段 (人資版)'!L39,工作表1!$A$3:$B$78,2,FALSE)</f>
        <v>#REF!</v>
      </c>
      <c r="M39" s="124" t="e">
        <f>VLOOKUP('北段 (人資版)'!M39,工作表1!$A$3:$B$78,2,FALSE)</f>
        <v>#REF!</v>
      </c>
      <c r="N39" s="124" t="e">
        <f>VLOOKUP('北段 (人資版)'!N39,工作表1!$A$3:$B$78,2,FALSE)</f>
        <v>#REF!</v>
      </c>
      <c r="O39" s="124" t="e">
        <f>VLOOKUP('北段 (人資版)'!O39,工作表1!$A$3:$B$78,2,FALSE)</f>
        <v>#REF!</v>
      </c>
      <c r="P39" s="124" t="e">
        <f>VLOOKUP('北段 (人資版)'!P39,工作表1!$A$3:$B$78,2,FALSE)</f>
        <v>#REF!</v>
      </c>
      <c r="Q39" s="124" t="e">
        <f>VLOOKUP('北段 (人資版)'!Q39,工作表1!$A$3:$B$78,2,FALSE)</f>
        <v>#REF!</v>
      </c>
      <c r="R39" s="124" t="e">
        <f>VLOOKUP('北段 (人資版)'!R39,工作表1!$A$3:$B$78,2,FALSE)</f>
        <v>#REF!</v>
      </c>
      <c r="S39" s="124" t="e">
        <f>VLOOKUP('北段 (人資版)'!S39,工作表1!$A$3:$B$78,2,FALSE)</f>
        <v>#REF!</v>
      </c>
      <c r="T39" s="124" t="e">
        <f>VLOOKUP('北段 (人資版)'!T39,工作表1!$A$3:$B$78,2,FALSE)</f>
        <v>#REF!</v>
      </c>
      <c r="U39" s="124" t="e">
        <f>VLOOKUP('北段 (人資版)'!U39,工作表1!$A$3:$B$78,2,FALSE)</f>
        <v>#REF!</v>
      </c>
      <c r="V39" s="124" t="e">
        <f>VLOOKUP('北段 (人資版)'!V39,工作表1!$A$3:$B$78,2,FALSE)</f>
        <v>#REF!</v>
      </c>
      <c r="W39" s="124" t="e">
        <f>VLOOKUP('北段 (人資版)'!W39,工作表1!$A$3:$B$78,2,FALSE)</f>
        <v>#REF!</v>
      </c>
      <c r="X39" s="124" t="e">
        <f>VLOOKUP('北段 (人資版)'!X39,工作表1!$A$3:$B$78,2,FALSE)</f>
        <v>#REF!</v>
      </c>
      <c r="Y39" s="124" t="e">
        <f>VLOOKUP('北段 (人資版)'!Y39,工作表1!$A$3:$B$78,2,FALSE)</f>
        <v>#REF!</v>
      </c>
      <c r="Z39" s="124" t="e">
        <f>VLOOKUP('北段 (人資版)'!Z39,工作表1!$A$3:$B$78,2,FALSE)</f>
        <v>#REF!</v>
      </c>
      <c r="AA39" s="124" t="e">
        <f>VLOOKUP('北段 (人資版)'!AA39,工作表1!$A$3:$B$78,2,FALSE)</f>
        <v>#REF!</v>
      </c>
      <c r="AB39" s="124" t="e">
        <f>VLOOKUP('北段 (人資版)'!AB39,工作表1!$A$3:$B$78,2,FALSE)</f>
        <v>#REF!</v>
      </c>
      <c r="AC39" s="124" t="e">
        <f>VLOOKUP('北段 (人資版)'!AC39,工作表1!$A$3:$B$78,2,FALSE)</f>
        <v>#REF!</v>
      </c>
      <c r="AD39" s="124" t="e">
        <f>VLOOKUP('北段 (人資版)'!AD39,工作表1!$A$3:$B$78,2,FALSE)</f>
        <v>#REF!</v>
      </c>
      <c r="AE39" s="124" t="e">
        <f>VLOOKUP('北段 (人資版)'!AE39,工作表1!$A$3:$B$78,2,FALSE)</f>
        <v>#REF!</v>
      </c>
      <c r="AF39" s="124" t="e">
        <f>VLOOKUP('北段 (人資版)'!AF39,工作表1!$A$3:$B$78,2,FALSE)</f>
        <v>#REF!</v>
      </c>
      <c r="AG39" s="124" t="e">
        <f>VLOOKUP('北段 (人資版)'!AG39,工作表1!$A$3:$B$78,2,FALSE)</f>
        <v>#REF!</v>
      </c>
      <c r="AH39" s="124" t="e">
        <f>VLOOKUP('北段 (人資版)'!AH39,工作表1!$A$3:$B$78,2,FALSE)</f>
        <v>#REF!</v>
      </c>
    </row>
    <row r="40" spans="1:34" ht="39.75" customHeight="1" x14ac:dyDescent="0.25">
      <c r="A40" s="46" t="s">
        <v>24</v>
      </c>
      <c r="B40" s="72" t="e">
        <f>北段!#REF!</f>
        <v>#REF!</v>
      </c>
      <c r="C40" s="38" t="e">
        <f>VLOOKUP(B40,北段!B:C,2,FALSE)</f>
        <v>#REF!</v>
      </c>
      <c r="D40" s="124" t="e">
        <f>VLOOKUP('北段 (人資版)'!D40,工作表1!$A$3:$B$78,2,FALSE)</f>
        <v>#REF!</v>
      </c>
      <c r="E40" s="124" t="e">
        <f>VLOOKUP('北段 (人資版)'!E40,工作表1!$A$3:$B$78,2,FALSE)</f>
        <v>#REF!</v>
      </c>
      <c r="F40" s="124" t="e">
        <f>VLOOKUP('北段 (人資版)'!F40,工作表1!$A$3:$B$78,2,FALSE)</f>
        <v>#REF!</v>
      </c>
      <c r="G40" s="124" t="e">
        <f>VLOOKUP('北段 (人資版)'!G40,工作表1!$A$3:$B$78,2,FALSE)</f>
        <v>#REF!</v>
      </c>
      <c r="H40" s="124" t="e">
        <f>VLOOKUP('北段 (人資版)'!H40,工作表1!$A$3:$B$78,2,FALSE)</f>
        <v>#REF!</v>
      </c>
      <c r="I40" s="124" t="e">
        <f>VLOOKUP('北段 (人資版)'!I40,工作表1!$A$3:$B$78,2,FALSE)</f>
        <v>#REF!</v>
      </c>
      <c r="J40" s="124" t="e">
        <f>VLOOKUP('北段 (人資版)'!J40,工作表1!$A$3:$B$78,2,FALSE)</f>
        <v>#REF!</v>
      </c>
      <c r="K40" s="124" t="e">
        <f>VLOOKUP('北段 (人資版)'!K40,工作表1!$A$3:$B$78,2,FALSE)</f>
        <v>#REF!</v>
      </c>
      <c r="L40" s="124" t="e">
        <f>VLOOKUP('北段 (人資版)'!L40,工作表1!$A$3:$B$78,2,FALSE)</f>
        <v>#REF!</v>
      </c>
      <c r="M40" s="124" t="e">
        <f>VLOOKUP('北段 (人資版)'!M40,工作表1!$A$3:$B$78,2,FALSE)</f>
        <v>#REF!</v>
      </c>
      <c r="N40" s="124" t="e">
        <f>VLOOKUP('北段 (人資版)'!N40,工作表1!$A$3:$B$78,2,FALSE)</f>
        <v>#REF!</v>
      </c>
      <c r="O40" s="124" t="e">
        <f>VLOOKUP('北段 (人資版)'!O40,工作表1!$A$3:$B$78,2,FALSE)</f>
        <v>#REF!</v>
      </c>
      <c r="P40" s="124" t="e">
        <f>VLOOKUP('北段 (人資版)'!P40,工作表1!$A$3:$B$78,2,FALSE)</f>
        <v>#REF!</v>
      </c>
      <c r="Q40" s="124" t="e">
        <f>VLOOKUP('北段 (人資版)'!Q40,工作表1!$A$3:$B$78,2,FALSE)</f>
        <v>#REF!</v>
      </c>
      <c r="R40" s="124" t="e">
        <f>VLOOKUP('北段 (人資版)'!R40,工作表1!$A$3:$B$78,2,FALSE)</f>
        <v>#REF!</v>
      </c>
      <c r="S40" s="124" t="e">
        <f>VLOOKUP('北段 (人資版)'!S40,工作表1!$A$3:$B$78,2,FALSE)</f>
        <v>#REF!</v>
      </c>
      <c r="T40" s="124" t="e">
        <f>VLOOKUP('北段 (人資版)'!T40,工作表1!$A$3:$B$78,2,FALSE)</f>
        <v>#REF!</v>
      </c>
      <c r="U40" s="124" t="e">
        <f>VLOOKUP('北段 (人資版)'!U40,工作表1!$A$3:$B$78,2,FALSE)</f>
        <v>#REF!</v>
      </c>
      <c r="V40" s="124" t="e">
        <f>VLOOKUP('北段 (人資版)'!V40,工作表1!$A$3:$B$78,2,FALSE)</f>
        <v>#REF!</v>
      </c>
      <c r="W40" s="124" t="e">
        <f>VLOOKUP('北段 (人資版)'!W40,工作表1!$A$3:$B$78,2,FALSE)</f>
        <v>#REF!</v>
      </c>
      <c r="X40" s="124" t="e">
        <f>VLOOKUP('北段 (人資版)'!X40,工作表1!$A$3:$B$78,2,FALSE)</f>
        <v>#REF!</v>
      </c>
      <c r="Y40" s="124" t="e">
        <f>VLOOKUP('北段 (人資版)'!Y40,工作表1!$A$3:$B$78,2,FALSE)</f>
        <v>#REF!</v>
      </c>
      <c r="Z40" s="124" t="e">
        <f>VLOOKUP('北段 (人資版)'!Z40,工作表1!$A$3:$B$78,2,FALSE)</f>
        <v>#REF!</v>
      </c>
      <c r="AA40" s="124" t="e">
        <f>VLOOKUP('北段 (人資版)'!AA40,工作表1!$A$3:$B$78,2,FALSE)</f>
        <v>#REF!</v>
      </c>
      <c r="AB40" s="124" t="e">
        <f>VLOOKUP('北段 (人資版)'!AB40,工作表1!$A$3:$B$78,2,FALSE)</f>
        <v>#REF!</v>
      </c>
      <c r="AC40" s="124" t="e">
        <f>VLOOKUP('北段 (人資版)'!AC40,工作表1!$A$3:$B$78,2,FALSE)</f>
        <v>#REF!</v>
      </c>
      <c r="AD40" s="124" t="e">
        <f>VLOOKUP('北段 (人資版)'!AD40,工作表1!$A$3:$B$78,2,FALSE)</f>
        <v>#REF!</v>
      </c>
      <c r="AE40" s="124" t="e">
        <f>VLOOKUP('北段 (人資版)'!AE40,工作表1!$A$3:$B$78,2,FALSE)</f>
        <v>#REF!</v>
      </c>
      <c r="AF40" s="124" t="e">
        <f>VLOOKUP('北段 (人資版)'!AF40,工作表1!$A$3:$B$78,2,FALSE)</f>
        <v>#REF!</v>
      </c>
      <c r="AG40" s="124" t="e">
        <f>VLOOKUP('北段 (人資版)'!AG40,工作表1!$A$3:$B$78,2,FALSE)</f>
        <v>#REF!</v>
      </c>
      <c r="AH40" s="124" t="e">
        <f>VLOOKUP('北段 (人資版)'!AH40,工作表1!$A$3:$B$78,2,FALSE)</f>
        <v>#REF!</v>
      </c>
    </row>
    <row r="41" spans="1:34" ht="39.75" customHeight="1" x14ac:dyDescent="0.25">
      <c r="A41" s="47"/>
      <c r="B41" s="72" t="e">
        <f>北段!#REF!</f>
        <v>#REF!</v>
      </c>
      <c r="C41" s="38" t="e">
        <f>VLOOKUP(B41,北段!B:C,2,FALSE)</f>
        <v>#REF!</v>
      </c>
      <c r="D41" s="124" t="e">
        <f>VLOOKUP('北段 (人資版)'!D41,工作表1!$A$3:$B$78,2,FALSE)</f>
        <v>#REF!</v>
      </c>
      <c r="E41" s="124" t="e">
        <f>VLOOKUP('北段 (人資版)'!E41,工作表1!$A$3:$B$78,2,FALSE)</f>
        <v>#REF!</v>
      </c>
      <c r="F41" s="124" t="e">
        <f>VLOOKUP('北段 (人資版)'!F41,工作表1!$A$3:$B$78,2,FALSE)</f>
        <v>#REF!</v>
      </c>
      <c r="G41" s="124" t="e">
        <f>VLOOKUP('北段 (人資版)'!G41,工作表1!$A$3:$B$78,2,FALSE)</f>
        <v>#REF!</v>
      </c>
      <c r="H41" s="124" t="e">
        <f>VLOOKUP('北段 (人資版)'!H41,工作表1!$A$3:$B$78,2,FALSE)</f>
        <v>#REF!</v>
      </c>
      <c r="I41" s="124" t="e">
        <f>VLOOKUP('北段 (人資版)'!I41,工作表1!$A$3:$B$78,2,FALSE)</f>
        <v>#REF!</v>
      </c>
      <c r="J41" s="124" t="e">
        <f>VLOOKUP('北段 (人資版)'!J41,工作表1!$A$3:$B$78,2,FALSE)</f>
        <v>#REF!</v>
      </c>
      <c r="K41" s="124" t="e">
        <f>VLOOKUP('北段 (人資版)'!K41,工作表1!$A$3:$B$78,2,FALSE)</f>
        <v>#REF!</v>
      </c>
      <c r="L41" s="124" t="e">
        <f>VLOOKUP('北段 (人資版)'!L41,工作表1!$A$3:$B$78,2,FALSE)</f>
        <v>#REF!</v>
      </c>
      <c r="M41" s="124" t="e">
        <f>VLOOKUP('北段 (人資版)'!M41,工作表1!$A$3:$B$78,2,FALSE)</f>
        <v>#REF!</v>
      </c>
      <c r="N41" s="124" t="e">
        <f>VLOOKUP('北段 (人資版)'!N41,工作表1!$A$3:$B$78,2,FALSE)</f>
        <v>#REF!</v>
      </c>
      <c r="O41" s="124" t="e">
        <f>VLOOKUP('北段 (人資版)'!O41,工作表1!$A$3:$B$78,2,FALSE)</f>
        <v>#REF!</v>
      </c>
      <c r="P41" s="124" t="e">
        <f>VLOOKUP('北段 (人資版)'!P41,工作表1!$A$3:$B$78,2,FALSE)</f>
        <v>#REF!</v>
      </c>
      <c r="Q41" s="124" t="e">
        <f>VLOOKUP('北段 (人資版)'!Q41,工作表1!$A$3:$B$78,2,FALSE)</f>
        <v>#REF!</v>
      </c>
      <c r="R41" s="124" t="e">
        <f>VLOOKUP('北段 (人資版)'!R41,工作表1!$A$3:$B$78,2,FALSE)</f>
        <v>#REF!</v>
      </c>
      <c r="S41" s="124" t="e">
        <f>VLOOKUP('北段 (人資版)'!S41,工作表1!$A$3:$B$78,2,FALSE)</f>
        <v>#REF!</v>
      </c>
      <c r="T41" s="124" t="e">
        <f>VLOOKUP('北段 (人資版)'!T41,工作表1!$A$3:$B$78,2,FALSE)</f>
        <v>#REF!</v>
      </c>
      <c r="U41" s="124" t="e">
        <f>VLOOKUP('北段 (人資版)'!U41,工作表1!$A$3:$B$78,2,FALSE)</f>
        <v>#REF!</v>
      </c>
      <c r="V41" s="124" t="e">
        <f>VLOOKUP('北段 (人資版)'!V41,工作表1!$A$3:$B$78,2,FALSE)</f>
        <v>#REF!</v>
      </c>
      <c r="W41" s="124" t="e">
        <f>VLOOKUP('北段 (人資版)'!W41,工作表1!$A$3:$B$78,2,FALSE)</f>
        <v>#REF!</v>
      </c>
      <c r="X41" s="124" t="e">
        <f>VLOOKUP('北段 (人資版)'!X41,工作表1!$A$3:$B$78,2,FALSE)</f>
        <v>#REF!</v>
      </c>
      <c r="Y41" s="124" t="e">
        <f>VLOOKUP('北段 (人資版)'!Y41,工作表1!$A$3:$B$78,2,FALSE)</f>
        <v>#REF!</v>
      </c>
      <c r="Z41" s="124" t="e">
        <f>VLOOKUP('北段 (人資版)'!Z41,工作表1!$A$3:$B$78,2,FALSE)</f>
        <v>#REF!</v>
      </c>
      <c r="AA41" s="124" t="e">
        <f>VLOOKUP('北段 (人資版)'!AA41,工作表1!$A$3:$B$78,2,FALSE)</f>
        <v>#REF!</v>
      </c>
      <c r="AB41" s="124" t="e">
        <f>VLOOKUP('北段 (人資版)'!AB41,工作表1!$A$3:$B$78,2,FALSE)</f>
        <v>#REF!</v>
      </c>
      <c r="AC41" s="124" t="e">
        <f>VLOOKUP('北段 (人資版)'!AC41,工作表1!$A$3:$B$78,2,FALSE)</f>
        <v>#REF!</v>
      </c>
      <c r="AD41" s="124" t="e">
        <f>VLOOKUP('北段 (人資版)'!AD41,工作表1!$A$3:$B$78,2,FALSE)</f>
        <v>#REF!</v>
      </c>
      <c r="AE41" s="124" t="e">
        <f>VLOOKUP('北段 (人資版)'!AE41,工作表1!$A$3:$B$78,2,FALSE)</f>
        <v>#REF!</v>
      </c>
      <c r="AF41" s="124" t="e">
        <f>VLOOKUP('北段 (人資版)'!AF41,工作表1!$A$3:$B$78,2,FALSE)</f>
        <v>#REF!</v>
      </c>
      <c r="AG41" s="124" t="e">
        <f>VLOOKUP('北段 (人資版)'!AG41,工作表1!$A$3:$B$78,2,FALSE)</f>
        <v>#REF!</v>
      </c>
      <c r="AH41" s="124" t="e">
        <f>VLOOKUP('北段 (人資版)'!AH41,工作表1!$A$3:$B$78,2,FALSE)</f>
        <v>#REF!</v>
      </c>
    </row>
    <row r="42" spans="1:34" ht="39.75" customHeight="1" x14ac:dyDescent="0.25">
      <c r="A42" s="47"/>
      <c r="B42" s="72" t="e">
        <f>北段!#REF!</f>
        <v>#REF!</v>
      </c>
      <c r="C42" s="38" t="e">
        <f>VLOOKUP(B42,北段!B:C,2,FALSE)</f>
        <v>#REF!</v>
      </c>
      <c r="D42" s="124" t="e">
        <f>VLOOKUP('北段 (人資版)'!D42,工作表1!$A$3:$B$78,2,FALSE)</f>
        <v>#REF!</v>
      </c>
      <c r="E42" s="124" t="e">
        <f>VLOOKUP('北段 (人資版)'!E42,工作表1!$A$3:$B$78,2,FALSE)</f>
        <v>#REF!</v>
      </c>
      <c r="F42" s="124" t="e">
        <f>VLOOKUP('北段 (人資版)'!F42,工作表1!$A$3:$B$78,2,FALSE)</f>
        <v>#REF!</v>
      </c>
      <c r="G42" s="124" t="e">
        <f>VLOOKUP('北段 (人資版)'!G42,工作表1!$A$3:$B$78,2,FALSE)</f>
        <v>#REF!</v>
      </c>
      <c r="H42" s="124" t="e">
        <f>VLOOKUP('北段 (人資版)'!H42,工作表1!$A$3:$B$78,2,FALSE)</f>
        <v>#REF!</v>
      </c>
      <c r="I42" s="124" t="e">
        <f>VLOOKUP('北段 (人資版)'!I42,工作表1!$A$3:$B$78,2,FALSE)</f>
        <v>#REF!</v>
      </c>
      <c r="J42" s="124" t="e">
        <f>VLOOKUP('北段 (人資版)'!J42,工作表1!$A$3:$B$78,2,FALSE)</f>
        <v>#REF!</v>
      </c>
      <c r="K42" s="124" t="e">
        <f>VLOOKUP('北段 (人資版)'!K42,工作表1!$A$3:$B$78,2,FALSE)</f>
        <v>#REF!</v>
      </c>
      <c r="L42" s="124" t="e">
        <f>VLOOKUP('北段 (人資版)'!L42,工作表1!$A$3:$B$78,2,FALSE)</f>
        <v>#REF!</v>
      </c>
      <c r="M42" s="124" t="e">
        <f>VLOOKUP('北段 (人資版)'!M42,工作表1!$A$3:$B$78,2,FALSE)</f>
        <v>#REF!</v>
      </c>
      <c r="N42" s="124" t="e">
        <f>VLOOKUP('北段 (人資版)'!N42,工作表1!$A$3:$B$78,2,FALSE)</f>
        <v>#REF!</v>
      </c>
      <c r="O42" s="124" t="e">
        <f>VLOOKUP('北段 (人資版)'!O42,工作表1!$A$3:$B$78,2,FALSE)</f>
        <v>#REF!</v>
      </c>
      <c r="P42" s="124" t="e">
        <f>VLOOKUP('北段 (人資版)'!P42,工作表1!$A$3:$B$78,2,FALSE)</f>
        <v>#REF!</v>
      </c>
      <c r="Q42" s="124" t="e">
        <f>VLOOKUP('北段 (人資版)'!Q42,工作表1!$A$3:$B$78,2,FALSE)</f>
        <v>#REF!</v>
      </c>
      <c r="R42" s="124" t="e">
        <f>VLOOKUP('北段 (人資版)'!R42,工作表1!$A$3:$B$78,2,FALSE)</f>
        <v>#REF!</v>
      </c>
      <c r="S42" s="124" t="e">
        <f>VLOOKUP('北段 (人資版)'!S42,工作表1!$A$3:$B$78,2,FALSE)</f>
        <v>#REF!</v>
      </c>
      <c r="T42" s="124" t="e">
        <f>VLOOKUP('北段 (人資版)'!T42,工作表1!$A$3:$B$78,2,FALSE)</f>
        <v>#REF!</v>
      </c>
      <c r="U42" s="124" t="e">
        <f>VLOOKUP('北段 (人資版)'!U42,工作表1!$A$3:$B$78,2,FALSE)</f>
        <v>#REF!</v>
      </c>
      <c r="V42" s="124" t="e">
        <f>VLOOKUP('北段 (人資版)'!V42,工作表1!$A$3:$B$78,2,FALSE)</f>
        <v>#REF!</v>
      </c>
      <c r="W42" s="124" t="e">
        <f>VLOOKUP('北段 (人資版)'!W42,工作表1!$A$3:$B$78,2,FALSE)</f>
        <v>#REF!</v>
      </c>
      <c r="X42" s="124" t="e">
        <f>VLOOKUP('北段 (人資版)'!X42,工作表1!$A$3:$B$78,2,FALSE)</f>
        <v>#REF!</v>
      </c>
      <c r="Y42" s="124" t="e">
        <f>VLOOKUP('北段 (人資版)'!Y42,工作表1!$A$3:$B$78,2,FALSE)</f>
        <v>#REF!</v>
      </c>
      <c r="Z42" s="124" t="e">
        <f>VLOOKUP('北段 (人資版)'!Z42,工作表1!$A$3:$B$78,2,FALSE)</f>
        <v>#REF!</v>
      </c>
      <c r="AA42" s="124" t="e">
        <f>VLOOKUP('北段 (人資版)'!AA42,工作表1!$A$3:$B$78,2,FALSE)</f>
        <v>#REF!</v>
      </c>
      <c r="AB42" s="124" t="e">
        <f>VLOOKUP('北段 (人資版)'!AB42,工作表1!$A$3:$B$78,2,FALSE)</f>
        <v>#REF!</v>
      </c>
      <c r="AC42" s="124" t="e">
        <f>VLOOKUP('北段 (人資版)'!AC42,工作表1!$A$3:$B$78,2,FALSE)</f>
        <v>#REF!</v>
      </c>
      <c r="AD42" s="124" t="e">
        <f>VLOOKUP('北段 (人資版)'!AD42,工作表1!$A$3:$B$78,2,FALSE)</f>
        <v>#REF!</v>
      </c>
      <c r="AE42" s="124" t="e">
        <f>VLOOKUP('北段 (人資版)'!AE42,工作表1!$A$3:$B$78,2,FALSE)</f>
        <v>#REF!</v>
      </c>
      <c r="AF42" s="124" t="e">
        <f>VLOOKUP('北段 (人資版)'!AF42,工作表1!$A$3:$B$78,2,FALSE)</f>
        <v>#REF!</v>
      </c>
      <c r="AG42" s="124" t="e">
        <f>VLOOKUP('北段 (人資版)'!AG42,工作表1!$A$3:$B$78,2,FALSE)</f>
        <v>#REF!</v>
      </c>
      <c r="AH42" s="124" t="e">
        <f>VLOOKUP('北段 (人資版)'!AH42,工作表1!$A$3:$B$78,2,FALSE)</f>
        <v>#REF!</v>
      </c>
    </row>
    <row r="43" spans="1:34" ht="39.6" customHeight="1" x14ac:dyDescent="0.25">
      <c r="A43" s="47"/>
      <c r="B43" s="72" t="e">
        <f>北段!#REF!</f>
        <v>#REF!</v>
      </c>
      <c r="C43" s="38" t="e">
        <f>VLOOKUP(B43,北段!B:C,2,FALSE)</f>
        <v>#REF!</v>
      </c>
      <c r="D43" s="124" t="e">
        <f>VLOOKUP('北段 (人資版)'!D43,工作表1!$A$3:$B$78,2,FALSE)</f>
        <v>#REF!</v>
      </c>
      <c r="E43" s="124" t="e">
        <f>VLOOKUP('北段 (人資版)'!E43,工作表1!$A$3:$B$78,2,FALSE)</f>
        <v>#REF!</v>
      </c>
      <c r="F43" s="124" t="e">
        <f>VLOOKUP('北段 (人資版)'!F43,工作表1!$A$3:$B$78,2,FALSE)</f>
        <v>#REF!</v>
      </c>
      <c r="G43" s="124" t="e">
        <f>VLOOKUP('北段 (人資版)'!G43,工作表1!$A$3:$B$78,2,FALSE)</f>
        <v>#REF!</v>
      </c>
      <c r="H43" s="124" t="e">
        <f>VLOOKUP('北段 (人資版)'!H43,工作表1!$A$3:$B$78,2,FALSE)</f>
        <v>#REF!</v>
      </c>
      <c r="I43" s="124" t="e">
        <f>VLOOKUP('北段 (人資版)'!I43,工作表1!$A$3:$B$78,2,FALSE)</f>
        <v>#REF!</v>
      </c>
      <c r="J43" s="124" t="e">
        <f>VLOOKUP('北段 (人資版)'!J43,工作表1!$A$3:$B$78,2,FALSE)</f>
        <v>#REF!</v>
      </c>
      <c r="K43" s="124" t="e">
        <f>VLOOKUP('北段 (人資版)'!K43,工作表1!$A$3:$B$78,2,FALSE)</f>
        <v>#REF!</v>
      </c>
      <c r="L43" s="124" t="e">
        <f>VLOOKUP('北段 (人資版)'!L43,工作表1!$A$3:$B$78,2,FALSE)</f>
        <v>#REF!</v>
      </c>
      <c r="M43" s="124" t="e">
        <f>VLOOKUP('北段 (人資版)'!M43,工作表1!$A$3:$B$78,2,FALSE)</f>
        <v>#REF!</v>
      </c>
      <c r="N43" s="124" t="e">
        <f>VLOOKUP('北段 (人資版)'!N43,工作表1!$A$3:$B$78,2,FALSE)</f>
        <v>#REF!</v>
      </c>
      <c r="O43" s="124" t="e">
        <f>VLOOKUP('北段 (人資版)'!O43,工作表1!$A$3:$B$78,2,FALSE)</f>
        <v>#REF!</v>
      </c>
      <c r="P43" s="124" t="e">
        <f>VLOOKUP('北段 (人資版)'!P43,工作表1!$A$3:$B$78,2,FALSE)</f>
        <v>#REF!</v>
      </c>
      <c r="Q43" s="124" t="e">
        <f>VLOOKUP('北段 (人資版)'!Q43,工作表1!$A$3:$B$78,2,FALSE)</f>
        <v>#REF!</v>
      </c>
      <c r="R43" s="124" t="e">
        <f>VLOOKUP('北段 (人資版)'!R43,工作表1!$A$3:$B$78,2,FALSE)</f>
        <v>#REF!</v>
      </c>
      <c r="S43" s="124" t="e">
        <f>VLOOKUP('北段 (人資版)'!S43,工作表1!$A$3:$B$78,2,FALSE)</f>
        <v>#REF!</v>
      </c>
      <c r="T43" s="124" t="e">
        <f>VLOOKUP('北段 (人資版)'!T43,工作表1!$A$3:$B$78,2,FALSE)</f>
        <v>#REF!</v>
      </c>
      <c r="U43" s="124" t="e">
        <f>VLOOKUP('北段 (人資版)'!U43,工作表1!$A$3:$B$78,2,FALSE)</f>
        <v>#REF!</v>
      </c>
      <c r="V43" s="124" t="e">
        <f>VLOOKUP('北段 (人資版)'!V43,工作表1!$A$3:$B$78,2,FALSE)</f>
        <v>#REF!</v>
      </c>
      <c r="W43" s="124" t="e">
        <f>VLOOKUP('北段 (人資版)'!W43,工作表1!$A$3:$B$78,2,FALSE)</f>
        <v>#REF!</v>
      </c>
      <c r="X43" s="124" t="e">
        <f>VLOOKUP('北段 (人資版)'!X43,工作表1!$A$3:$B$78,2,FALSE)</f>
        <v>#REF!</v>
      </c>
      <c r="Y43" s="124" t="e">
        <f>VLOOKUP('北段 (人資版)'!Y43,工作表1!$A$3:$B$78,2,FALSE)</f>
        <v>#REF!</v>
      </c>
      <c r="Z43" s="124" t="e">
        <f>VLOOKUP('北段 (人資版)'!Z43,工作表1!$A$3:$B$78,2,FALSE)</f>
        <v>#REF!</v>
      </c>
      <c r="AA43" s="124" t="e">
        <f>VLOOKUP('北段 (人資版)'!AA43,工作表1!$A$3:$B$78,2,FALSE)</f>
        <v>#REF!</v>
      </c>
      <c r="AB43" s="124" t="e">
        <f>VLOOKUP('北段 (人資版)'!AB43,工作表1!$A$3:$B$78,2,FALSE)</f>
        <v>#REF!</v>
      </c>
      <c r="AC43" s="124" t="e">
        <f>VLOOKUP('北段 (人資版)'!AC43,工作表1!$A$3:$B$78,2,FALSE)</f>
        <v>#REF!</v>
      </c>
      <c r="AD43" s="124" t="e">
        <f>VLOOKUP('北段 (人資版)'!AD43,工作表1!$A$3:$B$78,2,FALSE)</f>
        <v>#REF!</v>
      </c>
      <c r="AE43" s="124" t="e">
        <f>VLOOKUP('北段 (人資版)'!AE43,工作表1!$A$3:$B$78,2,FALSE)</f>
        <v>#REF!</v>
      </c>
      <c r="AF43" s="124" t="e">
        <f>VLOOKUP('北段 (人資版)'!AF43,工作表1!$A$3:$B$78,2,FALSE)</f>
        <v>#REF!</v>
      </c>
      <c r="AG43" s="124" t="e">
        <f>VLOOKUP('北段 (人資版)'!AG43,工作表1!$A$3:$B$78,2,FALSE)</f>
        <v>#REF!</v>
      </c>
      <c r="AH43" s="124" t="e">
        <f>VLOOKUP('北段 (人資版)'!AH43,工作表1!$A$3:$B$78,2,FALSE)</f>
        <v>#REF!</v>
      </c>
    </row>
    <row r="44" spans="1:34" ht="39.6" customHeight="1" x14ac:dyDescent="0.25">
      <c r="A44" s="47"/>
      <c r="B44" s="72" t="e">
        <f>北段!#REF!</f>
        <v>#REF!</v>
      </c>
      <c r="C44" s="38" t="e">
        <f>VLOOKUP(B44,北段!B:C,2,FALSE)</f>
        <v>#REF!</v>
      </c>
      <c r="D44" s="124" t="e">
        <f>VLOOKUP('北段 (人資版)'!D44,工作表1!$A$3:$B$78,2,FALSE)</f>
        <v>#REF!</v>
      </c>
      <c r="E44" s="124" t="e">
        <f>VLOOKUP('北段 (人資版)'!E44,工作表1!$A$3:$B$78,2,FALSE)</f>
        <v>#REF!</v>
      </c>
      <c r="F44" s="124" t="e">
        <f>VLOOKUP('北段 (人資版)'!F44,工作表1!$A$3:$B$78,2,FALSE)</f>
        <v>#REF!</v>
      </c>
      <c r="G44" s="124" t="e">
        <f>VLOOKUP('北段 (人資版)'!G44,工作表1!$A$3:$B$78,2,FALSE)</f>
        <v>#REF!</v>
      </c>
      <c r="H44" s="124" t="e">
        <f>VLOOKUP('北段 (人資版)'!H44,工作表1!$A$3:$B$78,2,FALSE)</f>
        <v>#REF!</v>
      </c>
      <c r="I44" s="124" t="e">
        <f>VLOOKUP('北段 (人資版)'!I44,工作表1!$A$3:$B$78,2,FALSE)</f>
        <v>#REF!</v>
      </c>
      <c r="J44" s="124" t="e">
        <f>VLOOKUP('北段 (人資版)'!J44,工作表1!$A$3:$B$78,2,FALSE)</f>
        <v>#REF!</v>
      </c>
      <c r="K44" s="124" t="e">
        <f>VLOOKUP('北段 (人資版)'!K44,工作表1!$A$3:$B$78,2,FALSE)</f>
        <v>#REF!</v>
      </c>
      <c r="L44" s="124" t="e">
        <f>VLOOKUP('北段 (人資版)'!L44,工作表1!$A$3:$B$78,2,FALSE)</f>
        <v>#REF!</v>
      </c>
      <c r="M44" s="124" t="e">
        <f>VLOOKUP('北段 (人資版)'!M44,工作表1!$A$3:$B$78,2,FALSE)</f>
        <v>#REF!</v>
      </c>
      <c r="N44" s="124" t="e">
        <f>VLOOKUP('北段 (人資版)'!N44,工作表1!$A$3:$B$78,2,FALSE)</f>
        <v>#REF!</v>
      </c>
      <c r="O44" s="124" t="e">
        <f>VLOOKUP('北段 (人資版)'!O44,工作表1!$A$3:$B$78,2,FALSE)</f>
        <v>#REF!</v>
      </c>
      <c r="P44" s="124" t="e">
        <f>VLOOKUP('北段 (人資版)'!P44,工作表1!$A$3:$B$78,2,FALSE)</f>
        <v>#REF!</v>
      </c>
      <c r="Q44" s="124" t="e">
        <f>VLOOKUP('北段 (人資版)'!Q44,工作表1!$A$3:$B$78,2,FALSE)</f>
        <v>#REF!</v>
      </c>
      <c r="R44" s="124" t="e">
        <f>VLOOKUP('北段 (人資版)'!R44,工作表1!$A$3:$B$78,2,FALSE)</f>
        <v>#REF!</v>
      </c>
      <c r="S44" s="124" t="e">
        <f>VLOOKUP('北段 (人資版)'!S44,工作表1!$A$3:$B$78,2,FALSE)</f>
        <v>#REF!</v>
      </c>
      <c r="T44" s="124" t="e">
        <f>VLOOKUP('北段 (人資版)'!T44,工作表1!$A$3:$B$78,2,FALSE)</f>
        <v>#REF!</v>
      </c>
      <c r="U44" s="124" t="e">
        <f>VLOOKUP('北段 (人資版)'!U44,工作表1!$A$3:$B$78,2,FALSE)</f>
        <v>#REF!</v>
      </c>
      <c r="V44" s="124" t="e">
        <f>VLOOKUP('北段 (人資版)'!V44,工作表1!$A$3:$B$78,2,FALSE)</f>
        <v>#REF!</v>
      </c>
      <c r="W44" s="124" t="e">
        <f>VLOOKUP('北段 (人資版)'!W44,工作表1!$A$3:$B$78,2,FALSE)</f>
        <v>#REF!</v>
      </c>
      <c r="X44" s="124" t="e">
        <f>VLOOKUP('北段 (人資版)'!X44,工作表1!$A$3:$B$78,2,FALSE)</f>
        <v>#REF!</v>
      </c>
      <c r="Y44" s="124" t="e">
        <f>VLOOKUP('北段 (人資版)'!Y44,工作表1!$A$3:$B$78,2,FALSE)</f>
        <v>#REF!</v>
      </c>
      <c r="Z44" s="124" t="e">
        <f>VLOOKUP('北段 (人資版)'!Z44,工作表1!$A$3:$B$78,2,FALSE)</f>
        <v>#REF!</v>
      </c>
      <c r="AA44" s="124" t="e">
        <f>VLOOKUP('北段 (人資版)'!AA44,工作表1!$A$3:$B$78,2,FALSE)</f>
        <v>#REF!</v>
      </c>
      <c r="AB44" s="124" t="e">
        <f>VLOOKUP('北段 (人資版)'!AB44,工作表1!$A$3:$B$78,2,FALSE)</f>
        <v>#REF!</v>
      </c>
      <c r="AC44" s="124" t="e">
        <f>VLOOKUP('北段 (人資版)'!AC44,工作表1!$A$3:$B$78,2,FALSE)</f>
        <v>#REF!</v>
      </c>
      <c r="AD44" s="124" t="e">
        <f>VLOOKUP('北段 (人資版)'!AD44,工作表1!$A$3:$B$78,2,FALSE)</f>
        <v>#REF!</v>
      </c>
      <c r="AE44" s="124" t="e">
        <f>VLOOKUP('北段 (人資版)'!AE44,工作表1!$A$3:$B$78,2,FALSE)</f>
        <v>#REF!</v>
      </c>
      <c r="AF44" s="124" t="e">
        <f>VLOOKUP('北段 (人資版)'!AF44,工作表1!$A$3:$B$78,2,FALSE)</f>
        <v>#REF!</v>
      </c>
      <c r="AG44" s="124" t="e">
        <f>VLOOKUP('北段 (人資版)'!AG44,工作表1!$A$3:$B$78,2,FALSE)</f>
        <v>#REF!</v>
      </c>
      <c r="AH44" s="124" t="e">
        <f>VLOOKUP('北段 (人資版)'!AH44,工作表1!$A$3:$B$78,2,FALSE)</f>
        <v>#REF!</v>
      </c>
    </row>
    <row r="45" spans="1:34" ht="39.6" customHeight="1" x14ac:dyDescent="0.25">
      <c r="A45" s="47"/>
      <c r="B45" s="72" t="e">
        <f>北段!#REF!</f>
        <v>#REF!</v>
      </c>
      <c r="C45" s="38" t="e">
        <f>VLOOKUP(B45,北段!B:C,2,FALSE)</f>
        <v>#REF!</v>
      </c>
      <c r="D45" s="124" t="e">
        <f>VLOOKUP('北段 (人資版)'!D45,工作表1!$A$3:$B$78,2,FALSE)</f>
        <v>#REF!</v>
      </c>
      <c r="E45" s="124" t="e">
        <f>VLOOKUP('北段 (人資版)'!E45,工作表1!$A$3:$B$78,2,FALSE)</f>
        <v>#REF!</v>
      </c>
      <c r="F45" s="124" t="e">
        <f>VLOOKUP('北段 (人資版)'!F45,工作表1!$A$3:$B$78,2,FALSE)</f>
        <v>#REF!</v>
      </c>
      <c r="G45" s="124" t="e">
        <f>VLOOKUP('北段 (人資版)'!G45,工作表1!$A$3:$B$78,2,FALSE)</f>
        <v>#REF!</v>
      </c>
      <c r="H45" s="124" t="e">
        <f>VLOOKUP('北段 (人資版)'!H45,工作表1!$A$3:$B$78,2,FALSE)</f>
        <v>#REF!</v>
      </c>
      <c r="I45" s="124" t="e">
        <f>VLOOKUP('北段 (人資版)'!I45,工作表1!$A$3:$B$78,2,FALSE)</f>
        <v>#REF!</v>
      </c>
      <c r="J45" s="124" t="e">
        <f>VLOOKUP('北段 (人資版)'!J45,工作表1!$A$3:$B$78,2,FALSE)</f>
        <v>#REF!</v>
      </c>
      <c r="K45" s="124" t="e">
        <f>VLOOKUP('北段 (人資版)'!K45,工作表1!$A$3:$B$78,2,FALSE)</f>
        <v>#REF!</v>
      </c>
      <c r="L45" s="124" t="e">
        <f>VLOOKUP('北段 (人資版)'!L45,工作表1!$A$3:$B$78,2,FALSE)</f>
        <v>#REF!</v>
      </c>
      <c r="M45" s="124" t="e">
        <f>VLOOKUP('北段 (人資版)'!M45,工作表1!$A$3:$B$78,2,FALSE)</f>
        <v>#REF!</v>
      </c>
      <c r="N45" s="124" t="e">
        <f>VLOOKUP('北段 (人資版)'!N45,工作表1!$A$3:$B$78,2,FALSE)</f>
        <v>#REF!</v>
      </c>
      <c r="O45" s="124" t="e">
        <f>VLOOKUP('北段 (人資版)'!O45,工作表1!$A$3:$B$78,2,FALSE)</f>
        <v>#REF!</v>
      </c>
      <c r="P45" s="124" t="e">
        <f>VLOOKUP('北段 (人資版)'!P45,工作表1!$A$3:$B$78,2,FALSE)</f>
        <v>#REF!</v>
      </c>
      <c r="Q45" s="124" t="e">
        <f>VLOOKUP('北段 (人資版)'!Q45,工作表1!$A$3:$B$78,2,FALSE)</f>
        <v>#REF!</v>
      </c>
      <c r="R45" s="124" t="e">
        <f>VLOOKUP('北段 (人資版)'!R45,工作表1!$A$3:$B$78,2,FALSE)</f>
        <v>#REF!</v>
      </c>
      <c r="S45" s="124" t="e">
        <f>VLOOKUP('北段 (人資版)'!S45,工作表1!$A$3:$B$78,2,FALSE)</f>
        <v>#REF!</v>
      </c>
      <c r="T45" s="124" t="e">
        <f>VLOOKUP('北段 (人資版)'!T45,工作表1!$A$3:$B$78,2,FALSE)</f>
        <v>#REF!</v>
      </c>
      <c r="U45" s="124" t="e">
        <f>VLOOKUP('北段 (人資版)'!U45,工作表1!$A$3:$B$78,2,FALSE)</f>
        <v>#REF!</v>
      </c>
      <c r="V45" s="124" t="e">
        <f>VLOOKUP('北段 (人資版)'!V45,工作表1!$A$3:$B$78,2,FALSE)</f>
        <v>#REF!</v>
      </c>
      <c r="W45" s="124" t="e">
        <f>VLOOKUP('北段 (人資版)'!W45,工作表1!$A$3:$B$78,2,FALSE)</f>
        <v>#REF!</v>
      </c>
      <c r="X45" s="124" t="e">
        <f>VLOOKUP('北段 (人資版)'!X45,工作表1!$A$3:$B$78,2,FALSE)</f>
        <v>#REF!</v>
      </c>
      <c r="Y45" s="124" t="e">
        <f>VLOOKUP('北段 (人資版)'!Y45,工作表1!$A$3:$B$78,2,FALSE)</f>
        <v>#REF!</v>
      </c>
      <c r="Z45" s="124" t="e">
        <f>VLOOKUP('北段 (人資版)'!Z45,工作表1!$A$3:$B$78,2,FALSE)</f>
        <v>#REF!</v>
      </c>
      <c r="AA45" s="124" t="e">
        <f>VLOOKUP('北段 (人資版)'!AA45,工作表1!$A$3:$B$78,2,FALSE)</f>
        <v>#REF!</v>
      </c>
      <c r="AB45" s="124" t="e">
        <f>VLOOKUP('北段 (人資版)'!AB45,工作表1!$A$3:$B$78,2,FALSE)</f>
        <v>#REF!</v>
      </c>
      <c r="AC45" s="124" t="e">
        <f>VLOOKUP('北段 (人資版)'!AC45,工作表1!$A$3:$B$78,2,FALSE)</f>
        <v>#REF!</v>
      </c>
      <c r="AD45" s="124" t="e">
        <f>VLOOKUP('北段 (人資版)'!AD45,工作表1!$A$3:$B$78,2,FALSE)</f>
        <v>#REF!</v>
      </c>
      <c r="AE45" s="124" t="e">
        <f>VLOOKUP('北段 (人資版)'!AE45,工作表1!$A$3:$B$78,2,FALSE)</f>
        <v>#REF!</v>
      </c>
      <c r="AF45" s="124" t="e">
        <f>VLOOKUP('北段 (人資版)'!AF45,工作表1!$A$3:$B$78,2,FALSE)</f>
        <v>#REF!</v>
      </c>
      <c r="AG45" s="124" t="e">
        <f>VLOOKUP('北段 (人資版)'!AG45,工作表1!$A$3:$B$78,2,FALSE)</f>
        <v>#REF!</v>
      </c>
      <c r="AH45" s="124" t="e">
        <f>VLOOKUP('北段 (人資版)'!AH45,工作表1!$A$3:$B$78,2,FALSE)</f>
        <v>#REF!</v>
      </c>
    </row>
    <row r="46" spans="1:34" ht="39.75" customHeight="1" x14ac:dyDescent="0.25">
      <c r="A46" s="47"/>
      <c r="B46" s="72" t="e">
        <f>北段!#REF!</f>
        <v>#REF!</v>
      </c>
      <c r="C46" s="38" t="e">
        <f>VLOOKUP(B46,北段!B:C,2,FALSE)</f>
        <v>#REF!</v>
      </c>
      <c r="D46" s="124" t="e">
        <f>VLOOKUP('北段 (人資版)'!D46,工作表1!$A$3:$B$78,2,FALSE)</f>
        <v>#REF!</v>
      </c>
      <c r="E46" s="124" t="e">
        <f>VLOOKUP('北段 (人資版)'!E46,工作表1!$A$3:$B$78,2,FALSE)</f>
        <v>#REF!</v>
      </c>
      <c r="F46" s="124" t="e">
        <f>VLOOKUP('北段 (人資版)'!F46,工作表1!$A$3:$B$78,2,FALSE)</f>
        <v>#REF!</v>
      </c>
      <c r="G46" s="124" t="e">
        <f>VLOOKUP('北段 (人資版)'!G46,工作表1!$A$3:$B$78,2,FALSE)</f>
        <v>#REF!</v>
      </c>
      <c r="H46" s="124" t="e">
        <f>VLOOKUP('北段 (人資版)'!H46,工作表1!$A$3:$B$78,2,FALSE)</f>
        <v>#REF!</v>
      </c>
      <c r="I46" s="124" t="e">
        <f>VLOOKUP('北段 (人資版)'!I46,工作表1!$A$3:$B$78,2,FALSE)</f>
        <v>#REF!</v>
      </c>
      <c r="J46" s="124" t="e">
        <f>VLOOKUP('北段 (人資版)'!J46,工作表1!$A$3:$B$78,2,FALSE)</f>
        <v>#REF!</v>
      </c>
      <c r="K46" s="124" t="e">
        <f>VLOOKUP('北段 (人資版)'!K46,工作表1!$A$3:$B$78,2,FALSE)</f>
        <v>#REF!</v>
      </c>
      <c r="L46" s="124" t="e">
        <f>VLOOKUP('北段 (人資版)'!L46,工作表1!$A$3:$B$78,2,FALSE)</f>
        <v>#REF!</v>
      </c>
      <c r="M46" s="124" t="e">
        <f>VLOOKUP('北段 (人資版)'!M46,工作表1!$A$3:$B$78,2,FALSE)</f>
        <v>#REF!</v>
      </c>
      <c r="N46" s="124" t="e">
        <f>VLOOKUP('北段 (人資版)'!N46,工作表1!$A$3:$B$78,2,FALSE)</f>
        <v>#REF!</v>
      </c>
      <c r="O46" s="124" t="e">
        <f>VLOOKUP('北段 (人資版)'!O46,工作表1!$A$3:$B$78,2,FALSE)</f>
        <v>#REF!</v>
      </c>
      <c r="P46" s="124" t="e">
        <f>VLOOKUP('北段 (人資版)'!P46,工作表1!$A$3:$B$78,2,FALSE)</f>
        <v>#REF!</v>
      </c>
      <c r="Q46" s="124" t="e">
        <f>VLOOKUP('北段 (人資版)'!Q46,工作表1!$A$3:$B$78,2,FALSE)</f>
        <v>#REF!</v>
      </c>
      <c r="R46" s="124" t="e">
        <f>VLOOKUP('北段 (人資版)'!R46,工作表1!$A$3:$B$78,2,FALSE)</f>
        <v>#REF!</v>
      </c>
      <c r="S46" s="124" t="e">
        <f>VLOOKUP('北段 (人資版)'!S46,工作表1!$A$3:$B$78,2,FALSE)</f>
        <v>#REF!</v>
      </c>
      <c r="T46" s="124" t="e">
        <f>VLOOKUP('北段 (人資版)'!T46,工作表1!$A$3:$B$78,2,FALSE)</f>
        <v>#REF!</v>
      </c>
      <c r="U46" s="124" t="e">
        <f>VLOOKUP('北段 (人資版)'!U46,工作表1!$A$3:$B$78,2,FALSE)</f>
        <v>#REF!</v>
      </c>
      <c r="V46" s="124" t="e">
        <f>VLOOKUP('北段 (人資版)'!V46,工作表1!$A$3:$B$78,2,FALSE)</f>
        <v>#REF!</v>
      </c>
      <c r="W46" s="124" t="e">
        <f>VLOOKUP('北段 (人資版)'!W46,工作表1!$A$3:$B$78,2,FALSE)</f>
        <v>#REF!</v>
      </c>
      <c r="X46" s="124" t="e">
        <f>VLOOKUP('北段 (人資版)'!X46,工作表1!$A$3:$B$78,2,FALSE)</f>
        <v>#REF!</v>
      </c>
      <c r="Y46" s="124" t="e">
        <f>VLOOKUP('北段 (人資版)'!Y46,工作表1!$A$3:$B$78,2,FALSE)</f>
        <v>#REF!</v>
      </c>
      <c r="Z46" s="124" t="e">
        <f>VLOOKUP('北段 (人資版)'!Z46,工作表1!$A$3:$B$78,2,FALSE)</f>
        <v>#REF!</v>
      </c>
      <c r="AA46" s="124" t="e">
        <f>VLOOKUP('北段 (人資版)'!AA46,工作表1!$A$3:$B$78,2,FALSE)</f>
        <v>#REF!</v>
      </c>
      <c r="AB46" s="124" t="e">
        <f>VLOOKUP('北段 (人資版)'!AB46,工作表1!$A$3:$B$78,2,FALSE)</f>
        <v>#REF!</v>
      </c>
      <c r="AC46" s="124" t="e">
        <f>VLOOKUP('北段 (人資版)'!AC46,工作表1!$A$3:$B$78,2,FALSE)</f>
        <v>#REF!</v>
      </c>
      <c r="AD46" s="124" t="e">
        <f>VLOOKUP('北段 (人資版)'!AD46,工作表1!$A$3:$B$78,2,FALSE)</f>
        <v>#REF!</v>
      </c>
      <c r="AE46" s="124" t="e">
        <f>VLOOKUP('北段 (人資版)'!AE46,工作表1!$A$3:$B$78,2,FALSE)</f>
        <v>#REF!</v>
      </c>
      <c r="AF46" s="124" t="e">
        <f>VLOOKUP('北段 (人資版)'!AF46,工作表1!$A$3:$B$78,2,FALSE)</f>
        <v>#REF!</v>
      </c>
      <c r="AG46" s="124" t="e">
        <f>VLOOKUP('北段 (人資版)'!AG46,工作表1!$A$3:$B$78,2,FALSE)</f>
        <v>#REF!</v>
      </c>
      <c r="AH46" s="124" t="e">
        <f>VLOOKUP('北段 (人資版)'!AH46,工作表1!$A$3:$B$78,2,FALSE)</f>
        <v>#REF!</v>
      </c>
    </row>
    <row r="47" spans="1:34" ht="39.75" customHeight="1" x14ac:dyDescent="0.25">
      <c r="A47" s="47"/>
      <c r="B47" s="72" t="e">
        <f>北段!#REF!</f>
        <v>#REF!</v>
      </c>
      <c r="C47" s="38" t="e">
        <f>VLOOKUP(B47,北段!B:C,2,FALSE)</f>
        <v>#REF!</v>
      </c>
      <c r="D47" s="124" t="e">
        <f>VLOOKUP('北段 (人資版)'!D47,工作表1!$A$3:$B$78,2,FALSE)</f>
        <v>#REF!</v>
      </c>
      <c r="E47" s="124" t="e">
        <f>VLOOKUP('北段 (人資版)'!E47,工作表1!$A$3:$B$78,2,FALSE)</f>
        <v>#REF!</v>
      </c>
      <c r="F47" s="124" t="e">
        <f>VLOOKUP('北段 (人資版)'!F47,工作表1!$A$3:$B$78,2,FALSE)</f>
        <v>#REF!</v>
      </c>
      <c r="G47" s="124" t="e">
        <f>VLOOKUP('北段 (人資版)'!G47,工作表1!$A$3:$B$78,2,FALSE)</f>
        <v>#REF!</v>
      </c>
      <c r="H47" s="124" t="e">
        <f>VLOOKUP('北段 (人資版)'!H47,工作表1!$A$3:$B$78,2,FALSE)</f>
        <v>#REF!</v>
      </c>
      <c r="I47" s="124" t="e">
        <f>VLOOKUP('北段 (人資版)'!I47,工作表1!$A$3:$B$78,2,FALSE)</f>
        <v>#REF!</v>
      </c>
      <c r="J47" s="124" t="e">
        <f>VLOOKUP('北段 (人資版)'!J47,工作表1!$A$3:$B$78,2,FALSE)</f>
        <v>#REF!</v>
      </c>
      <c r="K47" s="124" t="e">
        <f>VLOOKUP('北段 (人資版)'!K47,工作表1!$A$3:$B$78,2,FALSE)</f>
        <v>#REF!</v>
      </c>
      <c r="L47" s="124" t="e">
        <f>VLOOKUP('北段 (人資版)'!L47,工作表1!$A$3:$B$78,2,FALSE)</f>
        <v>#REF!</v>
      </c>
      <c r="M47" s="124" t="e">
        <f>VLOOKUP('北段 (人資版)'!M47,工作表1!$A$3:$B$78,2,FALSE)</f>
        <v>#REF!</v>
      </c>
      <c r="N47" s="124" t="e">
        <f>VLOOKUP('北段 (人資版)'!N47,工作表1!$A$3:$B$78,2,FALSE)</f>
        <v>#REF!</v>
      </c>
      <c r="O47" s="124" t="e">
        <f>VLOOKUP('北段 (人資版)'!O47,工作表1!$A$3:$B$78,2,FALSE)</f>
        <v>#REF!</v>
      </c>
      <c r="P47" s="124" t="e">
        <f>VLOOKUP('北段 (人資版)'!P47,工作表1!$A$3:$B$78,2,FALSE)</f>
        <v>#REF!</v>
      </c>
      <c r="Q47" s="124" t="e">
        <f>VLOOKUP('北段 (人資版)'!Q47,工作表1!$A$3:$B$78,2,FALSE)</f>
        <v>#REF!</v>
      </c>
      <c r="R47" s="124" t="e">
        <f>VLOOKUP('北段 (人資版)'!R47,工作表1!$A$3:$B$78,2,FALSE)</f>
        <v>#REF!</v>
      </c>
      <c r="S47" s="124" t="e">
        <f>VLOOKUP('北段 (人資版)'!S47,工作表1!$A$3:$B$78,2,FALSE)</f>
        <v>#REF!</v>
      </c>
      <c r="T47" s="124" t="e">
        <f>VLOOKUP('北段 (人資版)'!T47,工作表1!$A$3:$B$78,2,FALSE)</f>
        <v>#REF!</v>
      </c>
      <c r="U47" s="124" t="e">
        <f>VLOOKUP('北段 (人資版)'!U47,工作表1!$A$3:$B$78,2,FALSE)</f>
        <v>#REF!</v>
      </c>
      <c r="V47" s="124" t="e">
        <f>VLOOKUP('北段 (人資版)'!V47,工作表1!$A$3:$B$78,2,FALSE)</f>
        <v>#REF!</v>
      </c>
      <c r="W47" s="124" t="e">
        <f>VLOOKUP('北段 (人資版)'!W47,工作表1!$A$3:$B$78,2,FALSE)</f>
        <v>#REF!</v>
      </c>
      <c r="X47" s="124" t="e">
        <f>VLOOKUP('北段 (人資版)'!X47,工作表1!$A$3:$B$78,2,FALSE)</f>
        <v>#REF!</v>
      </c>
      <c r="Y47" s="124" t="e">
        <f>VLOOKUP('北段 (人資版)'!Y47,工作表1!$A$3:$B$78,2,FALSE)</f>
        <v>#REF!</v>
      </c>
      <c r="Z47" s="124" t="e">
        <f>VLOOKUP('北段 (人資版)'!Z47,工作表1!$A$3:$B$78,2,FALSE)</f>
        <v>#REF!</v>
      </c>
      <c r="AA47" s="124" t="e">
        <f>VLOOKUP('北段 (人資版)'!AA47,工作表1!$A$3:$B$78,2,FALSE)</f>
        <v>#REF!</v>
      </c>
      <c r="AB47" s="124" t="e">
        <f>VLOOKUP('北段 (人資版)'!AB47,工作表1!$A$3:$B$78,2,FALSE)</f>
        <v>#REF!</v>
      </c>
      <c r="AC47" s="124" t="e">
        <f>VLOOKUP('北段 (人資版)'!AC47,工作表1!$A$3:$B$78,2,FALSE)</f>
        <v>#REF!</v>
      </c>
      <c r="AD47" s="124" t="e">
        <f>VLOOKUP('北段 (人資版)'!AD47,工作表1!$A$3:$B$78,2,FALSE)</f>
        <v>#REF!</v>
      </c>
      <c r="AE47" s="124" t="e">
        <f>VLOOKUP('北段 (人資版)'!AE47,工作表1!$A$3:$B$78,2,FALSE)</f>
        <v>#REF!</v>
      </c>
      <c r="AF47" s="124" t="e">
        <f>VLOOKUP('北段 (人資版)'!AF47,工作表1!$A$3:$B$78,2,FALSE)</f>
        <v>#REF!</v>
      </c>
      <c r="AG47" s="124" t="e">
        <f>VLOOKUP('北段 (人資版)'!AG47,工作表1!$A$3:$B$78,2,FALSE)</f>
        <v>#REF!</v>
      </c>
      <c r="AH47" s="124" t="e">
        <f>VLOOKUP('北段 (人資版)'!AH47,工作表1!$A$3:$B$78,2,FALSE)</f>
        <v>#REF!</v>
      </c>
    </row>
    <row r="48" spans="1:34" ht="39.6" customHeight="1" x14ac:dyDescent="0.25">
      <c r="A48" s="47"/>
      <c r="B48" s="72" t="e">
        <f>北段!#REF!</f>
        <v>#REF!</v>
      </c>
      <c r="C48" s="38" t="e">
        <f>VLOOKUP(B48,北段!B:C,2,FALSE)</f>
        <v>#REF!</v>
      </c>
      <c r="D48" s="124" t="e">
        <f>VLOOKUP('北段 (人資版)'!D48,工作表1!$A$3:$B$78,2,FALSE)</f>
        <v>#REF!</v>
      </c>
      <c r="E48" s="124" t="e">
        <f>VLOOKUP('北段 (人資版)'!E48,工作表1!$A$3:$B$78,2,FALSE)</f>
        <v>#REF!</v>
      </c>
      <c r="F48" s="124" t="e">
        <f>VLOOKUP('北段 (人資版)'!F48,工作表1!$A$3:$B$78,2,FALSE)</f>
        <v>#REF!</v>
      </c>
      <c r="G48" s="124" t="e">
        <f>VLOOKUP('北段 (人資版)'!G48,工作表1!$A$3:$B$78,2,FALSE)</f>
        <v>#REF!</v>
      </c>
      <c r="H48" s="124" t="e">
        <f>VLOOKUP('北段 (人資版)'!H48,工作表1!$A$3:$B$78,2,FALSE)</f>
        <v>#REF!</v>
      </c>
      <c r="I48" s="124" t="e">
        <f>VLOOKUP('北段 (人資版)'!I48,工作表1!$A$3:$B$78,2,FALSE)</f>
        <v>#REF!</v>
      </c>
      <c r="J48" s="124" t="e">
        <f>VLOOKUP('北段 (人資版)'!J48,工作表1!$A$3:$B$78,2,FALSE)</f>
        <v>#REF!</v>
      </c>
      <c r="K48" s="124" t="e">
        <f>VLOOKUP('北段 (人資版)'!K48,工作表1!$A$3:$B$78,2,FALSE)</f>
        <v>#REF!</v>
      </c>
      <c r="L48" s="124" t="e">
        <f>VLOOKUP('北段 (人資版)'!L48,工作表1!$A$3:$B$78,2,FALSE)</f>
        <v>#REF!</v>
      </c>
      <c r="M48" s="124" t="e">
        <f>VLOOKUP('北段 (人資版)'!M48,工作表1!$A$3:$B$78,2,FALSE)</f>
        <v>#REF!</v>
      </c>
      <c r="N48" s="124" t="e">
        <f>VLOOKUP('北段 (人資版)'!N48,工作表1!$A$3:$B$78,2,FALSE)</f>
        <v>#REF!</v>
      </c>
      <c r="O48" s="124" t="e">
        <f>VLOOKUP('北段 (人資版)'!O48,工作表1!$A$3:$B$78,2,FALSE)</f>
        <v>#REF!</v>
      </c>
      <c r="P48" s="124" t="e">
        <f>VLOOKUP('北段 (人資版)'!P48,工作表1!$A$3:$B$78,2,FALSE)</f>
        <v>#REF!</v>
      </c>
      <c r="Q48" s="124" t="e">
        <f>VLOOKUP('北段 (人資版)'!Q48,工作表1!$A$3:$B$78,2,FALSE)</f>
        <v>#REF!</v>
      </c>
      <c r="R48" s="124" t="e">
        <f>VLOOKUP('北段 (人資版)'!R48,工作表1!$A$3:$B$78,2,FALSE)</f>
        <v>#REF!</v>
      </c>
      <c r="S48" s="124" t="e">
        <f>VLOOKUP('北段 (人資版)'!S48,工作表1!$A$3:$B$78,2,FALSE)</f>
        <v>#REF!</v>
      </c>
      <c r="T48" s="124" t="e">
        <f>VLOOKUP('北段 (人資版)'!T48,工作表1!$A$3:$B$78,2,FALSE)</f>
        <v>#REF!</v>
      </c>
      <c r="U48" s="124" t="e">
        <f>VLOOKUP('北段 (人資版)'!U48,工作表1!$A$3:$B$78,2,FALSE)</f>
        <v>#REF!</v>
      </c>
      <c r="V48" s="124" t="e">
        <f>VLOOKUP('北段 (人資版)'!V48,工作表1!$A$3:$B$78,2,FALSE)</f>
        <v>#REF!</v>
      </c>
      <c r="W48" s="124" t="e">
        <f>VLOOKUP('北段 (人資版)'!W48,工作表1!$A$3:$B$78,2,FALSE)</f>
        <v>#REF!</v>
      </c>
      <c r="X48" s="124" t="e">
        <f>VLOOKUP('北段 (人資版)'!X48,工作表1!$A$3:$B$78,2,FALSE)</f>
        <v>#REF!</v>
      </c>
      <c r="Y48" s="124" t="e">
        <f>VLOOKUP('北段 (人資版)'!Y48,工作表1!$A$3:$B$78,2,FALSE)</f>
        <v>#REF!</v>
      </c>
      <c r="Z48" s="124" t="e">
        <f>VLOOKUP('北段 (人資版)'!Z48,工作表1!$A$3:$B$78,2,FALSE)</f>
        <v>#REF!</v>
      </c>
      <c r="AA48" s="124" t="e">
        <f>VLOOKUP('北段 (人資版)'!AA48,工作表1!$A$3:$B$78,2,FALSE)</f>
        <v>#REF!</v>
      </c>
      <c r="AB48" s="124" t="e">
        <f>VLOOKUP('北段 (人資版)'!AB48,工作表1!$A$3:$B$78,2,FALSE)</f>
        <v>#REF!</v>
      </c>
      <c r="AC48" s="124" t="e">
        <f>VLOOKUP('北段 (人資版)'!AC48,工作表1!$A$3:$B$78,2,FALSE)</f>
        <v>#REF!</v>
      </c>
      <c r="AD48" s="124" t="e">
        <f>VLOOKUP('北段 (人資版)'!AD48,工作表1!$A$3:$B$78,2,FALSE)</f>
        <v>#REF!</v>
      </c>
      <c r="AE48" s="124" t="e">
        <f>VLOOKUP('北段 (人資版)'!AE48,工作表1!$A$3:$B$78,2,FALSE)</f>
        <v>#REF!</v>
      </c>
      <c r="AF48" s="124" t="e">
        <f>VLOOKUP('北段 (人資版)'!AF48,工作表1!$A$3:$B$78,2,FALSE)</f>
        <v>#REF!</v>
      </c>
      <c r="AG48" s="124" t="e">
        <f>VLOOKUP('北段 (人資版)'!AG48,工作表1!$A$3:$B$78,2,FALSE)</f>
        <v>#REF!</v>
      </c>
      <c r="AH48" s="124" t="e">
        <f>VLOOKUP('北段 (人資版)'!AH48,工作表1!$A$3:$B$78,2,FALSE)</f>
        <v>#REF!</v>
      </c>
    </row>
    <row r="49" spans="1:34" s="36" customFormat="1" ht="39.6" customHeight="1" thickBot="1" x14ac:dyDescent="0.3">
      <c r="A49" s="47"/>
      <c r="B49" s="72" t="e">
        <f>北段!#REF!</f>
        <v>#REF!</v>
      </c>
      <c r="C49" s="38" t="e">
        <f>VLOOKUP(B49,北段!B:C,2,FALSE)</f>
        <v>#REF!</v>
      </c>
      <c r="D49" s="124" t="e">
        <f>VLOOKUP('北段 (人資版)'!D49,工作表1!$A$3:$B$78,2,FALSE)</f>
        <v>#REF!</v>
      </c>
      <c r="E49" s="124" t="e">
        <f>VLOOKUP('北段 (人資版)'!E49,工作表1!$A$3:$B$78,2,FALSE)</f>
        <v>#REF!</v>
      </c>
      <c r="F49" s="124" t="e">
        <f>VLOOKUP('北段 (人資版)'!F49,工作表1!$A$3:$B$78,2,FALSE)</f>
        <v>#REF!</v>
      </c>
      <c r="G49" s="124" t="e">
        <f>VLOOKUP('北段 (人資版)'!G49,工作表1!$A$3:$B$78,2,FALSE)</f>
        <v>#REF!</v>
      </c>
      <c r="H49" s="124" t="e">
        <f>VLOOKUP('北段 (人資版)'!H49,工作表1!$A$3:$B$78,2,FALSE)</f>
        <v>#REF!</v>
      </c>
      <c r="I49" s="124" t="e">
        <f>VLOOKUP('北段 (人資版)'!I49,工作表1!$A$3:$B$78,2,FALSE)</f>
        <v>#REF!</v>
      </c>
      <c r="J49" s="124" t="e">
        <f>VLOOKUP('北段 (人資版)'!J49,工作表1!$A$3:$B$78,2,FALSE)</f>
        <v>#REF!</v>
      </c>
      <c r="K49" s="124" t="e">
        <f>VLOOKUP('北段 (人資版)'!K49,工作表1!$A$3:$B$78,2,FALSE)</f>
        <v>#REF!</v>
      </c>
      <c r="L49" s="124" t="e">
        <f>VLOOKUP('北段 (人資版)'!L49,工作表1!$A$3:$B$78,2,FALSE)</f>
        <v>#REF!</v>
      </c>
      <c r="M49" s="124" t="e">
        <f>VLOOKUP('北段 (人資版)'!M49,工作表1!$A$3:$B$78,2,FALSE)</f>
        <v>#REF!</v>
      </c>
      <c r="N49" s="124" t="e">
        <f>VLOOKUP('北段 (人資版)'!N49,工作表1!$A$3:$B$78,2,FALSE)</f>
        <v>#REF!</v>
      </c>
      <c r="O49" s="124" t="e">
        <f>VLOOKUP('北段 (人資版)'!O49,工作表1!$A$3:$B$78,2,FALSE)</f>
        <v>#REF!</v>
      </c>
      <c r="P49" s="124" t="e">
        <f>VLOOKUP('北段 (人資版)'!P49,工作表1!$A$3:$B$78,2,FALSE)</f>
        <v>#REF!</v>
      </c>
      <c r="Q49" s="124" t="e">
        <f>VLOOKUP('北段 (人資版)'!Q49,工作表1!$A$3:$B$78,2,FALSE)</f>
        <v>#REF!</v>
      </c>
      <c r="R49" s="124" t="e">
        <f>VLOOKUP('北段 (人資版)'!R49,工作表1!$A$3:$B$78,2,FALSE)</f>
        <v>#REF!</v>
      </c>
      <c r="S49" s="124" t="e">
        <f>VLOOKUP('北段 (人資版)'!S49,工作表1!$A$3:$B$78,2,FALSE)</f>
        <v>#REF!</v>
      </c>
      <c r="T49" s="124" t="e">
        <f>VLOOKUP('北段 (人資版)'!T49,工作表1!$A$3:$B$78,2,FALSE)</f>
        <v>#REF!</v>
      </c>
      <c r="U49" s="124" t="e">
        <f>VLOOKUP('北段 (人資版)'!U49,工作表1!$A$3:$B$78,2,FALSE)</f>
        <v>#REF!</v>
      </c>
      <c r="V49" s="124" t="e">
        <f>VLOOKUP('北段 (人資版)'!V49,工作表1!$A$3:$B$78,2,FALSE)</f>
        <v>#REF!</v>
      </c>
      <c r="W49" s="124" t="e">
        <f>VLOOKUP('北段 (人資版)'!W49,工作表1!$A$3:$B$78,2,FALSE)</f>
        <v>#REF!</v>
      </c>
      <c r="X49" s="124" t="e">
        <f>VLOOKUP('北段 (人資版)'!X49,工作表1!$A$3:$B$78,2,FALSE)</f>
        <v>#REF!</v>
      </c>
      <c r="Y49" s="124" t="e">
        <f>VLOOKUP('北段 (人資版)'!Y49,工作表1!$A$3:$B$78,2,FALSE)</f>
        <v>#REF!</v>
      </c>
      <c r="Z49" s="124" t="e">
        <f>VLOOKUP('北段 (人資版)'!Z49,工作表1!$A$3:$B$78,2,FALSE)</f>
        <v>#REF!</v>
      </c>
      <c r="AA49" s="124" t="e">
        <f>VLOOKUP('北段 (人資版)'!AA49,工作表1!$A$3:$B$78,2,FALSE)</f>
        <v>#REF!</v>
      </c>
      <c r="AB49" s="124" t="e">
        <f>VLOOKUP('北段 (人資版)'!AB49,工作表1!$A$3:$B$78,2,FALSE)</f>
        <v>#REF!</v>
      </c>
      <c r="AC49" s="124" t="e">
        <f>VLOOKUP('北段 (人資版)'!AC49,工作表1!$A$3:$B$78,2,FALSE)</f>
        <v>#REF!</v>
      </c>
      <c r="AD49" s="124" t="e">
        <f>VLOOKUP('北段 (人資版)'!AD49,工作表1!$A$3:$B$78,2,FALSE)</f>
        <v>#REF!</v>
      </c>
      <c r="AE49" s="124" t="e">
        <f>VLOOKUP('北段 (人資版)'!AE49,工作表1!$A$3:$B$78,2,FALSE)</f>
        <v>#REF!</v>
      </c>
      <c r="AF49" s="124" t="e">
        <f>VLOOKUP('北段 (人資版)'!AF49,工作表1!$A$3:$B$78,2,FALSE)</f>
        <v>#REF!</v>
      </c>
      <c r="AG49" s="124" t="e">
        <f>VLOOKUP('北段 (人資版)'!AG49,工作表1!$A$3:$B$78,2,FALSE)</f>
        <v>#REF!</v>
      </c>
      <c r="AH49" s="124" t="e">
        <f>VLOOKUP('北段 (人資版)'!AH49,工作表1!$A$3:$B$78,2,FALSE)</f>
        <v>#REF!</v>
      </c>
    </row>
    <row r="50" spans="1:34" ht="39.75" customHeight="1" x14ac:dyDescent="0.25">
      <c r="A50" s="46" t="s">
        <v>25</v>
      </c>
      <c r="B50" s="72" t="e">
        <f>北段!#REF!</f>
        <v>#REF!</v>
      </c>
      <c r="C50" s="38" t="e">
        <f>VLOOKUP(B50,北段!B:C,2,FALSE)</f>
        <v>#REF!</v>
      </c>
      <c r="D50" s="124" t="e">
        <f>VLOOKUP('北段 (人資版)'!D50,工作表1!$A$3:$B$78,2,FALSE)</f>
        <v>#REF!</v>
      </c>
      <c r="E50" s="124" t="e">
        <f>VLOOKUP('北段 (人資版)'!E50,工作表1!$A$3:$B$78,2,FALSE)</f>
        <v>#REF!</v>
      </c>
      <c r="F50" s="124" t="e">
        <f>VLOOKUP('北段 (人資版)'!F50,工作表1!$A$3:$B$78,2,FALSE)</f>
        <v>#REF!</v>
      </c>
      <c r="G50" s="124" t="e">
        <f>VLOOKUP('北段 (人資版)'!G50,工作表1!$A$3:$B$78,2,FALSE)</f>
        <v>#REF!</v>
      </c>
      <c r="H50" s="124" t="e">
        <f>VLOOKUP('北段 (人資版)'!H50,工作表1!$A$3:$B$78,2,FALSE)</f>
        <v>#REF!</v>
      </c>
      <c r="I50" s="124" t="e">
        <f>VLOOKUP('北段 (人資版)'!I50,工作表1!$A$3:$B$78,2,FALSE)</f>
        <v>#REF!</v>
      </c>
      <c r="J50" s="124" t="e">
        <f>VLOOKUP('北段 (人資版)'!J50,工作表1!$A$3:$B$78,2,FALSE)</f>
        <v>#REF!</v>
      </c>
      <c r="K50" s="124" t="e">
        <f>VLOOKUP('北段 (人資版)'!K50,工作表1!$A$3:$B$78,2,FALSE)</f>
        <v>#REF!</v>
      </c>
      <c r="L50" s="124" t="e">
        <f>VLOOKUP('北段 (人資版)'!L50,工作表1!$A$3:$B$78,2,FALSE)</f>
        <v>#REF!</v>
      </c>
      <c r="M50" s="124" t="e">
        <f>VLOOKUP('北段 (人資版)'!M50,工作表1!$A$3:$B$78,2,FALSE)</f>
        <v>#REF!</v>
      </c>
      <c r="N50" s="124" t="e">
        <f>VLOOKUP('北段 (人資版)'!N50,工作表1!$A$3:$B$78,2,FALSE)</f>
        <v>#REF!</v>
      </c>
      <c r="O50" s="124" t="e">
        <f>VLOOKUP('北段 (人資版)'!O50,工作表1!$A$3:$B$78,2,FALSE)</f>
        <v>#REF!</v>
      </c>
      <c r="P50" s="124" t="e">
        <f>VLOOKUP('北段 (人資版)'!P50,工作表1!$A$3:$B$78,2,FALSE)</f>
        <v>#REF!</v>
      </c>
      <c r="Q50" s="124" t="e">
        <f>VLOOKUP('北段 (人資版)'!Q50,工作表1!$A$3:$B$78,2,FALSE)</f>
        <v>#REF!</v>
      </c>
      <c r="R50" s="124" t="e">
        <f>VLOOKUP('北段 (人資版)'!R50,工作表1!$A$3:$B$78,2,FALSE)</f>
        <v>#REF!</v>
      </c>
      <c r="S50" s="124" t="e">
        <f>VLOOKUP('北段 (人資版)'!S50,工作表1!$A$3:$B$78,2,FALSE)</f>
        <v>#REF!</v>
      </c>
      <c r="T50" s="124" t="e">
        <f>VLOOKUP('北段 (人資版)'!T50,工作表1!$A$3:$B$78,2,FALSE)</f>
        <v>#REF!</v>
      </c>
      <c r="U50" s="124" t="e">
        <f>VLOOKUP('北段 (人資版)'!U50,工作表1!$A$3:$B$78,2,FALSE)</f>
        <v>#REF!</v>
      </c>
      <c r="V50" s="124" t="e">
        <f>VLOOKUP('北段 (人資版)'!V50,工作表1!$A$3:$B$78,2,FALSE)</f>
        <v>#REF!</v>
      </c>
      <c r="W50" s="124" t="e">
        <f>VLOOKUP('北段 (人資版)'!W50,工作表1!$A$3:$B$78,2,FALSE)</f>
        <v>#REF!</v>
      </c>
      <c r="X50" s="124" t="e">
        <f>VLOOKUP('北段 (人資版)'!X50,工作表1!$A$3:$B$78,2,FALSE)</f>
        <v>#REF!</v>
      </c>
      <c r="Y50" s="124" t="e">
        <f>VLOOKUP('北段 (人資版)'!Y50,工作表1!$A$3:$B$78,2,FALSE)</f>
        <v>#REF!</v>
      </c>
      <c r="Z50" s="124" t="e">
        <f>VLOOKUP('北段 (人資版)'!Z50,工作表1!$A$3:$B$78,2,FALSE)</f>
        <v>#REF!</v>
      </c>
      <c r="AA50" s="124" t="e">
        <f>VLOOKUP('北段 (人資版)'!AA50,工作表1!$A$3:$B$78,2,FALSE)</f>
        <v>#REF!</v>
      </c>
      <c r="AB50" s="124" t="e">
        <f>VLOOKUP('北段 (人資版)'!AB50,工作表1!$A$3:$B$78,2,FALSE)</f>
        <v>#REF!</v>
      </c>
      <c r="AC50" s="124" t="e">
        <f>VLOOKUP('北段 (人資版)'!AC50,工作表1!$A$3:$B$78,2,FALSE)</f>
        <v>#REF!</v>
      </c>
      <c r="AD50" s="124" t="e">
        <f>VLOOKUP('北段 (人資版)'!AD50,工作表1!$A$3:$B$78,2,FALSE)</f>
        <v>#REF!</v>
      </c>
      <c r="AE50" s="124" t="e">
        <f>VLOOKUP('北段 (人資版)'!AE50,工作表1!$A$3:$B$78,2,FALSE)</f>
        <v>#REF!</v>
      </c>
      <c r="AF50" s="124" t="e">
        <f>VLOOKUP('北段 (人資版)'!AF50,工作表1!$A$3:$B$78,2,FALSE)</f>
        <v>#REF!</v>
      </c>
      <c r="AG50" s="124" t="e">
        <f>VLOOKUP('北段 (人資版)'!AG50,工作表1!$A$3:$B$78,2,FALSE)</f>
        <v>#REF!</v>
      </c>
      <c r="AH50" s="124" t="e">
        <f>VLOOKUP('北段 (人資版)'!AH50,工作表1!$A$3:$B$78,2,FALSE)</f>
        <v>#REF!</v>
      </c>
    </row>
    <row r="51" spans="1:34" ht="39.75" customHeight="1" x14ac:dyDescent="0.25">
      <c r="A51" s="47"/>
      <c r="B51" s="72" t="e">
        <f>北段!#REF!</f>
        <v>#REF!</v>
      </c>
      <c r="C51" s="38" t="e">
        <f>VLOOKUP(B51,北段!B:C,2,FALSE)</f>
        <v>#REF!</v>
      </c>
      <c r="D51" s="124" t="e">
        <f>VLOOKUP('北段 (人資版)'!D51,工作表1!$A$3:$B$78,2,FALSE)</f>
        <v>#REF!</v>
      </c>
      <c r="E51" s="124" t="e">
        <f>VLOOKUP('北段 (人資版)'!E51,工作表1!$A$3:$B$78,2,FALSE)</f>
        <v>#REF!</v>
      </c>
      <c r="F51" s="124" t="e">
        <f>VLOOKUP('北段 (人資版)'!F51,工作表1!$A$3:$B$78,2,FALSE)</f>
        <v>#REF!</v>
      </c>
      <c r="G51" s="124" t="e">
        <f>VLOOKUP('北段 (人資版)'!G51,工作表1!$A$3:$B$78,2,FALSE)</f>
        <v>#REF!</v>
      </c>
      <c r="H51" s="124" t="e">
        <f>VLOOKUP('北段 (人資版)'!H51,工作表1!$A$3:$B$78,2,FALSE)</f>
        <v>#REF!</v>
      </c>
      <c r="I51" s="124" t="e">
        <f>VLOOKUP('北段 (人資版)'!I51,工作表1!$A$3:$B$78,2,FALSE)</f>
        <v>#REF!</v>
      </c>
      <c r="J51" s="124" t="e">
        <f>VLOOKUP('北段 (人資版)'!J51,工作表1!$A$3:$B$78,2,FALSE)</f>
        <v>#REF!</v>
      </c>
      <c r="K51" s="124" t="e">
        <f>VLOOKUP('北段 (人資版)'!K51,工作表1!$A$3:$B$78,2,FALSE)</f>
        <v>#REF!</v>
      </c>
      <c r="L51" s="124" t="e">
        <f>VLOOKUP('北段 (人資版)'!L51,工作表1!$A$3:$B$78,2,FALSE)</f>
        <v>#REF!</v>
      </c>
      <c r="M51" s="124" t="e">
        <f>VLOOKUP('北段 (人資版)'!M51,工作表1!$A$3:$B$78,2,FALSE)</f>
        <v>#REF!</v>
      </c>
      <c r="N51" s="124" t="e">
        <f>VLOOKUP('北段 (人資版)'!N51,工作表1!$A$3:$B$78,2,FALSE)</f>
        <v>#REF!</v>
      </c>
      <c r="O51" s="124" t="e">
        <f>VLOOKUP('北段 (人資版)'!O51,工作表1!$A$3:$B$78,2,FALSE)</f>
        <v>#REF!</v>
      </c>
      <c r="P51" s="124" t="e">
        <f>VLOOKUP('北段 (人資版)'!P51,工作表1!$A$3:$B$78,2,FALSE)</f>
        <v>#REF!</v>
      </c>
      <c r="Q51" s="124" t="e">
        <f>VLOOKUP('北段 (人資版)'!Q51,工作表1!$A$3:$B$78,2,FALSE)</f>
        <v>#REF!</v>
      </c>
      <c r="R51" s="124" t="e">
        <f>VLOOKUP('北段 (人資版)'!R51,工作表1!$A$3:$B$78,2,FALSE)</f>
        <v>#REF!</v>
      </c>
      <c r="S51" s="124" t="e">
        <f>VLOOKUP('北段 (人資版)'!S51,工作表1!$A$3:$B$78,2,FALSE)</f>
        <v>#REF!</v>
      </c>
      <c r="T51" s="124" t="e">
        <f>VLOOKUP('北段 (人資版)'!T51,工作表1!$A$3:$B$78,2,FALSE)</f>
        <v>#REF!</v>
      </c>
      <c r="U51" s="124" t="e">
        <f>VLOOKUP('北段 (人資版)'!U51,工作表1!$A$3:$B$78,2,FALSE)</f>
        <v>#REF!</v>
      </c>
      <c r="V51" s="124" t="e">
        <f>VLOOKUP('北段 (人資版)'!V51,工作表1!$A$3:$B$78,2,FALSE)</f>
        <v>#REF!</v>
      </c>
      <c r="W51" s="124" t="e">
        <f>VLOOKUP('北段 (人資版)'!W51,工作表1!$A$3:$B$78,2,FALSE)</f>
        <v>#REF!</v>
      </c>
      <c r="X51" s="124" t="e">
        <f>VLOOKUP('北段 (人資版)'!X51,工作表1!$A$3:$B$78,2,FALSE)</f>
        <v>#REF!</v>
      </c>
      <c r="Y51" s="124" t="e">
        <f>VLOOKUP('北段 (人資版)'!Y51,工作表1!$A$3:$B$78,2,FALSE)</f>
        <v>#REF!</v>
      </c>
      <c r="Z51" s="124" t="e">
        <f>VLOOKUP('北段 (人資版)'!Z51,工作表1!$A$3:$B$78,2,FALSE)</f>
        <v>#REF!</v>
      </c>
      <c r="AA51" s="124" t="e">
        <f>VLOOKUP('北段 (人資版)'!AA51,工作表1!$A$3:$B$78,2,FALSE)</f>
        <v>#REF!</v>
      </c>
      <c r="AB51" s="124" t="e">
        <f>VLOOKUP('北段 (人資版)'!AB51,工作表1!$A$3:$B$78,2,FALSE)</f>
        <v>#REF!</v>
      </c>
      <c r="AC51" s="124" t="e">
        <f>VLOOKUP('北段 (人資版)'!AC51,工作表1!$A$3:$B$78,2,FALSE)</f>
        <v>#REF!</v>
      </c>
      <c r="AD51" s="124" t="e">
        <f>VLOOKUP('北段 (人資版)'!AD51,工作表1!$A$3:$B$78,2,FALSE)</f>
        <v>#REF!</v>
      </c>
      <c r="AE51" s="124" t="e">
        <f>VLOOKUP('北段 (人資版)'!AE51,工作表1!$A$3:$B$78,2,FALSE)</f>
        <v>#REF!</v>
      </c>
      <c r="AF51" s="124" t="e">
        <f>VLOOKUP('北段 (人資版)'!AF51,工作表1!$A$3:$B$78,2,FALSE)</f>
        <v>#REF!</v>
      </c>
      <c r="AG51" s="124" t="e">
        <f>VLOOKUP('北段 (人資版)'!AG51,工作表1!$A$3:$B$78,2,FALSE)</f>
        <v>#REF!</v>
      </c>
      <c r="AH51" s="124" t="e">
        <f>VLOOKUP('北段 (人資版)'!AH51,工作表1!$A$3:$B$78,2,FALSE)</f>
        <v>#REF!</v>
      </c>
    </row>
    <row r="52" spans="1:34" ht="39.6" customHeight="1" x14ac:dyDescent="0.25">
      <c r="A52" s="47"/>
      <c r="B52" s="72" t="e">
        <f>北段!#REF!</f>
        <v>#REF!</v>
      </c>
      <c r="C52" s="38" t="e">
        <f>VLOOKUP(B52,北段!B:C,2,FALSE)</f>
        <v>#REF!</v>
      </c>
      <c r="D52" s="124" t="e">
        <f>VLOOKUP('北段 (人資版)'!D52,工作表1!$A$3:$B$78,2,FALSE)</f>
        <v>#REF!</v>
      </c>
      <c r="E52" s="124" t="e">
        <f>VLOOKUP('北段 (人資版)'!E52,工作表1!$A$3:$B$78,2,FALSE)</f>
        <v>#REF!</v>
      </c>
      <c r="F52" s="124" t="e">
        <f>VLOOKUP('北段 (人資版)'!F52,工作表1!$A$3:$B$78,2,FALSE)</f>
        <v>#REF!</v>
      </c>
      <c r="G52" s="124" t="e">
        <f>VLOOKUP('北段 (人資版)'!G52,工作表1!$A$3:$B$78,2,FALSE)</f>
        <v>#REF!</v>
      </c>
      <c r="H52" s="124" t="e">
        <f>VLOOKUP('北段 (人資版)'!H52,工作表1!$A$3:$B$78,2,FALSE)</f>
        <v>#REF!</v>
      </c>
      <c r="I52" s="124" t="e">
        <f>VLOOKUP('北段 (人資版)'!I52,工作表1!$A$3:$B$78,2,FALSE)</f>
        <v>#REF!</v>
      </c>
      <c r="J52" s="124" t="e">
        <f>VLOOKUP('北段 (人資版)'!J52,工作表1!$A$3:$B$78,2,FALSE)</f>
        <v>#REF!</v>
      </c>
      <c r="K52" s="124" t="e">
        <f>VLOOKUP('北段 (人資版)'!K52,工作表1!$A$3:$B$78,2,FALSE)</f>
        <v>#REF!</v>
      </c>
      <c r="L52" s="124" t="e">
        <f>VLOOKUP('北段 (人資版)'!L52,工作表1!$A$3:$B$78,2,FALSE)</f>
        <v>#REF!</v>
      </c>
      <c r="M52" s="124" t="e">
        <f>VLOOKUP('北段 (人資版)'!M52,工作表1!$A$3:$B$78,2,FALSE)</f>
        <v>#REF!</v>
      </c>
      <c r="N52" s="124" t="e">
        <f>VLOOKUP('北段 (人資版)'!N52,工作表1!$A$3:$B$78,2,FALSE)</f>
        <v>#REF!</v>
      </c>
      <c r="O52" s="124" t="e">
        <f>VLOOKUP('北段 (人資版)'!O52,工作表1!$A$3:$B$78,2,FALSE)</f>
        <v>#REF!</v>
      </c>
      <c r="P52" s="124" t="e">
        <f>VLOOKUP('北段 (人資版)'!P52,工作表1!$A$3:$B$78,2,FALSE)</f>
        <v>#REF!</v>
      </c>
      <c r="Q52" s="124" t="e">
        <f>VLOOKUP('北段 (人資版)'!Q52,工作表1!$A$3:$B$78,2,FALSE)</f>
        <v>#REF!</v>
      </c>
      <c r="R52" s="124" t="e">
        <f>VLOOKUP('北段 (人資版)'!R52,工作表1!$A$3:$B$78,2,FALSE)</f>
        <v>#REF!</v>
      </c>
      <c r="S52" s="124" t="e">
        <f>VLOOKUP('北段 (人資版)'!S52,工作表1!$A$3:$B$78,2,FALSE)</f>
        <v>#REF!</v>
      </c>
      <c r="T52" s="124" t="e">
        <f>VLOOKUP('北段 (人資版)'!T52,工作表1!$A$3:$B$78,2,FALSE)</f>
        <v>#REF!</v>
      </c>
      <c r="U52" s="124" t="e">
        <f>VLOOKUP('北段 (人資版)'!U52,工作表1!$A$3:$B$78,2,FALSE)</f>
        <v>#REF!</v>
      </c>
      <c r="V52" s="124" t="e">
        <f>VLOOKUP('北段 (人資版)'!V52,工作表1!$A$3:$B$78,2,FALSE)</f>
        <v>#REF!</v>
      </c>
      <c r="W52" s="124" t="e">
        <f>VLOOKUP('北段 (人資版)'!W52,工作表1!$A$3:$B$78,2,FALSE)</f>
        <v>#REF!</v>
      </c>
      <c r="X52" s="124" t="e">
        <f>VLOOKUP('北段 (人資版)'!X52,工作表1!$A$3:$B$78,2,FALSE)</f>
        <v>#REF!</v>
      </c>
      <c r="Y52" s="124" t="e">
        <f>VLOOKUP('北段 (人資版)'!Y52,工作表1!$A$3:$B$78,2,FALSE)</f>
        <v>#REF!</v>
      </c>
      <c r="Z52" s="124" t="e">
        <f>VLOOKUP('北段 (人資版)'!Z52,工作表1!$A$3:$B$78,2,FALSE)</f>
        <v>#REF!</v>
      </c>
      <c r="AA52" s="124" t="e">
        <f>VLOOKUP('北段 (人資版)'!AA52,工作表1!$A$3:$B$78,2,FALSE)</f>
        <v>#REF!</v>
      </c>
      <c r="AB52" s="124" t="e">
        <f>VLOOKUP('北段 (人資版)'!AB52,工作表1!$A$3:$B$78,2,FALSE)</f>
        <v>#REF!</v>
      </c>
      <c r="AC52" s="124" t="e">
        <f>VLOOKUP('北段 (人資版)'!AC52,工作表1!$A$3:$B$78,2,FALSE)</f>
        <v>#REF!</v>
      </c>
      <c r="AD52" s="124" t="e">
        <f>VLOOKUP('北段 (人資版)'!AD52,工作表1!$A$3:$B$78,2,FALSE)</f>
        <v>#REF!</v>
      </c>
      <c r="AE52" s="124" t="e">
        <f>VLOOKUP('北段 (人資版)'!AE52,工作表1!$A$3:$B$78,2,FALSE)</f>
        <v>#REF!</v>
      </c>
      <c r="AF52" s="124" t="e">
        <f>VLOOKUP('北段 (人資版)'!AF52,工作表1!$A$3:$B$78,2,FALSE)</f>
        <v>#REF!</v>
      </c>
      <c r="AG52" s="124" t="e">
        <f>VLOOKUP('北段 (人資版)'!AG52,工作表1!$A$3:$B$78,2,FALSE)</f>
        <v>#REF!</v>
      </c>
      <c r="AH52" s="124" t="e">
        <f>VLOOKUP('北段 (人資版)'!AH52,工作表1!$A$3:$B$78,2,FALSE)</f>
        <v>#REF!</v>
      </c>
    </row>
    <row r="53" spans="1:34" ht="39.75" customHeight="1" x14ac:dyDescent="0.25">
      <c r="A53" s="47"/>
      <c r="B53" s="72" t="e">
        <f>北段!#REF!</f>
        <v>#REF!</v>
      </c>
      <c r="C53" s="38" t="e">
        <f>VLOOKUP(B53,北段!B:C,2,FALSE)</f>
        <v>#REF!</v>
      </c>
      <c r="D53" s="124" t="e">
        <f>VLOOKUP('北段 (人資版)'!D53,工作表1!$A$3:$B$78,2,FALSE)</f>
        <v>#REF!</v>
      </c>
      <c r="E53" s="124" t="e">
        <f>VLOOKUP('北段 (人資版)'!E53,工作表1!$A$3:$B$78,2,FALSE)</f>
        <v>#REF!</v>
      </c>
      <c r="F53" s="124" t="e">
        <f>VLOOKUP('北段 (人資版)'!F53,工作表1!$A$3:$B$78,2,FALSE)</f>
        <v>#REF!</v>
      </c>
      <c r="G53" s="124" t="e">
        <f>VLOOKUP('北段 (人資版)'!G53,工作表1!$A$3:$B$78,2,FALSE)</f>
        <v>#REF!</v>
      </c>
      <c r="H53" s="124" t="e">
        <f>VLOOKUP('北段 (人資版)'!H53,工作表1!$A$3:$B$78,2,FALSE)</f>
        <v>#REF!</v>
      </c>
      <c r="I53" s="124" t="e">
        <f>VLOOKUP('北段 (人資版)'!I53,工作表1!$A$3:$B$78,2,FALSE)</f>
        <v>#REF!</v>
      </c>
      <c r="J53" s="124" t="e">
        <f>VLOOKUP('北段 (人資版)'!J53,工作表1!$A$3:$B$78,2,FALSE)</f>
        <v>#REF!</v>
      </c>
      <c r="K53" s="124" t="e">
        <f>VLOOKUP('北段 (人資版)'!K53,工作表1!$A$3:$B$78,2,FALSE)</f>
        <v>#REF!</v>
      </c>
      <c r="L53" s="124" t="e">
        <f>VLOOKUP('北段 (人資版)'!L53,工作表1!$A$3:$B$78,2,FALSE)</f>
        <v>#REF!</v>
      </c>
      <c r="M53" s="124" t="e">
        <f>VLOOKUP('北段 (人資版)'!M53,工作表1!$A$3:$B$78,2,FALSE)</f>
        <v>#REF!</v>
      </c>
      <c r="N53" s="124" t="e">
        <f>VLOOKUP('北段 (人資版)'!N53,工作表1!$A$3:$B$78,2,FALSE)</f>
        <v>#REF!</v>
      </c>
      <c r="O53" s="124" t="e">
        <f>VLOOKUP('北段 (人資版)'!O53,工作表1!$A$3:$B$78,2,FALSE)</f>
        <v>#REF!</v>
      </c>
      <c r="P53" s="124" t="e">
        <f>VLOOKUP('北段 (人資版)'!P53,工作表1!$A$3:$B$78,2,FALSE)</f>
        <v>#REF!</v>
      </c>
      <c r="Q53" s="124" t="e">
        <f>VLOOKUP('北段 (人資版)'!Q53,工作表1!$A$3:$B$78,2,FALSE)</f>
        <v>#REF!</v>
      </c>
      <c r="R53" s="124" t="e">
        <f>VLOOKUP('北段 (人資版)'!R53,工作表1!$A$3:$B$78,2,FALSE)</f>
        <v>#REF!</v>
      </c>
      <c r="S53" s="124" t="e">
        <f>VLOOKUP('北段 (人資版)'!S53,工作表1!$A$3:$B$78,2,FALSE)</f>
        <v>#REF!</v>
      </c>
      <c r="T53" s="124" t="e">
        <f>VLOOKUP('北段 (人資版)'!T53,工作表1!$A$3:$B$78,2,FALSE)</f>
        <v>#REF!</v>
      </c>
      <c r="U53" s="124" t="e">
        <f>VLOOKUP('北段 (人資版)'!U53,工作表1!$A$3:$B$78,2,FALSE)</f>
        <v>#REF!</v>
      </c>
      <c r="V53" s="124" t="e">
        <f>VLOOKUP('北段 (人資版)'!V53,工作表1!$A$3:$B$78,2,FALSE)</f>
        <v>#REF!</v>
      </c>
      <c r="W53" s="124" t="e">
        <f>VLOOKUP('北段 (人資版)'!W53,工作表1!$A$3:$B$78,2,FALSE)</f>
        <v>#REF!</v>
      </c>
      <c r="X53" s="124" t="e">
        <f>VLOOKUP('北段 (人資版)'!X53,工作表1!$A$3:$B$78,2,FALSE)</f>
        <v>#REF!</v>
      </c>
      <c r="Y53" s="124" t="e">
        <f>VLOOKUP('北段 (人資版)'!Y53,工作表1!$A$3:$B$78,2,FALSE)</f>
        <v>#REF!</v>
      </c>
      <c r="Z53" s="124" t="e">
        <f>VLOOKUP('北段 (人資版)'!Z53,工作表1!$A$3:$B$78,2,FALSE)</f>
        <v>#REF!</v>
      </c>
      <c r="AA53" s="124" t="e">
        <f>VLOOKUP('北段 (人資版)'!AA53,工作表1!$A$3:$B$78,2,FALSE)</f>
        <v>#REF!</v>
      </c>
      <c r="AB53" s="124" t="e">
        <f>VLOOKUP('北段 (人資版)'!AB53,工作表1!$A$3:$B$78,2,FALSE)</f>
        <v>#REF!</v>
      </c>
      <c r="AC53" s="124" t="e">
        <f>VLOOKUP('北段 (人資版)'!AC53,工作表1!$A$3:$B$78,2,FALSE)</f>
        <v>#REF!</v>
      </c>
      <c r="AD53" s="124" t="e">
        <f>VLOOKUP('北段 (人資版)'!AD53,工作表1!$A$3:$B$78,2,FALSE)</f>
        <v>#REF!</v>
      </c>
      <c r="AE53" s="124" t="e">
        <f>VLOOKUP('北段 (人資版)'!AE53,工作表1!$A$3:$B$78,2,FALSE)</f>
        <v>#REF!</v>
      </c>
      <c r="AF53" s="124" t="e">
        <f>VLOOKUP('北段 (人資版)'!AF53,工作表1!$A$3:$B$78,2,FALSE)</f>
        <v>#REF!</v>
      </c>
      <c r="AG53" s="124" t="e">
        <f>VLOOKUP('北段 (人資版)'!AG53,工作表1!$A$3:$B$78,2,FALSE)</f>
        <v>#REF!</v>
      </c>
      <c r="AH53" s="124" t="e">
        <f>VLOOKUP('北段 (人資版)'!AH53,工作表1!$A$3:$B$78,2,FALSE)</f>
        <v>#REF!</v>
      </c>
    </row>
    <row r="54" spans="1:34" s="36" customFormat="1" ht="39.75" customHeight="1" x14ac:dyDescent="0.25">
      <c r="A54" s="47"/>
      <c r="B54" s="72" t="e">
        <f>北段!#REF!</f>
        <v>#REF!</v>
      </c>
      <c r="C54" s="38" t="e">
        <f>VLOOKUP(B54,北段!B:C,2,FALSE)</f>
        <v>#REF!</v>
      </c>
      <c r="D54" s="124" t="e">
        <f>VLOOKUP('北段 (人資版)'!D54,工作表1!$A$3:$B$78,2,FALSE)</f>
        <v>#REF!</v>
      </c>
      <c r="E54" s="124" t="e">
        <f>VLOOKUP('北段 (人資版)'!E54,工作表1!$A$3:$B$78,2,FALSE)</f>
        <v>#REF!</v>
      </c>
      <c r="F54" s="124" t="e">
        <f>VLOOKUP('北段 (人資版)'!F54,工作表1!$A$3:$B$78,2,FALSE)</f>
        <v>#REF!</v>
      </c>
      <c r="G54" s="124" t="e">
        <f>VLOOKUP('北段 (人資版)'!G54,工作表1!$A$3:$B$78,2,FALSE)</f>
        <v>#REF!</v>
      </c>
      <c r="H54" s="124" t="e">
        <f>VLOOKUP('北段 (人資版)'!H54,工作表1!$A$3:$B$78,2,FALSE)</f>
        <v>#REF!</v>
      </c>
      <c r="I54" s="124" t="e">
        <f>VLOOKUP('北段 (人資版)'!I54,工作表1!$A$3:$B$78,2,FALSE)</f>
        <v>#REF!</v>
      </c>
      <c r="J54" s="124" t="e">
        <f>VLOOKUP('北段 (人資版)'!J54,工作表1!$A$3:$B$78,2,FALSE)</f>
        <v>#REF!</v>
      </c>
      <c r="K54" s="124" t="e">
        <f>VLOOKUP('北段 (人資版)'!K54,工作表1!$A$3:$B$78,2,FALSE)</f>
        <v>#REF!</v>
      </c>
      <c r="L54" s="124" t="e">
        <f>VLOOKUP('北段 (人資版)'!L54,工作表1!$A$3:$B$78,2,FALSE)</f>
        <v>#REF!</v>
      </c>
      <c r="M54" s="124" t="e">
        <f>VLOOKUP('北段 (人資版)'!M54,工作表1!$A$3:$B$78,2,FALSE)</f>
        <v>#REF!</v>
      </c>
      <c r="N54" s="124" t="e">
        <f>VLOOKUP('北段 (人資版)'!N54,工作表1!$A$3:$B$78,2,FALSE)</f>
        <v>#REF!</v>
      </c>
      <c r="O54" s="124" t="e">
        <f>VLOOKUP('北段 (人資版)'!O54,工作表1!$A$3:$B$78,2,FALSE)</f>
        <v>#REF!</v>
      </c>
      <c r="P54" s="124" t="e">
        <f>VLOOKUP('北段 (人資版)'!P54,工作表1!$A$3:$B$78,2,FALSE)</f>
        <v>#REF!</v>
      </c>
      <c r="Q54" s="124" t="e">
        <f>VLOOKUP('北段 (人資版)'!Q54,工作表1!$A$3:$B$78,2,FALSE)</f>
        <v>#REF!</v>
      </c>
      <c r="R54" s="124" t="e">
        <f>VLOOKUP('北段 (人資版)'!R54,工作表1!$A$3:$B$78,2,FALSE)</f>
        <v>#REF!</v>
      </c>
      <c r="S54" s="124" t="e">
        <f>VLOOKUP('北段 (人資版)'!S54,工作表1!$A$3:$B$78,2,FALSE)</f>
        <v>#REF!</v>
      </c>
      <c r="T54" s="124" t="e">
        <f>VLOOKUP('北段 (人資版)'!T54,工作表1!$A$3:$B$78,2,FALSE)</f>
        <v>#REF!</v>
      </c>
      <c r="U54" s="124" t="e">
        <f>VLOOKUP('北段 (人資版)'!U54,工作表1!$A$3:$B$78,2,FALSE)</f>
        <v>#REF!</v>
      </c>
      <c r="V54" s="124" t="e">
        <f>VLOOKUP('北段 (人資版)'!V54,工作表1!$A$3:$B$78,2,FALSE)</f>
        <v>#REF!</v>
      </c>
      <c r="W54" s="124" t="e">
        <f>VLOOKUP('北段 (人資版)'!W54,工作表1!$A$3:$B$78,2,FALSE)</f>
        <v>#REF!</v>
      </c>
      <c r="X54" s="124" t="e">
        <f>VLOOKUP('北段 (人資版)'!X54,工作表1!$A$3:$B$78,2,FALSE)</f>
        <v>#REF!</v>
      </c>
      <c r="Y54" s="124" t="e">
        <f>VLOOKUP('北段 (人資版)'!Y54,工作表1!$A$3:$B$78,2,FALSE)</f>
        <v>#REF!</v>
      </c>
      <c r="Z54" s="124" t="e">
        <f>VLOOKUP('北段 (人資版)'!Z54,工作表1!$A$3:$B$78,2,FALSE)</f>
        <v>#REF!</v>
      </c>
      <c r="AA54" s="124" t="e">
        <f>VLOOKUP('北段 (人資版)'!AA54,工作表1!$A$3:$B$78,2,FALSE)</f>
        <v>#REF!</v>
      </c>
      <c r="AB54" s="124" t="e">
        <f>VLOOKUP('北段 (人資版)'!AB54,工作表1!$A$3:$B$78,2,FALSE)</f>
        <v>#REF!</v>
      </c>
      <c r="AC54" s="124" t="e">
        <f>VLOOKUP('北段 (人資版)'!AC54,工作表1!$A$3:$B$78,2,FALSE)</f>
        <v>#REF!</v>
      </c>
      <c r="AD54" s="124" t="e">
        <f>VLOOKUP('北段 (人資版)'!AD54,工作表1!$A$3:$B$78,2,FALSE)</f>
        <v>#REF!</v>
      </c>
      <c r="AE54" s="124" t="e">
        <f>VLOOKUP('北段 (人資版)'!AE54,工作表1!$A$3:$B$78,2,FALSE)</f>
        <v>#REF!</v>
      </c>
      <c r="AF54" s="124" t="e">
        <f>VLOOKUP('北段 (人資版)'!AF54,工作表1!$A$3:$B$78,2,FALSE)</f>
        <v>#REF!</v>
      </c>
      <c r="AG54" s="124" t="e">
        <f>VLOOKUP('北段 (人資版)'!AG54,工作表1!$A$3:$B$78,2,FALSE)</f>
        <v>#REF!</v>
      </c>
      <c r="AH54" s="124" t="e">
        <f>VLOOKUP('北段 (人資版)'!AH54,工作表1!$A$3:$B$78,2,FALSE)</f>
        <v>#REF!</v>
      </c>
    </row>
    <row r="55" spans="1:34" ht="39.75" customHeight="1" x14ac:dyDescent="0.25">
      <c r="A55" s="47"/>
      <c r="B55" s="72" t="e">
        <f>北段!#REF!</f>
        <v>#REF!</v>
      </c>
      <c r="C55" s="38" t="e">
        <f>VLOOKUP(B55,北段!B:C,2,FALSE)</f>
        <v>#REF!</v>
      </c>
      <c r="D55" s="124" t="e">
        <f>VLOOKUP('北段 (人資版)'!D55,工作表1!$A$3:$B$78,2,FALSE)</f>
        <v>#REF!</v>
      </c>
      <c r="E55" s="124" t="e">
        <f>VLOOKUP('北段 (人資版)'!E55,工作表1!$A$3:$B$78,2,FALSE)</f>
        <v>#REF!</v>
      </c>
      <c r="F55" s="124" t="e">
        <f>VLOOKUP('北段 (人資版)'!F55,工作表1!$A$3:$B$78,2,FALSE)</f>
        <v>#REF!</v>
      </c>
      <c r="G55" s="124" t="e">
        <f>VLOOKUP('北段 (人資版)'!G55,工作表1!$A$3:$B$78,2,FALSE)</f>
        <v>#REF!</v>
      </c>
      <c r="H55" s="124" t="e">
        <f>VLOOKUP('北段 (人資版)'!H55,工作表1!$A$3:$B$78,2,FALSE)</f>
        <v>#REF!</v>
      </c>
      <c r="I55" s="124" t="e">
        <f>VLOOKUP('北段 (人資版)'!I55,工作表1!$A$3:$B$78,2,FALSE)</f>
        <v>#REF!</v>
      </c>
      <c r="J55" s="124" t="e">
        <f>VLOOKUP('北段 (人資版)'!J55,工作表1!$A$3:$B$78,2,FALSE)</f>
        <v>#REF!</v>
      </c>
      <c r="K55" s="124" t="e">
        <f>VLOOKUP('北段 (人資版)'!K55,工作表1!$A$3:$B$78,2,FALSE)</f>
        <v>#REF!</v>
      </c>
      <c r="L55" s="124" t="e">
        <f>VLOOKUP('北段 (人資版)'!L55,工作表1!$A$3:$B$78,2,FALSE)</f>
        <v>#REF!</v>
      </c>
      <c r="M55" s="124" t="e">
        <f>VLOOKUP('北段 (人資版)'!M55,工作表1!$A$3:$B$78,2,FALSE)</f>
        <v>#REF!</v>
      </c>
      <c r="N55" s="124" t="e">
        <f>VLOOKUP('北段 (人資版)'!N55,工作表1!$A$3:$B$78,2,FALSE)</f>
        <v>#REF!</v>
      </c>
      <c r="O55" s="124" t="e">
        <f>VLOOKUP('北段 (人資版)'!O55,工作表1!$A$3:$B$78,2,FALSE)</f>
        <v>#REF!</v>
      </c>
      <c r="P55" s="124" t="e">
        <f>VLOOKUP('北段 (人資版)'!P55,工作表1!$A$3:$B$78,2,FALSE)</f>
        <v>#REF!</v>
      </c>
      <c r="Q55" s="124" t="e">
        <f>VLOOKUP('北段 (人資版)'!Q55,工作表1!$A$3:$B$78,2,FALSE)</f>
        <v>#REF!</v>
      </c>
      <c r="R55" s="124" t="e">
        <f>VLOOKUP('北段 (人資版)'!R55,工作表1!$A$3:$B$78,2,FALSE)</f>
        <v>#REF!</v>
      </c>
      <c r="S55" s="124" t="e">
        <f>VLOOKUP('北段 (人資版)'!S55,工作表1!$A$3:$B$78,2,FALSE)</f>
        <v>#REF!</v>
      </c>
      <c r="T55" s="124" t="e">
        <f>VLOOKUP('北段 (人資版)'!T55,工作表1!$A$3:$B$78,2,FALSE)</f>
        <v>#REF!</v>
      </c>
      <c r="U55" s="124" t="e">
        <f>VLOOKUP('北段 (人資版)'!U55,工作表1!$A$3:$B$78,2,FALSE)</f>
        <v>#REF!</v>
      </c>
      <c r="V55" s="124" t="e">
        <f>VLOOKUP('北段 (人資版)'!V55,工作表1!$A$3:$B$78,2,FALSE)</f>
        <v>#REF!</v>
      </c>
      <c r="W55" s="124" t="e">
        <f>VLOOKUP('北段 (人資版)'!W55,工作表1!$A$3:$B$78,2,FALSE)</f>
        <v>#REF!</v>
      </c>
      <c r="X55" s="124" t="e">
        <f>VLOOKUP('北段 (人資版)'!X55,工作表1!$A$3:$B$78,2,FALSE)</f>
        <v>#REF!</v>
      </c>
      <c r="Y55" s="124" t="e">
        <f>VLOOKUP('北段 (人資版)'!Y55,工作表1!$A$3:$B$78,2,FALSE)</f>
        <v>#REF!</v>
      </c>
      <c r="Z55" s="124" t="e">
        <f>VLOOKUP('北段 (人資版)'!Z55,工作表1!$A$3:$B$78,2,FALSE)</f>
        <v>#REF!</v>
      </c>
      <c r="AA55" s="124" t="e">
        <f>VLOOKUP('北段 (人資版)'!AA55,工作表1!$A$3:$B$78,2,FALSE)</f>
        <v>#REF!</v>
      </c>
      <c r="AB55" s="124" t="e">
        <f>VLOOKUP('北段 (人資版)'!AB55,工作表1!$A$3:$B$78,2,FALSE)</f>
        <v>#REF!</v>
      </c>
      <c r="AC55" s="124" t="e">
        <f>VLOOKUP('北段 (人資版)'!AC55,工作表1!$A$3:$B$78,2,FALSE)</f>
        <v>#REF!</v>
      </c>
      <c r="AD55" s="124" t="e">
        <f>VLOOKUP('北段 (人資版)'!AD55,工作表1!$A$3:$B$78,2,FALSE)</f>
        <v>#REF!</v>
      </c>
      <c r="AE55" s="124" t="e">
        <f>VLOOKUP('北段 (人資版)'!AE55,工作表1!$A$3:$B$78,2,FALSE)</f>
        <v>#REF!</v>
      </c>
      <c r="AF55" s="124" t="e">
        <f>VLOOKUP('北段 (人資版)'!AF55,工作表1!$A$3:$B$78,2,FALSE)</f>
        <v>#REF!</v>
      </c>
      <c r="AG55" s="124" t="e">
        <f>VLOOKUP('北段 (人資版)'!AG55,工作表1!$A$3:$B$78,2,FALSE)</f>
        <v>#REF!</v>
      </c>
      <c r="AH55" s="124" t="e">
        <f>VLOOKUP('北段 (人資版)'!AH55,工作表1!$A$3:$B$78,2,FALSE)</f>
        <v>#REF!</v>
      </c>
    </row>
    <row r="56" spans="1:34" s="36" customFormat="1" ht="39.75" customHeight="1" thickBot="1" x14ac:dyDescent="0.3">
      <c r="A56" s="50"/>
      <c r="B56" s="72" t="e">
        <f>北段!#REF!</f>
        <v>#REF!</v>
      </c>
      <c r="C56" s="38" t="e">
        <f>VLOOKUP(B56,北段!B:C,2,FALSE)</f>
        <v>#REF!</v>
      </c>
      <c r="D56" s="124" t="e">
        <f>VLOOKUP('北段 (人資版)'!D56,工作表1!$A$3:$B$78,2,FALSE)</f>
        <v>#REF!</v>
      </c>
      <c r="E56" s="124" t="e">
        <f>VLOOKUP('北段 (人資版)'!E56,工作表1!$A$3:$B$78,2,FALSE)</f>
        <v>#REF!</v>
      </c>
      <c r="F56" s="124" t="e">
        <f>VLOOKUP('北段 (人資版)'!F56,工作表1!$A$3:$B$78,2,FALSE)</f>
        <v>#REF!</v>
      </c>
      <c r="G56" s="124" t="e">
        <f>VLOOKUP('北段 (人資版)'!G56,工作表1!$A$3:$B$78,2,FALSE)</f>
        <v>#REF!</v>
      </c>
      <c r="H56" s="124" t="e">
        <f>VLOOKUP('北段 (人資版)'!H56,工作表1!$A$3:$B$78,2,FALSE)</f>
        <v>#REF!</v>
      </c>
      <c r="I56" s="124" t="e">
        <f>VLOOKUP('北段 (人資版)'!I56,工作表1!$A$3:$B$78,2,FALSE)</f>
        <v>#REF!</v>
      </c>
      <c r="J56" s="124" t="e">
        <f>VLOOKUP('北段 (人資版)'!J56,工作表1!$A$3:$B$78,2,FALSE)</f>
        <v>#REF!</v>
      </c>
      <c r="K56" s="124" t="e">
        <f>VLOOKUP('北段 (人資版)'!K56,工作表1!$A$3:$B$78,2,FALSE)</f>
        <v>#REF!</v>
      </c>
      <c r="L56" s="124" t="e">
        <f>VLOOKUP('北段 (人資版)'!L56,工作表1!$A$3:$B$78,2,FALSE)</f>
        <v>#REF!</v>
      </c>
      <c r="M56" s="124" t="e">
        <f>VLOOKUP('北段 (人資版)'!M56,工作表1!$A$3:$B$78,2,FALSE)</f>
        <v>#REF!</v>
      </c>
      <c r="N56" s="124" t="e">
        <f>VLOOKUP('北段 (人資版)'!N56,工作表1!$A$3:$B$78,2,FALSE)</f>
        <v>#REF!</v>
      </c>
      <c r="O56" s="124" t="e">
        <f>VLOOKUP('北段 (人資版)'!O56,工作表1!$A$3:$B$78,2,FALSE)</f>
        <v>#REF!</v>
      </c>
      <c r="P56" s="124" t="e">
        <f>VLOOKUP('北段 (人資版)'!P56,工作表1!$A$3:$B$78,2,FALSE)</f>
        <v>#REF!</v>
      </c>
      <c r="Q56" s="124" t="e">
        <f>VLOOKUP('北段 (人資版)'!Q56,工作表1!$A$3:$B$78,2,FALSE)</f>
        <v>#REF!</v>
      </c>
      <c r="R56" s="124" t="e">
        <f>VLOOKUP('北段 (人資版)'!R56,工作表1!$A$3:$B$78,2,FALSE)</f>
        <v>#REF!</v>
      </c>
      <c r="S56" s="124" t="e">
        <f>VLOOKUP('北段 (人資版)'!S56,工作表1!$A$3:$B$78,2,FALSE)</f>
        <v>#REF!</v>
      </c>
      <c r="T56" s="124" t="e">
        <f>VLOOKUP('北段 (人資版)'!T56,工作表1!$A$3:$B$78,2,FALSE)</f>
        <v>#REF!</v>
      </c>
      <c r="U56" s="124" t="e">
        <f>VLOOKUP('北段 (人資版)'!U56,工作表1!$A$3:$B$78,2,FALSE)</f>
        <v>#REF!</v>
      </c>
      <c r="V56" s="124" t="e">
        <f>VLOOKUP('北段 (人資版)'!V56,工作表1!$A$3:$B$78,2,FALSE)</f>
        <v>#REF!</v>
      </c>
      <c r="W56" s="124" t="e">
        <f>VLOOKUP('北段 (人資版)'!W56,工作表1!$A$3:$B$78,2,FALSE)</f>
        <v>#REF!</v>
      </c>
      <c r="X56" s="124" t="e">
        <f>VLOOKUP('北段 (人資版)'!X56,工作表1!$A$3:$B$78,2,FALSE)</f>
        <v>#REF!</v>
      </c>
      <c r="Y56" s="124" t="e">
        <f>VLOOKUP('北段 (人資版)'!Y56,工作表1!$A$3:$B$78,2,FALSE)</f>
        <v>#REF!</v>
      </c>
      <c r="Z56" s="124" t="e">
        <f>VLOOKUP('北段 (人資版)'!Z56,工作表1!$A$3:$B$78,2,FALSE)</f>
        <v>#REF!</v>
      </c>
      <c r="AA56" s="124" t="e">
        <f>VLOOKUP('北段 (人資版)'!AA56,工作表1!$A$3:$B$78,2,FALSE)</f>
        <v>#REF!</v>
      </c>
      <c r="AB56" s="124" t="e">
        <f>VLOOKUP('北段 (人資版)'!AB56,工作表1!$A$3:$B$78,2,FALSE)</f>
        <v>#REF!</v>
      </c>
      <c r="AC56" s="124" t="e">
        <f>VLOOKUP('北段 (人資版)'!AC56,工作表1!$A$3:$B$78,2,FALSE)</f>
        <v>#REF!</v>
      </c>
      <c r="AD56" s="124" t="e">
        <f>VLOOKUP('北段 (人資版)'!AD56,工作表1!$A$3:$B$78,2,FALSE)</f>
        <v>#REF!</v>
      </c>
      <c r="AE56" s="124" t="e">
        <f>VLOOKUP('北段 (人資版)'!AE56,工作表1!$A$3:$B$78,2,FALSE)</f>
        <v>#REF!</v>
      </c>
      <c r="AF56" s="124" t="e">
        <f>VLOOKUP('北段 (人資版)'!AF56,工作表1!$A$3:$B$78,2,FALSE)</f>
        <v>#REF!</v>
      </c>
      <c r="AG56" s="124" t="e">
        <f>VLOOKUP('北段 (人資版)'!AG56,工作表1!$A$3:$B$78,2,FALSE)</f>
        <v>#REF!</v>
      </c>
      <c r="AH56" s="124" t="e">
        <f>VLOOKUP('北段 (人資版)'!AH56,工作表1!$A$3:$B$78,2,FALSE)</f>
        <v>#REF!</v>
      </c>
    </row>
    <row r="57" spans="1:34" ht="39.75" customHeight="1" x14ac:dyDescent="0.25">
      <c r="A57" s="46" t="s">
        <v>26</v>
      </c>
      <c r="B57" s="72" t="e">
        <f>北段!#REF!</f>
        <v>#REF!</v>
      </c>
      <c r="C57" s="38" t="e">
        <f>VLOOKUP(B57,北段!B:C,2,FALSE)</f>
        <v>#REF!</v>
      </c>
      <c r="D57" s="124" t="e">
        <f>VLOOKUP('北段 (人資版)'!D57,工作表1!$A$3:$B$78,2,FALSE)</f>
        <v>#REF!</v>
      </c>
      <c r="E57" s="124" t="e">
        <f>VLOOKUP('北段 (人資版)'!E57,工作表1!$A$3:$B$78,2,FALSE)</f>
        <v>#REF!</v>
      </c>
      <c r="F57" s="124" t="e">
        <f>VLOOKUP('北段 (人資版)'!F57,工作表1!$A$3:$B$78,2,FALSE)</f>
        <v>#REF!</v>
      </c>
      <c r="G57" s="124" t="e">
        <f>VLOOKUP('北段 (人資版)'!G57,工作表1!$A$3:$B$78,2,FALSE)</f>
        <v>#REF!</v>
      </c>
      <c r="H57" s="124" t="e">
        <f>VLOOKUP('北段 (人資版)'!H57,工作表1!$A$3:$B$78,2,FALSE)</f>
        <v>#REF!</v>
      </c>
      <c r="I57" s="124" t="e">
        <f>VLOOKUP('北段 (人資版)'!I57,工作表1!$A$3:$B$78,2,FALSE)</f>
        <v>#REF!</v>
      </c>
      <c r="J57" s="124" t="e">
        <f>VLOOKUP('北段 (人資版)'!J57,工作表1!$A$3:$B$78,2,FALSE)</f>
        <v>#REF!</v>
      </c>
      <c r="K57" s="124" t="e">
        <f>VLOOKUP('北段 (人資版)'!K57,工作表1!$A$3:$B$78,2,FALSE)</f>
        <v>#REF!</v>
      </c>
      <c r="L57" s="124" t="e">
        <f>VLOOKUP('北段 (人資版)'!L57,工作表1!$A$3:$B$78,2,FALSE)</f>
        <v>#REF!</v>
      </c>
      <c r="M57" s="124" t="e">
        <f>VLOOKUP('北段 (人資版)'!M57,工作表1!$A$3:$B$78,2,FALSE)</f>
        <v>#REF!</v>
      </c>
      <c r="N57" s="124" t="e">
        <f>VLOOKUP('北段 (人資版)'!N57,工作表1!$A$3:$B$78,2,FALSE)</f>
        <v>#REF!</v>
      </c>
      <c r="O57" s="124" t="e">
        <f>VLOOKUP('北段 (人資版)'!O57,工作表1!$A$3:$B$78,2,FALSE)</f>
        <v>#REF!</v>
      </c>
      <c r="P57" s="124" t="e">
        <f>VLOOKUP('北段 (人資版)'!P57,工作表1!$A$3:$B$78,2,FALSE)</f>
        <v>#REF!</v>
      </c>
      <c r="Q57" s="124" t="e">
        <f>VLOOKUP('北段 (人資版)'!Q57,工作表1!$A$3:$B$78,2,FALSE)</f>
        <v>#REF!</v>
      </c>
      <c r="R57" s="124" t="e">
        <f>VLOOKUP('北段 (人資版)'!R57,工作表1!$A$3:$B$78,2,FALSE)</f>
        <v>#REF!</v>
      </c>
      <c r="S57" s="124" t="e">
        <f>VLOOKUP('北段 (人資版)'!S57,工作表1!$A$3:$B$78,2,FALSE)</f>
        <v>#REF!</v>
      </c>
      <c r="T57" s="124" t="e">
        <f>VLOOKUP('北段 (人資版)'!T57,工作表1!$A$3:$B$78,2,FALSE)</f>
        <v>#REF!</v>
      </c>
      <c r="U57" s="124" t="e">
        <f>VLOOKUP('北段 (人資版)'!U57,工作表1!$A$3:$B$78,2,FALSE)</f>
        <v>#REF!</v>
      </c>
      <c r="V57" s="124" t="e">
        <f>VLOOKUP('北段 (人資版)'!V57,工作表1!$A$3:$B$78,2,FALSE)</f>
        <v>#REF!</v>
      </c>
      <c r="W57" s="124" t="e">
        <f>VLOOKUP('北段 (人資版)'!W57,工作表1!$A$3:$B$78,2,FALSE)</f>
        <v>#REF!</v>
      </c>
      <c r="X57" s="124" t="e">
        <f>VLOOKUP('北段 (人資版)'!X57,工作表1!$A$3:$B$78,2,FALSE)</f>
        <v>#REF!</v>
      </c>
      <c r="Y57" s="124" t="e">
        <f>VLOOKUP('北段 (人資版)'!Y57,工作表1!$A$3:$B$78,2,FALSE)</f>
        <v>#REF!</v>
      </c>
      <c r="Z57" s="124" t="e">
        <f>VLOOKUP('北段 (人資版)'!Z57,工作表1!$A$3:$B$78,2,FALSE)</f>
        <v>#REF!</v>
      </c>
      <c r="AA57" s="124" t="e">
        <f>VLOOKUP('北段 (人資版)'!AA57,工作表1!$A$3:$B$78,2,FALSE)</f>
        <v>#REF!</v>
      </c>
      <c r="AB57" s="124" t="e">
        <f>VLOOKUP('北段 (人資版)'!AB57,工作表1!$A$3:$B$78,2,FALSE)</f>
        <v>#REF!</v>
      </c>
      <c r="AC57" s="124" t="e">
        <f>VLOOKUP('北段 (人資版)'!AC57,工作表1!$A$3:$B$78,2,FALSE)</f>
        <v>#REF!</v>
      </c>
      <c r="AD57" s="124" t="e">
        <f>VLOOKUP('北段 (人資版)'!AD57,工作表1!$A$3:$B$78,2,FALSE)</f>
        <v>#REF!</v>
      </c>
      <c r="AE57" s="124" t="e">
        <f>VLOOKUP('北段 (人資版)'!AE57,工作表1!$A$3:$B$78,2,FALSE)</f>
        <v>#REF!</v>
      </c>
      <c r="AF57" s="124" t="e">
        <f>VLOOKUP('北段 (人資版)'!AF57,工作表1!$A$3:$B$78,2,FALSE)</f>
        <v>#REF!</v>
      </c>
      <c r="AG57" s="124" t="e">
        <f>VLOOKUP('北段 (人資版)'!AG57,工作表1!$A$3:$B$78,2,FALSE)</f>
        <v>#REF!</v>
      </c>
      <c r="AH57" s="124" t="e">
        <f>VLOOKUP('北段 (人資版)'!AH57,工作表1!$A$3:$B$78,2,FALSE)</f>
        <v>#REF!</v>
      </c>
    </row>
    <row r="58" spans="1:34" ht="39.6" customHeight="1" x14ac:dyDescent="0.25">
      <c r="A58" s="47"/>
      <c r="B58" s="72" t="e">
        <f>北段!#REF!</f>
        <v>#REF!</v>
      </c>
      <c r="C58" s="38" t="e">
        <f>VLOOKUP(B58,北段!B:C,2,FALSE)</f>
        <v>#REF!</v>
      </c>
      <c r="D58" s="124" t="e">
        <f>VLOOKUP('北段 (人資版)'!D58,工作表1!$A$3:$B$78,2,FALSE)</f>
        <v>#REF!</v>
      </c>
      <c r="E58" s="124" t="e">
        <f>VLOOKUP('北段 (人資版)'!E58,工作表1!$A$3:$B$78,2,FALSE)</f>
        <v>#REF!</v>
      </c>
      <c r="F58" s="124" t="e">
        <f>VLOOKUP('北段 (人資版)'!F58,工作表1!$A$3:$B$78,2,FALSE)</f>
        <v>#REF!</v>
      </c>
      <c r="G58" s="124" t="e">
        <f>VLOOKUP('北段 (人資版)'!G58,工作表1!$A$3:$B$78,2,FALSE)</f>
        <v>#REF!</v>
      </c>
      <c r="H58" s="124" t="e">
        <f>VLOOKUP('北段 (人資版)'!H58,工作表1!$A$3:$B$78,2,FALSE)</f>
        <v>#REF!</v>
      </c>
      <c r="I58" s="124" t="e">
        <f>VLOOKUP('北段 (人資版)'!I58,工作表1!$A$3:$B$78,2,FALSE)</f>
        <v>#REF!</v>
      </c>
      <c r="J58" s="124" t="e">
        <f>VLOOKUP('北段 (人資版)'!J58,工作表1!$A$3:$B$78,2,FALSE)</f>
        <v>#REF!</v>
      </c>
      <c r="K58" s="124" t="e">
        <f>VLOOKUP('北段 (人資版)'!K58,工作表1!$A$3:$B$78,2,FALSE)</f>
        <v>#REF!</v>
      </c>
      <c r="L58" s="124" t="e">
        <f>VLOOKUP('北段 (人資版)'!L58,工作表1!$A$3:$B$78,2,FALSE)</f>
        <v>#REF!</v>
      </c>
      <c r="M58" s="124" t="e">
        <f>VLOOKUP('北段 (人資版)'!M58,工作表1!$A$3:$B$78,2,FALSE)</f>
        <v>#REF!</v>
      </c>
      <c r="N58" s="124" t="e">
        <f>VLOOKUP('北段 (人資版)'!N58,工作表1!$A$3:$B$78,2,FALSE)</f>
        <v>#REF!</v>
      </c>
      <c r="O58" s="124" t="e">
        <f>VLOOKUP('北段 (人資版)'!O58,工作表1!$A$3:$B$78,2,FALSE)</f>
        <v>#REF!</v>
      </c>
      <c r="P58" s="124" t="e">
        <f>VLOOKUP('北段 (人資版)'!P58,工作表1!$A$3:$B$78,2,FALSE)</f>
        <v>#REF!</v>
      </c>
      <c r="Q58" s="124" t="e">
        <f>VLOOKUP('北段 (人資版)'!Q58,工作表1!$A$3:$B$78,2,FALSE)</f>
        <v>#REF!</v>
      </c>
      <c r="R58" s="124" t="e">
        <f>VLOOKUP('北段 (人資版)'!R58,工作表1!$A$3:$B$78,2,FALSE)</f>
        <v>#REF!</v>
      </c>
      <c r="S58" s="124" t="e">
        <f>VLOOKUP('北段 (人資版)'!S58,工作表1!$A$3:$B$78,2,FALSE)</f>
        <v>#REF!</v>
      </c>
      <c r="T58" s="124" t="e">
        <f>VLOOKUP('北段 (人資版)'!T58,工作表1!$A$3:$B$78,2,FALSE)</f>
        <v>#REF!</v>
      </c>
      <c r="U58" s="124" t="e">
        <f>VLOOKUP('北段 (人資版)'!U58,工作表1!$A$3:$B$78,2,FALSE)</f>
        <v>#REF!</v>
      </c>
      <c r="V58" s="124" t="e">
        <f>VLOOKUP('北段 (人資版)'!V58,工作表1!$A$3:$B$78,2,FALSE)</f>
        <v>#REF!</v>
      </c>
      <c r="W58" s="124" t="e">
        <f>VLOOKUP('北段 (人資版)'!W58,工作表1!$A$3:$B$78,2,FALSE)</f>
        <v>#REF!</v>
      </c>
      <c r="X58" s="124" t="e">
        <f>VLOOKUP('北段 (人資版)'!X58,工作表1!$A$3:$B$78,2,FALSE)</f>
        <v>#REF!</v>
      </c>
      <c r="Y58" s="124" t="e">
        <f>VLOOKUP('北段 (人資版)'!Y58,工作表1!$A$3:$B$78,2,FALSE)</f>
        <v>#REF!</v>
      </c>
      <c r="Z58" s="124" t="e">
        <f>VLOOKUP('北段 (人資版)'!Z58,工作表1!$A$3:$B$78,2,FALSE)</f>
        <v>#REF!</v>
      </c>
      <c r="AA58" s="124" t="e">
        <f>VLOOKUP('北段 (人資版)'!AA58,工作表1!$A$3:$B$78,2,FALSE)</f>
        <v>#REF!</v>
      </c>
      <c r="AB58" s="124" t="e">
        <f>VLOOKUP('北段 (人資版)'!AB58,工作表1!$A$3:$B$78,2,FALSE)</f>
        <v>#REF!</v>
      </c>
      <c r="AC58" s="124" t="e">
        <f>VLOOKUP('北段 (人資版)'!AC58,工作表1!$A$3:$B$78,2,FALSE)</f>
        <v>#REF!</v>
      </c>
      <c r="AD58" s="124" t="e">
        <f>VLOOKUP('北段 (人資版)'!AD58,工作表1!$A$3:$B$78,2,FALSE)</f>
        <v>#REF!</v>
      </c>
      <c r="AE58" s="124" t="e">
        <f>VLOOKUP('北段 (人資版)'!AE58,工作表1!$A$3:$B$78,2,FALSE)</f>
        <v>#REF!</v>
      </c>
      <c r="AF58" s="124" t="e">
        <f>VLOOKUP('北段 (人資版)'!AF58,工作表1!$A$3:$B$78,2,FALSE)</f>
        <v>#REF!</v>
      </c>
      <c r="AG58" s="124" t="e">
        <f>VLOOKUP('北段 (人資版)'!AG58,工作表1!$A$3:$B$78,2,FALSE)</f>
        <v>#REF!</v>
      </c>
      <c r="AH58" s="124" t="e">
        <f>VLOOKUP('北段 (人資版)'!AH58,工作表1!$A$3:$B$78,2,FALSE)</f>
        <v>#REF!</v>
      </c>
    </row>
    <row r="59" spans="1:34" ht="39.75" customHeight="1" x14ac:dyDescent="0.25">
      <c r="A59" s="47"/>
      <c r="B59" s="72" t="e">
        <f>北段!#REF!</f>
        <v>#REF!</v>
      </c>
      <c r="C59" s="38" t="e">
        <f>VLOOKUP(B59,北段!B:C,2,FALSE)</f>
        <v>#REF!</v>
      </c>
      <c r="D59" s="124" t="e">
        <f>VLOOKUP('北段 (人資版)'!D59,工作表1!$A$3:$B$78,2,FALSE)</f>
        <v>#REF!</v>
      </c>
      <c r="E59" s="124" t="e">
        <f>VLOOKUP('北段 (人資版)'!E59,工作表1!$A$3:$B$78,2,FALSE)</f>
        <v>#REF!</v>
      </c>
      <c r="F59" s="124" t="e">
        <f>VLOOKUP('北段 (人資版)'!F59,工作表1!$A$3:$B$78,2,FALSE)</f>
        <v>#REF!</v>
      </c>
      <c r="G59" s="124" t="e">
        <f>VLOOKUP('北段 (人資版)'!G59,工作表1!$A$3:$B$78,2,FALSE)</f>
        <v>#REF!</v>
      </c>
      <c r="H59" s="124" t="e">
        <f>VLOOKUP('北段 (人資版)'!H59,工作表1!$A$3:$B$78,2,FALSE)</f>
        <v>#REF!</v>
      </c>
      <c r="I59" s="124" t="e">
        <f>VLOOKUP('北段 (人資版)'!I59,工作表1!$A$3:$B$78,2,FALSE)</f>
        <v>#REF!</v>
      </c>
      <c r="J59" s="124" t="e">
        <f>VLOOKUP('北段 (人資版)'!J59,工作表1!$A$3:$B$78,2,FALSE)</f>
        <v>#REF!</v>
      </c>
      <c r="K59" s="124" t="e">
        <f>VLOOKUP('北段 (人資版)'!K59,工作表1!$A$3:$B$78,2,FALSE)</f>
        <v>#REF!</v>
      </c>
      <c r="L59" s="124" t="e">
        <f>VLOOKUP('北段 (人資版)'!L59,工作表1!$A$3:$B$78,2,FALSE)</f>
        <v>#REF!</v>
      </c>
      <c r="M59" s="124" t="e">
        <f>VLOOKUP('北段 (人資版)'!M59,工作表1!$A$3:$B$78,2,FALSE)</f>
        <v>#REF!</v>
      </c>
      <c r="N59" s="124" t="e">
        <f>VLOOKUP('北段 (人資版)'!N59,工作表1!$A$3:$B$78,2,FALSE)</f>
        <v>#REF!</v>
      </c>
      <c r="O59" s="124" t="e">
        <f>VLOOKUP('北段 (人資版)'!O59,工作表1!$A$3:$B$78,2,FALSE)</f>
        <v>#REF!</v>
      </c>
      <c r="P59" s="124" t="e">
        <f>VLOOKUP('北段 (人資版)'!P59,工作表1!$A$3:$B$78,2,FALSE)</f>
        <v>#REF!</v>
      </c>
      <c r="Q59" s="124" t="e">
        <f>VLOOKUP('北段 (人資版)'!Q59,工作表1!$A$3:$B$78,2,FALSE)</f>
        <v>#REF!</v>
      </c>
      <c r="R59" s="124" t="e">
        <f>VLOOKUP('北段 (人資版)'!R59,工作表1!$A$3:$B$78,2,FALSE)</f>
        <v>#REF!</v>
      </c>
      <c r="S59" s="124" t="e">
        <f>VLOOKUP('北段 (人資版)'!S59,工作表1!$A$3:$B$78,2,FALSE)</f>
        <v>#REF!</v>
      </c>
      <c r="T59" s="124" t="e">
        <f>VLOOKUP('北段 (人資版)'!T59,工作表1!$A$3:$B$78,2,FALSE)</f>
        <v>#REF!</v>
      </c>
      <c r="U59" s="124" t="e">
        <f>VLOOKUP('北段 (人資版)'!U59,工作表1!$A$3:$B$78,2,FALSE)</f>
        <v>#REF!</v>
      </c>
      <c r="V59" s="124" t="e">
        <f>VLOOKUP('北段 (人資版)'!V59,工作表1!$A$3:$B$78,2,FALSE)</f>
        <v>#REF!</v>
      </c>
      <c r="W59" s="124" t="e">
        <f>VLOOKUP('北段 (人資版)'!W59,工作表1!$A$3:$B$78,2,FALSE)</f>
        <v>#REF!</v>
      </c>
      <c r="X59" s="124" t="e">
        <f>VLOOKUP('北段 (人資版)'!X59,工作表1!$A$3:$B$78,2,FALSE)</f>
        <v>#REF!</v>
      </c>
      <c r="Y59" s="124" t="e">
        <f>VLOOKUP('北段 (人資版)'!Y59,工作表1!$A$3:$B$78,2,FALSE)</f>
        <v>#REF!</v>
      </c>
      <c r="Z59" s="124" t="e">
        <f>VLOOKUP('北段 (人資版)'!Z59,工作表1!$A$3:$B$78,2,FALSE)</f>
        <v>#REF!</v>
      </c>
      <c r="AA59" s="124" t="e">
        <f>VLOOKUP('北段 (人資版)'!AA59,工作表1!$A$3:$B$78,2,FALSE)</f>
        <v>#REF!</v>
      </c>
      <c r="AB59" s="124" t="e">
        <f>VLOOKUP('北段 (人資版)'!AB59,工作表1!$A$3:$B$78,2,FALSE)</f>
        <v>#REF!</v>
      </c>
      <c r="AC59" s="124" t="e">
        <f>VLOOKUP('北段 (人資版)'!AC59,工作表1!$A$3:$B$78,2,FALSE)</f>
        <v>#REF!</v>
      </c>
      <c r="AD59" s="124" t="e">
        <f>VLOOKUP('北段 (人資版)'!AD59,工作表1!$A$3:$B$78,2,FALSE)</f>
        <v>#REF!</v>
      </c>
      <c r="AE59" s="124" t="e">
        <f>VLOOKUP('北段 (人資版)'!AE59,工作表1!$A$3:$B$78,2,FALSE)</f>
        <v>#REF!</v>
      </c>
      <c r="AF59" s="124" t="e">
        <f>VLOOKUP('北段 (人資版)'!AF59,工作表1!$A$3:$B$78,2,FALSE)</f>
        <v>#REF!</v>
      </c>
      <c r="AG59" s="124" t="e">
        <f>VLOOKUP('北段 (人資版)'!AG59,工作表1!$A$3:$B$78,2,FALSE)</f>
        <v>#REF!</v>
      </c>
      <c r="AH59" s="124" t="e">
        <f>VLOOKUP('北段 (人資版)'!AH59,工作表1!$A$3:$B$78,2,FALSE)</f>
        <v>#REF!</v>
      </c>
    </row>
    <row r="60" spans="1:34" ht="39.6" customHeight="1" x14ac:dyDescent="0.25">
      <c r="A60" s="47"/>
      <c r="B60" s="72" t="e">
        <f>北段!#REF!</f>
        <v>#REF!</v>
      </c>
      <c r="C60" s="38" t="e">
        <f>VLOOKUP(B60,北段!B:C,2,FALSE)</f>
        <v>#REF!</v>
      </c>
      <c r="D60" s="124" t="e">
        <f>VLOOKUP('北段 (人資版)'!D60,工作表1!$A$3:$B$78,2,FALSE)</f>
        <v>#REF!</v>
      </c>
      <c r="E60" s="124" t="e">
        <f>VLOOKUP('北段 (人資版)'!E60,工作表1!$A$3:$B$78,2,FALSE)</f>
        <v>#REF!</v>
      </c>
      <c r="F60" s="124" t="e">
        <f>VLOOKUP('北段 (人資版)'!F60,工作表1!$A$3:$B$78,2,FALSE)</f>
        <v>#REF!</v>
      </c>
      <c r="G60" s="124" t="e">
        <f>VLOOKUP('北段 (人資版)'!G60,工作表1!$A$3:$B$78,2,FALSE)</f>
        <v>#REF!</v>
      </c>
      <c r="H60" s="124" t="e">
        <f>VLOOKUP('北段 (人資版)'!H60,工作表1!$A$3:$B$78,2,FALSE)</f>
        <v>#REF!</v>
      </c>
      <c r="I60" s="124" t="e">
        <f>VLOOKUP('北段 (人資版)'!I60,工作表1!$A$3:$B$78,2,FALSE)</f>
        <v>#REF!</v>
      </c>
      <c r="J60" s="124" t="e">
        <f>VLOOKUP('北段 (人資版)'!J60,工作表1!$A$3:$B$78,2,FALSE)</f>
        <v>#REF!</v>
      </c>
      <c r="K60" s="124" t="e">
        <f>VLOOKUP('北段 (人資版)'!K60,工作表1!$A$3:$B$78,2,FALSE)</f>
        <v>#REF!</v>
      </c>
      <c r="L60" s="124" t="e">
        <f>VLOOKUP('北段 (人資版)'!L60,工作表1!$A$3:$B$78,2,FALSE)</f>
        <v>#REF!</v>
      </c>
      <c r="M60" s="124" t="e">
        <f>VLOOKUP('北段 (人資版)'!M60,工作表1!$A$3:$B$78,2,FALSE)</f>
        <v>#REF!</v>
      </c>
      <c r="N60" s="124" t="e">
        <f>VLOOKUP('北段 (人資版)'!N60,工作表1!$A$3:$B$78,2,FALSE)</f>
        <v>#REF!</v>
      </c>
      <c r="O60" s="124" t="e">
        <f>VLOOKUP('北段 (人資版)'!O60,工作表1!$A$3:$B$78,2,FALSE)</f>
        <v>#REF!</v>
      </c>
      <c r="P60" s="124" t="e">
        <f>VLOOKUP('北段 (人資版)'!P60,工作表1!$A$3:$B$78,2,FALSE)</f>
        <v>#REF!</v>
      </c>
      <c r="Q60" s="124" t="e">
        <f>VLOOKUP('北段 (人資版)'!Q60,工作表1!$A$3:$B$78,2,FALSE)</f>
        <v>#REF!</v>
      </c>
      <c r="R60" s="124" t="e">
        <f>VLOOKUP('北段 (人資版)'!R60,工作表1!$A$3:$B$78,2,FALSE)</f>
        <v>#REF!</v>
      </c>
      <c r="S60" s="124" t="e">
        <f>VLOOKUP('北段 (人資版)'!S60,工作表1!$A$3:$B$78,2,FALSE)</f>
        <v>#REF!</v>
      </c>
      <c r="T60" s="124" t="e">
        <f>VLOOKUP('北段 (人資版)'!T60,工作表1!$A$3:$B$78,2,FALSE)</f>
        <v>#REF!</v>
      </c>
      <c r="U60" s="124" t="e">
        <f>VLOOKUP('北段 (人資版)'!U60,工作表1!$A$3:$B$78,2,FALSE)</f>
        <v>#REF!</v>
      </c>
      <c r="V60" s="124" t="e">
        <f>VLOOKUP('北段 (人資版)'!V60,工作表1!$A$3:$B$78,2,FALSE)</f>
        <v>#REF!</v>
      </c>
      <c r="W60" s="124" t="e">
        <f>VLOOKUP('北段 (人資版)'!W60,工作表1!$A$3:$B$78,2,FALSE)</f>
        <v>#REF!</v>
      </c>
      <c r="X60" s="124" t="e">
        <f>VLOOKUP('北段 (人資版)'!X60,工作表1!$A$3:$B$78,2,FALSE)</f>
        <v>#REF!</v>
      </c>
      <c r="Y60" s="124" t="e">
        <f>VLOOKUP('北段 (人資版)'!Y60,工作表1!$A$3:$B$78,2,FALSE)</f>
        <v>#REF!</v>
      </c>
      <c r="Z60" s="124" t="e">
        <f>VLOOKUP('北段 (人資版)'!Z60,工作表1!$A$3:$B$78,2,FALSE)</f>
        <v>#REF!</v>
      </c>
      <c r="AA60" s="124" t="e">
        <f>VLOOKUP('北段 (人資版)'!AA60,工作表1!$A$3:$B$78,2,FALSE)</f>
        <v>#REF!</v>
      </c>
      <c r="AB60" s="124" t="e">
        <f>VLOOKUP('北段 (人資版)'!AB60,工作表1!$A$3:$B$78,2,FALSE)</f>
        <v>#REF!</v>
      </c>
      <c r="AC60" s="124" t="e">
        <f>VLOOKUP('北段 (人資版)'!AC60,工作表1!$A$3:$B$78,2,FALSE)</f>
        <v>#REF!</v>
      </c>
      <c r="AD60" s="124" t="e">
        <f>VLOOKUP('北段 (人資版)'!AD60,工作表1!$A$3:$B$78,2,FALSE)</f>
        <v>#REF!</v>
      </c>
      <c r="AE60" s="124" t="e">
        <f>VLOOKUP('北段 (人資版)'!AE60,工作表1!$A$3:$B$78,2,FALSE)</f>
        <v>#REF!</v>
      </c>
      <c r="AF60" s="124" t="e">
        <f>VLOOKUP('北段 (人資版)'!AF60,工作表1!$A$3:$B$78,2,FALSE)</f>
        <v>#REF!</v>
      </c>
      <c r="AG60" s="124" t="e">
        <f>VLOOKUP('北段 (人資版)'!AG60,工作表1!$A$3:$B$78,2,FALSE)</f>
        <v>#REF!</v>
      </c>
      <c r="AH60" s="124" t="e">
        <f>VLOOKUP('北段 (人資版)'!AH60,工作表1!$A$3:$B$78,2,FALSE)</f>
        <v>#REF!</v>
      </c>
    </row>
    <row r="61" spans="1:34" ht="39.6" customHeight="1" x14ac:dyDescent="0.25">
      <c r="A61" s="47"/>
      <c r="B61" s="72" t="e">
        <f>北段!#REF!</f>
        <v>#REF!</v>
      </c>
      <c r="C61" s="38" t="e">
        <f>VLOOKUP(B61,北段!B:C,2,FALSE)</f>
        <v>#REF!</v>
      </c>
      <c r="D61" s="124" t="e">
        <f>VLOOKUP('北段 (人資版)'!D61,工作表1!$A$3:$B$78,2,FALSE)</f>
        <v>#REF!</v>
      </c>
      <c r="E61" s="124" t="e">
        <f>VLOOKUP('北段 (人資版)'!E61,工作表1!$A$3:$B$78,2,FALSE)</f>
        <v>#REF!</v>
      </c>
      <c r="F61" s="124" t="e">
        <f>VLOOKUP('北段 (人資版)'!F61,工作表1!$A$3:$B$78,2,FALSE)</f>
        <v>#REF!</v>
      </c>
      <c r="G61" s="124" t="e">
        <f>VLOOKUP('北段 (人資版)'!G61,工作表1!$A$3:$B$78,2,FALSE)</f>
        <v>#REF!</v>
      </c>
      <c r="H61" s="124" t="e">
        <f>VLOOKUP('北段 (人資版)'!H61,工作表1!$A$3:$B$78,2,FALSE)</f>
        <v>#REF!</v>
      </c>
      <c r="I61" s="124" t="e">
        <f>VLOOKUP('北段 (人資版)'!I61,工作表1!$A$3:$B$78,2,FALSE)</f>
        <v>#REF!</v>
      </c>
      <c r="J61" s="124" t="e">
        <f>VLOOKUP('北段 (人資版)'!J61,工作表1!$A$3:$B$78,2,FALSE)</f>
        <v>#REF!</v>
      </c>
      <c r="K61" s="124" t="e">
        <f>VLOOKUP('北段 (人資版)'!K61,工作表1!$A$3:$B$78,2,FALSE)</f>
        <v>#REF!</v>
      </c>
      <c r="L61" s="124" t="e">
        <f>VLOOKUP('北段 (人資版)'!L61,工作表1!$A$3:$B$78,2,FALSE)</f>
        <v>#REF!</v>
      </c>
      <c r="M61" s="124" t="e">
        <f>VLOOKUP('北段 (人資版)'!M61,工作表1!$A$3:$B$78,2,FALSE)</f>
        <v>#REF!</v>
      </c>
      <c r="N61" s="124" t="e">
        <f>VLOOKUP('北段 (人資版)'!N61,工作表1!$A$3:$B$78,2,FALSE)</f>
        <v>#REF!</v>
      </c>
      <c r="O61" s="124" t="e">
        <f>VLOOKUP('北段 (人資版)'!O61,工作表1!$A$3:$B$78,2,FALSE)</f>
        <v>#REF!</v>
      </c>
      <c r="P61" s="124" t="e">
        <f>VLOOKUP('北段 (人資版)'!P61,工作表1!$A$3:$B$78,2,FALSE)</f>
        <v>#REF!</v>
      </c>
      <c r="Q61" s="124" t="e">
        <f>VLOOKUP('北段 (人資版)'!Q61,工作表1!$A$3:$B$78,2,FALSE)</f>
        <v>#REF!</v>
      </c>
      <c r="R61" s="124" t="e">
        <f>VLOOKUP('北段 (人資版)'!R61,工作表1!$A$3:$B$78,2,FALSE)</f>
        <v>#REF!</v>
      </c>
      <c r="S61" s="124" t="e">
        <f>VLOOKUP('北段 (人資版)'!S61,工作表1!$A$3:$B$78,2,FALSE)</f>
        <v>#REF!</v>
      </c>
      <c r="T61" s="124" t="e">
        <f>VLOOKUP('北段 (人資版)'!T61,工作表1!$A$3:$B$78,2,FALSE)</f>
        <v>#REF!</v>
      </c>
      <c r="U61" s="124" t="e">
        <f>VLOOKUP('北段 (人資版)'!U61,工作表1!$A$3:$B$78,2,FALSE)</f>
        <v>#REF!</v>
      </c>
      <c r="V61" s="124" t="e">
        <f>VLOOKUP('北段 (人資版)'!V61,工作表1!$A$3:$B$78,2,FALSE)</f>
        <v>#REF!</v>
      </c>
      <c r="W61" s="124" t="e">
        <f>VLOOKUP('北段 (人資版)'!W61,工作表1!$A$3:$B$78,2,FALSE)</f>
        <v>#REF!</v>
      </c>
      <c r="X61" s="124" t="e">
        <f>VLOOKUP('北段 (人資版)'!X61,工作表1!$A$3:$B$78,2,FALSE)</f>
        <v>#REF!</v>
      </c>
      <c r="Y61" s="124" t="e">
        <f>VLOOKUP('北段 (人資版)'!Y61,工作表1!$A$3:$B$78,2,FALSE)</f>
        <v>#REF!</v>
      </c>
      <c r="Z61" s="124" t="e">
        <f>VLOOKUP('北段 (人資版)'!Z61,工作表1!$A$3:$B$78,2,FALSE)</f>
        <v>#REF!</v>
      </c>
      <c r="AA61" s="124" t="e">
        <f>VLOOKUP('北段 (人資版)'!AA61,工作表1!$A$3:$B$78,2,FALSE)</f>
        <v>#REF!</v>
      </c>
      <c r="AB61" s="124" t="e">
        <f>VLOOKUP('北段 (人資版)'!AB61,工作表1!$A$3:$B$78,2,FALSE)</f>
        <v>#REF!</v>
      </c>
      <c r="AC61" s="124" t="e">
        <f>VLOOKUP('北段 (人資版)'!AC61,工作表1!$A$3:$B$78,2,FALSE)</f>
        <v>#REF!</v>
      </c>
      <c r="AD61" s="124" t="e">
        <f>VLOOKUP('北段 (人資版)'!AD61,工作表1!$A$3:$B$78,2,FALSE)</f>
        <v>#REF!</v>
      </c>
      <c r="AE61" s="124" t="e">
        <f>VLOOKUP('北段 (人資版)'!AE61,工作表1!$A$3:$B$78,2,FALSE)</f>
        <v>#REF!</v>
      </c>
      <c r="AF61" s="124" t="e">
        <f>VLOOKUP('北段 (人資版)'!AF61,工作表1!$A$3:$B$78,2,FALSE)</f>
        <v>#REF!</v>
      </c>
      <c r="AG61" s="124" t="e">
        <f>VLOOKUP('北段 (人資版)'!AG61,工作表1!$A$3:$B$78,2,FALSE)</f>
        <v>#REF!</v>
      </c>
      <c r="AH61" s="124" t="e">
        <f>VLOOKUP('北段 (人資版)'!AH61,工作表1!$A$3:$B$78,2,FALSE)</f>
        <v>#REF!</v>
      </c>
    </row>
    <row r="62" spans="1:34" s="36" customFormat="1" ht="39.6" customHeight="1" x14ac:dyDescent="0.25">
      <c r="A62" s="50"/>
      <c r="B62" s="72" t="e">
        <f>北段!#REF!</f>
        <v>#REF!</v>
      </c>
      <c r="C62" s="38" t="e">
        <f>VLOOKUP(B62,北段!B:C,2,FALSE)</f>
        <v>#REF!</v>
      </c>
      <c r="D62" s="124" t="e">
        <f>VLOOKUP('北段 (人資版)'!D62,工作表1!$A$3:$B$78,2,FALSE)</f>
        <v>#REF!</v>
      </c>
      <c r="E62" s="124" t="e">
        <f>VLOOKUP('北段 (人資版)'!E62,工作表1!$A$3:$B$78,2,FALSE)</f>
        <v>#REF!</v>
      </c>
      <c r="F62" s="124" t="e">
        <f>VLOOKUP('北段 (人資版)'!F62,工作表1!$A$3:$B$78,2,FALSE)</f>
        <v>#REF!</v>
      </c>
      <c r="G62" s="124" t="e">
        <f>VLOOKUP('北段 (人資版)'!G62,工作表1!$A$3:$B$78,2,FALSE)</f>
        <v>#REF!</v>
      </c>
      <c r="H62" s="124" t="e">
        <f>VLOOKUP('北段 (人資版)'!H62,工作表1!$A$3:$B$78,2,FALSE)</f>
        <v>#REF!</v>
      </c>
      <c r="I62" s="124" t="e">
        <f>VLOOKUP('北段 (人資版)'!I62,工作表1!$A$3:$B$78,2,FALSE)</f>
        <v>#REF!</v>
      </c>
      <c r="J62" s="124" t="e">
        <f>VLOOKUP('北段 (人資版)'!J62,工作表1!$A$3:$B$78,2,FALSE)</f>
        <v>#REF!</v>
      </c>
      <c r="K62" s="124" t="e">
        <f>VLOOKUP('北段 (人資版)'!K62,工作表1!$A$3:$B$78,2,FALSE)</f>
        <v>#REF!</v>
      </c>
      <c r="L62" s="124" t="e">
        <f>VLOOKUP('北段 (人資版)'!L62,工作表1!$A$3:$B$78,2,FALSE)</f>
        <v>#REF!</v>
      </c>
      <c r="M62" s="124" t="e">
        <f>VLOOKUP('北段 (人資版)'!M62,工作表1!$A$3:$B$78,2,FALSE)</f>
        <v>#REF!</v>
      </c>
      <c r="N62" s="124" t="e">
        <f>VLOOKUP('北段 (人資版)'!N62,工作表1!$A$3:$B$78,2,FALSE)</f>
        <v>#REF!</v>
      </c>
      <c r="O62" s="124" t="e">
        <f>VLOOKUP('北段 (人資版)'!O62,工作表1!$A$3:$B$78,2,FALSE)</f>
        <v>#REF!</v>
      </c>
      <c r="P62" s="124" t="e">
        <f>VLOOKUP('北段 (人資版)'!P62,工作表1!$A$3:$B$78,2,FALSE)</f>
        <v>#REF!</v>
      </c>
      <c r="Q62" s="124" t="e">
        <f>VLOOKUP('北段 (人資版)'!Q62,工作表1!$A$3:$B$78,2,FALSE)</f>
        <v>#REF!</v>
      </c>
      <c r="R62" s="124" t="e">
        <f>VLOOKUP('北段 (人資版)'!R62,工作表1!$A$3:$B$78,2,FALSE)</f>
        <v>#REF!</v>
      </c>
      <c r="S62" s="124" t="e">
        <f>VLOOKUP('北段 (人資版)'!S62,工作表1!$A$3:$B$78,2,FALSE)</f>
        <v>#REF!</v>
      </c>
      <c r="T62" s="124" t="e">
        <f>VLOOKUP('北段 (人資版)'!T62,工作表1!$A$3:$B$78,2,FALSE)</f>
        <v>#REF!</v>
      </c>
      <c r="U62" s="124" t="e">
        <f>VLOOKUP('北段 (人資版)'!U62,工作表1!$A$3:$B$78,2,FALSE)</f>
        <v>#REF!</v>
      </c>
      <c r="V62" s="124" t="e">
        <f>VLOOKUP('北段 (人資版)'!V62,工作表1!$A$3:$B$78,2,FALSE)</f>
        <v>#REF!</v>
      </c>
      <c r="W62" s="124" t="e">
        <f>VLOOKUP('北段 (人資版)'!W62,工作表1!$A$3:$B$78,2,FALSE)</f>
        <v>#REF!</v>
      </c>
      <c r="X62" s="124" t="e">
        <f>VLOOKUP('北段 (人資版)'!X62,工作表1!$A$3:$B$78,2,FALSE)</f>
        <v>#REF!</v>
      </c>
      <c r="Y62" s="124" t="e">
        <f>VLOOKUP('北段 (人資版)'!Y62,工作表1!$A$3:$B$78,2,FALSE)</f>
        <v>#REF!</v>
      </c>
      <c r="Z62" s="124" t="e">
        <f>VLOOKUP('北段 (人資版)'!Z62,工作表1!$A$3:$B$78,2,FALSE)</f>
        <v>#REF!</v>
      </c>
      <c r="AA62" s="124" t="e">
        <f>VLOOKUP('北段 (人資版)'!AA62,工作表1!$A$3:$B$78,2,FALSE)</f>
        <v>#REF!</v>
      </c>
      <c r="AB62" s="124" t="e">
        <f>VLOOKUP('北段 (人資版)'!AB62,工作表1!$A$3:$B$78,2,FALSE)</f>
        <v>#REF!</v>
      </c>
      <c r="AC62" s="124" t="e">
        <f>VLOOKUP('北段 (人資版)'!AC62,工作表1!$A$3:$B$78,2,FALSE)</f>
        <v>#REF!</v>
      </c>
      <c r="AD62" s="124" t="e">
        <f>VLOOKUP('北段 (人資版)'!AD62,工作表1!$A$3:$B$78,2,FALSE)</f>
        <v>#REF!</v>
      </c>
      <c r="AE62" s="124" t="e">
        <f>VLOOKUP('北段 (人資版)'!AE62,工作表1!$A$3:$B$78,2,FALSE)</f>
        <v>#REF!</v>
      </c>
      <c r="AF62" s="124" t="e">
        <f>VLOOKUP('北段 (人資版)'!AF62,工作表1!$A$3:$B$78,2,FALSE)</f>
        <v>#REF!</v>
      </c>
      <c r="AG62" s="124" t="e">
        <f>VLOOKUP('北段 (人資版)'!AG62,工作表1!$A$3:$B$78,2,FALSE)</f>
        <v>#REF!</v>
      </c>
      <c r="AH62" s="124" t="e">
        <f>VLOOKUP('北段 (人資版)'!AH62,工作表1!$A$3:$B$78,2,FALSE)</f>
        <v>#REF!</v>
      </c>
    </row>
    <row r="63" spans="1:34" s="36" customFormat="1" ht="39.6" customHeight="1" thickBot="1" x14ac:dyDescent="0.3">
      <c r="A63" s="51"/>
      <c r="B63" s="72" t="e">
        <f>北段!#REF!</f>
        <v>#REF!</v>
      </c>
      <c r="C63" s="38" t="e">
        <f>VLOOKUP(B63,北段!B:C,2,FALSE)</f>
        <v>#REF!</v>
      </c>
      <c r="D63" s="124" t="e">
        <f>VLOOKUP('北段 (人資版)'!D63,工作表1!$A$3:$B$78,2,FALSE)</f>
        <v>#REF!</v>
      </c>
      <c r="E63" s="124" t="e">
        <f>VLOOKUP('北段 (人資版)'!E63,工作表1!$A$3:$B$78,2,FALSE)</f>
        <v>#REF!</v>
      </c>
      <c r="F63" s="124" t="e">
        <f>VLOOKUP('北段 (人資版)'!F63,工作表1!$A$3:$B$78,2,FALSE)</f>
        <v>#REF!</v>
      </c>
      <c r="G63" s="124" t="e">
        <f>VLOOKUP('北段 (人資版)'!G63,工作表1!$A$3:$B$78,2,FALSE)</f>
        <v>#REF!</v>
      </c>
      <c r="H63" s="124" t="e">
        <f>VLOOKUP('北段 (人資版)'!H63,工作表1!$A$3:$B$78,2,FALSE)</f>
        <v>#REF!</v>
      </c>
      <c r="I63" s="124" t="e">
        <f>VLOOKUP('北段 (人資版)'!I63,工作表1!$A$3:$B$78,2,FALSE)</f>
        <v>#REF!</v>
      </c>
      <c r="J63" s="124" t="e">
        <f>VLOOKUP('北段 (人資版)'!J63,工作表1!$A$3:$B$78,2,FALSE)</f>
        <v>#REF!</v>
      </c>
      <c r="K63" s="124" t="e">
        <f>VLOOKUP('北段 (人資版)'!K63,工作表1!$A$3:$B$78,2,FALSE)</f>
        <v>#REF!</v>
      </c>
      <c r="L63" s="124" t="e">
        <f>VLOOKUP('北段 (人資版)'!L63,工作表1!$A$3:$B$78,2,FALSE)</f>
        <v>#REF!</v>
      </c>
      <c r="M63" s="124" t="e">
        <f>VLOOKUP('北段 (人資版)'!M63,工作表1!$A$3:$B$78,2,FALSE)</f>
        <v>#REF!</v>
      </c>
      <c r="N63" s="124" t="e">
        <f>VLOOKUP('北段 (人資版)'!N63,工作表1!$A$3:$B$78,2,FALSE)</f>
        <v>#REF!</v>
      </c>
      <c r="O63" s="124" t="e">
        <f>VLOOKUP('北段 (人資版)'!O63,工作表1!$A$3:$B$78,2,FALSE)</f>
        <v>#REF!</v>
      </c>
      <c r="P63" s="124" t="e">
        <f>VLOOKUP('北段 (人資版)'!P63,工作表1!$A$3:$B$78,2,FALSE)</f>
        <v>#REF!</v>
      </c>
      <c r="Q63" s="124" t="e">
        <f>VLOOKUP('北段 (人資版)'!Q63,工作表1!$A$3:$B$78,2,FALSE)</f>
        <v>#REF!</v>
      </c>
      <c r="R63" s="124" t="e">
        <f>VLOOKUP('北段 (人資版)'!R63,工作表1!$A$3:$B$78,2,FALSE)</f>
        <v>#REF!</v>
      </c>
      <c r="S63" s="124" t="e">
        <f>VLOOKUP('北段 (人資版)'!S63,工作表1!$A$3:$B$78,2,FALSE)</f>
        <v>#REF!</v>
      </c>
      <c r="T63" s="124" t="e">
        <f>VLOOKUP('北段 (人資版)'!T63,工作表1!$A$3:$B$78,2,FALSE)</f>
        <v>#REF!</v>
      </c>
      <c r="U63" s="124" t="e">
        <f>VLOOKUP('北段 (人資版)'!U63,工作表1!$A$3:$B$78,2,FALSE)</f>
        <v>#REF!</v>
      </c>
      <c r="V63" s="124" t="e">
        <f>VLOOKUP('北段 (人資版)'!V63,工作表1!$A$3:$B$78,2,FALSE)</f>
        <v>#REF!</v>
      </c>
      <c r="W63" s="124" t="e">
        <f>VLOOKUP('北段 (人資版)'!W63,工作表1!$A$3:$B$78,2,FALSE)</f>
        <v>#REF!</v>
      </c>
      <c r="X63" s="124" t="e">
        <f>VLOOKUP('北段 (人資版)'!X63,工作表1!$A$3:$B$78,2,FALSE)</f>
        <v>#REF!</v>
      </c>
      <c r="Y63" s="124" t="e">
        <f>VLOOKUP('北段 (人資版)'!Y63,工作表1!$A$3:$B$78,2,FALSE)</f>
        <v>#REF!</v>
      </c>
      <c r="Z63" s="124" t="e">
        <f>VLOOKUP('北段 (人資版)'!Z63,工作表1!$A$3:$B$78,2,FALSE)</f>
        <v>#REF!</v>
      </c>
      <c r="AA63" s="124" t="e">
        <f>VLOOKUP('北段 (人資版)'!AA63,工作表1!$A$3:$B$78,2,FALSE)</f>
        <v>#REF!</v>
      </c>
      <c r="AB63" s="124" t="e">
        <f>VLOOKUP('北段 (人資版)'!AB63,工作表1!$A$3:$B$78,2,FALSE)</f>
        <v>#REF!</v>
      </c>
      <c r="AC63" s="124" t="e">
        <f>VLOOKUP('北段 (人資版)'!AC63,工作表1!$A$3:$B$78,2,FALSE)</f>
        <v>#REF!</v>
      </c>
      <c r="AD63" s="124" t="e">
        <f>VLOOKUP('北段 (人資版)'!AD63,工作表1!$A$3:$B$78,2,FALSE)</f>
        <v>#REF!</v>
      </c>
      <c r="AE63" s="124" t="e">
        <f>VLOOKUP('北段 (人資版)'!AE63,工作表1!$A$3:$B$78,2,FALSE)</f>
        <v>#REF!</v>
      </c>
      <c r="AF63" s="124" t="e">
        <f>VLOOKUP('北段 (人資版)'!AF63,工作表1!$A$3:$B$78,2,FALSE)</f>
        <v>#REF!</v>
      </c>
      <c r="AG63" s="124" t="e">
        <f>VLOOKUP('北段 (人資版)'!AG63,工作表1!$A$3:$B$78,2,FALSE)</f>
        <v>#REF!</v>
      </c>
      <c r="AH63" s="124" t="e">
        <f>VLOOKUP('北段 (人資版)'!AH63,工作表1!$A$3:$B$78,2,FALSE)</f>
        <v>#REF!</v>
      </c>
    </row>
    <row r="64" spans="1:34" ht="39" customHeight="1" x14ac:dyDescent="0.25">
      <c r="A64" s="47"/>
      <c r="B64" s="72" t="e">
        <f>北段!#REF!</f>
        <v>#REF!</v>
      </c>
      <c r="C64" s="38" t="e">
        <f>VLOOKUP(B64,北段!B:C,2,FALSE)</f>
        <v>#REF!</v>
      </c>
      <c r="D64" s="124" t="e">
        <f>VLOOKUP('北段 (人資版)'!D64,工作表1!$A$3:$B$78,2,FALSE)</f>
        <v>#REF!</v>
      </c>
      <c r="E64" s="124" t="e">
        <f>VLOOKUP('北段 (人資版)'!E64,工作表1!$A$3:$B$78,2,FALSE)</f>
        <v>#REF!</v>
      </c>
      <c r="F64" s="124" t="e">
        <f>VLOOKUP('北段 (人資版)'!F64,工作表1!$A$3:$B$78,2,FALSE)</f>
        <v>#REF!</v>
      </c>
      <c r="G64" s="124" t="e">
        <f>VLOOKUP('北段 (人資版)'!G64,工作表1!$A$3:$B$78,2,FALSE)</f>
        <v>#REF!</v>
      </c>
      <c r="H64" s="124" t="e">
        <f>VLOOKUP('北段 (人資版)'!H64,工作表1!$A$3:$B$78,2,FALSE)</f>
        <v>#REF!</v>
      </c>
      <c r="I64" s="124" t="e">
        <f>VLOOKUP('北段 (人資版)'!I64,工作表1!$A$3:$B$78,2,FALSE)</f>
        <v>#REF!</v>
      </c>
      <c r="J64" s="124" t="e">
        <f>VLOOKUP('北段 (人資版)'!J64,工作表1!$A$3:$B$78,2,FALSE)</f>
        <v>#REF!</v>
      </c>
      <c r="K64" s="124" t="e">
        <f>VLOOKUP('北段 (人資版)'!K64,工作表1!$A$3:$B$78,2,FALSE)</f>
        <v>#REF!</v>
      </c>
      <c r="L64" s="124" t="e">
        <f>VLOOKUP('北段 (人資版)'!L64,工作表1!$A$3:$B$78,2,FALSE)</f>
        <v>#REF!</v>
      </c>
      <c r="M64" s="124" t="e">
        <f>VLOOKUP('北段 (人資版)'!M64,工作表1!$A$3:$B$78,2,FALSE)</f>
        <v>#REF!</v>
      </c>
      <c r="N64" s="124" t="e">
        <f>VLOOKUP('北段 (人資版)'!N64,工作表1!$A$3:$B$78,2,FALSE)</f>
        <v>#REF!</v>
      </c>
      <c r="O64" s="124" t="e">
        <f>VLOOKUP('北段 (人資版)'!O64,工作表1!$A$3:$B$78,2,FALSE)</f>
        <v>#REF!</v>
      </c>
      <c r="P64" s="124" t="e">
        <f>VLOOKUP('北段 (人資版)'!P64,工作表1!$A$3:$B$78,2,FALSE)</f>
        <v>#REF!</v>
      </c>
      <c r="Q64" s="124" t="e">
        <f>VLOOKUP('北段 (人資版)'!Q64,工作表1!$A$3:$B$78,2,FALSE)</f>
        <v>#REF!</v>
      </c>
      <c r="R64" s="124" t="e">
        <f>VLOOKUP('北段 (人資版)'!R64,工作表1!$A$3:$B$78,2,FALSE)</f>
        <v>#REF!</v>
      </c>
      <c r="S64" s="124" t="e">
        <f>VLOOKUP('北段 (人資版)'!S64,工作表1!$A$3:$B$78,2,FALSE)</f>
        <v>#REF!</v>
      </c>
      <c r="T64" s="124" t="e">
        <f>VLOOKUP('北段 (人資版)'!T64,工作表1!$A$3:$B$78,2,FALSE)</f>
        <v>#REF!</v>
      </c>
      <c r="U64" s="124" t="e">
        <f>VLOOKUP('北段 (人資版)'!U64,工作表1!$A$3:$B$78,2,FALSE)</f>
        <v>#REF!</v>
      </c>
      <c r="V64" s="124" t="e">
        <f>VLOOKUP('北段 (人資版)'!V64,工作表1!$A$3:$B$78,2,FALSE)</f>
        <v>#REF!</v>
      </c>
      <c r="W64" s="124" t="e">
        <f>VLOOKUP('北段 (人資版)'!W64,工作表1!$A$3:$B$78,2,FALSE)</f>
        <v>#REF!</v>
      </c>
      <c r="X64" s="124" t="e">
        <f>VLOOKUP('北段 (人資版)'!X64,工作表1!$A$3:$B$78,2,FALSE)</f>
        <v>#REF!</v>
      </c>
      <c r="Y64" s="124" t="e">
        <f>VLOOKUP('北段 (人資版)'!Y64,工作表1!$A$3:$B$78,2,FALSE)</f>
        <v>#REF!</v>
      </c>
      <c r="Z64" s="124" t="e">
        <f>VLOOKUP('北段 (人資版)'!Z64,工作表1!$A$3:$B$78,2,FALSE)</f>
        <v>#REF!</v>
      </c>
      <c r="AA64" s="124" t="e">
        <f>VLOOKUP('北段 (人資版)'!AA64,工作表1!$A$3:$B$78,2,FALSE)</f>
        <v>#REF!</v>
      </c>
      <c r="AB64" s="124" t="e">
        <f>VLOOKUP('北段 (人資版)'!AB64,工作表1!$A$3:$B$78,2,FALSE)</f>
        <v>#REF!</v>
      </c>
      <c r="AC64" s="124" t="e">
        <f>VLOOKUP('北段 (人資版)'!AC64,工作表1!$A$3:$B$78,2,FALSE)</f>
        <v>#REF!</v>
      </c>
      <c r="AD64" s="124" t="e">
        <f>VLOOKUP('北段 (人資版)'!AD64,工作表1!$A$3:$B$78,2,FALSE)</f>
        <v>#REF!</v>
      </c>
      <c r="AE64" s="124" t="e">
        <f>VLOOKUP('北段 (人資版)'!AE64,工作表1!$A$3:$B$78,2,FALSE)</f>
        <v>#REF!</v>
      </c>
      <c r="AF64" s="124" t="e">
        <f>VLOOKUP('北段 (人資版)'!AF64,工作表1!$A$3:$B$78,2,FALSE)</f>
        <v>#REF!</v>
      </c>
      <c r="AG64" s="124" t="e">
        <f>VLOOKUP('北段 (人資版)'!AG64,工作表1!$A$3:$B$78,2,FALSE)</f>
        <v>#REF!</v>
      </c>
      <c r="AH64" s="124" t="e">
        <f>VLOOKUP('北段 (人資版)'!AH64,工作表1!$A$3:$B$78,2,FALSE)</f>
        <v>#REF!</v>
      </c>
    </row>
    <row r="65" spans="1:34" ht="39" customHeight="1" x14ac:dyDescent="0.25">
      <c r="A65" s="47"/>
      <c r="B65" s="72" t="e">
        <f>北段!#REF!</f>
        <v>#REF!</v>
      </c>
      <c r="C65" s="38" t="e">
        <f>VLOOKUP(B65,北段!B:C,2,FALSE)</f>
        <v>#REF!</v>
      </c>
      <c r="D65" s="124" t="e">
        <f>VLOOKUP('北段 (人資版)'!D65,工作表1!$A$3:$B$78,2,FALSE)</f>
        <v>#REF!</v>
      </c>
      <c r="E65" s="124" t="e">
        <f>VLOOKUP('北段 (人資版)'!E65,工作表1!$A$3:$B$78,2,FALSE)</f>
        <v>#REF!</v>
      </c>
      <c r="F65" s="124" t="e">
        <f>VLOOKUP('北段 (人資版)'!F65,工作表1!$A$3:$B$78,2,FALSE)</f>
        <v>#REF!</v>
      </c>
      <c r="G65" s="124" t="e">
        <f>VLOOKUP('北段 (人資版)'!G65,工作表1!$A$3:$B$78,2,FALSE)</f>
        <v>#REF!</v>
      </c>
      <c r="H65" s="124" t="e">
        <f>VLOOKUP('北段 (人資版)'!H65,工作表1!$A$3:$B$78,2,FALSE)</f>
        <v>#REF!</v>
      </c>
      <c r="I65" s="124" t="e">
        <f>VLOOKUP('北段 (人資版)'!I65,工作表1!$A$3:$B$78,2,FALSE)</f>
        <v>#REF!</v>
      </c>
      <c r="J65" s="124" t="e">
        <f>VLOOKUP('北段 (人資版)'!J65,工作表1!$A$3:$B$78,2,FALSE)</f>
        <v>#REF!</v>
      </c>
      <c r="K65" s="124" t="e">
        <f>VLOOKUP('北段 (人資版)'!K65,工作表1!$A$3:$B$78,2,FALSE)</f>
        <v>#REF!</v>
      </c>
      <c r="L65" s="124" t="e">
        <f>VLOOKUP('北段 (人資版)'!L65,工作表1!$A$3:$B$78,2,FALSE)</f>
        <v>#REF!</v>
      </c>
      <c r="M65" s="124" t="e">
        <f>VLOOKUP('北段 (人資版)'!M65,工作表1!$A$3:$B$78,2,FALSE)</f>
        <v>#REF!</v>
      </c>
      <c r="N65" s="124" t="e">
        <f>VLOOKUP('北段 (人資版)'!N65,工作表1!$A$3:$B$78,2,FALSE)</f>
        <v>#REF!</v>
      </c>
      <c r="O65" s="124" t="e">
        <f>VLOOKUP('北段 (人資版)'!O65,工作表1!$A$3:$B$78,2,FALSE)</f>
        <v>#REF!</v>
      </c>
      <c r="P65" s="124" t="e">
        <f>VLOOKUP('北段 (人資版)'!P65,工作表1!$A$3:$B$78,2,FALSE)</f>
        <v>#REF!</v>
      </c>
      <c r="Q65" s="124" t="e">
        <f>VLOOKUP('北段 (人資版)'!Q65,工作表1!$A$3:$B$78,2,FALSE)</f>
        <v>#REF!</v>
      </c>
      <c r="R65" s="124" t="e">
        <f>VLOOKUP('北段 (人資版)'!R65,工作表1!$A$3:$B$78,2,FALSE)</f>
        <v>#REF!</v>
      </c>
      <c r="S65" s="124" t="e">
        <f>VLOOKUP('北段 (人資版)'!S65,工作表1!$A$3:$B$78,2,FALSE)</f>
        <v>#REF!</v>
      </c>
      <c r="T65" s="124" t="e">
        <f>VLOOKUP('北段 (人資版)'!T65,工作表1!$A$3:$B$78,2,FALSE)</f>
        <v>#REF!</v>
      </c>
      <c r="U65" s="124" t="e">
        <f>VLOOKUP('北段 (人資版)'!U65,工作表1!$A$3:$B$78,2,FALSE)</f>
        <v>#REF!</v>
      </c>
      <c r="V65" s="124" t="e">
        <f>VLOOKUP('北段 (人資版)'!V65,工作表1!$A$3:$B$78,2,FALSE)</f>
        <v>#REF!</v>
      </c>
      <c r="W65" s="124" t="e">
        <f>VLOOKUP('北段 (人資版)'!W65,工作表1!$A$3:$B$78,2,FALSE)</f>
        <v>#REF!</v>
      </c>
      <c r="X65" s="124" t="e">
        <f>VLOOKUP('北段 (人資版)'!X65,工作表1!$A$3:$B$78,2,FALSE)</f>
        <v>#REF!</v>
      </c>
      <c r="Y65" s="124" t="e">
        <f>VLOOKUP('北段 (人資版)'!Y65,工作表1!$A$3:$B$78,2,FALSE)</f>
        <v>#REF!</v>
      </c>
      <c r="Z65" s="124" t="e">
        <f>VLOOKUP('北段 (人資版)'!Z65,工作表1!$A$3:$B$78,2,FALSE)</f>
        <v>#REF!</v>
      </c>
      <c r="AA65" s="124" t="e">
        <f>VLOOKUP('北段 (人資版)'!AA65,工作表1!$A$3:$B$78,2,FALSE)</f>
        <v>#REF!</v>
      </c>
      <c r="AB65" s="124" t="e">
        <f>VLOOKUP('北段 (人資版)'!AB65,工作表1!$A$3:$B$78,2,FALSE)</f>
        <v>#REF!</v>
      </c>
      <c r="AC65" s="124" t="e">
        <f>VLOOKUP('北段 (人資版)'!AC65,工作表1!$A$3:$B$78,2,FALSE)</f>
        <v>#REF!</v>
      </c>
      <c r="AD65" s="124" t="e">
        <f>VLOOKUP('北段 (人資版)'!AD65,工作表1!$A$3:$B$78,2,FALSE)</f>
        <v>#REF!</v>
      </c>
      <c r="AE65" s="124" t="e">
        <f>VLOOKUP('北段 (人資版)'!AE65,工作表1!$A$3:$B$78,2,FALSE)</f>
        <v>#REF!</v>
      </c>
      <c r="AF65" s="124" t="e">
        <f>VLOOKUP('北段 (人資版)'!AF65,工作表1!$A$3:$B$78,2,FALSE)</f>
        <v>#REF!</v>
      </c>
      <c r="AG65" s="124" t="e">
        <f>VLOOKUP('北段 (人資版)'!AG65,工作表1!$A$3:$B$78,2,FALSE)</f>
        <v>#REF!</v>
      </c>
      <c r="AH65" s="124" t="e">
        <f>VLOOKUP('北段 (人資版)'!AH65,工作表1!$A$3:$B$78,2,FALSE)</f>
        <v>#REF!</v>
      </c>
    </row>
    <row r="66" spans="1:34" ht="39" customHeight="1" x14ac:dyDescent="0.25">
      <c r="A66" s="47"/>
      <c r="B66" s="72" t="e">
        <f>北段!#REF!</f>
        <v>#REF!</v>
      </c>
      <c r="C66" s="38" t="e">
        <f>VLOOKUP(B66,北段!B:C,2,FALSE)</f>
        <v>#REF!</v>
      </c>
      <c r="D66" s="124" t="e">
        <f>VLOOKUP('北段 (人資版)'!D66,工作表1!$A$3:$B$78,2,FALSE)</f>
        <v>#REF!</v>
      </c>
      <c r="E66" s="124" t="e">
        <f>VLOOKUP('北段 (人資版)'!E66,工作表1!$A$3:$B$78,2,FALSE)</f>
        <v>#REF!</v>
      </c>
      <c r="F66" s="124" t="e">
        <f>VLOOKUP('北段 (人資版)'!F66,工作表1!$A$3:$B$78,2,FALSE)</f>
        <v>#REF!</v>
      </c>
      <c r="G66" s="124" t="e">
        <f>VLOOKUP('北段 (人資版)'!G66,工作表1!$A$3:$B$78,2,FALSE)</f>
        <v>#REF!</v>
      </c>
      <c r="H66" s="124" t="e">
        <f>VLOOKUP('北段 (人資版)'!H66,工作表1!$A$3:$B$78,2,FALSE)</f>
        <v>#REF!</v>
      </c>
      <c r="I66" s="124" t="e">
        <f>VLOOKUP('北段 (人資版)'!I66,工作表1!$A$3:$B$78,2,FALSE)</f>
        <v>#REF!</v>
      </c>
      <c r="J66" s="124" t="e">
        <f>VLOOKUP('北段 (人資版)'!J66,工作表1!$A$3:$B$78,2,FALSE)</f>
        <v>#REF!</v>
      </c>
      <c r="K66" s="124" t="e">
        <f>VLOOKUP('北段 (人資版)'!K66,工作表1!$A$3:$B$78,2,FALSE)</f>
        <v>#REF!</v>
      </c>
      <c r="L66" s="124" t="e">
        <f>VLOOKUP('北段 (人資版)'!L66,工作表1!$A$3:$B$78,2,FALSE)</f>
        <v>#REF!</v>
      </c>
      <c r="M66" s="124" t="e">
        <f>VLOOKUP('北段 (人資版)'!M66,工作表1!$A$3:$B$78,2,FALSE)</f>
        <v>#REF!</v>
      </c>
      <c r="N66" s="124" t="e">
        <f>VLOOKUP('北段 (人資版)'!N66,工作表1!$A$3:$B$78,2,FALSE)</f>
        <v>#REF!</v>
      </c>
      <c r="O66" s="124" t="e">
        <f>VLOOKUP('北段 (人資版)'!O66,工作表1!$A$3:$B$78,2,FALSE)</f>
        <v>#REF!</v>
      </c>
      <c r="P66" s="124" t="e">
        <f>VLOOKUP('北段 (人資版)'!P66,工作表1!$A$3:$B$78,2,FALSE)</f>
        <v>#REF!</v>
      </c>
      <c r="Q66" s="124" t="e">
        <f>VLOOKUP('北段 (人資版)'!Q66,工作表1!$A$3:$B$78,2,FALSE)</f>
        <v>#REF!</v>
      </c>
      <c r="R66" s="124" t="e">
        <f>VLOOKUP('北段 (人資版)'!R66,工作表1!$A$3:$B$78,2,FALSE)</f>
        <v>#REF!</v>
      </c>
      <c r="S66" s="124" t="e">
        <f>VLOOKUP('北段 (人資版)'!S66,工作表1!$A$3:$B$78,2,FALSE)</f>
        <v>#REF!</v>
      </c>
      <c r="T66" s="124" t="e">
        <f>VLOOKUP('北段 (人資版)'!T66,工作表1!$A$3:$B$78,2,FALSE)</f>
        <v>#REF!</v>
      </c>
      <c r="U66" s="124" t="e">
        <f>VLOOKUP('北段 (人資版)'!U66,工作表1!$A$3:$B$78,2,FALSE)</f>
        <v>#REF!</v>
      </c>
      <c r="V66" s="124" t="e">
        <f>VLOOKUP('北段 (人資版)'!V66,工作表1!$A$3:$B$78,2,FALSE)</f>
        <v>#REF!</v>
      </c>
      <c r="W66" s="124" t="e">
        <f>VLOOKUP('北段 (人資版)'!W66,工作表1!$A$3:$B$78,2,FALSE)</f>
        <v>#REF!</v>
      </c>
      <c r="X66" s="124" t="e">
        <f>VLOOKUP('北段 (人資版)'!X66,工作表1!$A$3:$B$78,2,FALSE)</f>
        <v>#REF!</v>
      </c>
      <c r="Y66" s="124" t="e">
        <f>VLOOKUP('北段 (人資版)'!Y66,工作表1!$A$3:$B$78,2,FALSE)</f>
        <v>#REF!</v>
      </c>
      <c r="Z66" s="124" t="e">
        <f>VLOOKUP('北段 (人資版)'!Z66,工作表1!$A$3:$B$78,2,FALSE)</f>
        <v>#REF!</v>
      </c>
      <c r="AA66" s="124" t="e">
        <f>VLOOKUP('北段 (人資版)'!AA66,工作表1!$A$3:$B$78,2,FALSE)</f>
        <v>#REF!</v>
      </c>
      <c r="AB66" s="124" t="e">
        <f>VLOOKUP('北段 (人資版)'!AB66,工作表1!$A$3:$B$78,2,FALSE)</f>
        <v>#REF!</v>
      </c>
      <c r="AC66" s="124" t="e">
        <f>VLOOKUP('北段 (人資版)'!AC66,工作表1!$A$3:$B$78,2,FALSE)</f>
        <v>#REF!</v>
      </c>
      <c r="AD66" s="124" t="e">
        <f>VLOOKUP('北段 (人資版)'!AD66,工作表1!$A$3:$B$78,2,FALSE)</f>
        <v>#REF!</v>
      </c>
      <c r="AE66" s="124" t="e">
        <f>VLOOKUP('北段 (人資版)'!AE66,工作表1!$A$3:$B$78,2,FALSE)</f>
        <v>#REF!</v>
      </c>
      <c r="AF66" s="124" t="e">
        <f>VLOOKUP('北段 (人資版)'!AF66,工作表1!$A$3:$B$78,2,FALSE)</f>
        <v>#REF!</v>
      </c>
      <c r="AG66" s="124" t="e">
        <f>VLOOKUP('北段 (人資版)'!AG66,工作表1!$A$3:$B$78,2,FALSE)</f>
        <v>#REF!</v>
      </c>
      <c r="AH66" s="124" t="e">
        <f>VLOOKUP('北段 (人資版)'!AH66,工作表1!$A$3:$B$78,2,FALSE)</f>
        <v>#REF!</v>
      </c>
    </row>
    <row r="67" spans="1:34" ht="39" customHeight="1" x14ac:dyDescent="0.25">
      <c r="A67" s="47"/>
      <c r="B67" s="72" t="e">
        <f>北段!#REF!</f>
        <v>#REF!</v>
      </c>
      <c r="C67" s="38" t="e">
        <f>VLOOKUP(B67,北段!B:C,2,FALSE)</f>
        <v>#REF!</v>
      </c>
      <c r="D67" s="124" t="e">
        <f>VLOOKUP('北段 (人資版)'!D67,工作表1!$A$3:$B$78,2,FALSE)</f>
        <v>#REF!</v>
      </c>
      <c r="E67" s="124" t="e">
        <f>VLOOKUP('北段 (人資版)'!E67,工作表1!$A$3:$B$78,2,FALSE)</f>
        <v>#REF!</v>
      </c>
      <c r="F67" s="124" t="e">
        <f>VLOOKUP('北段 (人資版)'!F67,工作表1!$A$3:$B$78,2,FALSE)</f>
        <v>#REF!</v>
      </c>
      <c r="G67" s="124" t="e">
        <f>VLOOKUP('北段 (人資版)'!G67,工作表1!$A$3:$B$78,2,FALSE)</f>
        <v>#REF!</v>
      </c>
      <c r="H67" s="124" t="e">
        <f>VLOOKUP('北段 (人資版)'!H67,工作表1!$A$3:$B$78,2,FALSE)</f>
        <v>#REF!</v>
      </c>
      <c r="I67" s="124" t="e">
        <f>VLOOKUP('北段 (人資版)'!I67,工作表1!$A$3:$B$78,2,FALSE)</f>
        <v>#REF!</v>
      </c>
      <c r="J67" s="124" t="e">
        <f>VLOOKUP('北段 (人資版)'!J67,工作表1!$A$3:$B$78,2,FALSE)</f>
        <v>#REF!</v>
      </c>
      <c r="K67" s="124" t="e">
        <f>VLOOKUP('北段 (人資版)'!K67,工作表1!$A$3:$B$78,2,FALSE)</f>
        <v>#REF!</v>
      </c>
      <c r="L67" s="124" t="e">
        <f>VLOOKUP('北段 (人資版)'!L67,工作表1!$A$3:$B$78,2,FALSE)</f>
        <v>#REF!</v>
      </c>
      <c r="M67" s="124" t="e">
        <f>VLOOKUP('北段 (人資版)'!M67,工作表1!$A$3:$B$78,2,FALSE)</f>
        <v>#REF!</v>
      </c>
      <c r="N67" s="124" t="e">
        <f>VLOOKUP('北段 (人資版)'!N67,工作表1!$A$3:$B$78,2,FALSE)</f>
        <v>#REF!</v>
      </c>
      <c r="O67" s="124" t="e">
        <f>VLOOKUP('北段 (人資版)'!O67,工作表1!$A$3:$B$78,2,FALSE)</f>
        <v>#REF!</v>
      </c>
      <c r="P67" s="124" t="e">
        <f>VLOOKUP('北段 (人資版)'!P67,工作表1!$A$3:$B$78,2,FALSE)</f>
        <v>#REF!</v>
      </c>
      <c r="Q67" s="124" t="e">
        <f>VLOOKUP('北段 (人資版)'!Q67,工作表1!$A$3:$B$78,2,FALSE)</f>
        <v>#REF!</v>
      </c>
      <c r="R67" s="124" t="e">
        <f>VLOOKUP('北段 (人資版)'!R67,工作表1!$A$3:$B$78,2,FALSE)</f>
        <v>#REF!</v>
      </c>
      <c r="S67" s="124" t="e">
        <f>VLOOKUP('北段 (人資版)'!S67,工作表1!$A$3:$B$78,2,FALSE)</f>
        <v>#REF!</v>
      </c>
      <c r="T67" s="124" t="e">
        <f>VLOOKUP('北段 (人資版)'!T67,工作表1!$A$3:$B$78,2,FALSE)</f>
        <v>#REF!</v>
      </c>
      <c r="U67" s="124" t="e">
        <f>VLOOKUP('北段 (人資版)'!U67,工作表1!$A$3:$B$78,2,FALSE)</f>
        <v>#REF!</v>
      </c>
      <c r="V67" s="124" t="e">
        <f>VLOOKUP('北段 (人資版)'!V67,工作表1!$A$3:$B$78,2,FALSE)</f>
        <v>#REF!</v>
      </c>
      <c r="W67" s="124" t="e">
        <f>VLOOKUP('北段 (人資版)'!W67,工作表1!$A$3:$B$78,2,FALSE)</f>
        <v>#REF!</v>
      </c>
      <c r="X67" s="124" t="e">
        <f>VLOOKUP('北段 (人資版)'!X67,工作表1!$A$3:$B$78,2,FALSE)</f>
        <v>#REF!</v>
      </c>
      <c r="Y67" s="124" t="e">
        <f>VLOOKUP('北段 (人資版)'!Y67,工作表1!$A$3:$B$78,2,FALSE)</f>
        <v>#REF!</v>
      </c>
      <c r="Z67" s="124" t="e">
        <f>VLOOKUP('北段 (人資版)'!Z67,工作表1!$A$3:$B$78,2,FALSE)</f>
        <v>#REF!</v>
      </c>
      <c r="AA67" s="124" t="e">
        <f>VLOOKUP('北段 (人資版)'!AA67,工作表1!$A$3:$B$78,2,FALSE)</f>
        <v>#REF!</v>
      </c>
      <c r="AB67" s="124" t="e">
        <f>VLOOKUP('北段 (人資版)'!AB67,工作表1!$A$3:$B$78,2,FALSE)</f>
        <v>#REF!</v>
      </c>
      <c r="AC67" s="124" t="e">
        <f>VLOOKUP('北段 (人資版)'!AC67,工作表1!$A$3:$B$78,2,FALSE)</f>
        <v>#REF!</v>
      </c>
      <c r="AD67" s="124" t="e">
        <f>VLOOKUP('北段 (人資版)'!AD67,工作表1!$A$3:$B$78,2,FALSE)</f>
        <v>#REF!</v>
      </c>
      <c r="AE67" s="124" t="e">
        <f>VLOOKUP('北段 (人資版)'!AE67,工作表1!$A$3:$B$78,2,FALSE)</f>
        <v>#REF!</v>
      </c>
      <c r="AF67" s="124" t="e">
        <f>VLOOKUP('北段 (人資版)'!AF67,工作表1!$A$3:$B$78,2,FALSE)</f>
        <v>#REF!</v>
      </c>
      <c r="AG67" s="124" t="e">
        <f>VLOOKUP('北段 (人資版)'!AG67,工作表1!$A$3:$B$78,2,FALSE)</f>
        <v>#REF!</v>
      </c>
      <c r="AH67" s="124" t="e">
        <f>VLOOKUP('北段 (人資版)'!AH67,工作表1!$A$3:$B$78,2,FALSE)</f>
        <v>#REF!</v>
      </c>
    </row>
    <row r="68" spans="1:34" s="36" customFormat="1" ht="39" customHeight="1" x14ac:dyDescent="0.25">
      <c r="A68" s="45"/>
      <c r="B68" s="72" t="e">
        <f>北段!#REF!</f>
        <v>#REF!</v>
      </c>
      <c r="C68" s="38" t="e">
        <f>VLOOKUP(B68,北段!B:C,2,FALSE)</f>
        <v>#REF!</v>
      </c>
      <c r="D68" s="124" t="e">
        <f>VLOOKUP('北段 (人資版)'!D68,工作表1!$A$3:$B$78,2,FALSE)</f>
        <v>#REF!</v>
      </c>
      <c r="E68" s="124" t="e">
        <f>VLOOKUP('北段 (人資版)'!E68,工作表1!$A$3:$B$78,2,FALSE)</f>
        <v>#REF!</v>
      </c>
      <c r="F68" s="124" t="e">
        <f>VLOOKUP('北段 (人資版)'!F68,工作表1!$A$3:$B$78,2,FALSE)</f>
        <v>#REF!</v>
      </c>
      <c r="G68" s="124" t="e">
        <f>VLOOKUP('北段 (人資版)'!G68,工作表1!$A$3:$B$78,2,FALSE)</f>
        <v>#REF!</v>
      </c>
      <c r="H68" s="124" t="e">
        <f>VLOOKUP('北段 (人資版)'!H68,工作表1!$A$3:$B$78,2,FALSE)</f>
        <v>#REF!</v>
      </c>
      <c r="I68" s="124" t="e">
        <f>VLOOKUP('北段 (人資版)'!I68,工作表1!$A$3:$B$78,2,FALSE)</f>
        <v>#REF!</v>
      </c>
      <c r="J68" s="124" t="e">
        <f>VLOOKUP('北段 (人資版)'!J68,工作表1!$A$3:$B$78,2,FALSE)</f>
        <v>#REF!</v>
      </c>
      <c r="K68" s="124" t="e">
        <f>VLOOKUP('北段 (人資版)'!K68,工作表1!$A$3:$B$78,2,FALSE)</f>
        <v>#REF!</v>
      </c>
      <c r="L68" s="124" t="e">
        <f>VLOOKUP('北段 (人資版)'!L68,工作表1!$A$3:$B$78,2,FALSE)</f>
        <v>#REF!</v>
      </c>
      <c r="M68" s="124" t="e">
        <f>VLOOKUP('北段 (人資版)'!M68,工作表1!$A$3:$B$78,2,FALSE)</f>
        <v>#REF!</v>
      </c>
      <c r="N68" s="124" t="e">
        <f>VLOOKUP('北段 (人資版)'!N68,工作表1!$A$3:$B$78,2,FALSE)</f>
        <v>#REF!</v>
      </c>
      <c r="O68" s="124" t="e">
        <f>VLOOKUP('北段 (人資版)'!O68,工作表1!$A$3:$B$78,2,FALSE)</f>
        <v>#REF!</v>
      </c>
      <c r="P68" s="124" t="e">
        <f>VLOOKUP('北段 (人資版)'!P68,工作表1!$A$3:$B$78,2,FALSE)</f>
        <v>#REF!</v>
      </c>
      <c r="Q68" s="124" t="e">
        <f>VLOOKUP('北段 (人資版)'!Q68,工作表1!$A$3:$B$78,2,FALSE)</f>
        <v>#REF!</v>
      </c>
      <c r="R68" s="124" t="e">
        <f>VLOOKUP('北段 (人資版)'!R68,工作表1!$A$3:$B$78,2,FALSE)</f>
        <v>#REF!</v>
      </c>
      <c r="S68" s="124" t="e">
        <f>VLOOKUP('北段 (人資版)'!S68,工作表1!$A$3:$B$78,2,FALSE)</f>
        <v>#REF!</v>
      </c>
      <c r="T68" s="124" t="e">
        <f>VLOOKUP('北段 (人資版)'!T68,工作表1!$A$3:$B$78,2,FALSE)</f>
        <v>#REF!</v>
      </c>
      <c r="U68" s="124" t="e">
        <f>VLOOKUP('北段 (人資版)'!U68,工作表1!$A$3:$B$78,2,FALSE)</f>
        <v>#REF!</v>
      </c>
      <c r="V68" s="124" t="e">
        <f>VLOOKUP('北段 (人資版)'!V68,工作表1!$A$3:$B$78,2,FALSE)</f>
        <v>#REF!</v>
      </c>
      <c r="W68" s="124" t="e">
        <f>VLOOKUP('北段 (人資版)'!W68,工作表1!$A$3:$B$78,2,FALSE)</f>
        <v>#REF!</v>
      </c>
      <c r="X68" s="124" t="e">
        <f>VLOOKUP('北段 (人資版)'!X68,工作表1!$A$3:$B$78,2,FALSE)</f>
        <v>#REF!</v>
      </c>
      <c r="Y68" s="124" t="e">
        <f>VLOOKUP('北段 (人資版)'!Y68,工作表1!$A$3:$B$78,2,FALSE)</f>
        <v>#REF!</v>
      </c>
      <c r="Z68" s="124" t="e">
        <f>VLOOKUP('北段 (人資版)'!Z68,工作表1!$A$3:$B$78,2,FALSE)</f>
        <v>#REF!</v>
      </c>
      <c r="AA68" s="124" t="e">
        <f>VLOOKUP('北段 (人資版)'!AA68,工作表1!$A$3:$B$78,2,FALSE)</f>
        <v>#REF!</v>
      </c>
      <c r="AB68" s="124" t="e">
        <f>VLOOKUP('北段 (人資版)'!AB68,工作表1!$A$3:$B$78,2,FALSE)</f>
        <v>#REF!</v>
      </c>
      <c r="AC68" s="124" t="e">
        <f>VLOOKUP('北段 (人資版)'!AC68,工作表1!$A$3:$B$78,2,FALSE)</f>
        <v>#REF!</v>
      </c>
      <c r="AD68" s="124" t="e">
        <f>VLOOKUP('北段 (人資版)'!AD68,工作表1!$A$3:$B$78,2,FALSE)</f>
        <v>#REF!</v>
      </c>
      <c r="AE68" s="124" t="e">
        <f>VLOOKUP('北段 (人資版)'!AE68,工作表1!$A$3:$B$78,2,FALSE)</f>
        <v>#REF!</v>
      </c>
      <c r="AF68" s="124" t="e">
        <f>VLOOKUP('北段 (人資版)'!AF68,工作表1!$A$3:$B$78,2,FALSE)</f>
        <v>#REF!</v>
      </c>
      <c r="AG68" s="124" t="e">
        <f>VLOOKUP('北段 (人資版)'!AG68,工作表1!$A$3:$B$78,2,FALSE)</f>
        <v>#REF!</v>
      </c>
      <c r="AH68" s="124" t="e">
        <f>VLOOKUP('北段 (人資版)'!AH68,工作表1!$A$3:$B$78,2,FALSE)</f>
        <v>#REF!</v>
      </c>
    </row>
    <row r="69" spans="1:34" ht="39" customHeight="1" x14ac:dyDescent="0.25">
      <c r="B69" s="72" t="e">
        <f>北段!#REF!</f>
        <v>#REF!</v>
      </c>
      <c r="C69" s="38" t="e">
        <f>VLOOKUP(B69,北段!B:C,2,FALSE)</f>
        <v>#REF!</v>
      </c>
      <c r="D69" s="124" t="e">
        <f>VLOOKUP('北段 (人資版)'!D69,工作表1!$A$3:$B$78,2,FALSE)</f>
        <v>#REF!</v>
      </c>
      <c r="E69" s="124" t="e">
        <f>VLOOKUP('北段 (人資版)'!E69,工作表1!$A$3:$B$78,2,FALSE)</f>
        <v>#REF!</v>
      </c>
      <c r="F69" s="124" t="e">
        <f>VLOOKUP('北段 (人資版)'!F69,工作表1!$A$3:$B$78,2,FALSE)</f>
        <v>#REF!</v>
      </c>
      <c r="G69" s="124" t="e">
        <f>VLOOKUP('北段 (人資版)'!G69,工作表1!$A$3:$B$78,2,FALSE)</f>
        <v>#REF!</v>
      </c>
      <c r="H69" s="124" t="e">
        <f>VLOOKUP('北段 (人資版)'!H69,工作表1!$A$3:$B$78,2,FALSE)</f>
        <v>#REF!</v>
      </c>
      <c r="I69" s="124" t="e">
        <f>VLOOKUP('北段 (人資版)'!I69,工作表1!$A$3:$B$78,2,FALSE)</f>
        <v>#REF!</v>
      </c>
      <c r="J69" s="124" t="e">
        <f>VLOOKUP('北段 (人資版)'!J69,工作表1!$A$3:$B$78,2,FALSE)</f>
        <v>#REF!</v>
      </c>
      <c r="K69" s="124" t="e">
        <f>VLOOKUP('北段 (人資版)'!K69,工作表1!$A$3:$B$78,2,FALSE)</f>
        <v>#REF!</v>
      </c>
      <c r="L69" s="124" t="e">
        <f>VLOOKUP('北段 (人資版)'!L69,工作表1!$A$3:$B$78,2,FALSE)</f>
        <v>#REF!</v>
      </c>
      <c r="M69" s="124" t="e">
        <f>VLOOKUP('北段 (人資版)'!M69,工作表1!$A$3:$B$78,2,FALSE)</f>
        <v>#REF!</v>
      </c>
      <c r="N69" s="124" t="e">
        <f>VLOOKUP('北段 (人資版)'!N69,工作表1!$A$3:$B$78,2,FALSE)</f>
        <v>#REF!</v>
      </c>
      <c r="O69" s="124" t="e">
        <f>VLOOKUP('北段 (人資版)'!O69,工作表1!$A$3:$B$78,2,FALSE)</f>
        <v>#REF!</v>
      </c>
      <c r="P69" s="124" t="e">
        <f>VLOOKUP('北段 (人資版)'!P69,工作表1!$A$3:$B$78,2,FALSE)</f>
        <v>#REF!</v>
      </c>
      <c r="Q69" s="124" t="e">
        <f>VLOOKUP('北段 (人資版)'!Q69,工作表1!$A$3:$B$78,2,FALSE)</f>
        <v>#REF!</v>
      </c>
      <c r="R69" s="124" t="e">
        <f>VLOOKUP('北段 (人資版)'!R69,工作表1!$A$3:$B$78,2,FALSE)</f>
        <v>#REF!</v>
      </c>
      <c r="S69" s="124" t="e">
        <f>VLOOKUP('北段 (人資版)'!S69,工作表1!$A$3:$B$78,2,FALSE)</f>
        <v>#REF!</v>
      </c>
      <c r="T69" s="124" t="e">
        <f>VLOOKUP('北段 (人資版)'!T69,工作表1!$A$3:$B$78,2,FALSE)</f>
        <v>#REF!</v>
      </c>
      <c r="U69" s="124" t="e">
        <f>VLOOKUP('北段 (人資版)'!U69,工作表1!$A$3:$B$78,2,FALSE)</f>
        <v>#REF!</v>
      </c>
      <c r="V69" s="124" t="e">
        <f>VLOOKUP('北段 (人資版)'!V69,工作表1!$A$3:$B$78,2,FALSE)</f>
        <v>#REF!</v>
      </c>
      <c r="W69" s="124" t="e">
        <f>VLOOKUP('北段 (人資版)'!W69,工作表1!$A$3:$B$78,2,FALSE)</f>
        <v>#REF!</v>
      </c>
      <c r="X69" s="124" t="e">
        <f>VLOOKUP('北段 (人資版)'!X69,工作表1!$A$3:$B$78,2,FALSE)</f>
        <v>#REF!</v>
      </c>
      <c r="Y69" s="124" t="e">
        <f>VLOOKUP('北段 (人資版)'!Y69,工作表1!$A$3:$B$78,2,FALSE)</f>
        <v>#REF!</v>
      </c>
      <c r="Z69" s="124" t="e">
        <f>VLOOKUP('北段 (人資版)'!Z69,工作表1!$A$3:$B$78,2,FALSE)</f>
        <v>#REF!</v>
      </c>
      <c r="AA69" s="124" t="e">
        <f>VLOOKUP('北段 (人資版)'!AA69,工作表1!$A$3:$B$78,2,FALSE)</f>
        <v>#REF!</v>
      </c>
      <c r="AB69" s="124" t="e">
        <f>VLOOKUP('北段 (人資版)'!AB69,工作表1!$A$3:$B$78,2,FALSE)</f>
        <v>#REF!</v>
      </c>
      <c r="AC69" s="124" t="e">
        <f>VLOOKUP('北段 (人資版)'!AC69,工作表1!$A$3:$B$78,2,FALSE)</f>
        <v>#REF!</v>
      </c>
      <c r="AD69" s="124" t="e">
        <f>VLOOKUP('北段 (人資版)'!AD69,工作表1!$A$3:$B$78,2,FALSE)</f>
        <v>#REF!</v>
      </c>
      <c r="AE69" s="124" t="e">
        <f>VLOOKUP('北段 (人資版)'!AE69,工作表1!$A$3:$B$78,2,FALSE)</f>
        <v>#REF!</v>
      </c>
      <c r="AF69" s="124" t="e">
        <f>VLOOKUP('北段 (人資版)'!AF69,工作表1!$A$3:$B$78,2,FALSE)</f>
        <v>#REF!</v>
      </c>
      <c r="AG69" s="124" t="e">
        <f>VLOOKUP('北段 (人資版)'!AG69,工作表1!$A$3:$B$78,2,FALSE)</f>
        <v>#REF!</v>
      </c>
      <c r="AH69" s="124" t="e">
        <f>VLOOKUP('北段 (人資版)'!AH69,工作表1!$A$3:$B$78,2,FALSE)</f>
        <v>#REF!</v>
      </c>
    </row>
    <row r="70" spans="1:34" ht="39" customHeight="1" x14ac:dyDescent="0.25">
      <c r="B70" s="72" t="e">
        <f>北段!#REF!</f>
        <v>#REF!</v>
      </c>
      <c r="C70" s="38" t="e">
        <f>VLOOKUP(B70,北段!B:C,2,FALSE)</f>
        <v>#REF!</v>
      </c>
      <c r="D70" s="124" t="e">
        <f>VLOOKUP('北段 (人資版)'!D70,工作表1!$A$3:$B$78,2,FALSE)</f>
        <v>#REF!</v>
      </c>
      <c r="E70" s="124" t="e">
        <f>VLOOKUP('北段 (人資版)'!E70,工作表1!$A$3:$B$78,2,FALSE)</f>
        <v>#REF!</v>
      </c>
      <c r="F70" s="124" t="e">
        <f>VLOOKUP('北段 (人資版)'!F70,工作表1!$A$3:$B$78,2,FALSE)</f>
        <v>#REF!</v>
      </c>
      <c r="G70" s="124" t="e">
        <f>VLOOKUP('北段 (人資版)'!G70,工作表1!$A$3:$B$78,2,FALSE)</f>
        <v>#REF!</v>
      </c>
      <c r="H70" s="124" t="e">
        <f>VLOOKUP('北段 (人資版)'!H70,工作表1!$A$3:$B$78,2,FALSE)</f>
        <v>#REF!</v>
      </c>
      <c r="I70" s="124" t="e">
        <f>VLOOKUP('北段 (人資版)'!I70,工作表1!$A$3:$B$78,2,FALSE)</f>
        <v>#REF!</v>
      </c>
      <c r="J70" s="124" t="e">
        <f>VLOOKUP('北段 (人資版)'!J70,工作表1!$A$3:$B$78,2,FALSE)</f>
        <v>#REF!</v>
      </c>
      <c r="K70" s="124" t="e">
        <f>VLOOKUP('北段 (人資版)'!K70,工作表1!$A$3:$B$78,2,FALSE)</f>
        <v>#REF!</v>
      </c>
      <c r="L70" s="124" t="e">
        <f>VLOOKUP('北段 (人資版)'!L70,工作表1!$A$3:$B$78,2,FALSE)</f>
        <v>#REF!</v>
      </c>
      <c r="M70" s="124" t="e">
        <f>VLOOKUP('北段 (人資版)'!M70,工作表1!$A$3:$B$78,2,FALSE)</f>
        <v>#REF!</v>
      </c>
      <c r="N70" s="124" t="e">
        <f>VLOOKUP('北段 (人資版)'!N70,工作表1!$A$3:$B$78,2,FALSE)</f>
        <v>#REF!</v>
      </c>
      <c r="O70" s="124" t="e">
        <f>VLOOKUP('北段 (人資版)'!O70,工作表1!$A$3:$B$78,2,FALSE)</f>
        <v>#REF!</v>
      </c>
      <c r="P70" s="124" t="e">
        <f>VLOOKUP('北段 (人資版)'!P70,工作表1!$A$3:$B$78,2,FALSE)</f>
        <v>#REF!</v>
      </c>
      <c r="Q70" s="124" t="e">
        <f>VLOOKUP('北段 (人資版)'!Q70,工作表1!$A$3:$B$78,2,FALSE)</f>
        <v>#REF!</v>
      </c>
      <c r="R70" s="124" t="e">
        <f>VLOOKUP('北段 (人資版)'!R70,工作表1!$A$3:$B$78,2,FALSE)</f>
        <v>#REF!</v>
      </c>
      <c r="S70" s="124" t="e">
        <f>VLOOKUP('北段 (人資版)'!S70,工作表1!$A$3:$B$78,2,FALSE)</f>
        <v>#REF!</v>
      </c>
      <c r="T70" s="124" t="e">
        <f>VLOOKUP('北段 (人資版)'!T70,工作表1!$A$3:$B$78,2,FALSE)</f>
        <v>#REF!</v>
      </c>
      <c r="U70" s="124" t="e">
        <f>VLOOKUP('北段 (人資版)'!U70,工作表1!$A$3:$B$78,2,FALSE)</f>
        <v>#REF!</v>
      </c>
      <c r="V70" s="124" t="e">
        <f>VLOOKUP('北段 (人資版)'!V70,工作表1!$A$3:$B$78,2,FALSE)</f>
        <v>#REF!</v>
      </c>
      <c r="W70" s="124" t="e">
        <f>VLOOKUP('北段 (人資版)'!W70,工作表1!$A$3:$B$78,2,FALSE)</f>
        <v>#REF!</v>
      </c>
      <c r="X70" s="124" t="e">
        <f>VLOOKUP('北段 (人資版)'!X70,工作表1!$A$3:$B$78,2,FALSE)</f>
        <v>#REF!</v>
      </c>
      <c r="Y70" s="124" t="e">
        <f>VLOOKUP('北段 (人資版)'!Y70,工作表1!$A$3:$B$78,2,FALSE)</f>
        <v>#REF!</v>
      </c>
      <c r="Z70" s="124" t="e">
        <f>VLOOKUP('北段 (人資版)'!Z70,工作表1!$A$3:$B$78,2,FALSE)</f>
        <v>#REF!</v>
      </c>
      <c r="AA70" s="124" t="e">
        <f>VLOOKUP('北段 (人資版)'!AA70,工作表1!$A$3:$B$78,2,FALSE)</f>
        <v>#REF!</v>
      </c>
      <c r="AB70" s="124" t="e">
        <f>VLOOKUP('北段 (人資版)'!AB70,工作表1!$A$3:$B$78,2,FALSE)</f>
        <v>#REF!</v>
      </c>
      <c r="AC70" s="124" t="e">
        <f>VLOOKUP('北段 (人資版)'!AC70,工作表1!$A$3:$B$78,2,FALSE)</f>
        <v>#REF!</v>
      </c>
      <c r="AD70" s="124" t="e">
        <f>VLOOKUP('北段 (人資版)'!AD70,工作表1!$A$3:$B$78,2,FALSE)</f>
        <v>#REF!</v>
      </c>
      <c r="AE70" s="124" t="e">
        <f>VLOOKUP('北段 (人資版)'!AE70,工作表1!$A$3:$B$78,2,FALSE)</f>
        <v>#REF!</v>
      </c>
      <c r="AF70" s="124" t="e">
        <f>VLOOKUP('北段 (人資版)'!AF70,工作表1!$A$3:$B$78,2,FALSE)</f>
        <v>#REF!</v>
      </c>
      <c r="AG70" s="124" t="e">
        <f>VLOOKUP('北段 (人資版)'!AG70,工作表1!$A$3:$B$78,2,FALSE)</f>
        <v>#REF!</v>
      </c>
      <c r="AH70" s="124" t="e">
        <f>VLOOKUP('北段 (人資版)'!AH70,工作表1!$A$3:$B$78,2,FALSE)</f>
        <v>#REF!</v>
      </c>
    </row>
    <row r="71" spans="1:34" ht="39" customHeight="1" x14ac:dyDescent="0.25">
      <c r="B71" s="72" t="e">
        <f>北段!#REF!</f>
        <v>#REF!</v>
      </c>
      <c r="C71" s="38" t="e">
        <f>VLOOKUP(B71,北段!B:C,2,FALSE)</f>
        <v>#REF!</v>
      </c>
      <c r="D71" s="124" t="e">
        <f>VLOOKUP('北段 (人資版)'!D71,工作表1!$A$3:$B$78,2,FALSE)</f>
        <v>#REF!</v>
      </c>
      <c r="E71" s="124" t="e">
        <f>VLOOKUP('北段 (人資版)'!E71,工作表1!$A$3:$B$78,2,FALSE)</f>
        <v>#REF!</v>
      </c>
      <c r="F71" s="124" t="e">
        <f>VLOOKUP('北段 (人資版)'!F71,工作表1!$A$3:$B$78,2,FALSE)</f>
        <v>#REF!</v>
      </c>
      <c r="G71" s="124" t="e">
        <f>VLOOKUP('北段 (人資版)'!G71,工作表1!$A$3:$B$78,2,FALSE)</f>
        <v>#REF!</v>
      </c>
      <c r="H71" s="124" t="e">
        <f>VLOOKUP('北段 (人資版)'!H71,工作表1!$A$3:$B$78,2,FALSE)</f>
        <v>#REF!</v>
      </c>
      <c r="I71" s="124" t="e">
        <f>VLOOKUP('北段 (人資版)'!I71,工作表1!$A$3:$B$78,2,FALSE)</f>
        <v>#REF!</v>
      </c>
      <c r="J71" s="124" t="e">
        <f>VLOOKUP('北段 (人資版)'!J71,工作表1!$A$3:$B$78,2,FALSE)</f>
        <v>#REF!</v>
      </c>
      <c r="K71" s="124" t="e">
        <f>VLOOKUP('北段 (人資版)'!K71,工作表1!$A$3:$B$78,2,FALSE)</f>
        <v>#REF!</v>
      </c>
      <c r="L71" s="124" t="e">
        <f>VLOOKUP('北段 (人資版)'!L71,工作表1!$A$3:$B$78,2,FALSE)</f>
        <v>#REF!</v>
      </c>
      <c r="M71" s="124" t="e">
        <f>VLOOKUP('北段 (人資版)'!M71,工作表1!$A$3:$B$78,2,FALSE)</f>
        <v>#REF!</v>
      </c>
      <c r="N71" s="124" t="e">
        <f>VLOOKUP('北段 (人資版)'!N71,工作表1!$A$3:$B$78,2,FALSE)</f>
        <v>#REF!</v>
      </c>
      <c r="O71" s="124" t="e">
        <f>VLOOKUP('北段 (人資版)'!O71,工作表1!$A$3:$B$78,2,FALSE)</f>
        <v>#REF!</v>
      </c>
      <c r="P71" s="124" t="e">
        <f>VLOOKUP('北段 (人資版)'!P71,工作表1!$A$3:$B$78,2,FALSE)</f>
        <v>#REF!</v>
      </c>
      <c r="Q71" s="124" t="e">
        <f>VLOOKUP('北段 (人資版)'!Q71,工作表1!$A$3:$B$78,2,FALSE)</f>
        <v>#REF!</v>
      </c>
      <c r="R71" s="124" t="e">
        <f>VLOOKUP('北段 (人資版)'!R71,工作表1!$A$3:$B$78,2,FALSE)</f>
        <v>#REF!</v>
      </c>
      <c r="S71" s="124" t="e">
        <f>VLOOKUP('北段 (人資版)'!S71,工作表1!$A$3:$B$78,2,FALSE)</f>
        <v>#REF!</v>
      </c>
      <c r="T71" s="124" t="e">
        <f>VLOOKUP('北段 (人資版)'!T71,工作表1!$A$3:$B$78,2,FALSE)</f>
        <v>#REF!</v>
      </c>
      <c r="U71" s="124" t="e">
        <f>VLOOKUP('北段 (人資版)'!U71,工作表1!$A$3:$B$78,2,FALSE)</f>
        <v>#REF!</v>
      </c>
      <c r="V71" s="124" t="e">
        <f>VLOOKUP('北段 (人資版)'!V71,工作表1!$A$3:$B$78,2,FALSE)</f>
        <v>#REF!</v>
      </c>
      <c r="W71" s="124" t="e">
        <f>VLOOKUP('北段 (人資版)'!W71,工作表1!$A$3:$B$78,2,FALSE)</f>
        <v>#REF!</v>
      </c>
      <c r="X71" s="124" t="e">
        <f>VLOOKUP('北段 (人資版)'!X71,工作表1!$A$3:$B$78,2,FALSE)</f>
        <v>#REF!</v>
      </c>
      <c r="Y71" s="124" t="e">
        <f>VLOOKUP('北段 (人資版)'!Y71,工作表1!$A$3:$B$78,2,FALSE)</f>
        <v>#REF!</v>
      </c>
      <c r="Z71" s="124" t="e">
        <f>VLOOKUP('北段 (人資版)'!Z71,工作表1!$A$3:$B$78,2,FALSE)</f>
        <v>#REF!</v>
      </c>
      <c r="AA71" s="124" t="e">
        <f>VLOOKUP('北段 (人資版)'!AA71,工作表1!$A$3:$B$78,2,FALSE)</f>
        <v>#REF!</v>
      </c>
      <c r="AB71" s="124" t="e">
        <f>VLOOKUP('北段 (人資版)'!AB71,工作表1!$A$3:$B$78,2,FALSE)</f>
        <v>#REF!</v>
      </c>
      <c r="AC71" s="124" t="e">
        <f>VLOOKUP('北段 (人資版)'!AC71,工作表1!$A$3:$B$78,2,FALSE)</f>
        <v>#REF!</v>
      </c>
      <c r="AD71" s="124" t="e">
        <f>VLOOKUP('北段 (人資版)'!AD71,工作表1!$A$3:$B$78,2,FALSE)</f>
        <v>#REF!</v>
      </c>
      <c r="AE71" s="124" t="e">
        <f>VLOOKUP('北段 (人資版)'!AE71,工作表1!$A$3:$B$78,2,FALSE)</f>
        <v>#REF!</v>
      </c>
      <c r="AF71" s="124" t="e">
        <f>VLOOKUP('北段 (人資版)'!AF71,工作表1!$A$3:$B$78,2,FALSE)</f>
        <v>#REF!</v>
      </c>
      <c r="AG71" s="124" t="e">
        <f>VLOOKUP('北段 (人資版)'!AG71,工作表1!$A$3:$B$78,2,FALSE)</f>
        <v>#REF!</v>
      </c>
      <c r="AH71" s="124" t="e">
        <f>VLOOKUP('北段 (人資版)'!AH71,工作表1!$A$3:$B$78,2,FALSE)</f>
        <v>#REF!</v>
      </c>
    </row>
    <row r="72" spans="1:34" ht="39" customHeight="1" x14ac:dyDescent="0.25">
      <c r="B72" s="72" t="e">
        <f>北段!#REF!</f>
        <v>#REF!</v>
      </c>
      <c r="C72" s="38" t="e">
        <f>VLOOKUP(B72,北段!B:C,2,FALSE)</f>
        <v>#REF!</v>
      </c>
      <c r="D72" s="124" t="e">
        <f>VLOOKUP('北段 (人資版)'!D72,工作表1!$A$3:$B$78,2,FALSE)</f>
        <v>#REF!</v>
      </c>
      <c r="E72" s="124" t="e">
        <f>VLOOKUP('北段 (人資版)'!E72,工作表1!$A$3:$B$78,2,FALSE)</f>
        <v>#REF!</v>
      </c>
      <c r="F72" s="124" t="e">
        <f>VLOOKUP('北段 (人資版)'!F72,工作表1!$A$3:$B$78,2,FALSE)</f>
        <v>#REF!</v>
      </c>
      <c r="G72" s="124" t="e">
        <f>VLOOKUP('北段 (人資版)'!G72,工作表1!$A$3:$B$78,2,FALSE)</f>
        <v>#REF!</v>
      </c>
      <c r="H72" s="124" t="e">
        <f>VLOOKUP('北段 (人資版)'!H72,工作表1!$A$3:$B$78,2,FALSE)</f>
        <v>#REF!</v>
      </c>
      <c r="I72" s="124" t="e">
        <f>VLOOKUP('北段 (人資版)'!I72,工作表1!$A$3:$B$78,2,FALSE)</f>
        <v>#REF!</v>
      </c>
      <c r="J72" s="124" t="e">
        <f>VLOOKUP('北段 (人資版)'!J72,工作表1!$A$3:$B$78,2,FALSE)</f>
        <v>#REF!</v>
      </c>
      <c r="K72" s="124" t="e">
        <f>VLOOKUP('北段 (人資版)'!K72,工作表1!$A$3:$B$78,2,FALSE)</f>
        <v>#REF!</v>
      </c>
      <c r="L72" s="124" t="e">
        <f>VLOOKUP('北段 (人資版)'!L72,工作表1!$A$3:$B$78,2,FALSE)</f>
        <v>#REF!</v>
      </c>
      <c r="M72" s="124" t="e">
        <f>VLOOKUP('北段 (人資版)'!M72,工作表1!$A$3:$B$78,2,FALSE)</f>
        <v>#REF!</v>
      </c>
      <c r="N72" s="124" t="e">
        <f>VLOOKUP('北段 (人資版)'!N72,工作表1!$A$3:$B$78,2,FALSE)</f>
        <v>#REF!</v>
      </c>
      <c r="O72" s="124" t="e">
        <f>VLOOKUP('北段 (人資版)'!O72,工作表1!$A$3:$B$78,2,FALSE)</f>
        <v>#REF!</v>
      </c>
      <c r="P72" s="124" t="e">
        <f>VLOOKUP('北段 (人資版)'!P72,工作表1!$A$3:$B$78,2,FALSE)</f>
        <v>#REF!</v>
      </c>
      <c r="Q72" s="124" t="e">
        <f>VLOOKUP('北段 (人資版)'!Q72,工作表1!$A$3:$B$78,2,FALSE)</f>
        <v>#REF!</v>
      </c>
      <c r="R72" s="124" t="e">
        <f>VLOOKUP('北段 (人資版)'!R72,工作表1!$A$3:$B$78,2,FALSE)</f>
        <v>#REF!</v>
      </c>
      <c r="S72" s="124" t="e">
        <f>VLOOKUP('北段 (人資版)'!S72,工作表1!$A$3:$B$78,2,FALSE)</f>
        <v>#REF!</v>
      </c>
      <c r="T72" s="124" t="e">
        <f>VLOOKUP('北段 (人資版)'!T72,工作表1!$A$3:$B$78,2,FALSE)</f>
        <v>#REF!</v>
      </c>
      <c r="U72" s="124" t="e">
        <f>VLOOKUP('北段 (人資版)'!U72,工作表1!$A$3:$B$78,2,FALSE)</f>
        <v>#REF!</v>
      </c>
      <c r="V72" s="124" t="e">
        <f>VLOOKUP('北段 (人資版)'!V72,工作表1!$A$3:$B$78,2,FALSE)</f>
        <v>#REF!</v>
      </c>
      <c r="W72" s="124" t="e">
        <f>VLOOKUP('北段 (人資版)'!W72,工作表1!$A$3:$B$78,2,FALSE)</f>
        <v>#REF!</v>
      </c>
      <c r="X72" s="124" t="e">
        <f>VLOOKUP('北段 (人資版)'!X72,工作表1!$A$3:$B$78,2,FALSE)</f>
        <v>#REF!</v>
      </c>
      <c r="Y72" s="124" t="e">
        <f>VLOOKUP('北段 (人資版)'!Y72,工作表1!$A$3:$B$78,2,FALSE)</f>
        <v>#REF!</v>
      </c>
      <c r="Z72" s="124" t="e">
        <f>VLOOKUP('北段 (人資版)'!Z72,工作表1!$A$3:$B$78,2,FALSE)</f>
        <v>#REF!</v>
      </c>
      <c r="AA72" s="124" t="e">
        <f>VLOOKUP('北段 (人資版)'!AA72,工作表1!$A$3:$B$78,2,FALSE)</f>
        <v>#REF!</v>
      </c>
      <c r="AB72" s="124" t="e">
        <f>VLOOKUP('北段 (人資版)'!AB72,工作表1!$A$3:$B$78,2,FALSE)</f>
        <v>#REF!</v>
      </c>
      <c r="AC72" s="124" t="e">
        <f>VLOOKUP('北段 (人資版)'!AC72,工作表1!$A$3:$B$78,2,FALSE)</f>
        <v>#REF!</v>
      </c>
      <c r="AD72" s="124" t="e">
        <f>VLOOKUP('北段 (人資版)'!AD72,工作表1!$A$3:$B$78,2,FALSE)</f>
        <v>#REF!</v>
      </c>
      <c r="AE72" s="124" t="e">
        <f>VLOOKUP('北段 (人資版)'!AE72,工作表1!$A$3:$B$78,2,FALSE)</f>
        <v>#REF!</v>
      </c>
      <c r="AF72" s="124" t="e">
        <f>VLOOKUP('北段 (人資版)'!AF72,工作表1!$A$3:$B$78,2,FALSE)</f>
        <v>#REF!</v>
      </c>
      <c r="AG72" s="124" t="e">
        <f>VLOOKUP('北段 (人資版)'!AG72,工作表1!$A$3:$B$78,2,FALSE)</f>
        <v>#REF!</v>
      </c>
      <c r="AH72" s="124" t="e">
        <f>VLOOKUP('北段 (人資版)'!AH72,工作表1!$A$3:$B$78,2,FALSE)</f>
        <v>#REF!</v>
      </c>
    </row>
    <row r="73" spans="1:34" ht="39" customHeight="1" x14ac:dyDescent="0.25">
      <c r="B73" s="72" t="e">
        <f>北段!#REF!</f>
        <v>#REF!</v>
      </c>
      <c r="C73" s="38" t="e">
        <f>VLOOKUP(B73,北段!B:C,2,FALSE)</f>
        <v>#REF!</v>
      </c>
      <c r="D73" s="124" t="e">
        <f>VLOOKUP('北段 (人資版)'!D73,工作表1!$A$3:$B$78,2,FALSE)</f>
        <v>#REF!</v>
      </c>
      <c r="E73" s="124" t="e">
        <f>VLOOKUP('北段 (人資版)'!E73,工作表1!$A$3:$B$78,2,FALSE)</f>
        <v>#REF!</v>
      </c>
      <c r="F73" s="124" t="e">
        <f>VLOOKUP('北段 (人資版)'!F73,工作表1!$A$3:$B$78,2,FALSE)</f>
        <v>#REF!</v>
      </c>
      <c r="G73" s="124" t="e">
        <f>VLOOKUP('北段 (人資版)'!G73,工作表1!$A$3:$B$78,2,FALSE)</f>
        <v>#REF!</v>
      </c>
      <c r="H73" s="124" t="e">
        <f>VLOOKUP('北段 (人資版)'!H73,工作表1!$A$3:$B$78,2,FALSE)</f>
        <v>#REF!</v>
      </c>
      <c r="I73" s="124" t="e">
        <f>VLOOKUP('北段 (人資版)'!I73,工作表1!$A$3:$B$78,2,FALSE)</f>
        <v>#REF!</v>
      </c>
      <c r="J73" s="124" t="e">
        <f>VLOOKUP('北段 (人資版)'!J73,工作表1!$A$3:$B$78,2,FALSE)</f>
        <v>#REF!</v>
      </c>
      <c r="K73" s="124" t="e">
        <f>VLOOKUP('北段 (人資版)'!K73,工作表1!$A$3:$B$78,2,FALSE)</f>
        <v>#REF!</v>
      </c>
      <c r="L73" s="124" t="e">
        <f>VLOOKUP('北段 (人資版)'!L73,工作表1!$A$3:$B$78,2,FALSE)</f>
        <v>#REF!</v>
      </c>
      <c r="M73" s="124" t="e">
        <f>VLOOKUP('北段 (人資版)'!M73,工作表1!$A$3:$B$78,2,FALSE)</f>
        <v>#REF!</v>
      </c>
      <c r="N73" s="124" t="e">
        <f>VLOOKUP('北段 (人資版)'!N73,工作表1!$A$3:$B$78,2,FALSE)</f>
        <v>#REF!</v>
      </c>
      <c r="O73" s="124" t="e">
        <f>VLOOKUP('北段 (人資版)'!O73,工作表1!$A$3:$B$78,2,FALSE)</f>
        <v>#REF!</v>
      </c>
      <c r="P73" s="124" t="e">
        <f>VLOOKUP('北段 (人資版)'!P73,工作表1!$A$3:$B$78,2,FALSE)</f>
        <v>#REF!</v>
      </c>
      <c r="Q73" s="124" t="e">
        <f>VLOOKUP('北段 (人資版)'!Q73,工作表1!$A$3:$B$78,2,FALSE)</f>
        <v>#REF!</v>
      </c>
      <c r="R73" s="124" t="e">
        <f>VLOOKUP('北段 (人資版)'!R73,工作表1!$A$3:$B$78,2,FALSE)</f>
        <v>#REF!</v>
      </c>
      <c r="S73" s="124" t="e">
        <f>VLOOKUP('北段 (人資版)'!S73,工作表1!$A$3:$B$78,2,FALSE)</f>
        <v>#REF!</v>
      </c>
      <c r="T73" s="124" t="e">
        <f>VLOOKUP('北段 (人資版)'!T73,工作表1!$A$3:$B$78,2,FALSE)</f>
        <v>#REF!</v>
      </c>
      <c r="U73" s="124" t="e">
        <f>VLOOKUP('北段 (人資版)'!U73,工作表1!$A$3:$B$78,2,FALSE)</f>
        <v>#REF!</v>
      </c>
      <c r="V73" s="124" t="e">
        <f>VLOOKUP('北段 (人資版)'!V73,工作表1!$A$3:$B$78,2,FALSE)</f>
        <v>#REF!</v>
      </c>
      <c r="W73" s="124" t="e">
        <f>VLOOKUP('北段 (人資版)'!W73,工作表1!$A$3:$B$78,2,FALSE)</f>
        <v>#REF!</v>
      </c>
      <c r="X73" s="124" t="e">
        <f>VLOOKUP('北段 (人資版)'!X73,工作表1!$A$3:$B$78,2,FALSE)</f>
        <v>#REF!</v>
      </c>
      <c r="Y73" s="124" t="e">
        <f>VLOOKUP('北段 (人資版)'!Y73,工作表1!$A$3:$B$78,2,FALSE)</f>
        <v>#REF!</v>
      </c>
      <c r="Z73" s="124" t="e">
        <f>VLOOKUP('北段 (人資版)'!Z73,工作表1!$A$3:$B$78,2,FALSE)</f>
        <v>#REF!</v>
      </c>
      <c r="AA73" s="124" t="e">
        <f>VLOOKUP('北段 (人資版)'!AA73,工作表1!$A$3:$B$78,2,FALSE)</f>
        <v>#REF!</v>
      </c>
      <c r="AB73" s="124" t="e">
        <f>VLOOKUP('北段 (人資版)'!AB73,工作表1!$A$3:$B$78,2,FALSE)</f>
        <v>#REF!</v>
      </c>
      <c r="AC73" s="124" t="e">
        <f>VLOOKUP('北段 (人資版)'!AC73,工作表1!$A$3:$B$78,2,FALSE)</f>
        <v>#REF!</v>
      </c>
      <c r="AD73" s="124" t="e">
        <f>VLOOKUP('北段 (人資版)'!AD73,工作表1!$A$3:$B$78,2,FALSE)</f>
        <v>#REF!</v>
      </c>
      <c r="AE73" s="124" t="e">
        <f>VLOOKUP('北段 (人資版)'!AE73,工作表1!$A$3:$B$78,2,FALSE)</f>
        <v>#REF!</v>
      </c>
      <c r="AF73" s="124" t="e">
        <f>VLOOKUP('北段 (人資版)'!AF73,工作表1!$A$3:$B$78,2,FALSE)</f>
        <v>#REF!</v>
      </c>
      <c r="AG73" s="124" t="e">
        <f>VLOOKUP('北段 (人資版)'!AG73,工作表1!$A$3:$B$78,2,FALSE)</f>
        <v>#REF!</v>
      </c>
      <c r="AH73" s="124" t="e">
        <f>VLOOKUP('北段 (人資版)'!AH73,工作表1!$A$3:$B$78,2,FALSE)</f>
        <v>#REF!</v>
      </c>
    </row>
    <row r="74" spans="1:34" ht="30.75" x14ac:dyDescent="0.25">
      <c r="B74" s="72" t="e">
        <f>北段!#REF!</f>
        <v>#REF!</v>
      </c>
      <c r="C74" s="38" t="e">
        <f>VLOOKUP(B74,北段!B:C,2,FALSE)</f>
        <v>#REF!</v>
      </c>
      <c r="D74" s="124" t="e">
        <f>VLOOKUP('北段 (人資版)'!D74,工作表1!$A$3:$B$78,2,FALSE)</f>
        <v>#REF!</v>
      </c>
      <c r="E74" s="124" t="e">
        <f>VLOOKUP('北段 (人資版)'!E74,工作表1!$A$3:$B$78,2,FALSE)</f>
        <v>#REF!</v>
      </c>
      <c r="F74" s="124" t="e">
        <f>VLOOKUP('北段 (人資版)'!F74,工作表1!$A$3:$B$78,2,FALSE)</f>
        <v>#REF!</v>
      </c>
      <c r="G74" s="124" t="e">
        <f>VLOOKUP('北段 (人資版)'!G74,工作表1!$A$3:$B$78,2,FALSE)</f>
        <v>#REF!</v>
      </c>
      <c r="H74" s="124" t="e">
        <f>VLOOKUP('北段 (人資版)'!H74,工作表1!$A$3:$B$78,2,FALSE)</f>
        <v>#REF!</v>
      </c>
      <c r="I74" s="124" t="e">
        <f>VLOOKUP('北段 (人資版)'!I74,工作表1!$A$3:$B$78,2,FALSE)</f>
        <v>#REF!</v>
      </c>
      <c r="J74" s="124" t="e">
        <f>VLOOKUP('北段 (人資版)'!J74,工作表1!$A$3:$B$78,2,FALSE)</f>
        <v>#REF!</v>
      </c>
      <c r="K74" s="124" t="e">
        <f>VLOOKUP('北段 (人資版)'!K74,工作表1!$A$3:$B$78,2,FALSE)</f>
        <v>#REF!</v>
      </c>
      <c r="L74" s="124" t="e">
        <f>VLOOKUP('北段 (人資版)'!L74,工作表1!$A$3:$B$78,2,FALSE)</f>
        <v>#REF!</v>
      </c>
      <c r="M74" s="124" t="e">
        <f>VLOOKUP('北段 (人資版)'!M74,工作表1!$A$3:$B$78,2,FALSE)</f>
        <v>#REF!</v>
      </c>
      <c r="N74" s="124" t="e">
        <f>VLOOKUP('北段 (人資版)'!N74,工作表1!$A$3:$B$78,2,FALSE)</f>
        <v>#REF!</v>
      </c>
      <c r="O74" s="124" t="e">
        <f>VLOOKUP('北段 (人資版)'!O74,工作表1!$A$3:$B$78,2,FALSE)</f>
        <v>#REF!</v>
      </c>
      <c r="P74" s="124" t="e">
        <f>VLOOKUP('北段 (人資版)'!P74,工作表1!$A$3:$B$78,2,FALSE)</f>
        <v>#REF!</v>
      </c>
      <c r="Q74" s="124" t="e">
        <f>VLOOKUP('北段 (人資版)'!Q74,工作表1!$A$3:$B$78,2,FALSE)</f>
        <v>#REF!</v>
      </c>
      <c r="R74" s="124" t="e">
        <f>VLOOKUP('北段 (人資版)'!R74,工作表1!$A$3:$B$78,2,FALSE)</f>
        <v>#REF!</v>
      </c>
      <c r="S74" s="124" t="e">
        <f>VLOOKUP('北段 (人資版)'!S74,工作表1!$A$3:$B$78,2,FALSE)</f>
        <v>#REF!</v>
      </c>
      <c r="T74" s="124" t="e">
        <f>VLOOKUP('北段 (人資版)'!T74,工作表1!$A$3:$B$78,2,FALSE)</f>
        <v>#REF!</v>
      </c>
      <c r="U74" s="124" t="e">
        <f>VLOOKUP('北段 (人資版)'!U74,工作表1!$A$3:$B$78,2,FALSE)</f>
        <v>#REF!</v>
      </c>
      <c r="V74" s="124" t="e">
        <f>VLOOKUP('北段 (人資版)'!V74,工作表1!$A$3:$B$78,2,FALSE)</f>
        <v>#REF!</v>
      </c>
      <c r="W74" s="124" t="e">
        <f>VLOOKUP('北段 (人資版)'!W74,工作表1!$A$3:$B$78,2,FALSE)</f>
        <v>#REF!</v>
      </c>
      <c r="X74" s="124" t="e">
        <f>VLOOKUP('北段 (人資版)'!X74,工作表1!$A$3:$B$78,2,FALSE)</f>
        <v>#REF!</v>
      </c>
      <c r="Y74" s="124" t="e">
        <f>VLOOKUP('北段 (人資版)'!Y74,工作表1!$A$3:$B$78,2,FALSE)</f>
        <v>#REF!</v>
      </c>
      <c r="Z74" s="124" t="e">
        <f>VLOOKUP('北段 (人資版)'!Z74,工作表1!$A$3:$B$78,2,FALSE)</f>
        <v>#REF!</v>
      </c>
      <c r="AA74" s="124" t="e">
        <f>VLOOKUP('北段 (人資版)'!AA74,工作表1!$A$3:$B$78,2,FALSE)</f>
        <v>#REF!</v>
      </c>
      <c r="AB74" s="124" t="e">
        <f>VLOOKUP('北段 (人資版)'!AB74,工作表1!$A$3:$B$78,2,FALSE)</f>
        <v>#REF!</v>
      </c>
      <c r="AC74" s="124" t="e">
        <f>VLOOKUP('北段 (人資版)'!AC74,工作表1!$A$3:$B$78,2,FALSE)</f>
        <v>#REF!</v>
      </c>
      <c r="AD74" s="124" t="e">
        <f>VLOOKUP('北段 (人資版)'!AD74,工作表1!$A$3:$B$78,2,FALSE)</f>
        <v>#REF!</v>
      </c>
      <c r="AE74" s="124" t="e">
        <f>VLOOKUP('北段 (人資版)'!AE74,工作表1!$A$3:$B$78,2,FALSE)</f>
        <v>#REF!</v>
      </c>
      <c r="AF74" s="124" t="e">
        <f>VLOOKUP('北段 (人資版)'!AF74,工作表1!$A$3:$B$78,2,FALSE)</f>
        <v>#REF!</v>
      </c>
      <c r="AG74" s="124" t="e">
        <f>VLOOKUP('北段 (人資版)'!AG74,工作表1!$A$3:$B$78,2,FALSE)</f>
        <v>#REF!</v>
      </c>
      <c r="AH74" s="124" t="e">
        <f>VLOOKUP('北段 (人資版)'!AH74,工作表1!$A$3:$B$78,2,FALSE)</f>
        <v>#REF!</v>
      </c>
    </row>
    <row r="75" spans="1:34" ht="30.75" x14ac:dyDescent="0.25">
      <c r="B75" s="72" t="e">
        <f>北段!#REF!</f>
        <v>#REF!</v>
      </c>
      <c r="C75" s="38" t="e">
        <f>VLOOKUP(B75,北段!B:C,2,FALSE)</f>
        <v>#REF!</v>
      </c>
      <c r="D75" s="124" t="e">
        <f>VLOOKUP('北段 (人資版)'!D75,工作表1!$A$3:$B$78,2,FALSE)</f>
        <v>#REF!</v>
      </c>
      <c r="E75" s="124" t="e">
        <f>VLOOKUP('北段 (人資版)'!E75,工作表1!$A$3:$B$78,2,FALSE)</f>
        <v>#REF!</v>
      </c>
      <c r="F75" s="124" t="e">
        <f>VLOOKUP('北段 (人資版)'!F75,工作表1!$A$3:$B$78,2,FALSE)</f>
        <v>#REF!</v>
      </c>
      <c r="G75" s="124" t="e">
        <f>VLOOKUP('北段 (人資版)'!G75,工作表1!$A$3:$B$78,2,FALSE)</f>
        <v>#REF!</v>
      </c>
      <c r="H75" s="124" t="e">
        <f>VLOOKUP('北段 (人資版)'!H75,工作表1!$A$3:$B$78,2,FALSE)</f>
        <v>#REF!</v>
      </c>
      <c r="I75" s="124" t="e">
        <f>VLOOKUP('北段 (人資版)'!I75,工作表1!$A$3:$B$78,2,FALSE)</f>
        <v>#REF!</v>
      </c>
      <c r="J75" s="124" t="e">
        <f>VLOOKUP('北段 (人資版)'!J75,工作表1!$A$3:$B$78,2,FALSE)</f>
        <v>#REF!</v>
      </c>
      <c r="K75" s="124" t="e">
        <f>VLOOKUP('北段 (人資版)'!K75,工作表1!$A$3:$B$78,2,FALSE)</f>
        <v>#REF!</v>
      </c>
      <c r="L75" s="124" t="e">
        <f>VLOOKUP('北段 (人資版)'!L75,工作表1!$A$3:$B$78,2,FALSE)</f>
        <v>#REF!</v>
      </c>
      <c r="M75" s="124" t="e">
        <f>VLOOKUP('北段 (人資版)'!M75,工作表1!$A$3:$B$78,2,FALSE)</f>
        <v>#REF!</v>
      </c>
      <c r="N75" s="124" t="e">
        <f>VLOOKUP('北段 (人資版)'!N75,工作表1!$A$3:$B$78,2,FALSE)</f>
        <v>#REF!</v>
      </c>
      <c r="O75" s="124" t="e">
        <f>VLOOKUP('北段 (人資版)'!O75,工作表1!$A$3:$B$78,2,FALSE)</f>
        <v>#REF!</v>
      </c>
      <c r="P75" s="124" t="e">
        <f>VLOOKUP('北段 (人資版)'!P75,工作表1!$A$3:$B$78,2,FALSE)</f>
        <v>#REF!</v>
      </c>
      <c r="Q75" s="124" t="e">
        <f>VLOOKUP('北段 (人資版)'!Q75,工作表1!$A$3:$B$78,2,FALSE)</f>
        <v>#REF!</v>
      </c>
      <c r="R75" s="124" t="e">
        <f>VLOOKUP('北段 (人資版)'!R75,工作表1!$A$3:$B$78,2,FALSE)</f>
        <v>#REF!</v>
      </c>
      <c r="S75" s="124" t="e">
        <f>VLOOKUP('北段 (人資版)'!S75,工作表1!$A$3:$B$78,2,FALSE)</f>
        <v>#REF!</v>
      </c>
      <c r="T75" s="124" t="e">
        <f>VLOOKUP('北段 (人資版)'!T75,工作表1!$A$3:$B$78,2,FALSE)</f>
        <v>#REF!</v>
      </c>
      <c r="U75" s="124" t="e">
        <f>VLOOKUP('北段 (人資版)'!U75,工作表1!$A$3:$B$78,2,FALSE)</f>
        <v>#REF!</v>
      </c>
      <c r="V75" s="124" t="e">
        <f>VLOOKUP('北段 (人資版)'!V75,工作表1!$A$3:$B$78,2,FALSE)</f>
        <v>#REF!</v>
      </c>
      <c r="W75" s="124" t="e">
        <f>VLOOKUP('北段 (人資版)'!W75,工作表1!$A$3:$B$78,2,FALSE)</f>
        <v>#REF!</v>
      </c>
      <c r="X75" s="124" t="e">
        <f>VLOOKUP('北段 (人資版)'!X75,工作表1!$A$3:$B$78,2,FALSE)</f>
        <v>#REF!</v>
      </c>
      <c r="Y75" s="124" t="e">
        <f>VLOOKUP('北段 (人資版)'!Y75,工作表1!$A$3:$B$78,2,FALSE)</f>
        <v>#REF!</v>
      </c>
      <c r="Z75" s="124" t="e">
        <f>VLOOKUP('北段 (人資版)'!Z75,工作表1!$A$3:$B$78,2,FALSE)</f>
        <v>#REF!</v>
      </c>
      <c r="AA75" s="124" t="e">
        <f>VLOOKUP('北段 (人資版)'!AA75,工作表1!$A$3:$B$78,2,FALSE)</f>
        <v>#REF!</v>
      </c>
      <c r="AB75" s="124" t="e">
        <f>VLOOKUP('北段 (人資版)'!AB75,工作表1!$A$3:$B$78,2,FALSE)</f>
        <v>#REF!</v>
      </c>
      <c r="AC75" s="124" t="e">
        <f>VLOOKUP('北段 (人資版)'!AC75,工作表1!$A$3:$B$78,2,FALSE)</f>
        <v>#REF!</v>
      </c>
      <c r="AD75" s="124" t="e">
        <f>VLOOKUP('北段 (人資版)'!AD75,工作表1!$A$3:$B$78,2,FALSE)</f>
        <v>#REF!</v>
      </c>
      <c r="AE75" s="124" t="e">
        <f>VLOOKUP('北段 (人資版)'!AE75,工作表1!$A$3:$B$78,2,FALSE)</f>
        <v>#REF!</v>
      </c>
      <c r="AF75" s="124" t="e">
        <f>VLOOKUP('北段 (人資版)'!AF75,工作表1!$A$3:$B$78,2,FALSE)</f>
        <v>#REF!</v>
      </c>
      <c r="AG75" s="124" t="e">
        <f>VLOOKUP('北段 (人資版)'!AG75,工作表1!$A$3:$B$78,2,FALSE)</f>
        <v>#REF!</v>
      </c>
      <c r="AH75" s="124" t="e">
        <f>VLOOKUP('北段 (人資版)'!AH75,工作表1!$A$3:$B$78,2,FALSE)</f>
        <v>#REF!</v>
      </c>
    </row>
    <row r="76" spans="1:34" ht="30.75" x14ac:dyDescent="0.25">
      <c r="B76" s="72" t="e">
        <f>北段!#REF!</f>
        <v>#REF!</v>
      </c>
      <c r="C76" s="38" t="e">
        <f>VLOOKUP(B76,北段!B:C,2,FALSE)</f>
        <v>#REF!</v>
      </c>
      <c r="D76" s="124" t="e">
        <f>VLOOKUP('北段 (人資版)'!D76,工作表1!$A$3:$B$78,2,FALSE)</f>
        <v>#REF!</v>
      </c>
      <c r="E76" s="124" t="e">
        <f>VLOOKUP('北段 (人資版)'!E76,工作表1!$A$3:$B$78,2,FALSE)</f>
        <v>#REF!</v>
      </c>
      <c r="F76" s="124" t="e">
        <f>VLOOKUP('北段 (人資版)'!F76,工作表1!$A$3:$B$78,2,FALSE)</f>
        <v>#REF!</v>
      </c>
      <c r="G76" s="124" t="e">
        <f>VLOOKUP('北段 (人資版)'!G76,工作表1!$A$3:$B$78,2,FALSE)</f>
        <v>#REF!</v>
      </c>
      <c r="H76" s="124" t="e">
        <f>VLOOKUP('北段 (人資版)'!H76,工作表1!$A$3:$B$78,2,FALSE)</f>
        <v>#REF!</v>
      </c>
      <c r="I76" s="124" t="e">
        <f>VLOOKUP('北段 (人資版)'!I76,工作表1!$A$3:$B$78,2,FALSE)</f>
        <v>#REF!</v>
      </c>
      <c r="J76" s="124" t="e">
        <f>VLOOKUP('北段 (人資版)'!J76,工作表1!$A$3:$B$78,2,FALSE)</f>
        <v>#REF!</v>
      </c>
      <c r="K76" s="124" t="e">
        <f>VLOOKUP('北段 (人資版)'!K76,工作表1!$A$3:$B$78,2,FALSE)</f>
        <v>#REF!</v>
      </c>
      <c r="L76" s="124" t="e">
        <f>VLOOKUP('北段 (人資版)'!L76,工作表1!$A$3:$B$78,2,FALSE)</f>
        <v>#REF!</v>
      </c>
      <c r="M76" s="124" t="e">
        <f>VLOOKUP('北段 (人資版)'!M76,工作表1!$A$3:$B$78,2,FALSE)</f>
        <v>#REF!</v>
      </c>
      <c r="N76" s="124" t="e">
        <f>VLOOKUP('北段 (人資版)'!N76,工作表1!$A$3:$B$78,2,FALSE)</f>
        <v>#REF!</v>
      </c>
      <c r="O76" s="124" t="e">
        <f>VLOOKUP('北段 (人資版)'!O76,工作表1!$A$3:$B$78,2,FALSE)</f>
        <v>#REF!</v>
      </c>
      <c r="P76" s="124" t="e">
        <f>VLOOKUP('北段 (人資版)'!P76,工作表1!$A$3:$B$78,2,FALSE)</f>
        <v>#REF!</v>
      </c>
      <c r="Q76" s="124" t="e">
        <f>VLOOKUP('北段 (人資版)'!Q76,工作表1!$A$3:$B$78,2,FALSE)</f>
        <v>#REF!</v>
      </c>
      <c r="R76" s="124" t="e">
        <f>VLOOKUP('北段 (人資版)'!R76,工作表1!$A$3:$B$78,2,FALSE)</f>
        <v>#REF!</v>
      </c>
      <c r="S76" s="124" t="e">
        <f>VLOOKUP('北段 (人資版)'!S76,工作表1!$A$3:$B$78,2,FALSE)</f>
        <v>#REF!</v>
      </c>
      <c r="T76" s="124" t="e">
        <f>VLOOKUP('北段 (人資版)'!T76,工作表1!$A$3:$B$78,2,FALSE)</f>
        <v>#REF!</v>
      </c>
      <c r="U76" s="124" t="e">
        <f>VLOOKUP('北段 (人資版)'!U76,工作表1!$A$3:$B$78,2,FALSE)</f>
        <v>#REF!</v>
      </c>
      <c r="V76" s="124" t="e">
        <f>VLOOKUP('北段 (人資版)'!V76,工作表1!$A$3:$B$78,2,FALSE)</f>
        <v>#REF!</v>
      </c>
      <c r="W76" s="124" t="e">
        <f>VLOOKUP('北段 (人資版)'!W76,工作表1!$A$3:$B$78,2,FALSE)</f>
        <v>#REF!</v>
      </c>
      <c r="X76" s="124" t="e">
        <f>VLOOKUP('北段 (人資版)'!X76,工作表1!$A$3:$B$78,2,FALSE)</f>
        <v>#REF!</v>
      </c>
      <c r="Y76" s="124" t="e">
        <f>VLOOKUP('北段 (人資版)'!Y76,工作表1!$A$3:$B$78,2,FALSE)</f>
        <v>#REF!</v>
      </c>
      <c r="Z76" s="124" t="e">
        <f>VLOOKUP('北段 (人資版)'!Z76,工作表1!$A$3:$B$78,2,FALSE)</f>
        <v>#REF!</v>
      </c>
      <c r="AA76" s="124" t="e">
        <f>VLOOKUP('北段 (人資版)'!AA76,工作表1!$A$3:$B$78,2,FALSE)</f>
        <v>#REF!</v>
      </c>
      <c r="AB76" s="124" t="e">
        <f>VLOOKUP('北段 (人資版)'!AB76,工作表1!$A$3:$B$78,2,FALSE)</f>
        <v>#REF!</v>
      </c>
      <c r="AC76" s="124" t="e">
        <f>VLOOKUP('北段 (人資版)'!AC76,工作表1!$A$3:$B$78,2,FALSE)</f>
        <v>#REF!</v>
      </c>
      <c r="AD76" s="124" t="e">
        <f>VLOOKUP('北段 (人資版)'!AD76,工作表1!$A$3:$B$78,2,FALSE)</f>
        <v>#REF!</v>
      </c>
      <c r="AE76" s="124" t="e">
        <f>VLOOKUP('北段 (人資版)'!AE76,工作表1!$A$3:$B$78,2,FALSE)</f>
        <v>#REF!</v>
      </c>
      <c r="AF76" s="124" t="e">
        <f>VLOOKUP('北段 (人資版)'!AF76,工作表1!$A$3:$B$78,2,FALSE)</f>
        <v>#REF!</v>
      </c>
      <c r="AG76" s="124" t="e">
        <f>VLOOKUP('北段 (人資版)'!AG76,工作表1!$A$3:$B$78,2,FALSE)</f>
        <v>#REF!</v>
      </c>
      <c r="AH76" s="124" t="e">
        <f>VLOOKUP('北段 (人資版)'!AH76,工作表1!$A$3:$B$78,2,FALSE)</f>
        <v>#REF!</v>
      </c>
    </row>
  </sheetData>
  <sheetProtection autoFilter="0"/>
  <autoFilter ref="A2:AG73" xr:uid="{00000000-0009-0000-0000-000002000000}"/>
  <mergeCells count="4">
    <mergeCell ref="A3:A12"/>
    <mergeCell ref="A1:A2"/>
    <mergeCell ref="B1:B2"/>
    <mergeCell ref="C1:C2"/>
  </mergeCells>
  <phoneticPr fontId="1" type="noConversion"/>
  <conditionalFormatting sqref="D3:AH76">
    <cfRule type="containsErrors" dxfId="0" priority="59">
      <formula>ISERROR(D3)</formula>
    </cfRule>
  </conditionalFormatting>
  <pageMargins left="0.70866141732283472" right="0.70866141732283472" top="0.74803149606299213" bottom="0.74803149606299213" header="0.31496062992125984" footer="0.31496062992125984"/>
  <pageSetup paperSize="8" scale="24" orientation="landscape" r:id="rId1"/>
  <headerFooter>
    <oddHeader>&amp;C&amp;"微軟正黑體,標準"&amp;48桃園捷運公司 運務處站務中心
110年6月員工輪值表(北段)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5"/>
  <sheetViews>
    <sheetView zoomScale="115" zoomScaleNormal="115" workbookViewId="0">
      <selection activeCell="A18" sqref="A18:A20"/>
    </sheetView>
  </sheetViews>
  <sheetFormatPr defaultColWidth="8.875" defaultRowHeight="16.5" x14ac:dyDescent="0.25"/>
  <cols>
    <col min="1" max="1" width="18.375" style="5" customWidth="1"/>
    <col min="2" max="2" width="10.75" style="5" customWidth="1"/>
    <col min="3" max="5" width="8.875" style="5"/>
    <col min="6" max="6" width="9.5" style="5" bestFit="1" customWidth="1"/>
    <col min="7" max="16384" width="8.875" style="5"/>
  </cols>
  <sheetData>
    <row r="1" spans="1:8" customFormat="1" x14ac:dyDescent="0.25">
      <c r="B1" s="1" t="s">
        <v>59</v>
      </c>
      <c r="C1" s="2">
        <v>2026</v>
      </c>
      <c r="E1" s="199" t="s">
        <v>60</v>
      </c>
      <c r="F1" s="199">
        <v>2</v>
      </c>
      <c r="G1" s="199"/>
      <c r="H1" s="2">
        <v>4</v>
      </c>
    </row>
    <row r="3" spans="1:8" x14ac:dyDescent="0.25">
      <c r="A3" s="5" t="s">
        <v>101</v>
      </c>
      <c r="B3" s="5" t="s">
        <v>91</v>
      </c>
      <c r="F3" s="84"/>
    </row>
    <row r="4" spans="1:8" x14ac:dyDescent="0.25">
      <c r="A4" s="5" t="s">
        <v>108</v>
      </c>
      <c r="B4" s="5" t="s">
        <v>91</v>
      </c>
    </row>
    <row r="5" spans="1:8" s="36" customFormat="1" x14ac:dyDescent="0.25">
      <c r="A5" s="36" t="s">
        <v>128</v>
      </c>
      <c r="B5" s="36" t="s">
        <v>91</v>
      </c>
      <c r="F5" s="84">
        <v>46075</v>
      </c>
    </row>
    <row r="6" spans="1:8" s="36" customFormat="1" x14ac:dyDescent="0.25">
      <c r="A6" s="36" t="s">
        <v>115</v>
      </c>
      <c r="B6" s="40" t="s">
        <v>127</v>
      </c>
      <c r="F6" s="84">
        <v>46081</v>
      </c>
    </row>
    <row r="7" spans="1:8" s="71" customFormat="1" x14ac:dyDescent="0.25">
      <c r="A7" s="71" t="s">
        <v>146</v>
      </c>
      <c r="B7" s="40" t="s">
        <v>106</v>
      </c>
      <c r="F7" s="84">
        <v>46082</v>
      </c>
    </row>
    <row r="8" spans="1:8" s="71" customFormat="1" x14ac:dyDescent="0.25">
      <c r="A8" s="71" t="s">
        <v>148</v>
      </c>
      <c r="B8" s="40" t="s">
        <v>106</v>
      </c>
      <c r="F8" s="84">
        <v>46088</v>
      </c>
    </row>
    <row r="9" spans="1:8" s="71" customFormat="1" x14ac:dyDescent="0.25">
      <c r="A9" s="71" t="s">
        <v>149</v>
      </c>
      <c r="B9" s="40" t="s">
        <v>106</v>
      </c>
      <c r="F9" s="84">
        <v>46089</v>
      </c>
    </row>
    <row r="10" spans="1:8" s="71" customFormat="1" x14ac:dyDescent="0.25">
      <c r="A10" s="71" t="s">
        <v>150</v>
      </c>
      <c r="B10" s="40" t="s">
        <v>106</v>
      </c>
      <c r="F10" s="84">
        <v>46095</v>
      </c>
    </row>
    <row r="11" spans="1:8" s="36" customFormat="1" x14ac:dyDescent="0.25">
      <c r="A11" s="36" t="s">
        <v>105</v>
      </c>
      <c r="B11" s="40" t="s">
        <v>106</v>
      </c>
      <c r="F11" s="84">
        <v>46096</v>
      </c>
    </row>
    <row r="12" spans="1:8" s="71" customFormat="1" x14ac:dyDescent="0.25">
      <c r="A12" s="71" t="s">
        <v>138</v>
      </c>
      <c r="B12" s="40" t="s">
        <v>106</v>
      </c>
      <c r="F12" s="84">
        <v>46102</v>
      </c>
    </row>
    <row r="13" spans="1:8" x14ac:dyDescent="0.25">
      <c r="A13" s="5" t="s">
        <v>90</v>
      </c>
      <c r="B13" s="5" t="s">
        <v>92</v>
      </c>
      <c r="F13" s="84">
        <v>46103</v>
      </c>
    </row>
    <row r="14" spans="1:8" x14ac:dyDescent="0.25">
      <c r="A14" s="5" t="s">
        <v>93</v>
      </c>
      <c r="B14" s="5" t="s">
        <v>92</v>
      </c>
      <c r="F14" s="84">
        <v>46109</v>
      </c>
    </row>
    <row r="15" spans="1:8" x14ac:dyDescent="0.25">
      <c r="A15" s="5" t="s">
        <v>94</v>
      </c>
      <c r="B15" s="5" t="s">
        <v>92</v>
      </c>
      <c r="F15" s="84">
        <v>46110</v>
      </c>
    </row>
    <row r="16" spans="1:8" x14ac:dyDescent="0.25">
      <c r="A16" s="5" t="s">
        <v>75</v>
      </c>
      <c r="B16" s="5" t="s">
        <v>92</v>
      </c>
      <c r="F16" s="84">
        <v>46116</v>
      </c>
    </row>
    <row r="17" spans="1:2" x14ac:dyDescent="0.25">
      <c r="A17" s="5" t="s">
        <v>79</v>
      </c>
      <c r="B17" s="5" t="s">
        <v>92</v>
      </c>
    </row>
    <row r="18" spans="1:2" x14ac:dyDescent="0.25">
      <c r="A18" s="5" t="s">
        <v>83</v>
      </c>
      <c r="B18" s="5" t="s">
        <v>92</v>
      </c>
    </row>
    <row r="19" spans="1:2" s="36" customFormat="1" x14ac:dyDescent="0.25">
      <c r="A19" s="36" t="s">
        <v>85</v>
      </c>
      <c r="B19" s="36" t="s">
        <v>92</v>
      </c>
    </row>
    <row r="20" spans="1:2" s="36" customFormat="1" x14ac:dyDescent="0.25">
      <c r="A20" s="36" t="s">
        <v>163</v>
      </c>
      <c r="B20" s="36">
        <v>43</v>
      </c>
    </row>
    <row r="21" spans="1:2" s="36" customFormat="1" x14ac:dyDescent="0.25">
      <c r="A21" s="36" t="s">
        <v>125</v>
      </c>
      <c r="B21" s="36">
        <v>31</v>
      </c>
    </row>
    <row r="22" spans="1:2" s="36" customFormat="1" x14ac:dyDescent="0.25">
      <c r="A22" s="36" t="s">
        <v>129</v>
      </c>
      <c r="B22" s="36">
        <v>11</v>
      </c>
    </row>
    <row r="23" spans="1:2" x14ac:dyDescent="0.25">
      <c r="A23" s="5" t="s">
        <v>95</v>
      </c>
      <c r="B23" s="5">
        <v>38</v>
      </c>
    </row>
    <row r="24" spans="1:2" x14ac:dyDescent="0.25">
      <c r="A24" s="5" t="s">
        <v>65</v>
      </c>
      <c r="B24" s="5">
        <v>38</v>
      </c>
    </row>
    <row r="25" spans="1:2" x14ac:dyDescent="0.25">
      <c r="A25" s="5" t="s">
        <v>96</v>
      </c>
      <c r="B25" s="5">
        <v>38</v>
      </c>
    </row>
    <row r="26" spans="1:2" x14ac:dyDescent="0.25">
      <c r="A26" s="5" t="s">
        <v>74</v>
      </c>
      <c r="B26" s="5">
        <v>38</v>
      </c>
    </row>
    <row r="27" spans="1:2" x14ac:dyDescent="0.25">
      <c r="A27" s="5" t="s">
        <v>77</v>
      </c>
      <c r="B27" s="5">
        <v>38</v>
      </c>
    </row>
    <row r="28" spans="1:2" x14ac:dyDescent="0.25">
      <c r="A28" s="5" t="s">
        <v>81</v>
      </c>
      <c r="B28" s="5">
        <v>38</v>
      </c>
    </row>
    <row r="29" spans="1:2" s="36" customFormat="1" x14ac:dyDescent="0.25">
      <c r="A29" s="36" t="s">
        <v>120</v>
      </c>
      <c r="B29" s="36">
        <v>38</v>
      </c>
    </row>
    <row r="30" spans="1:2" s="36" customFormat="1" x14ac:dyDescent="0.25">
      <c r="A30" s="36" t="s">
        <v>119</v>
      </c>
      <c r="B30" s="36">
        <v>38</v>
      </c>
    </row>
    <row r="31" spans="1:2" ht="18.75" customHeight="1" x14ac:dyDescent="0.25">
      <c r="A31" s="5" t="s">
        <v>61</v>
      </c>
      <c r="B31" s="5">
        <v>38</v>
      </c>
    </row>
    <row r="32" spans="1:2" s="36" customFormat="1" ht="18.75" customHeight="1" x14ac:dyDescent="0.25">
      <c r="A32" s="36" t="s">
        <v>121</v>
      </c>
      <c r="B32" s="36">
        <v>43</v>
      </c>
    </row>
    <row r="33" spans="1:2" s="36" customFormat="1" ht="18.75" customHeight="1" x14ac:dyDescent="0.25">
      <c r="A33" s="36" t="s">
        <v>130</v>
      </c>
      <c r="B33" s="36">
        <v>43</v>
      </c>
    </row>
    <row r="34" spans="1:2" x14ac:dyDescent="0.25">
      <c r="A34" s="5" t="s">
        <v>103</v>
      </c>
      <c r="B34" s="5">
        <v>66</v>
      </c>
    </row>
    <row r="35" spans="1:2" x14ac:dyDescent="0.25">
      <c r="A35" s="5" t="s">
        <v>66</v>
      </c>
      <c r="B35" s="5">
        <v>66</v>
      </c>
    </row>
    <row r="36" spans="1:2" x14ac:dyDescent="0.25">
      <c r="A36" s="5" t="s">
        <v>68</v>
      </c>
      <c r="B36" s="5">
        <v>66</v>
      </c>
    </row>
    <row r="37" spans="1:2" x14ac:dyDescent="0.25">
      <c r="A37" s="5" t="s">
        <v>73</v>
      </c>
      <c r="B37" s="5">
        <v>66</v>
      </c>
    </row>
    <row r="38" spans="1:2" ht="15" customHeight="1" x14ac:dyDescent="0.25">
      <c r="A38" s="5" t="s">
        <v>78</v>
      </c>
      <c r="B38" s="5">
        <v>66</v>
      </c>
    </row>
    <row r="39" spans="1:2" x14ac:dyDescent="0.25">
      <c r="A39" s="5" t="s">
        <v>80</v>
      </c>
      <c r="B39" s="5">
        <v>66</v>
      </c>
    </row>
    <row r="40" spans="1:2" s="36" customFormat="1" x14ac:dyDescent="0.25">
      <c r="A40" s="40" t="s">
        <v>113</v>
      </c>
      <c r="B40" s="36">
        <v>22</v>
      </c>
    </row>
    <row r="41" spans="1:2" s="36" customFormat="1" x14ac:dyDescent="0.25">
      <c r="A41" s="40" t="s">
        <v>126</v>
      </c>
      <c r="B41" s="36">
        <v>22</v>
      </c>
    </row>
    <row r="42" spans="1:2" s="36" customFormat="1" x14ac:dyDescent="0.25">
      <c r="A42" s="40" t="s">
        <v>134</v>
      </c>
      <c r="B42" s="36">
        <v>22</v>
      </c>
    </row>
    <row r="43" spans="1:2" s="36" customFormat="1" x14ac:dyDescent="0.25">
      <c r="A43" s="36" t="s">
        <v>124</v>
      </c>
      <c r="B43" s="36">
        <v>22</v>
      </c>
    </row>
    <row r="44" spans="1:2" s="36" customFormat="1" x14ac:dyDescent="0.25">
      <c r="A44" s="36" t="s">
        <v>118</v>
      </c>
      <c r="B44" s="36">
        <v>66</v>
      </c>
    </row>
    <row r="45" spans="1:2" x14ac:dyDescent="0.25">
      <c r="A45" s="5" t="s">
        <v>63</v>
      </c>
      <c r="B45" s="5">
        <v>66</v>
      </c>
    </row>
    <row r="46" spans="1:2" x14ac:dyDescent="0.25">
      <c r="A46" s="5" t="s">
        <v>97</v>
      </c>
      <c r="B46" s="5">
        <v>70</v>
      </c>
    </row>
    <row r="47" spans="1:2" x14ac:dyDescent="0.25">
      <c r="A47" s="5" t="s">
        <v>67</v>
      </c>
      <c r="B47" s="5">
        <v>70</v>
      </c>
    </row>
    <row r="48" spans="1:2" x14ac:dyDescent="0.25">
      <c r="A48" s="5" t="s">
        <v>69</v>
      </c>
      <c r="B48" s="5">
        <v>70</v>
      </c>
    </row>
    <row r="49" spans="1:17" x14ac:dyDescent="0.25">
      <c r="A49" s="5" t="s">
        <v>72</v>
      </c>
      <c r="B49" s="5">
        <v>70</v>
      </c>
    </row>
    <row r="50" spans="1:17" x14ac:dyDescent="0.25">
      <c r="A50" s="5" t="s">
        <v>76</v>
      </c>
      <c r="B50" s="5">
        <v>70</v>
      </c>
    </row>
    <row r="51" spans="1:17" x14ac:dyDescent="0.25">
      <c r="A51" s="5" t="s">
        <v>82</v>
      </c>
      <c r="B51" s="5">
        <v>70</v>
      </c>
    </row>
    <row r="52" spans="1:17" x14ac:dyDescent="0.25">
      <c r="A52" s="5" t="s">
        <v>64</v>
      </c>
      <c r="B52" s="5">
        <v>70</v>
      </c>
    </row>
    <row r="53" spans="1:17" s="36" customFormat="1" x14ac:dyDescent="0.25">
      <c r="A53" s="36" t="s">
        <v>114</v>
      </c>
      <c r="B53" s="36">
        <v>67</v>
      </c>
    </row>
    <row r="54" spans="1:17" ht="16.149999999999999" customHeight="1" x14ac:dyDescent="0.25">
      <c r="A54" s="5" t="s">
        <v>70</v>
      </c>
      <c r="B54" s="5" t="s">
        <v>98</v>
      </c>
      <c r="J54" s="32"/>
      <c r="K54" s="32"/>
      <c r="L54" s="32"/>
      <c r="M54" s="32"/>
      <c r="N54" s="32"/>
      <c r="O54" s="32"/>
      <c r="P54" s="32"/>
      <c r="Q54" s="32"/>
    </row>
    <row r="55" spans="1:17" ht="16.149999999999999" customHeight="1" x14ac:dyDescent="0.25">
      <c r="A55" s="5" t="s">
        <v>71</v>
      </c>
      <c r="B55" s="5" t="s">
        <v>99</v>
      </c>
      <c r="J55" s="32"/>
      <c r="K55" s="32"/>
      <c r="L55" s="32"/>
      <c r="M55" s="32"/>
      <c r="N55" s="32"/>
      <c r="O55" s="32"/>
      <c r="P55" s="32"/>
      <c r="Q55" s="32"/>
    </row>
    <row r="56" spans="1:17" x14ac:dyDescent="0.25">
      <c r="A56" s="5" t="s">
        <v>6</v>
      </c>
      <c r="B56" s="5" t="s">
        <v>92</v>
      </c>
    </row>
    <row r="57" spans="1:17" x14ac:dyDescent="0.25">
      <c r="A57" s="5" t="s">
        <v>102</v>
      </c>
      <c r="B57" s="5">
        <v>90</v>
      </c>
    </row>
    <row r="58" spans="1:17" ht="16.149999999999999" customHeight="1" x14ac:dyDescent="0.25">
      <c r="A58" s="5" t="s">
        <v>7</v>
      </c>
      <c r="B58" s="5">
        <v>91</v>
      </c>
      <c r="J58" s="32"/>
      <c r="K58" s="32"/>
      <c r="L58" s="32"/>
      <c r="M58" s="32"/>
      <c r="N58" s="32"/>
      <c r="O58" s="32"/>
      <c r="P58" s="32"/>
      <c r="Q58" s="32"/>
    </row>
    <row r="59" spans="1:17" ht="16.149999999999999" customHeight="1" x14ac:dyDescent="0.25">
      <c r="A59" s="5" t="s">
        <v>62</v>
      </c>
      <c r="B59" s="5">
        <v>92</v>
      </c>
      <c r="J59" s="32"/>
      <c r="K59" s="32"/>
      <c r="L59" s="32"/>
      <c r="M59" s="32"/>
      <c r="N59" s="32"/>
      <c r="O59" s="32"/>
      <c r="P59" s="32"/>
      <c r="Q59" s="32"/>
    </row>
    <row r="60" spans="1:17" s="36" customFormat="1" ht="16.149999999999999" customHeight="1" x14ac:dyDescent="0.25">
      <c r="A60" s="36" t="s">
        <v>112</v>
      </c>
      <c r="B60" s="36">
        <v>92</v>
      </c>
      <c r="J60" s="32"/>
      <c r="K60" s="32"/>
      <c r="L60" s="32"/>
      <c r="M60" s="32"/>
      <c r="N60" s="32"/>
      <c r="O60" s="32"/>
      <c r="P60" s="32"/>
      <c r="Q60" s="32"/>
    </row>
    <row r="61" spans="1:17" s="71" customFormat="1" ht="16.149999999999999" customHeight="1" x14ac:dyDescent="0.25">
      <c r="A61" s="71" t="s">
        <v>122</v>
      </c>
      <c r="B61" s="71">
        <v>92</v>
      </c>
      <c r="J61" s="32"/>
      <c r="K61" s="32"/>
      <c r="L61" s="32"/>
      <c r="M61" s="32"/>
      <c r="N61" s="32"/>
      <c r="O61" s="32"/>
      <c r="P61" s="32"/>
      <c r="Q61" s="32"/>
    </row>
    <row r="62" spans="1:17" s="71" customFormat="1" ht="16.149999999999999" customHeight="1" x14ac:dyDescent="0.25">
      <c r="A62" s="71" t="s">
        <v>155</v>
      </c>
      <c r="B62" s="71">
        <v>92</v>
      </c>
      <c r="J62" s="32"/>
      <c r="K62" s="32"/>
      <c r="L62" s="32"/>
      <c r="M62" s="32"/>
      <c r="N62" s="32"/>
      <c r="O62" s="32"/>
      <c r="P62" s="32"/>
      <c r="Q62" s="32"/>
    </row>
    <row r="63" spans="1:17" s="36" customFormat="1" ht="16.149999999999999" customHeight="1" x14ac:dyDescent="0.25">
      <c r="A63" s="36" t="s">
        <v>109</v>
      </c>
      <c r="B63" s="36">
        <v>92</v>
      </c>
      <c r="J63" s="32"/>
      <c r="K63" s="32"/>
      <c r="L63" s="32"/>
      <c r="M63" s="32"/>
      <c r="N63" s="32"/>
      <c r="O63" s="32"/>
      <c r="P63" s="32"/>
      <c r="Q63" s="32"/>
    </row>
    <row r="64" spans="1:17" s="36" customFormat="1" ht="16.149999999999999" customHeight="1" x14ac:dyDescent="0.25">
      <c r="A64" s="36" t="s">
        <v>154</v>
      </c>
      <c r="B64" s="36">
        <v>92</v>
      </c>
      <c r="J64" s="32"/>
      <c r="K64" s="32"/>
      <c r="L64" s="32"/>
      <c r="M64" s="32"/>
      <c r="N64" s="32"/>
      <c r="O64" s="32"/>
      <c r="P64" s="32"/>
      <c r="Q64" s="32"/>
    </row>
    <row r="65" spans="1:17" s="36" customFormat="1" ht="16.149999999999999" customHeight="1" x14ac:dyDescent="0.25">
      <c r="A65" s="36" t="s">
        <v>133</v>
      </c>
      <c r="B65" s="36">
        <v>92</v>
      </c>
      <c r="J65" s="32"/>
      <c r="K65" s="32"/>
      <c r="L65" s="32"/>
      <c r="M65" s="32"/>
      <c r="N65" s="32"/>
      <c r="O65" s="32"/>
      <c r="P65" s="32"/>
      <c r="Q65" s="32"/>
    </row>
    <row r="66" spans="1:17" s="36" customFormat="1" ht="16.149999999999999" customHeight="1" x14ac:dyDescent="0.25">
      <c r="A66" s="36" t="s">
        <v>123</v>
      </c>
      <c r="B66" s="36">
        <v>92</v>
      </c>
      <c r="J66" s="32"/>
      <c r="K66" s="32"/>
      <c r="L66" s="32"/>
      <c r="M66" s="32"/>
      <c r="N66" s="32"/>
      <c r="O66" s="32"/>
      <c r="P66" s="32"/>
      <c r="Q66" s="32"/>
    </row>
    <row r="67" spans="1:17" s="71" customFormat="1" ht="16.149999999999999" customHeight="1" x14ac:dyDescent="0.25">
      <c r="A67" s="40" t="s">
        <v>158</v>
      </c>
      <c r="B67" s="71">
        <v>90</v>
      </c>
      <c r="J67" s="32"/>
      <c r="K67" s="32"/>
      <c r="L67" s="32"/>
      <c r="M67" s="32"/>
      <c r="N67" s="32"/>
      <c r="O67" s="32"/>
      <c r="P67" s="32"/>
      <c r="Q67" s="32"/>
    </row>
    <row r="68" spans="1:17" s="71" customFormat="1" ht="16.149999999999999" customHeight="1" x14ac:dyDescent="0.25">
      <c r="A68" s="71" t="s">
        <v>145</v>
      </c>
      <c r="B68" s="71" t="s">
        <v>147</v>
      </c>
      <c r="J68" s="32"/>
      <c r="K68" s="32"/>
      <c r="L68" s="32"/>
      <c r="M68" s="32"/>
      <c r="N68" s="32"/>
      <c r="O68" s="32"/>
      <c r="P68" s="32"/>
      <c r="Q68" s="32"/>
    </row>
    <row r="69" spans="1:17" s="36" customFormat="1" ht="16.149999999999999" customHeight="1" x14ac:dyDescent="0.25">
      <c r="A69" s="36" t="s">
        <v>131</v>
      </c>
      <c r="B69" s="36" t="s">
        <v>107</v>
      </c>
      <c r="J69" s="32"/>
      <c r="K69" s="32"/>
      <c r="L69" s="32"/>
      <c r="M69" s="32"/>
      <c r="N69" s="32"/>
      <c r="O69" s="32"/>
      <c r="P69" s="32"/>
      <c r="Q69" s="32"/>
    </row>
    <row r="70" spans="1:17" s="71" customFormat="1" ht="16.149999999999999" customHeight="1" x14ac:dyDescent="0.25">
      <c r="A70" s="71" t="s">
        <v>157</v>
      </c>
      <c r="B70" s="71" t="s">
        <v>107</v>
      </c>
      <c r="J70" s="32"/>
      <c r="K70" s="32"/>
      <c r="L70" s="32"/>
      <c r="M70" s="32"/>
      <c r="N70" s="32"/>
      <c r="O70" s="32"/>
      <c r="P70" s="32"/>
      <c r="Q70" s="32"/>
    </row>
    <row r="71" spans="1:17" s="71" customFormat="1" ht="16.149999999999999" customHeight="1" x14ac:dyDescent="0.25">
      <c r="A71" s="71" t="s">
        <v>153</v>
      </c>
      <c r="B71" s="71" t="s">
        <v>107</v>
      </c>
      <c r="J71" s="32"/>
      <c r="K71" s="32"/>
      <c r="L71" s="32"/>
      <c r="M71" s="32"/>
      <c r="N71" s="32"/>
      <c r="O71" s="32"/>
      <c r="P71" s="32"/>
      <c r="Q71" s="32"/>
    </row>
    <row r="72" spans="1:17" s="71" customFormat="1" ht="16.149999999999999" customHeight="1" x14ac:dyDescent="0.25">
      <c r="A72" s="71" t="s">
        <v>111</v>
      </c>
      <c r="B72" s="71" t="s">
        <v>107</v>
      </c>
      <c r="J72" s="32"/>
      <c r="K72" s="32"/>
      <c r="L72" s="32"/>
      <c r="M72" s="32"/>
      <c r="N72" s="32"/>
      <c r="O72" s="32"/>
      <c r="P72" s="32"/>
      <c r="Q72" s="32"/>
    </row>
    <row r="73" spans="1:17" s="71" customFormat="1" ht="16.149999999999999" customHeight="1" x14ac:dyDescent="0.25">
      <c r="A73" s="71" t="s">
        <v>104</v>
      </c>
      <c r="B73" s="71" t="s">
        <v>110</v>
      </c>
      <c r="J73" s="32"/>
      <c r="K73" s="32"/>
      <c r="L73" s="32"/>
      <c r="M73" s="32"/>
      <c r="N73" s="32"/>
      <c r="O73" s="32"/>
      <c r="P73" s="32"/>
      <c r="Q73" s="32"/>
    </row>
    <row r="74" spans="1:17" s="36" customFormat="1" ht="16.149999999999999" customHeight="1" x14ac:dyDescent="0.25">
      <c r="A74" s="36" t="s">
        <v>132</v>
      </c>
      <c r="B74" s="36" t="s">
        <v>147</v>
      </c>
      <c r="J74" s="32"/>
      <c r="K74" s="32"/>
      <c r="L74" s="32"/>
      <c r="M74" s="32"/>
      <c r="N74" s="32"/>
      <c r="O74" s="32"/>
      <c r="P74" s="32"/>
      <c r="Q74" s="32"/>
    </row>
    <row r="75" spans="1:17" ht="16.149999999999999" customHeight="1" x14ac:dyDescent="0.25">
      <c r="J75" s="32"/>
      <c r="K75" s="32"/>
      <c r="L75" s="32"/>
      <c r="M75" s="32"/>
      <c r="N75" s="32"/>
      <c r="O75" s="32"/>
      <c r="P75" s="32"/>
      <c r="Q75" s="32"/>
    </row>
    <row r="76" spans="1:17" ht="16.149999999999999" customHeight="1" x14ac:dyDescent="0.25">
      <c r="J76" s="32"/>
      <c r="K76" s="32"/>
      <c r="L76" s="32"/>
      <c r="M76" s="32"/>
      <c r="N76" s="32"/>
      <c r="O76" s="32"/>
      <c r="P76" s="32"/>
      <c r="Q76" s="32"/>
    </row>
    <row r="77" spans="1:17" ht="16.149999999999999" customHeight="1" x14ac:dyDescent="0.25"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</row>
    <row r="78" spans="1:17" ht="16.149999999999999" customHeight="1" x14ac:dyDescent="0.25"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</row>
    <row r="79" spans="1:17" ht="16.149999999999999" customHeight="1" x14ac:dyDescent="0.25"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</row>
    <row r="80" spans="1:17" ht="16.149999999999999" customHeight="1" x14ac:dyDescent="0.25"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</row>
    <row r="81" spans="5:17" ht="16.149999999999999" customHeight="1" x14ac:dyDescent="0.25"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</row>
    <row r="82" spans="5:17" ht="16.149999999999999" customHeight="1" x14ac:dyDescent="0.25"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</row>
    <row r="83" spans="5:17" ht="16.149999999999999" customHeight="1" x14ac:dyDescent="0.25"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</row>
    <row r="84" spans="5:17" ht="16.149999999999999" customHeight="1" x14ac:dyDescent="0.25">
      <c r="E84" s="32"/>
      <c r="F84" s="32"/>
      <c r="G84" s="32"/>
      <c r="H84" s="32"/>
      <c r="I84" s="32"/>
      <c r="J84" s="32"/>
      <c r="K84" s="32"/>
      <c r="L84" s="32"/>
    </row>
    <row r="85" spans="5:17" ht="16.149999999999999" customHeight="1" x14ac:dyDescent="0.25">
      <c r="E85" s="32"/>
      <c r="F85" s="32"/>
      <c r="G85" s="32"/>
      <c r="H85" s="32"/>
      <c r="I85" s="32"/>
      <c r="J85" s="32"/>
      <c r="K85" s="32"/>
      <c r="L85" s="32"/>
    </row>
    <row r="86" spans="5:17" ht="16.149999999999999" customHeight="1" x14ac:dyDescent="0.25">
      <c r="E86" s="32"/>
      <c r="F86" s="32"/>
      <c r="G86" s="32"/>
      <c r="H86" s="32"/>
      <c r="I86" s="32"/>
      <c r="J86" s="32"/>
      <c r="K86" s="32"/>
      <c r="L86" s="32"/>
    </row>
    <row r="87" spans="5:17" ht="16.149999999999999" customHeight="1" x14ac:dyDescent="0.25">
      <c r="E87" s="32"/>
      <c r="F87" s="32"/>
      <c r="G87" s="32"/>
      <c r="H87" s="32"/>
      <c r="I87" s="32"/>
      <c r="J87" s="32"/>
      <c r="K87" s="32"/>
      <c r="L87" s="32"/>
    </row>
    <row r="88" spans="5:17" ht="16.149999999999999" customHeight="1" x14ac:dyDescent="0.25">
      <c r="E88" s="32"/>
      <c r="F88" s="32"/>
      <c r="G88" s="32"/>
      <c r="H88" s="32"/>
      <c r="I88" s="32"/>
      <c r="J88" s="32"/>
      <c r="K88" s="32"/>
      <c r="L88" s="32"/>
    </row>
    <row r="89" spans="5:17" ht="16.149999999999999" customHeight="1" x14ac:dyDescent="0.25">
      <c r="E89" s="32"/>
      <c r="F89" s="32"/>
      <c r="G89" s="32"/>
      <c r="H89" s="32"/>
      <c r="I89" s="32"/>
      <c r="J89" s="32"/>
      <c r="K89" s="32"/>
      <c r="L89" s="32"/>
    </row>
    <row r="90" spans="5:17" ht="16.149999999999999" customHeight="1" x14ac:dyDescent="0.25">
      <c r="E90" s="32"/>
      <c r="F90" s="32"/>
      <c r="G90" s="32"/>
      <c r="H90" s="32"/>
      <c r="I90" s="32"/>
      <c r="J90" s="32"/>
      <c r="K90" s="32"/>
      <c r="L90" s="32"/>
    </row>
    <row r="91" spans="5:17" ht="16.149999999999999" customHeight="1" x14ac:dyDescent="0.25">
      <c r="E91" s="32"/>
      <c r="F91" s="32"/>
      <c r="G91" s="32"/>
      <c r="H91" s="32"/>
      <c r="I91" s="32"/>
      <c r="J91" s="32"/>
      <c r="K91" s="32"/>
      <c r="L91" s="32"/>
    </row>
    <row r="92" spans="5:17" ht="16.149999999999999" customHeight="1" x14ac:dyDescent="0.25">
      <c r="E92" s="32"/>
      <c r="F92" s="32"/>
      <c r="G92" s="32"/>
      <c r="H92" s="32"/>
      <c r="I92" s="32"/>
      <c r="J92" s="32"/>
      <c r="K92" s="32"/>
      <c r="L92" s="32"/>
    </row>
    <row r="93" spans="5:17" ht="16.149999999999999" customHeight="1" x14ac:dyDescent="0.25">
      <c r="E93" s="32"/>
      <c r="F93" s="32"/>
      <c r="G93" s="32"/>
      <c r="H93" s="32"/>
      <c r="I93" s="32"/>
      <c r="J93" s="32"/>
      <c r="K93" s="32"/>
      <c r="L93" s="32"/>
    </row>
    <row r="94" spans="5:17" ht="16.899999999999999" customHeight="1" x14ac:dyDescent="0.25">
      <c r="E94" s="32"/>
      <c r="F94" s="32"/>
      <c r="G94" s="32"/>
      <c r="H94" s="32"/>
      <c r="I94" s="32"/>
      <c r="J94" s="32"/>
      <c r="K94" s="32"/>
      <c r="L94" s="32"/>
    </row>
    <row r="95" spans="5:17" x14ac:dyDescent="0.25">
      <c r="E95" s="32"/>
      <c r="F95" s="32"/>
      <c r="G95" s="32"/>
      <c r="H95" s="32"/>
      <c r="I95" s="32"/>
      <c r="J95" s="32"/>
      <c r="K95" s="32"/>
      <c r="L95" s="32"/>
    </row>
    <row r="96" spans="5:17" x14ac:dyDescent="0.25">
      <c r="E96" s="32"/>
      <c r="F96" s="32"/>
      <c r="G96" s="32"/>
      <c r="H96" s="32"/>
      <c r="I96" s="32"/>
      <c r="J96" s="32"/>
      <c r="K96" s="32"/>
      <c r="L96" s="32"/>
    </row>
    <row r="97" spans="5:17" x14ac:dyDescent="0.25">
      <c r="E97" s="32"/>
      <c r="F97" s="32"/>
      <c r="G97" s="32"/>
      <c r="H97" s="32"/>
      <c r="I97" s="32"/>
      <c r="J97" s="32"/>
      <c r="K97" s="32"/>
      <c r="L97" s="32"/>
    </row>
    <row r="98" spans="5:17" x14ac:dyDescent="0.25"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</row>
    <row r="99" spans="5:17" x14ac:dyDescent="0.25"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</row>
    <row r="100" spans="5:17" x14ac:dyDescent="0.25"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</row>
    <row r="101" spans="5:17" x14ac:dyDescent="0.25"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</row>
    <row r="102" spans="5:17" x14ac:dyDescent="0.25"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</row>
    <row r="103" spans="5:17" x14ac:dyDescent="0.25"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</row>
    <row r="104" spans="5:17" x14ac:dyDescent="0.25"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</row>
    <row r="105" spans="5:17" x14ac:dyDescent="0.25"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</row>
    <row r="106" spans="5:17" x14ac:dyDescent="0.25"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</row>
    <row r="107" spans="5:17" x14ac:dyDescent="0.25"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</row>
    <row r="108" spans="5:17" x14ac:dyDescent="0.25"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</row>
    <row r="109" spans="5:17" x14ac:dyDescent="0.25"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</row>
    <row r="110" spans="5:17" x14ac:dyDescent="0.25"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</row>
    <row r="111" spans="5:17" x14ac:dyDescent="0.25"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</row>
    <row r="112" spans="5:17" x14ac:dyDescent="0.25"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</row>
    <row r="113" spans="5:17" x14ac:dyDescent="0.25"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</row>
    <row r="114" spans="5:17" x14ac:dyDescent="0.25"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</row>
    <row r="115" spans="5:17" x14ac:dyDescent="0.25"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</row>
    <row r="116" spans="5:17" x14ac:dyDescent="0.25"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</row>
    <row r="117" spans="5:17" x14ac:dyDescent="0.25"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</row>
    <row r="118" spans="5:17" x14ac:dyDescent="0.25"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</row>
    <row r="119" spans="5:17" x14ac:dyDescent="0.25"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</row>
    <row r="120" spans="5:17" x14ac:dyDescent="0.25"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</row>
    <row r="121" spans="5:17" x14ac:dyDescent="0.25"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</row>
    <row r="122" spans="5:17" x14ac:dyDescent="0.25"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</row>
    <row r="123" spans="5:17" x14ac:dyDescent="0.25"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</row>
    <row r="124" spans="5:17" x14ac:dyDescent="0.25"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</row>
    <row r="125" spans="5:17" x14ac:dyDescent="0.25"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</row>
    <row r="126" spans="5:17" x14ac:dyDescent="0.25"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</row>
    <row r="127" spans="5:17" x14ac:dyDescent="0.25"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</row>
    <row r="128" spans="5:17" x14ac:dyDescent="0.25"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</row>
    <row r="129" spans="5:17" x14ac:dyDescent="0.25"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</row>
    <row r="130" spans="5:17" x14ac:dyDescent="0.25"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</row>
    <row r="131" spans="5:17" x14ac:dyDescent="0.25"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</row>
    <row r="132" spans="5:17" x14ac:dyDescent="0.25"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</row>
    <row r="133" spans="5:17" x14ac:dyDescent="0.25"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</row>
    <row r="134" spans="5:17" x14ac:dyDescent="0.25"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</row>
    <row r="135" spans="5:17" x14ac:dyDescent="0.25"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Spinner 1">
              <controlPr defaultSize="0" autoPict="0">
                <anchor moveWithCells="1" sizeWithCells="1">
                  <from>
                    <xdr:col>3</xdr:col>
                    <xdr:colOff>38100</xdr:colOff>
                    <xdr:row>0</xdr:row>
                    <xdr:rowOff>28575</xdr:rowOff>
                  </from>
                  <to>
                    <xdr:col>3</xdr:col>
                    <xdr:colOff>447675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Spinner 2">
              <controlPr defaultSize="0" autoPict="0">
                <anchor moveWithCells="1" sizeWithCells="1">
                  <from>
                    <xdr:col>8</xdr:col>
                    <xdr:colOff>57150</xdr:colOff>
                    <xdr:row>0</xdr:row>
                    <xdr:rowOff>9525</xdr:rowOff>
                  </from>
                  <to>
                    <xdr:col>8</xdr:col>
                    <xdr:colOff>438150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Pict="0" macro="[1]!清除">
                <anchor moveWithCells="1" sizeWithCells="1">
                  <from>
                    <xdr:col>9</xdr:col>
                    <xdr:colOff>171450</xdr:colOff>
                    <xdr:row>0</xdr:row>
                    <xdr:rowOff>57150</xdr:rowOff>
                  </from>
                  <to>
                    <xdr:col>11</xdr:col>
                    <xdr:colOff>133350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23" sqref="L23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3</vt:i4>
      </vt:variant>
    </vt:vector>
  </HeadingPairs>
  <TitlesOfParts>
    <vt:vector size="8" baseType="lpstr">
      <vt:lpstr>北段</vt:lpstr>
      <vt:lpstr>北段 (人資版)</vt:lpstr>
      <vt:lpstr>北段(八周檢核代碼</vt:lpstr>
      <vt:lpstr>工作表1</vt:lpstr>
      <vt:lpstr>工作表2</vt:lpstr>
      <vt:lpstr>北段!Print_Area</vt:lpstr>
      <vt:lpstr>'北段 (人資版)'!Print_Area</vt:lpstr>
      <vt:lpstr>'北段(八周檢核代碼'!Print_Area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吳婉婷</dc:creator>
  <cp:lastModifiedBy>林孟錡</cp:lastModifiedBy>
  <cp:lastPrinted>2026-06-23T05:22:12Z</cp:lastPrinted>
  <dcterms:created xsi:type="dcterms:W3CDTF">2019-06-06T11:40:27Z</dcterms:created>
  <dcterms:modified xsi:type="dcterms:W3CDTF">2026-07-10T19:57:08Z</dcterms:modified>
</cp:coreProperties>
</file>