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9040" windowHeight="15720"/>
  </bookViews>
  <sheets>
    <sheet name="115年" sheetId="5" r:id="rId1"/>
  </sheets>
  <calcPr calcId="145621"/>
</workbook>
</file>

<file path=xl/calcChain.xml><?xml version="1.0" encoding="utf-8"?>
<calcChain xmlns="http://schemas.openxmlformats.org/spreadsheetml/2006/main">
  <c r="D18" i="5" l="1"/>
  <c r="D19" i="5"/>
  <c r="D20" i="5"/>
  <c r="D21" i="5"/>
  <c r="D22" i="5"/>
  <c r="D23" i="5"/>
  <c r="D24" i="5"/>
  <c r="D25" i="5"/>
  <c r="D16" i="5"/>
  <c r="C4" i="5"/>
  <c r="C5" i="5"/>
  <c r="C6" i="5"/>
  <c r="C7" i="5"/>
  <c r="C8" i="5"/>
  <c r="C9" i="5"/>
  <c r="C10" i="5"/>
  <c r="C11" i="5"/>
  <c r="C12" i="5"/>
  <c r="E11" i="5"/>
  <c r="K38" i="5"/>
  <c r="C3" i="5"/>
  <c r="D3" i="5"/>
  <c r="D17" i="5" l="1"/>
  <c r="D4" i="5"/>
  <c r="D5" i="5"/>
  <c r="D6" i="5"/>
  <c r="D7" i="5"/>
  <c r="D8" i="5"/>
  <c r="D9" i="5"/>
  <c r="D10" i="5"/>
  <c r="D11" i="5"/>
  <c r="D12" i="5"/>
  <c r="Q38" i="5" l="1"/>
  <c r="P38" i="5"/>
  <c r="O38" i="5"/>
  <c r="N38" i="5"/>
  <c r="M38" i="5"/>
  <c r="L38" i="5"/>
  <c r="J38" i="5"/>
  <c r="I38" i="5"/>
  <c r="H38" i="5"/>
  <c r="G38" i="5"/>
  <c r="F38" i="5"/>
  <c r="Q37" i="5"/>
  <c r="P37" i="5"/>
  <c r="O37" i="5"/>
  <c r="N37" i="5"/>
  <c r="M37" i="5"/>
  <c r="L37" i="5"/>
  <c r="K37" i="5"/>
  <c r="J37" i="5"/>
  <c r="I37" i="5"/>
  <c r="H37" i="5"/>
  <c r="G37" i="5"/>
  <c r="F37" i="5"/>
  <c r="Q36" i="5"/>
  <c r="P36" i="5"/>
  <c r="O36" i="5"/>
  <c r="N36" i="5"/>
  <c r="M36" i="5"/>
  <c r="L36" i="5"/>
  <c r="K36" i="5"/>
  <c r="J36" i="5"/>
  <c r="I36" i="5"/>
  <c r="H36" i="5"/>
  <c r="G36" i="5"/>
  <c r="F36" i="5"/>
  <c r="Q35" i="5"/>
  <c r="P35" i="5"/>
  <c r="O35" i="5"/>
  <c r="N35" i="5"/>
  <c r="M35" i="5"/>
  <c r="L35" i="5"/>
  <c r="K35" i="5"/>
  <c r="J35" i="5"/>
  <c r="I35" i="5"/>
  <c r="H35" i="5"/>
  <c r="G35" i="5"/>
  <c r="F35" i="5"/>
  <c r="Q34" i="5"/>
  <c r="P34" i="5"/>
  <c r="O34" i="5"/>
  <c r="N34" i="5"/>
  <c r="M34" i="5"/>
  <c r="L34" i="5"/>
  <c r="K34" i="5"/>
  <c r="J34" i="5"/>
  <c r="I34" i="5"/>
  <c r="H34" i="5"/>
  <c r="G34" i="5"/>
  <c r="F34" i="5"/>
  <c r="Q33" i="5"/>
  <c r="P33" i="5"/>
  <c r="O33" i="5"/>
  <c r="N33" i="5"/>
  <c r="M33" i="5"/>
  <c r="L33" i="5"/>
  <c r="K33" i="5"/>
  <c r="J33" i="5"/>
  <c r="I33" i="5"/>
  <c r="H33" i="5"/>
  <c r="G33" i="5"/>
  <c r="F33" i="5"/>
  <c r="Q32" i="5"/>
  <c r="P32" i="5"/>
  <c r="O32" i="5"/>
  <c r="N32" i="5"/>
  <c r="M32" i="5"/>
  <c r="L32" i="5"/>
  <c r="K32" i="5"/>
  <c r="J32" i="5"/>
  <c r="I32" i="5"/>
  <c r="H32" i="5"/>
  <c r="G32" i="5"/>
  <c r="F32" i="5"/>
  <c r="Q31" i="5"/>
  <c r="P31" i="5"/>
  <c r="O31" i="5"/>
  <c r="N31" i="5"/>
  <c r="M31" i="5"/>
  <c r="L31" i="5"/>
  <c r="K31" i="5"/>
  <c r="J31" i="5"/>
  <c r="I31" i="5"/>
  <c r="H31" i="5"/>
  <c r="G31" i="5"/>
  <c r="F31" i="5"/>
  <c r="Q30" i="5"/>
  <c r="P30" i="5"/>
  <c r="O30" i="5"/>
  <c r="N30" i="5"/>
  <c r="M30" i="5"/>
  <c r="L30" i="5"/>
  <c r="K30" i="5"/>
  <c r="J30" i="5"/>
  <c r="I30" i="5"/>
  <c r="H30" i="5"/>
  <c r="G30" i="5"/>
  <c r="F30" i="5"/>
  <c r="Q29" i="5"/>
  <c r="P29" i="5"/>
  <c r="O29" i="5"/>
  <c r="N29" i="5"/>
  <c r="M29" i="5"/>
  <c r="L29" i="5"/>
  <c r="K29" i="5"/>
  <c r="J29" i="5"/>
  <c r="I29" i="5"/>
  <c r="H29" i="5"/>
  <c r="G29" i="5"/>
  <c r="F29" i="5"/>
  <c r="E12" i="5"/>
  <c r="E10" i="5"/>
  <c r="E7" i="5"/>
  <c r="E5" i="5"/>
  <c r="E4" i="5"/>
  <c r="C18" i="5" l="1"/>
  <c r="C21" i="5"/>
  <c r="E21" i="5" s="1"/>
  <c r="C24" i="5"/>
  <c r="E24" i="5" s="1"/>
  <c r="C23" i="5"/>
  <c r="C25" i="5"/>
  <c r="E25" i="5" s="1"/>
  <c r="C22" i="5"/>
  <c r="E22" i="5" s="1"/>
  <c r="E3" i="5"/>
  <c r="E23" i="5"/>
  <c r="C19" i="5"/>
  <c r="E19" i="5" s="1"/>
  <c r="E18" i="5"/>
  <c r="E9" i="5"/>
  <c r="C17" i="5"/>
  <c r="E17" i="5" s="1"/>
  <c r="C16" i="5"/>
  <c r="E16" i="5" s="1"/>
  <c r="E8" i="5"/>
  <c r="C20" i="5"/>
  <c r="E20" i="5" s="1"/>
  <c r="E6" i="5"/>
</calcChain>
</file>

<file path=xl/sharedStrings.xml><?xml version="1.0" encoding="utf-8"?>
<sst xmlns="http://schemas.openxmlformats.org/spreadsheetml/2006/main" count="63" uniqueCount="28">
  <si>
    <t>秋儀</t>
    <phoneticPr fontId="1" type="noConversion"/>
  </si>
  <si>
    <t>金緗</t>
    <phoneticPr fontId="1" type="noConversion"/>
  </si>
  <si>
    <t>雯琳</t>
    <phoneticPr fontId="1" type="noConversion"/>
  </si>
  <si>
    <t>冠銘</t>
    <phoneticPr fontId="1" type="noConversion"/>
  </si>
  <si>
    <t>每月夜班天數</t>
    <phoneticPr fontId="1" type="noConversion"/>
  </si>
  <si>
    <t>全峰</t>
    <phoneticPr fontId="1" type="noConversion"/>
  </si>
  <si>
    <t>佳婷</t>
    <phoneticPr fontId="1" type="noConversion"/>
  </si>
  <si>
    <t>孟錡</t>
    <phoneticPr fontId="1" type="noConversion"/>
  </si>
  <si>
    <t>月底夜班天數</t>
    <phoneticPr fontId="1" type="noConversion"/>
  </si>
  <si>
    <t>值班月數</t>
    <phoneticPr fontId="1" type="noConversion"/>
  </si>
  <si>
    <t>夜班數/月份天數=每月比例</t>
    <phoneticPr fontId="1" type="noConversion"/>
  </si>
  <si>
    <t>每月比例加總</t>
    <phoneticPr fontId="1" type="noConversion"/>
  </si>
  <si>
    <t>前3名紅色 
後3名綠色</t>
    <phoneticPr fontId="1" type="noConversion"/>
  </si>
  <si>
    <t>江玉</t>
    <phoneticPr fontId="1" type="noConversion"/>
  </si>
  <si>
    <t>元浩</t>
    <phoneticPr fontId="1" type="noConversion"/>
  </si>
  <si>
    <t>慧盺</t>
    <phoneticPr fontId="1" type="noConversion"/>
  </si>
  <si>
    <t>115年1月</t>
    <phoneticPr fontId="1" type="noConversion"/>
  </si>
  <si>
    <t>115年2月</t>
  </si>
  <si>
    <t>115年3月</t>
  </si>
  <si>
    <t>115年4月</t>
  </si>
  <si>
    <t>115年5月</t>
  </si>
  <si>
    <t>115年6月</t>
  </si>
  <si>
    <t>115年7月</t>
  </si>
  <si>
    <t>115年8月</t>
  </si>
  <si>
    <t>115年9月</t>
  </si>
  <si>
    <t>115年10月</t>
  </si>
  <si>
    <t>115年11月</t>
  </si>
  <si>
    <t>115年12月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</si>
</sst>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20"/>
      <color theme="1"/>
      <name val="微軟正黑體"/>
      <family val="2"/>
      <charset val="136"/>
    </font>
    <font>
      <sz val="14"/>
      <color theme="1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4">
    <xf numFmtId="0" fontId="0" fillId="0" borderId="0">
      <alignment vertical="center"/>
    </xf>
    <xf numFmtId="0" fontId="6" fillId="0" borderId="0">
      <alignment vertical="center"/>
    </xf>
    <xf numFmtId="0" fontId="7" fillId="0" borderId="0"/>
    <xf numFmtId="0" fontId="5" fillId="0" borderId="0">
      <alignment vertical="center"/>
    </xf>
    <xf numFmtId="0" fontId="6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11" fillId="0" borderId="0"/>
    <xf numFmtId="0" fontId="1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0" borderId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0" fillId="2" borderId="1" xfId="0" applyFill="1" applyBorder="1">
      <alignment vertical="center"/>
    </xf>
    <xf numFmtId="10" fontId="0" fillId="0" borderId="0" xfId="0" applyNumberFormat="1">
      <alignment vertical="center"/>
    </xf>
    <xf numFmtId="0" fontId="3" fillId="5" borderId="1" xfId="0" applyFont="1" applyFill="1" applyBorder="1">
      <alignment vertical="center"/>
    </xf>
    <xf numFmtId="0" fontId="3" fillId="5" borderId="1" xfId="0" applyFont="1" applyFill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0" fillId="0" borderId="0" xfId="0" applyNumberFormat="1" applyFill="1">
      <alignment vertical="center"/>
    </xf>
    <xf numFmtId="0" fontId="3" fillId="5" borderId="5" xfId="0" applyFont="1" applyFill="1" applyBorder="1">
      <alignment vertical="center"/>
    </xf>
  </cellXfs>
  <cellStyles count="74">
    <cellStyle name="Normal_OJT DOCS" xfId="17"/>
    <cellStyle name="TableStyleLight1" xfId="4"/>
    <cellStyle name="一般" xfId="0" builtinId="0"/>
    <cellStyle name="一般 10" xfId="2"/>
    <cellStyle name="一般 10 2" xfId="5"/>
    <cellStyle name="一般 10 3" xfId="62"/>
    <cellStyle name="一般 11" xfId="6"/>
    <cellStyle name="一般 2" xfId="7"/>
    <cellStyle name="一般 2 2" xfId="8"/>
    <cellStyle name="一般 2 3" xfId="9"/>
    <cellStyle name="一般 3" xfId="10"/>
    <cellStyle name="一般 3 2" xfId="18"/>
    <cellStyle name="一般 3 2 2" xfId="19"/>
    <cellStyle name="一般 3 2 3" xfId="20"/>
    <cellStyle name="一般 3 2_個人班表小月曆" xfId="21"/>
    <cellStyle name="一般 3 3" xfId="22"/>
    <cellStyle name="一般 3 4" xfId="23"/>
    <cellStyle name="一般 3_個人班表小月曆" xfId="24"/>
    <cellStyle name="一般 4" xfId="11"/>
    <cellStyle name="一般 4 2" xfId="25"/>
    <cellStyle name="一般 4 2 2" xfId="26"/>
    <cellStyle name="一般 4 3" xfId="27"/>
    <cellStyle name="一般 4 3 2" xfId="28"/>
    <cellStyle name="一般 4 3_個人班表小月曆" xfId="29"/>
    <cellStyle name="一般 4 4" xfId="30"/>
    <cellStyle name="一般 4 5" xfId="31"/>
    <cellStyle name="一般 4_個人班表小月曆" xfId="32"/>
    <cellStyle name="一般 5" xfId="12"/>
    <cellStyle name="一般 5 2" xfId="33"/>
    <cellStyle name="一般 5 2 2" xfId="34"/>
    <cellStyle name="一般 5 2 3" xfId="35"/>
    <cellStyle name="一般 5 2_個人班表小月曆" xfId="36"/>
    <cellStyle name="一般 5 3" xfId="37"/>
    <cellStyle name="一般 5 4" xfId="38"/>
    <cellStyle name="一般 5_個人班表小月曆" xfId="39"/>
    <cellStyle name="一般 6" xfId="13"/>
    <cellStyle name="一般 6 2" xfId="40"/>
    <cellStyle name="一般 6 3" xfId="41"/>
    <cellStyle name="一般 6 4" xfId="42"/>
    <cellStyle name="一般 6_個人班表小月曆" xfId="43"/>
    <cellStyle name="一般 7" xfId="1"/>
    <cellStyle name="一般 8" xfId="14"/>
    <cellStyle name="一般 9" xfId="3"/>
    <cellStyle name="一般 9 3 2" xfId="15"/>
    <cellStyle name="一般 9 4" xfId="16"/>
    <cellStyle name="一般 9 7 2 2 2 2 2 2" xfId="48"/>
    <cellStyle name="千分位 2" xfId="46"/>
    <cellStyle name="千分位 2 2" xfId="49"/>
    <cellStyle name="千分位 2 2 2" xfId="53"/>
    <cellStyle name="千分位 2 2 2 2" xfId="60"/>
    <cellStyle name="千分位 2 2 2 3" xfId="73"/>
    <cellStyle name="千分位 2 2 3" xfId="57"/>
    <cellStyle name="千分位 2 2 3 2" xfId="69"/>
    <cellStyle name="千分位 2 2 4" xfId="65"/>
    <cellStyle name="千分位 2 3" xfId="51"/>
    <cellStyle name="千分位 2 3 2" xfId="58"/>
    <cellStyle name="千分位 2 3 3" xfId="71"/>
    <cellStyle name="千分位 2 4" xfId="55"/>
    <cellStyle name="千分位 2 4 2" xfId="67"/>
    <cellStyle name="千分位 2 5" xfId="63"/>
    <cellStyle name="千分位 3" xfId="47"/>
    <cellStyle name="千分位 3 2" xfId="52"/>
    <cellStyle name="千分位 3 2 2" xfId="59"/>
    <cellStyle name="千分位 3 2 3" xfId="72"/>
    <cellStyle name="千分位 3 3" xfId="56"/>
    <cellStyle name="千分位 3 3 2" xfId="68"/>
    <cellStyle name="千分位 3 4" xfId="64"/>
    <cellStyle name="千分位 4" xfId="50"/>
    <cellStyle name="千分位 4 2" xfId="61"/>
    <cellStyle name="千分位 4 3" xfId="70"/>
    <cellStyle name="千分位 5" xfId="54"/>
    <cellStyle name="千分位 5 2" xfId="66"/>
    <cellStyle name="好_個人班表小月曆" xfId="44"/>
    <cellStyle name="壞_個人班表小月曆" xfId="4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zoomScaleNormal="100" workbookViewId="0">
      <selection activeCell="F20" sqref="F20"/>
    </sheetView>
  </sheetViews>
  <sheetFormatPr defaultRowHeight="16.5"/>
  <cols>
    <col min="2" max="2" width="13.25" bestFit="1" customWidth="1"/>
    <col min="3" max="3" width="14.125" bestFit="1" customWidth="1"/>
    <col min="4" max="4" width="9.75" bestFit="1" customWidth="1"/>
    <col min="5" max="5" width="13.5" customWidth="1"/>
    <col min="6" max="14" width="10.25" bestFit="1" customWidth="1"/>
    <col min="15" max="16" width="11.5" bestFit="1" customWidth="1"/>
    <col min="17" max="17" width="14.5" customWidth="1"/>
  </cols>
  <sheetData>
    <row r="1" spans="1:17" ht="27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31.5">
      <c r="A2" s="9"/>
      <c r="B2" s="9"/>
      <c r="C2" s="2" t="s">
        <v>8</v>
      </c>
      <c r="D2" s="2" t="s">
        <v>9</v>
      </c>
      <c r="E2" s="8" t="s">
        <v>12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27</v>
      </c>
    </row>
    <row r="3" spans="1:17" ht="18.75">
      <c r="A3" s="6"/>
      <c r="B3" s="3" t="s">
        <v>5</v>
      </c>
      <c r="C3" s="3">
        <f>COUNTIF(F3:Q3,"=1")</f>
        <v>0</v>
      </c>
      <c r="D3" s="3">
        <f>COUNTIF(F3:J3,"&gt;=0")</f>
        <v>5</v>
      </c>
      <c r="E3" s="14">
        <f>C3/D3</f>
        <v>0</v>
      </c>
      <c r="F3" s="2">
        <v>0</v>
      </c>
      <c r="G3" s="2">
        <v>0</v>
      </c>
      <c r="H3" s="7">
        <v>0</v>
      </c>
      <c r="I3" s="7">
        <v>0</v>
      </c>
      <c r="J3" s="7">
        <v>0</v>
      </c>
      <c r="K3" s="12"/>
      <c r="L3" s="12"/>
      <c r="M3" s="12"/>
      <c r="N3" s="12"/>
      <c r="O3" s="12"/>
      <c r="P3" s="12"/>
      <c r="Q3" s="12"/>
    </row>
    <row r="4" spans="1:17" ht="18.75">
      <c r="A4" s="6"/>
      <c r="B4" s="3" t="s">
        <v>0</v>
      </c>
      <c r="C4" s="3">
        <f t="shared" ref="C4:C12" si="0">COUNTIF(F4:Q4,"=1")</f>
        <v>1</v>
      </c>
      <c r="D4" s="3">
        <f t="shared" ref="D4:D12" si="1">COUNTIF(F4:Q4,"&gt;=0")</f>
        <v>6</v>
      </c>
      <c r="E4" s="14">
        <f t="shared" ref="E4:E12" si="2">C4/D4</f>
        <v>0.16666666666666666</v>
      </c>
      <c r="F4" s="2">
        <v>0</v>
      </c>
      <c r="G4" s="2">
        <v>0</v>
      </c>
      <c r="H4" s="7">
        <v>0</v>
      </c>
      <c r="I4" s="7">
        <v>0</v>
      </c>
      <c r="J4" s="2">
        <v>1</v>
      </c>
      <c r="K4" s="2">
        <v>0</v>
      </c>
      <c r="L4" s="2"/>
      <c r="M4" s="2"/>
      <c r="N4" s="2"/>
      <c r="O4" s="2"/>
      <c r="P4" s="2"/>
      <c r="Q4" s="2"/>
    </row>
    <row r="5" spans="1:17" ht="18.75">
      <c r="A5" s="6"/>
      <c r="B5" s="3" t="s">
        <v>1</v>
      </c>
      <c r="C5" s="3">
        <f t="shared" si="0"/>
        <v>0</v>
      </c>
      <c r="D5" s="3">
        <f t="shared" si="1"/>
        <v>6</v>
      </c>
      <c r="E5" s="14">
        <f t="shared" si="2"/>
        <v>0</v>
      </c>
      <c r="F5" s="2">
        <v>0</v>
      </c>
      <c r="G5" s="2">
        <v>0</v>
      </c>
      <c r="H5" s="7">
        <v>0</v>
      </c>
      <c r="I5" s="7">
        <v>0</v>
      </c>
      <c r="J5" s="2">
        <v>0</v>
      </c>
      <c r="K5" s="2">
        <v>0</v>
      </c>
      <c r="L5" s="2"/>
      <c r="M5" s="2"/>
      <c r="N5" s="2"/>
      <c r="O5" s="2"/>
      <c r="P5" s="2"/>
      <c r="Q5" s="2"/>
    </row>
    <row r="6" spans="1:17" ht="18.75">
      <c r="A6" s="6"/>
      <c r="B6" s="3" t="s">
        <v>2</v>
      </c>
      <c r="C6" s="3">
        <f t="shared" si="0"/>
        <v>0</v>
      </c>
      <c r="D6" s="3">
        <f t="shared" si="1"/>
        <v>6</v>
      </c>
      <c r="E6" s="14">
        <f t="shared" si="2"/>
        <v>0</v>
      </c>
      <c r="F6" s="2">
        <v>0</v>
      </c>
      <c r="G6" s="2">
        <v>0</v>
      </c>
      <c r="H6" s="7">
        <v>0</v>
      </c>
      <c r="I6" s="7">
        <v>0</v>
      </c>
      <c r="J6" s="2">
        <v>0</v>
      </c>
      <c r="K6" s="2">
        <v>0</v>
      </c>
      <c r="L6" s="2"/>
      <c r="M6" s="2"/>
      <c r="N6" s="2"/>
      <c r="O6" s="2"/>
      <c r="P6" s="2"/>
      <c r="Q6" s="2"/>
    </row>
    <row r="7" spans="1:17" ht="18.75">
      <c r="A7" s="6"/>
      <c r="B7" s="3" t="s">
        <v>3</v>
      </c>
      <c r="C7" s="3">
        <f t="shared" si="0"/>
        <v>2</v>
      </c>
      <c r="D7" s="3">
        <f t="shared" si="1"/>
        <v>6</v>
      </c>
      <c r="E7" s="14">
        <f t="shared" si="2"/>
        <v>0.33333333333333331</v>
      </c>
      <c r="F7" s="2">
        <v>0</v>
      </c>
      <c r="G7" s="2">
        <v>0</v>
      </c>
      <c r="H7" s="7">
        <v>1</v>
      </c>
      <c r="I7" s="7">
        <v>1</v>
      </c>
      <c r="J7" s="2">
        <v>0</v>
      </c>
      <c r="K7" s="2">
        <v>0</v>
      </c>
      <c r="L7" s="2"/>
      <c r="M7" s="2"/>
      <c r="N7" s="2"/>
      <c r="O7" s="2"/>
      <c r="P7" s="2"/>
      <c r="Q7" s="2"/>
    </row>
    <row r="8" spans="1:17" ht="18.75">
      <c r="A8" s="6"/>
      <c r="B8" s="13" t="s">
        <v>13</v>
      </c>
      <c r="C8" s="3">
        <f t="shared" si="0"/>
        <v>1</v>
      </c>
      <c r="D8" s="3">
        <f t="shared" si="1"/>
        <v>6</v>
      </c>
      <c r="E8" s="14">
        <f t="shared" si="2"/>
        <v>0.16666666666666666</v>
      </c>
      <c r="F8" s="2">
        <v>1</v>
      </c>
      <c r="G8" s="15">
        <v>0</v>
      </c>
      <c r="H8" s="7">
        <v>0</v>
      </c>
      <c r="I8" s="16">
        <v>0</v>
      </c>
      <c r="J8" s="15">
        <v>0</v>
      </c>
      <c r="K8" s="15">
        <v>0</v>
      </c>
      <c r="L8" s="15"/>
      <c r="M8" s="2"/>
      <c r="N8" s="2"/>
      <c r="O8" s="2"/>
      <c r="P8" s="2"/>
      <c r="Q8" s="2"/>
    </row>
    <row r="9" spans="1:17" ht="18.75">
      <c r="A9" s="6"/>
      <c r="B9" s="3" t="s">
        <v>6</v>
      </c>
      <c r="C9" s="3">
        <f t="shared" si="0"/>
        <v>1</v>
      </c>
      <c r="D9" s="3">
        <f t="shared" si="1"/>
        <v>6</v>
      </c>
      <c r="E9" s="14">
        <f t="shared" si="2"/>
        <v>0.16666666666666666</v>
      </c>
      <c r="F9" s="2">
        <v>0</v>
      </c>
      <c r="G9" s="15">
        <v>1</v>
      </c>
      <c r="H9" s="7">
        <v>0</v>
      </c>
      <c r="I9" s="16">
        <v>0</v>
      </c>
      <c r="J9" s="15">
        <v>0</v>
      </c>
      <c r="K9" s="15">
        <v>0</v>
      </c>
      <c r="L9" s="15"/>
      <c r="M9" s="2"/>
      <c r="N9" s="2"/>
      <c r="O9" s="2"/>
      <c r="P9" s="2"/>
      <c r="Q9" s="2"/>
    </row>
    <row r="10" spans="1:17" ht="18.75">
      <c r="A10" s="6"/>
      <c r="B10" s="3" t="s">
        <v>7</v>
      </c>
      <c r="C10" s="3">
        <f t="shared" si="0"/>
        <v>4</v>
      </c>
      <c r="D10" s="3">
        <f t="shared" si="1"/>
        <v>6</v>
      </c>
      <c r="E10" s="14">
        <f t="shared" si="2"/>
        <v>0.66666666666666663</v>
      </c>
      <c r="F10" s="2">
        <v>1</v>
      </c>
      <c r="G10" s="15">
        <v>1</v>
      </c>
      <c r="H10" s="7">
        <v>0</v>
      </c>
      <c r="I10" s="16">
        <v>0</v>
      </c>
      <c r="J10" s="15">
        <v>1</v>
      </c>
      <c r="K10" s="15">
        <v>1</v>
      </c>
      <c r="L10" s="15"/>
      <c r="M10" s="2"/>
      <c r="N10" s="2"/>
      <c r="O10" s="2"/>
      <c r="P10" s="2"/>
      <c r="Q10" s="2"/>
    </row>
    <row r="11" spans="1:17" ht="18.75">
      <c r="A11" s="6"/>
      <c r="B11" s="3" t="s">
        <v>14</v>
      </c>
      <c r="C11" s="3">
        <f t="shared" si="0"/>
        <v>1</v>
      </c>
      <c r="D11" s="3">
        <f t="shared" si="1"/>
        <v>6</v>
      </c>
      <c r="E11" s="14">
        <f>C11/D11</f>
        <v>0.16666666666666666</v>
      </c>
      <c r="F11" s="2">
        <v>0</v>
      </c>
      <c r="G11" s="15">
        <v>0</v>
      </c>
      <c r="H11" s="7">
        <v>0</v>
      </c>
      <c r="I11" s="16">
        <v>1</v>
      </c>
      <c r="J11" s="15">
        <v>0</v>
      </c>
      <c r="K11" s="15">
        <v>0</v>
      </c>
      <c r="L11" s="15"/>
      <c r="M11" s="2"/>
      <c r="N11" s="2"/>
      <c r="O11" s="2"/>
      <c r="P11" s="2"/>
      <c r="Q11" s="2"/>
    </row>
    <row r="12" spans="1:17" ht="18.75">
      <c r="A12" s="6"/>
      <c r="B12" s="3" t="s">
        <v>15</v>
      </c>
      <c r="C12" s="3">
        <f t="shared" si="0"/>
        <v>2</v>
      </c>
      <c r="D12" s="3">
        <f t="shared" si="1"/>
        <v>6</v>
      </c>
      <c r="E12" s="14">
        <f t="shared" si="2"/>
        <v>0.33333333333333331</v>
      </c>
      <c r="F12" s="2">
        <v>0</v>
      </c>
      <c r="G12" s="15">
        <v>0</v>
      </c>
      <c r="H12" s="7">
        <v>1</v>
      </c>
      <c r="I12" s="16">
        <v>0</v>
      </c>
      <c r="J12" s="15">
        <v>0</v>
      </c>
      <c r="K12" s="15">
        <v>1</v>
      </c>
      <c r="L12" s="15"/>
      <c r="M12" s="2"/>
      <c r="N12" s="2"/>
      <c r="O12" s="2"/>
      <c r="P12" s="2"/>
      <c r="Q12" s="2"/>
    </row>
    <row r="14" spans="1:17" ht="27">
      <c r="A14" s="18" t="s">
        <v>4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20"/>
    </row>
    <row r="15" spans="1:17" ht="31.5">
      <c r="A15" s="5"/>
      <c r="B15" s="5"/>
      <c r="C15" s="2" t="s">
        <v>11</v>
      </c>
      <c r="D15" s="2" t="s">
        <v>9</v>
      </c>
      <c r="E15" s="8" t="s">
        <v>12</v>
      </c>
      <c r="F15" s="2" t="s">
        <v>16</v>
      </c>
      <c r="G15" s="2" t="s">
        <v>17</v>
      </c>
      <c r="H15" s="2" t="s">
        <v>18</v>
      </c>
      <c r="I15" s="2" t="s">
        <v>19</v>
      </c>
      <c r="J15" s="2" t="s">
        <v>20</v>
      </c>
      <c r="K15" s="2" t="s">
        <v>21</v>
      </c>
      <c r="L15" s="2" t="s">
        <v>22</v>
      </c>
      <c r="M15" s="2" t="s">
        <v>23</v>
      </c>
      <c r="N15" s="2" t="s">
        <v>24</v>
      </c>
      <c r="O15" s="2" t="s">
        <v>25</v>
      </c>
      <c r="P15" s="2" t="s">
        <v>26</v>
      </c>
      <c r="Q15" s="2" t="s">
        <v>27</v>
      </c>
    </row>
    <row r="16" spans="1:17" ht="18.75">
      <c r="A16" s="6"/>
      <c r="B16" s="3" t="s">
        <v>5</v>
      </c>
      <c r="C16" s="3">
        <f>SUM(F29:Q29)</f>
        <v>0.95660522273425486</v>
      </c>
      <c r="D16" s="3">
        <f>COUNTIF(F16:J16,"&gt;0")</f>
        <v>5</v>
      </c>
      <c r="E16" s="14">
        <f>C16/D16</f>
        <v>0.19132104454685098</v>
      </c>
      <c r="F16" s="2">
        <v>5</v>
      </c>
      <c r="G16" s="2">
        <v>3</v>
      </c>
      <c r="H16" s="2">
        <v>6</v>
      </c>
      <c r="I16" s="2">
        <v>5</v>
      </c>
      <c r="J16" s="2">
        <v>5</v>
      </c>
      <c r="K16" s="23"/>
      <c r="L16" s="11"/>
      <c r="M16" s="11"/>
      <c r="N16" s="11"/>
      <c r="O16" s="11"/>
      <c r="P16" s="11"/>
      <c r="Q16" s="11"/>
    </row>
    <row r="17" spans="1:17" ht="18.75">
      <c r="A17" s="6"/>
      <c r="B17" s="3" t="s">
        <v>0</v>
      </c>
      <c r="C17" s="3">
        <f>SUM(F30:Q30)</f>
        <v>0.99339477726574499</v>
      </c>
      <c r="D17" s="3">
        <f t="shared" ref="D17:D25" si="3">COUNTIF(F17:Q17,"&gt;0")</f>
        <v>6</v>
      </c>
      <c r="E17" s="14">
        <f t="shared" ref="E17:E25" si="4">C17/D17</f>
        <v>0.16556579621095749</v>
      </c>
      <c r="F17" s="2">
        <v>5</v>
      </c>
      <c r="G17" s="2">
        <v>4</v>
      </c>
      <c r="H17" s="2">
        <v>5</v>
      </c>
      <c r="I17" s="2">
        <v>5</v>
      </c>
      <c r="J17" s="2">
        <v>5</v>
      </c>
      <c r="K17" s="2">
        <v>5</v>
      </c>
      <c r="L17" s="2"/>
      <c r="M17" s="2"/>
      <c r="N17" s="2"/>
      <c r="O17" s="2"/>
      <c r="P17" s="2"/>
      <c r="Q17" s="2"/>
    </row>
    <row r="18" spans="1:17" ht="18.75">
      <c r="A18" s="6"/>
      <c r="B18" s="3" t="s">
        <v>1</v>
      </c>
      <c r="C18" s="3">
        <f>SUM(F31:Q31)</f>
        <v>0.96006144393241155</v>
      </c>
      <c r="D18" s="3">
        <f t="shared" si="3"/>
        <v>6</v>
      </c>
      <c r="E18" s="14">
        <f t="shared" si="4"/>
        <v>0.16001024065540193</v>
      </c>
      <c r="F18" s="2">
        <v>5</v>
      </c>
      <c r="G18" s="2">
        <v>4</v>
      </c>
      <c r="H18" s="2">
        <v>5</v>
      </c>
      <c r="I18" s="2">
        <v>5</v>
      </c>
      <c r="J18" s="2">
        <v>5</v>
      </c>
      <c r="K18" s="2">
        <v>6</v>
      </c>
      <c r="L18" s="2"/>
      <c r="M18" s="2"/>
      <c r="N18" s="2"/>
      <c r="O18" s="2"/>
      <c r="P18" s="2"/>
      <c r="Q18" s="2"/>
    </row>
    <row r="19" spans="1:17" ht="18.75">
      <c r="A19" s="6"/>
      <c r="B19" s="3" t="s">
        <v>2</v>
      </c>
      <c r="C19" s="3">
        <f>SUM(F32:Q32)</f>
        <v>0.9291090629800306</v>
      </c>
      <c r="D19" s="3">
        <f t="shared" si="3"/>
        <v>6</v>
      </c>
      <c r="E19" s="14">
        <f t="shared" si="4"/>
        <v>0.15485151049667176</v>
      </c>
      <c r="F19" s="2">
        <v>5</v>
      </c>
      <c r="G19" s="2">
        <v>5</v>
      </c>
      <c r="H19" s="2">
        <v>6</v>
      </c>
      <c r="I19" s="2">
        <v>4</v>
      </c>
      <c r="J19" s="2">
        <v>4</v>
      </c>
      <c r="K19" s="2">
        <v>5</v>
      </c>
      <c r="L19" s="2"/>
      <c r="M19" s="2"/>
      <c r="N19" s="2"/>
      <c r="O19" s="2"/>
      <c r="P19" s="2"/>
      <c r="Q19" s="2"/>
    </row>
    <row r="20" spans="1:17" ht="18.75">
      <c r="A20" s="6"/>
      <c r="B20" s="3" t="s">
        <v>3</v>
      </c>
      <c r="C20" s="3">
        <f>SUM(F33:Q33)</f>
        <v>0.89447004608294922</v>
      </c>
      <c r="D20" s="3">
        <f t="shared" si="3"/>
        <v>6</v>
      </c>
      <c r="E20" s="14">
        <f t="shared" si="4"/>
        <v>0.14907834101382486</v>
      </c>
      <c r="F20" s="2">
        <v>5</v>
      </c>
      <c r="G20" s="2">
        <v>4</v>
      </c>
      <c r="H20" s="2">
        <v>5</v>
      </c>
      <c r="I20" s="2">
        <v>4</v>
      </c>
      <c r="J20" s="2">
        <v>4</v>
      </c>
      <c r="K20" s="2">
        <v>4</v>
      </c>
      <c r="L20" s="2"/>
      <c r="M20" s="2"/>
      <c r="N20" s="2"/>
      <c r="O20" s="2"/>
      <c r="P20" s="2"/>
      <c r="Q20" s="2"/>
    </row>
    <row r="21" spans="1:17" ht="18.75">
      <c r="A21" s="6"/>
      <c r="B21" s="3" t="s">
        <v>13</v>
      </c>
      <c r="C21" s="3">
        <f t="shared" ref="C21:C25" si="5">SUM(F34:Q34)</f>
        <v>0.96006144393241155</v>
      </c>
      <c r="D21" s="3">
        <f t="shared" si="3"/>
        <v>6</v>
      </c>
      <c r="E21" s="14">
        <f t="shared" si="4"/>
        <v>0.16001024065540193</v>
      </c>
      <c r="F21" s="15">
        <v>5</v>
      </c>
      <c r="G21" s="15">
        <v>4</v>
      </c>
      <c r="H21" s="15">
        <v>5</v>
      </c>
      <c r="I21" s="15">
        <v>5</v>
      </c>
      <c r="J21" s="15">
        <v>5</v>
      </c>
      <c r="K21" s="2">
        <v>5</v>
      </c>
      <c r="L21" s="15"/>
      <c r="M21" s="2"/>
      <c r="N21" s="2"/>
      <c r="O21" s="2"/>
      <c r="P21" s="2"/>
      <c r="Q21" s="2"/>
    </row>
    <row r="22" spans="1:17" ht="18.75">
      <c r="A22" s="6"/>
      <c r="B22" s="3" t="s">
        <v>6</v>
      </c>
      <c r="C22" s="3">
        <f t="shared" si="5"/>
        <v>1.3955453149001535</v>
      </c>
      <c r="D22" s="3">
        <f t="shared" si="3"/>
        <v>6</v>
      </c>
      <c r="E22" s="14">
        <f t="shared" si="4"/>
        <v>0.23259088581669227</v>
      </c>
      <c r="F22" s="15">
        <v>4</v>
      </c>
      <c r="G22" s="15">
        <v>4</v>
      </c>
      <c r="H22" s="15">
        <v>5</v>
      </c>
      <c r="I22" s="15">
        <v>5</v>
      </c>
      <c r="J22" s="15">
        <v>4</v>
      </c>
      <c r="K22" s="15">
        <v>5</v>
      </c>
      <c r="L22" s="15"/>
      <c r="M22" s="2"/>
      <c r="N22" s="2"/>
      <c r="O22" s="2"/>
      <c r="P22" s="2"/>
      <c r="Q22" s="2"/>
    </row>
    <row r="23" spans="1:17" ht="18.75">
      <c r="A23" s="6"/>
      <c r="B23" s="3" t="s">
        <v>7</v>
      </c>
      <c r="C23" s="3">
        <f t="shared" si="5"/>
        <v>3.1906298003072195</v>
      </c>
      <c r="D23" s="3">
        <f t="shared" si="3"/>
        <v>6</v>
      </c>
      <c r="E23" s="14">
        <f t="shared" si="4"/>
        <v>0.53177163338453659</v>
      </c>
      <c r="F23" s="15">
        <v>18</v>
      </c>
      <c r="G23" s="15">
        <v>20</v>
      </c>
      <c r="H23" s="15">
        <v>14</v>
      </c>
      <c r="I23" s="15">
        <v>18</v>
      </c>
      <c r="J23" s="15">
        <v>21</v>
      </c>
      <c r="K23" s="15">
        <v>20</v>
      </c>
      <c r="L23" s="15"/>
      <c r="M23" s="2"/>
      <c r="N23" s="2"/>
      <c r="O23" s="2"/>
      <c r="P23" s="2"/>
      <c r="Q23" s="2"/>
    </row>
    <row r="24" spans="1:17" ht="18.75">
      <c r="A24" s="6"/>
      <c r="B24" s="3" t="s">
        <v>14</v>
      </c>
      <c r="C24" s="3">
        <f t="shared" si="5"/>
        <v>0.95898617511520734</v>
      </c>
      <c r="D24" s="3">
        <f t="shared" si="3"/>
        <v>6</v>
      </c>
      <c r="E24" s="14">
        <f t="shared" si="4"/>
        <v>0.15983102918586789</v>
      </c>
      <c r="F24" s="15">
        <v>5</v>
      </c>
      <c r="G24" s="15">
        <v>4</v>
      </c>
      <c r="H24" s="15">
        <v>6</v>
      </c>
      <c r="I24" s="15">
        <v>4</v>
      </c>
      <c r="J24" s="15">
        <v>5</v>
      </c>
      <c r="K24" s="15">
        <v>5</v>
      </c>
      <c r="L24" s="15"/>
      <c r="M24" s="2"/>
      <c r="N24" s="2"/>
      <c r="O24" s="2"/>
      <c r="P24" s="2"/>
      <c r="Q24" s="2"/>
    </row>
    <row r="25" spans="1:17" ht="18.75">
      <c r="A25" s="6"/>
      <c r="B25" s="3" t="s">
        <v>15</v>
      </c>
      <c r="C25" s="3">
        <f t="shared" si="5"/>
        <v>0.92780337941628255</v>
      </c>
      <c r="D25" s="3">
        <f t="shared" si="3"/>
        <v>6</v>
      </c>
      <c r="E25" s="14">
        <f t="shared" si="4"/>
        <v>0.15463389656938042</v>
      </c>
      <c r="F25" s="15">
        <v>5</v>
      </c>
      <c r="G25" s="15">
        <v>4</v>
      </c>
      <c r="H25" s="15">
        <v>5</v>
      </c>
      <c r="I25" s="15">
        <v>5</v>
      </c>
      <c r="J25" s="15">
        <v>4</v>
      </c>
      <c r="K25" s="15">
        <v>5</v>
      </c>
      <c r="L25" s="15"/>
      <c r="M25" s="2"/>
      <c r="N25" s="2"/>
      <c r="O25" s="2"/>
      <c r="P25" s="2"/>
      <c r="Q25" s="2"/>
    </row>
    <row r="26" spans="1:17">
      <c r="F26" s="1">
        <v>31</v>
      </c>
      <c r="G26" s="1">
        <v>28</v>
      </c>
      <c r="H26" s="1">
        <v>31</v>
      </c>
      <c r="I26" s="1">
        <v>30</v>
      </c>
      <c r="J26" s="1">
        <v>31</v>
      </c>
      <c r="K26" s="1">
        <v>30</v>
      </c>
      <c r="L26" s="1">
        <v>31</v>
      </c>
      <c r="M26" s="1">
        <v>31</v>
      </c>
      <c r="N26" s="1">
        <v>30</v>
      </c>
      <c r="O26" s="1">
        <v>31</v>
      </c>
      <c r="P26" s="1">
        <v>30</v>
      </c>
      <c r="Q26" s="1">
        <v>31</v>
      </c>
    </row>
    <row r="28" spans="1:17">
      <c r="F28" s="21" t="s">
        <v>10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spans="1:17" ht="18.75">
      <c r="C29" s="4"/>
      <c r="E29" s="3" t="s">
        <v>5</v>
      </c>
      <c r="F29" s="10">
        <f t="shared" ref="F29:Q29" si="6">F16/F$26</f>
        <v>0.16129032258064516</v>
      </c>
      <c r="G29" s="10">
        <f t="shared" si="6"/>
        <v>0.10714285714285714</v>
      </c>
      <c r="H29" s="10">
        <f t="shared" si="6"/>
        <v>0.19354838709677419</v>
      </c>
      <c r="I29" s="10">
        <f t="shared" si="6"/>
        <v>0.16666666666666666</v>
      </c>
      <c r="J29" s="10">
        <f t="shared" si="6"/>
        <v>0.16129032258064516</v>
      </c>
      <c r="K29" s="10">
        <f t="shared" ref="K29:K37" si="7">K17/K$26</f>
        <v>0.16666666666666666</v>
      </c>
      <c r="L29" s="10">
        <f t="shared" si="6"/>
        <v>0</v>
      </c>
      <c r="M29" s="10">
        <f t="shared" si="6"/>
        <v>0</v>
      </c>
      <c r="N29" s="10">
        <f t="shared" si="6"/>
        <v>0</v>
      </c>
      <c r="O29" s="10">
        <f t="shared" si="6"/>
        <v>0</v>
      </c>
      <c r="P29" s="10">
        <f t="shared" si="6"/>
        <v>0</v>
      </c>
      <c r="Q29" s="10">
        <f t="shared" si="6"/>
        <v>0</v>
      </c>
    </row>
    <row r="30" spans="1:17" ht="18.75">
      <c r="E30" s="3" t="s">
        <v>0</v>
      </c>
      <c r="F30" s="10">
        <f t="shared" ref="F30:Q30" si="8">F17/F$26</f>
        <v>0.16129032258064516</v>
      </c>
      <c r="G30" s="10">
        <f t="shared" si="8"/>
        <v>0.14285714285714285</v>
      </c>
      <c r="H30" s="10">
        <f t="shared" si="8"/>
        <v>0.16129032258064516</v>
      </c>
      <c r="I30" s="10">
        <f t="shared" si="8"/>
        <v>0.16666666666666666</v>
      </c>
      <c r="J30" s="10">
        <f t="shared" si="8"/>
        <v>0.16129032258064516</v>
      </c>
      <c r="K30" s="10">
        <f t="shared" si="7"/>
        <v>0.2</v>
      </c>
      <c r="L30" s="10">
        <f t="shared" si="8"/>
        <v>0</v>
      </c>
      <c r="M30" s="10">
        <f t="shared" si="8"/>
        <v>0</v>
      </c>
      <c r="N30" s="10">
        <f t="shared" si="8"/>
        <v>0</v>
      </c>
      <c r="O30" s="10">
        <f t="shared" si="8"/>
        <v>0</v>
      </c>
      <c r="P30" s="10">
        <f t="shared" si="8"/>
        <v>0</v>
      </c>
      <c r="Q30" s="10">
        <f t="shared" si="8"/>
        <v>0</v>
      </c>
    </row>
    <row r="31" spans="1:17" ht="18.75">
      <c r="E31" s="3" t="s">
        <v>1</v>
      </c>
      <c r="F31" s="10">
        <f t="shared" ref="F31:Q31" si="9">F18/F$26</f>
        <v>0.16129032258064516</v>
      </c>
      <c r="G31" s="10">
        <f t="shared" si="9"/>
        <v>0.14285714285714285</v>
      </c>
      <c r="H31" s="10">
        <f t="shared" si="9"/>
        <v>0.16129032258064516</v>
      </c>
      <c r="I31" s="10">
        <f t="shared" si="9"/>
        <v>0.16666666666666666</v>
      </c>
      <c r="J31" s="10">
        <f t="shared" si="9"/>
        <v>0.16129032258064516</v>
      </c>
      <c r="K31" s="10">
        <f t="shared" si="7"/>
        <v>0.16666666666666666</v>
      </c>
      <c r="L31" s="10">
        <f t="shared" si="9"/>
        <v>0</v>
      </c>
      <c r="M31" s="10">
        <f t="shared" si="9"/>
        <v>0</v>
      </c>
      <c r="N31" s="10">
        <f t="shared" si="9"/>
        <v>0</v>
      </c>
      <c r="O31" s="10">
        <f t="shared" si="9"/>
        <v>0</v>
      </c>
      <c r="P31" s="10">
        <f t="shared" si="9"/>
        <v>0</v>
      </c>
      <c r="Q31" s="10">
        <f t="shared" si="9"/>
        <v>0</v>
      </c>
    </row>
    <row r="32" spans="1:17" ht="18.75">
      <c r="E32" s="3" t="s">
        <v>2</v>
      </c>
      <c r="F32" s="10">
        <f t="shared" ref="F32:Q32" si="10">F19/F$26</f>
        <v>0.16129032258064516</v>
      </c>
      <c r="G32" s="10">
        <f t="shared" si="10"/>
        <v>0.17857142857142858</v>
      </c>
      <c r="H32" s="10">
        <f t="shared" si="10"/>
        <v>0.19354838709677419</v>
      </c>
      <c r="I32" s="10">
        <f t="shared" si="10"/>
        <v>0.13333333333333333</v>
      </c>
      <c r="J32" s="10">
        <f t="shared" si="10"/>
        <v>0.12903225806451613</v>
      </c>
      <c r="K32" s="10">
        <f t="shared" si="7"/>
        <v>0.13333333333333333</v>
      </c>
      <c r="L32" s="10">
        <f t="shared" si="10"/>
        <v>0</v>
      </c>
      <c r="M32" s="10">
        <f t="shared" si="10"/>
        <v>0</v>
      </c>
      <c r="N32" s="10">
        <f t="shared" si="10"/>
        <v>0</v>
      </c>
      <c r="O32" s="10">
        <f t="shared" si="10"/>
        <v>0</v>
      </c>
      <c r="P32" s="10">
        <f t="shared" si="10"/>
        <v>0</v>
      </c>
      <c r="Q32" s="10">
        <f t="shared" si="10"/>
        <v>0</v>
      </c>
    </row>
    <row r="33" spans="5:17" ht="18.75">
      <c r="E33" s="3" t="s">
        <v>3</v>
      </c>
      <c r="F33" s="10">
        <f t="shared" ref="F33:Q33" si="11">F20/F$26</f>
        <v>0.16129032258064516</v>
      </c>
      <c r="G33" s="10">
        <f t="shared" si="11"/>
        <v>0.14285714285714285</v>
      </c>
      <c r="H33" s="10">
        <f t="shared" si="11"/>
        <v>0.16129032258064516</v>
      </c>
      <c r="I33" s="10">
        <f t="shared" si="11"/>
        <v>0.13333333333333333</v>
      </c>
      <c r="J33" s="10">
        <f t="shared" si="11"/>
        <v>0.12903225806451613</v>
      </c>
      <c r="K33" s="10">
        <f t="shared" si="7"/>
        <v>0.16666666666666666</v>
      </c>
      <c r="L33" s="10">
        <f t="shared" si="11"/>
        <v>0</v>
      </c>
      <c r="M33" s="10">
        <f t="shared" si="11"/>
        <v>0</v>
      </c>
      <c r="N33" s="10">
        <f t="shared" si="11"/>
        <v>0</v>
      </c>
      <c r="O33" s="10">
        <f t="shared" si="11"/>
        <v>0</v>
      </c>
      <c r="P33" s="10">
        <f t="shared" si="11"/>
        <v>0</v>
      </c>
      <c r="Q33" s="10">
        <f t="shared" si="11"/>
        <v>0</v>
      </c>
    </row>
    <row r="34" spans="5:17" ht="18.75">
      <c r="E34" s="3" t="s">
        <v>13</v>
      </c>
      <c r="F34" s="22">
        <f t="shared" ref="F34:Q34" si="12">F21/F$26</f>
        <v>0.16129032258064516</v>
      </c>
      <c r="G34" s="22">
        <f t="shared" si="12"/>
        <v>0.14285714285714285</v>
      </c>
      <c r="H34" s="22">
        <f t="shared" si="12"/>
        <v>0.16129032258064516</v>
      </c>
      <c r="I34" s="22">
        <f t="shared" si="12"/>
        <v>0.16666666666666666</v>
      </c>
      <c r="J34" s="22">
        <f t="shared" si="12"/>
        <v>0.16129032258064516</v>
      </c>
      <c r="K34" s="22">
        <f t="shared" si="7"/>
        <v>0.16666666666666666</v>
      </c>
      <c r="L34" s="22">
        <f t="shared" si="12"/>
        <v>0</v>
      </c>
      <c r="M34" s="10">
        <f t="shared" si="12"/>
        <v>0</v>
      </c>
      <c r="N34" s="10">
        <f t="shared" si="12"/>
        <v>0</v>
      </c>
      <c r="O34" s="10">
        <f t="shared" si="12"/>
        <v>0</v>
      </c>
      <c r="P34" s="10">
        <f t="shared" si="12"/>
        <v>0</v>
      </c>
      <c r="Q34" s="10">
        <f t="shared" si="12"/>
        <v>0</v>
      </c>
    </row>
    <row r="35" spans="5:17" ht="18.75">
      <c r="E35" s="3" t="s">
        <v>6</v>
      </c>
      <c r="F35" s="22">
        <f t="shared" ref="F35:Q35" si="13">F22/F$26</f>
        <v>0.12903225806451613</v>
      </c>
      <c r="G35" s="22">
        <f t="shared" si="13"/>
        <v>0.14285714285714285</v>
      </c>
      <c r="H35" s="22">
        <f t="shared" si="13"/>
        <v>0.16129032258064516</v>
      </c>
      <c r="I35" s="22">
        <f t="shared" si="13"/>
        <v>0.16666666666666666</v>
      </c>
      <c r="J35" s="22">
        <f t="shared" si="13"/>
        <v>0.12903225806451613</v>
      </c>
      <c r="K35" s="22">
        <f t="shared" si="7"/>
        <v>0.66666666666666663</v>
      </c>
      <c r="L35" s="22">
        <f t="shared" si="13"/>
        <v>0</v>
      </c>
      <c r="M35" s="10">
        <f t="shared" si="13"/>
        <v>0</v>
      </c>
      <c r="N35" s="10">
        <f t="shared" si="13"/>
        <v>0</v>
      </c>
      <c r="O35" s="10">
        <f t="shared" si="13"/>
        <v>0</v>
      </c>
      <c r="P35" s="10">
        <f t="shared" si="13"/>
        <v>0</v>
      </c>
      <c r="Q35" s="10">
        <f t="shared" si="13"/>
        <v>0</v>
      </c>
    </row>
    <row r="36" spans="5:17" ht="18.75">
      <c r="E36" s="3" t="s">
        <v>7</v>
      </c>
      <c r="F36" s="22">
        <f t="shared" ref="F36:Q36" si="14">F23/F$26</f>
        <v>0.58064516129032262</v>
      </c>
      <c r="G36" s="22">
        <f t="shared" si="14"/>
        <v>0.7142857142857143</v>
      </c>
      <c r="H36" s="22">
        <f t="shared" si="14"/>
        <v>0.45161290322580644</v>
      </c>
      <c r="I36" s="22">
        <f t="shared" si="14"/>
        <v>0.6</v>
      </c>
      <c r="J36" s="22">
        <f t="shared" si="14"/>
        <v>0.67741935483870963</v>
      </c>
      <c r="K36" s="22">
        <f t="shared" si="7"/>
        <v>0.16666666666666666</v>
      </c>
      <c r="L36" s="22">
        <f t="shared" si="14"/>
        <v>0</v>
      </c>
      <c r="M36" s="10">
        <f t="shared" si="14"/>
        <v>0</v>
      </c>
      <c r="N36" s="10">
        <f t="shared" si="14"/>
        <v>0</v>
      </c>
      <c r="O36" s="10">
        <f t="shared" si="14"/>
        <v>0</v>
      </c>
      <c r="P36" s="10">
        <f t="shared" si="14"/>
        <v>0</v>
      </c>
      <c r="Q36" s="10">
        <f t="shared" si="14"/>
        <v>0</v>
      </c>
    </row>
    <row r="37" spans="5:17" ht="18.75">
      <c r="E37" s="3" t="s">
        <v>14</v>
      </c>
      <c r="F37" s="22">
        <f t="shared" ref="F37:Q37" si="15">F24/F$26</f>
        <v>0.16129032258064516</v>
      </c>
      <c r="G37" s="22">
        <f t="shared" si="15"/>
        <v>0.14285714285714285</v>
      </c>
      <c r="H37" s="22">
        <f t="shared" si="15"/>
        <v>0.19354838709677419</v>
      </c>
      <c r="I37" s="22">
        <f t="shared" si="15"/>
        <v>0.13333333333333333</v>
      </c>
      <c r="J37" s="22">
        <f t="shared" si="15"/>
        <v>0.16129032258064516</v>
      </c>
      <c r="K37" s="22">
        <f t="shared" si="7"/>
        <v>0.16666666666666666</v>
      </c>
      <c r="L37" s="22">
        <f t="shared" si="15"/>
        <v>0</v>
      </c>
      <c r="M37" s="10">
        <f t="shared" si="15"/>
        <v>0</v>
      </c>
      <c r="N37" s="10">
        <f t="shared" si="15"/>
        <v>0</v>
      </c>
      <c r="O37" s="10">
        <f t="shared" si="15"/>
        <v>0</v>
      </c>
      <c r="P37" s="10">
        <f t="shared" si="15"/>
        <v>0</v>
      </c>
      <c r="Q37" s="10">
        <f t="shared" si="15"/>
        <v>0</v>
      </c>
    </row>
    <row r="38" spans="5:17" ht="18.75">
      <c r="E38" s="3" t="s">
        <v>15</v>
      </c>
      <c r="F38" s="22">
        <f t="shared" ref="F38:Q38" si="16">F25/F$26</f>
        <v>0.16129032258064516</v>
      </c>
      <c r="G38" s="22">
        <f t="shared" si="16"/>
        <v>0.14285714285714285</v>
      </c>
      <c r="H38" s="22">
        <f t="shared" si="16"/>
        <v>0.16129032258064516</v>
      </c>
      <c r="I38" s="22">
        <f t="shared" si="16"/>
        <v>0.16666666666666666</v>
      </c>
      <c r="J38" s="22">
        <f t="shared" si="16"/>
        <v>0.12903225806451613</v>
      </c>
      <c r="K38" s="22">
        <f t="shared" si="16"/>
        <v>0.16666666666666666</v>
      </c>
      <c r="L38" s="22">
        <f t="shared" si="16"/>
        <v>0</v>
      </c>
      <c r="M38" s="10">
        <f t="shared" si="16"/>
        <v>0</v>
      </c>
      <c r="N38" s="10">
        <f t="shared" si="16"/>
        <v>0</v>
      </c>
      <c r="O38" s="10">
        <f t="shared" si="16"/>
        <v>0</v>
      </c>
      <c r="P38" s="10">
        <f t="shared" si="16"/>
        <v>0</v>
      </c>
      <c r="Q38" s="10">
        <f t="shared" si="16"/>
        <v>0</v>
      </c>
    </row>
  </sheetData>
  <mergeCells count="3">
    <mergeCell ref="A1:Q1"/>
    <mergeCell ref="A14:Q14"/>
    <mergeCell ref="F28:Q28"/>
  </mergeCells>
  <phoneticPr fontId="1" type="noConversion"/>
  <conditionalFormatting sqref="E3:E12">
    <cfRule type="top10" dxfId="4" priority="37" bottom="1" rank="3"/>
    <cfRule type="top10" dxfId="3" priority="38" rank="3"/>
  </conditionalFormatting>
  <conditionalFormatting sqref="E16:E25">
    <cfRule type="top10" dxfId="2" priority="39" bottom="1" rank="3"/>
    <cfRule type="top10" dxfId="1" priority="40" rank="3"/>
  </conditionalFormatting>
  <conditionalFormatting sqref="F3:Q12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115年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林金緗</dc:creator>
  <cp:lastModifiedBy>Administrator</cp:lastModifiedBy>
  <dcterms:created xsi:type="dcterms:W3CDTF">2019-07-29T11:40:44Z</dcterms:created>
  <dcterms:modified xsi:type="dcterms:W3CDTF">2026-05-28T11:55:15Z</dcterms:modified>
</cp:coreProperties>
</file>