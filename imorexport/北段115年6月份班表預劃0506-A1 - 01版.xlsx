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2363\Downloads\ShiftScheduler\"/>
    </mc:Choice>
  </mc:AlternateContent>
  <bookViews>
    <workbookView xWindow="0" yWindow="0" windowWidth="28800" windowHeight="11070"/>
  </bookViews>
  <sheets>
    <sheet name="北段" sheetId="4" r:id="rId1"/>
    <sheet name="北段 (人資版)" sheetId="9" r:id="rId2"/>
    <sheet name="北段(八周檢核代碼" sheetId="5" r:id="rId3"/>
    <sheet name="工作表1" sheetId="6" r:id="rId4"/>
  </sheets>
  <externalReferences>
    <externalReference r:id="rId5"/>
  </externalReferences>
  <definedNames>
    <definedName name="_xlnm._FilterDatabase" localSheetId="0" hidden="1">北段!$A$2:$AO$21</definedName>
    <definedName name="_xlnm._FilterDatabase" localSheetId="1" hidden="1">'北段 (人資版)'!$A$2:$AL$72</definedName>
    <definedName name="_xlnm._FilterDatabase" localSheetId="2" hidden="1">'北段(八周檢核代碼'!$A$2:$AL$71</definedName>
    <definedName name="_xlnm.Print_Area" localSheetId="0">北段!$A$1:$AO$21</definedName>
    <definedName name="_xlnm.Print_Area" localSheetId="1">'北段 (人資版)'!$A$1:$AL$72</definedName>
    <definedName name="_xlnm.Print_Area" localSheetId="2">'北段(八周檢核代碼'!$A$1:$AL$74</definedName>
    <definedName name="Z_BD804FFF_0FA6_4DDB_B9D5_07B1854E6033_.wvu.FilterData" localSheetId="0" hidden="1">北段!$A$2:$AO$21</definedName>
    <definedName name="Z_BD804FFF_0FA6_4DDB_B9D5_07B1854E6033_.wvu.FilterData" localSheetId="1" hidden="1">'北段 (人資版)'!$A$2:$AL$72</definedName>
    <definedName name="Z_BD804FFF_0FA6_4DDB_B9D5_07B1854E6033_.wvu.FilterData" localSheetId="2" hidden="1">'北段(八周檢核代碼'!$A$2:$AL$71</definedName>
    <definedName name="Z_BD804FFF_0FA6_4DDB_B9D5_07B1854E6033_.wvu.PrintArea" localSheetId="0" hidden="1">北段!$A$1:$AO$21</definedName>
    <definedName name="Z_BD804FFF_0FA6_4DDB_B9D5_07B1854E6033_.wvu.PrintArea" localSheetId="1" hidden="1">'北段 (人資版)'!$A$1:$AL$72</definedName>
    <definedName name="Z_BD804FFF_0FA6_4DDB_B9D5_07B1854E6033_.wvu.PrintArea" localSheetId="2" hidden="1">'北段(八周檢核代碼'!$A$1:$AL$71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62913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Q2" i="4" l="1"/>
  <c r="P2" i="4"/>
  <c r="O2" i="4"/>
  <c r="N2" i="4"/>
  <c r="M2" i="4"/>
  <c r="L2" i="4"/>
  <c r="R2" i="4"/>
  <c r="S2" i="4" l="1"/>
  <c r="T2" i="4"/>
  <c r="U2" i="4"/>
  <c r="V2" i="4" l="1"/>
  <c r="W2" i="4" l="1"/>
  <c r="X2" i="4" l="1"/>
  <c r="Y2" i="4" l="1"/>
  <c r="Z2" i="4" l="1"/>
  <c r="AA2" i="4" l="1"/>
  <c r="AB2" i="4" l="1"/>
  <c r="AC2" i="4" l="1"/>
  <c r="AD2" i="4" l="1"/>
  <c r="AE2" i="4" l="1"/>
  <c r="AF2" i="4" l="1"/>
  <c r="AG2" i="4" l="1"/>
  <c r="AH2" i="4" l="1"/>
  <c r="AI2" i="4" l="1"/>
  <c r="AJ2" i="4" l="1"/>
  <c r="AK2" i="4" l="1"/>
  <c r="AL2" i="4" l="1"/>
  <c r="AM2" i="4" l="1"/>
  <c r="AN2" i="4" l="1"/>
  <c r="AO2" i="4" l="1"/>
  <c r="B4" i="9" l="1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D4" i="9" l="1"/>
  <c r="E4" i="9"/>
  <c r="F4" i="9"/>
  <c r="G4" i="9"/>
  <c r="H4" i="9"/>
  <c r="D5" i="9"/>
  <c r="E5" i="9"/>
  <c r="F5" i="9"/>
  <c r="G5" i="9"/>
  <c r="H5" i="9"/>
  <c r="D6" i="9"/>
  <c r="E6" i="9"/>
  <c r="F6" i="9"/>
  <c r="G6" i="9"/>
  <c r="H6" i="9"/>
  <c r="D7" i="9"/>
  <c r="E7" i="9"/>
  <c r="F7" i="9"/>
  <c r="G7" i="9"/>
  <c r="H7" i="9"/>
  <c r="D8" i="9"/>
  <c r="E8" i="9"/>
  <c r="F8" i="9"/>
  <c r="G8" i="9"/>
  <c r="H8" i="9"/>
  <c r="D9" i="9"/>
  <c r="E9" i="9"/>
  <c r="F9" i="9"/>
  <c r="G9" i="9"/>
  <c r="H9" i="9"/>
  <c r="D10" i="9"/>
  <c r="E10" i="9"/>
  <c r="F10" i="9"/>
  <c r="G10" i="9"/>
  <c r="H10" i="9"/>
  <c r="D11" i="9"/>
  <c r="E11" i="9"/>
  <c r="F11" i="9"/>
  <c r="G11" i="9"/>
  <c r="H11" i="9"/>
  <c r="D12" i="9"/>
  <c r="E12" i="9"/>
  <c r="F12" i="9"/>
  <c r="G12" i="9"/>
  <c r="H12" i="9"/>
  <c r="D13" i="9"/>
  <c r="E13" i="9"/>
  <c r="F13" i="9"/>
  <c r="G13" i="9"/>
  <c r="H13" i="9"/>
  <c r="D14" i="9"/>
  <c r="E14" i="9"/>
  <c r="F14" i="9"/>
  <c r="G14" i="9"/>
  <c r="H14" i="9"/>
  <c r="D15" i="9"/>
  <c r="E15" i="9"/>
  <c r="F15" i="9"/>
  <c r="G15" i="9"/>
  <c r="H15" i="9"/>
  <c r="D16" i="9"/>
  <c r="E16" i="9"/>
  <c r="F16" i="9"/>
  <c r="G16" i="9"/>
  <c r="H16" i="9"/>
  <c r="D17" i="9"/>
  <c r="E17" i="9"/>
  <c r="F17" i="9"/>
  <c r="G17" i="9"/>
  <c r="H17" i="9"/>
  <c r="D18" i="9"/>
  <c r="E18" i="9"/>
  <c r="F18" i="9"/>
  <c r="G18" i="9"/>
  <c r="H18" i="9"/>
  <c r="D19" i="9"/>
  <c r="E19" i="9"/>
  <c r="F19" i="9"/>
  <c r="G19" i="9"/>
  <c r="H19" i="9"/>
  <c r="D20" i="9"/>
  <c r="E20" i="9"/>
  <c r="F20" i="9"/>
  <c r="G20" i="9"/>
  <c r="H20" i="9"/>
  <c r="D22" i="9"/>
  <c r="E22" i="9"/>
  <c r="F22" i="9"/>
  <c r="G22" i="9"/>
  <c r="H22" i="9"/>
  <c r="D23" i="9"/>
  <c r="E23" i="9"/>
  <c r="F23" i="9"/>
  <c r="G23" i="9"/>
  <c r="H23" i="9"/>
  <c r="D24" i="9"/>
  <c r="E24" i="9"/>
  <c r="F24" i="9"/>
  <c r="G24" i="9"/>
  <c r="H24" i="9"/>
  <c r="D25" i="9"/>
  <c r="E25" i="9"/>
  <c r="F25" i="9"/>
  <c r="G25" i="9"/>
  <c r="H25" i="9"/>
  <c r="D26" i="9"/>
  <c r="E26" i="9"/>
  <c r="F26" i="9"/>
  <c r="G26" i="9"/>
  <c r="H26" i="9"/>
  <c r="D27" i="9"/>
  <c r="E27" i="9"/>
  <c r="F27" i="9"/>
  <c r="G27" i="9"/>
  <c r="H27" i="9"/>
  <c r="D28" i="9"/>
  <c r="E28" i="9"/>
  <c r="F28" i="9"/>
  <c r="G28" i="9"/>
  <c r="H28" i="9"/>
  <c r="D29" i="9"/>
  <c r="E29" i="9"/>
  <c r="F29" i="9"/>
  <c r="G29" i="9"/>
  <c r="H29" i="9"/>
  <c r="D30" i="9"/>
  <c r="E30" i="9"/>
  <c r="F30" i="9"/>
  <c r="G30" i="9"/>
  <c r="H30" i="9"/>
  <c r="D31" i="9"/>
  <c r="E31" i="9"/>
  <c r="F31" i="9"/>
  <c r="G31" i="9"/>
  <c r="H31" i="9"/>
  <c r="D32" i="9"/>
  <c r="E32" i="9"/>
  <c r="F32" i="9"/>
  <c r="G32" i="9"/>
  <c r="H32" i="9"/>
  <c r="D33" i="9"/>
  <c r="E33" i="9"/>
  <c r="F33" i="9"/>
  <c r="G33" i="9"/>
  <c r="H33" i="9"/>
  <c r="D34" i="9"/>
  <c r="E34" i="9"/>
  <c r="F34" i="9"/>
  <c r="G34" i="9"/>
  <c r="H34" i="9"/>
  <c r="D36" i="9"/>
  <c r="E36" i="9"/>
  <c r="F36" i="9"/>
  <c r="G36" i="9"/>
  <c r="H36" i="9"/>
  <c r="D37" i="9"/>
  <c r="E37" i="9"/>
  <c r="F37" i="9"/>
  <c r="G37" i="9"/>
  <c r="H37" i="9"/>
  <c r="D38" i="9"/>
  <c r="E38" i="9"/>
  <c r="F38" i="9"/>
  <c r="G38" i="9"/>
  <c r="H38" i="9"/>
  <c r="D39" i="9"/>
  <c r="E39" i="9"/>
  <c r="F39" i="9"/>
  <c r="G39" i="9"/>
  <c r="H39" i="9"/>
  <c r="D40" i="9"/>
  <c r="E40" i="9"/>
  <c r="F40" i="9"/>
  <c r="G40" i="9"/>
  <c r="H40" i="9"/>
  <c r="D42" i="9"/>
  <c r="E42" i="9"/>
  <c r="F42" i="9"/>
  <c r="G42" i="9"/>
  <c r="H42" i="9"/>
  <c r="D43" i="9"/>
  <c r="E43" i="9"/>
  <c r="F43" i="9"/>
  <c r="G43" i="9"/>
  <c r="H43" i="9"/>
  <c r="D44" i="9"/>
  <c r="E44" i="9"/>
  <c r="F44" i="9"/>
  <c r="G44" i="9"/>
  <c r="H44" i="9"/>
  <c r="D45" i="9"/>
  <c r="E45" i="9"/>
  <c r="F45" i="9"/>
  <c r="G45" i="9"/>
  <c r="H45" i="9"/>
  <c r="D46" i="9"/>
  <c r="E46" i="9"/>
  <c r="F46" i="9"/>
  <c r="G46" i="9"/>
  <c r="H46" i="9"/>
  <c r="D48" i="9"/>
  <c r="E48" i="9"/>
  <c r="F48" i="9"/>
  <c r="G48" i="9"/>
  <c r="H48" i="9"/>
  <c r="D49" i="9"/>
  <c r="E49" i="9"/>
  <c r="F49" i="9"/>
  <c r="G49" i="9"/>
  <c r="H49" i="9"/>
  <c r="D50" i="9"/>
  <c r="E50" i="9"/>
  <c r="F50" i="9"/>
  <c r="G50" i="9"/>
  <c r="H50" i="9"/>
  <c r="D51" i="9"/>
  <c r="E51" i="9"/>
  <c r="F51" i="9"/>
  <c r="G51" i="9"/>
  <c r="H51" i="9"/>
  <c r="D52" i="9"/>
  <c r="E52" i="9"/>
  <c r="F52" i="9"/>
  <c r="G52" i="9"/>
  <c r="H52" i="9"/>
  <c r="D53" i="9"/>
  <c r="E53" i="9"/>
  <c r="F53" i="9"/>
  <c r="G53" i="9"/>
  <c r="H53" i="9"/>
  <c r="D54" i="9"/>
  <c r="E54" i="9"/>
  <c r="F54" i="9"/>
  <c r="G54" i="9"/>
  <c r="H54" i="9"/>
  <c r="D55" i="9"/>
  <c r="E55" i="9"/>
  <c r="F55" i="9"/>
  <c r="G55" i="9"/>
  <c r="H55" i="9"/>
  <c r="D56" i="9"/>
  <c r="E56" i="9"/>
  <c r="F56" i="9"/>
  <c r="G56" i="9"/>
  <c r="H56" i="9"/>
  <c r="D57" i="9"/>
  <c r="E57" i="9"/>
  <c r="F57" i="9"/>
  <c r="G57" i="9"/>
  <c r="H57" i="9"/>
  <c r="D58" i="9"/>
  <c r="E58" i="9"/>
  <c r="F58" i="9"/>
  <c r="G58" i="9"/>
  <c r="H58" i="9"/>
  <c r="D59" i="9"/>
  <c r="E59" i="9"/>
  <c r="F59" i="9"/>
  <c r="G59" i="9"/>
  <c r="H59" i="9"/>
  <c r="D60" i="9"/>
  <c r="E60" i="9"/>
  <c r="F60" i="9"/>
  <c r="G60" i="9"/>
  <c r="H60" i="9"/>
  <c r="D61" i="9"/>
  <c r="E61" i="9"/>
  <c r="F61" i="9"/>
  <c r="G61" i="9"/>
  <c r="H61" i="9"/>
  <c r="D62" i="9"/>
  <c r="E62" i="9"/>
  <c r="F62" i="9"/>
  <c r="G62" i="9"/>
  <c r="H62" i="9"/>
  <c r="D63" i="9"/>
  <c r="E63" i="9"/>
  <c r="F63" i="9"/>
  <c r="G63" i="9"/>
  <c r="H63" i="9"/>
  <c r="D64" i="9"/>
  <c r="E64" i="9"/>
  <c r="F64" i="9"/>
  <c r="G64" i="9"/>
  <c r="H64" i="9"/>
  <c r="D65" i="9"/>
  <c r="E65" i="9"/>
  <c r="F65" i="9"/>
  <c r="G65" i="9"/>
  <c r="H65" i="9"/>
  <c r="D66" i="9"/>
  <c r="E66" i="9"/>
  <c r="F66" i="9"/>
  <c r="G66" i="9"/>
  <c r="H66" i="9"/>
  <c r="D67" i="9"/>
  <c r="E67" i="9"/>
  <c r="F67" i="9"/>
  <c r="G67" i="9"/>
  <c r="H67" i="9"/>
  <c r="D68" i="9"/>
  <c r="E68" i="9"/>
  <c r="F68" i="9"/>
  <c r="G68" i="9"/>
  <c r="H68" i="9"/>
  <c r="D69" i="9"/>
  <c r="E69" i="9"/>
  <c r="F69" i="9"/>
  <c r="G69" i="9"/>
  <c r="H69" i="9"/>
  <c r="D70" i="9"/>
  <c r="E70" i="9"/>
  <c r="F70" i="9"/>
  <c r="G70" i="9"/>
  <c r="H70" i="9"/>
  <c r="D72" i="9"/>
  <c r="E72" i="9"/>
  <c r="F72" i="9"/>
  <c r="G72" i="9"/>
  <c r="H72" i="9"/>
  <c r="E3" i="9"/>
  <c r="F3" i="9"/>
  <c r="G3" i="9"/>
  <c r="H3" i="9"/>
  <c r="D3" i="9"/>
  <c r="B4" i="5" l="1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AA65" i="9" l="1"/>
  <c r="AA65" i="5" s="1"/>
  <c r="AA59" i="9"/>
  <c r="AA58" i="5" s="1"/>
  <c r="AA56" i="9"/>
  <c r="AA55" i="5" s="1"/>
  <c r="AA52" i="9"/>
  <c r="AA51" i="5" s="1"/>
  <c r="AA42" i="9"/>
  <c r="AA40" i="5" s="1"/>
  <c r="AA33" i="9"/>
  <c r="AA33" i="5" s="1"/>
  <c r="AA28" i="9"/>
  <c r="AA28" i="5" s="1"/>
  <c r="W60" i="9"/>
  <c r="W59" i="5" s="1"/>
  <c r="W53" i="9"/>
  <c r="W52" i="5" s="1"/>
  <c r="W32" i="9"/>
  <c r="W32" i="5" s="1"/>
  <c r="W14" i="9"/>
  <c r="W14" i="5" s="1"/>
  <c r="AA6" i="9"/>
  <c r="AA6" i="5" s="1"/>
  <c r="D4" i="5"/>
  <c r="E4" i="5"/>
  <c r="F4" i="5"/>
  <c r="G4" i="5"/>
  <c r="H4" i="5"/>
  <c r="I4" i="9"/>
  <c r="I4" i="5" s="1"/>
  <c r="J4" i="9"/>
  <c r="J4" i="5" s="1"/>
  <c r="K4" i="9"/>
  <c r="K4" i="5" s="1"/>
  <c r="L4" i="9"/>
  <c r="L4" i="5" s="1"/>
  <c r="M4" i="9"/>
  <c r="M4" i="5" s="1"/>
  <c r="N4" i="9"/>
  <c r="N4" i="5" s="1"/>
  <c r="O4" i="9"/>
  <c r="O4" i="5" s="1"/>
  <c r="P4" i="9"/>
  <c r="P4" i="5" s="1"/>
  <c r="Q4" i="9"/>
  <c r="Q4" i="5" s="1"/>
  <c r="R4" i="9"/>
  <c r="R4" i="5" s="1"/>
  <c r="S4" i="9"/>
  <c r="S4" i="5" s="1"/>
  <c r="T4" i="9"/>
  <c r="T4" i="5" s="1"/>
  <c r="U4" i="9"/>
  <c r="U4" i="5" s="1"/>
  <c r="V4" i="9"/>
  <c r="V4" i="5" s="1"/>
  <c r="W4" i="9"/>
  <c r="W4" i="5" s="1"/>
  <c r="X4" i="9"/>
  <c r="X4" i="5" s="1"/>
  <c r="Y4" i="9"/>
  <c r="Y4" i="5" s="1"/>
  <c r="Z4" i="9"/>
  <c r="Z4" i="5" s="1"/>
  <c r="AA4" i="9"/>
  <c r="AA4" i="5" s="1"/>
  <c r="AB4" i="9"/>
  <c r="AB4" i="5" s="1"/>
  <c r="AC4" i="9"/>
  <c r="AC4" i="5" s="1"/>
  <c r="AD4" i="9"/>
  <c r="AD4" i="5" s="1"/>
  <c r="AE4" i="9"/>
  <c r="AE4" i="5" s="1"/>
  <c r="AF4" i="9"/>
  <c r="AF4" i="5" s="1"/>
  <c r="AG4" i="9"/>
  <c r="AG4" i="5" s="1"/>
  <c r="AH4" i="9"/>
  <c r="AH4" i="5" s="1"/>
  <c r="AI4" i="9"/>
  <c r="AI4" i="5" s="1"/>
  <c r="AJ4" i="9"/>
  <c r="AJ4" i="5" s="1"/>
  <c r="AK4" i="9"/>
  <c r="AK4" i="5" s="1"/>
  <c r="AL4" i="9"/>
  <c r="AL4" i="5" s="1"/>
  <c r="D5" i="5"/>
  <c r="E5" i="5"/>
  <c r="F5" i="5"/>
  <c r="G5" i="5"/>
  <c r="H5" i="5"/>
  <c r="I5" i="9"/>
  <c r="I5" i="5" s="1"/>
  <c r="J5" i="9"/>
  <c r="J5" i="5" s="1"/>
  <c r="K5" i="9"/>
  <c r="K5" i="5" s="1"/>
  <c r="L5" i="9"/>
  <c r="L5" i="5" s="1"/>
  <c r="M5" i="9"/>
  <c r="M5" i="5" s="1"/>
  <c r="N5" i="9"/>
  <c r="N5" i="5" s="1"/>
  <c r="O5" i="9"/>
  <c r="O5" i="5" s="1"/>
  <c r="P5" i="9"/>
  <c r="P5" i="5" s="1"/>
  <c r="Q5" i="9"/>
  <c r="Q5" i="5" s="1"/>
  <c r="R5" i="9"/>
  <c r="R5" i="5" s="1"/>
  <c r="S5" i="9"/>
  <c r="S5" i="5" s="1"/>
  <c r="T5" i="9"/>
  <c r="T5" i="5" s="1"/>
  <c r="U5" i="9"/>
  <c r="U5" i="5" s="1"/>
  <c r="V5" i="9"/>
  <c r="V5" i="5" s="1"/>
  <c r="W5" i="9"/>
  <c r="W5" i="5" s="1"/>
  <c r="X5" i="9"/>
  <c r="X5" i="5" s="1"/>
  <c r="Y5" i="9"/>
  <c r="Y5" i="5" s="1"/>
  <c r="Z5" i="9"/>
  <c r="Z5" i="5" s="1"/>
  <c r="AA5" i="9"/>
  <c r="AA5" i="5" s="1"/>
  <c r="AB5" i="9"/>
  <c r="AB5" i="5" s="1"/>
  <c r="AC5" i="9"/>
  <c r="AC5" i="5" s="1"/>
  <c r="AD5" i="9"/>
  <c r="AD5" i="5" s="1"/>
  <c r="AE5" i="9"/>
  <c r="AE5" i="5" s="1"/>
  <c r="AF5" i="9"/>
  <c r="AF5" i="5" s="1"/>
  <c r="AG5" i="9"/>
  <c r="AG5" i="5" s="1"/>
  <c r="AH5" i="9"/>
  <c r="AH5" i="5" s="1"/>
  <c r="AI5" i="9"/>
  <c r="AI5" i="5" s="1"/>
  <c r="AJ5" i="9"/>
  <c r="AJ5" i="5" s="1"/>
  <c r="AK5" i="9"/>
  <c r="AK5" i="5" s="1"/>
  <c r="AL5" i="9"/>
  <c r="AL5" i="5" s="1"/>
  <c r="D6" i="5"/>
  <c r="E6" i="5"/>
  <c r="F6" i="5"/>
  <c r="G6" i="5"/>
  <c r="H6" i="5"/>
  <c r="I6" i="9"/>
  <c r="I6" i="5" s="1"/>
  <c r="J6" i="9"/>
  <c r="J6" i="5" s="1"/>
  <c r="K6" i="9"/>
  <c r="K6" i="5" s="1"/>
  <c r="L6" i="9"/>
  <c r="L6" i="5" s="1"/>
  <c r="M6" i="9"/>
  <c r="M6" i="5" s="1"/>
  <c r="N6" i="9"/>
  <c r="N6" i="5" s="1"/>
  <c r="O6" i="9"/>
  <c r="O6" i="5" s="1"/>
  <c r="P6" i="9"/>
  <c r="P6" i="5" s="1"/>
  <c r="Q6" i="9"/>
  <c r="Q6" i="5" s="1"/>
  <c r="R6" i="9"/>
  <c r="R6" i="5" s="1"/>
  <c r="S6" i="9"/>
  <c r="S6" i="5" s="1"/>
  <c r="T6" i="9"/>
  <c r="T6" i="5" s="1"/>
  <c r="U6" i="9"/>
  <c r="U6" i="5" s="1"/>
  <c r="V6" i="9"/>
  <c r="V6" i="5" s="1"/>
  <c r="W6" i="9"/>
  <c r="W6" i="5" s="1"/>
  <c r="X6" i="9"/>
  <c r="X6" i="5" s="1"/>
  <c r="Y6" i="9"/>
  <c r="Y6" i="5" s="1"/>
  <c r="Z6" i="9"/>
  <c r="Z6" i="5" s="1"/>
  <c r="AB6" i="9"/>
  <c r="AB6" i="5" s="1"/>
  <c r="AC6" i="9"/>
  <c r="AC6" i="5" s="1"/>
  <c r="AD6" i="9"/>
  <c r="AD6" i="5" s="1"/>
  <c r="AE6" i="9"/>
  <c r="AE6" i="5" s="1"/>
  <c r="AF6" i="9"/>
  <c r="AF6" i="5" s="1"/>
  <c r="AG6" i="9"/>
  <c r="AG6" i="5" s="1"/>
  <c r="AH6" i="9"/>
  <c r="AH6" i="5" s="1"/>
  <c r="AI6" i="9"/>
  <c r="AI6" i="5" s="1"/>
  <c r="AJ6" i="9"/>
  <c r="AJ6" i="5" s="1"/>
  <c r="AK6" i="9"/>
  <c r="AK6" i="5" s="1"/>
  <c r="AL6" i="9"/>
  <c r="AL6" i="5" s="1"/>
  <c r="D7" i="5"/>
  <c r="E7" i="5"/>
  <c r="F7" i="5"/>
  <c r="G7" i="5"/>
  <c r="H7" i="5"/>
  <c r="I7" i="9"/>
  <c r="I7" i="5" s="1"/>
  <c r="J7" i="9"/>
  <c r="J7" i="5" s="1"/>
  <c r="K7" i="9"/>
  <c r="K7" i="5" s="1"/>
  <c r="L7" i="9"/>
  <c r="L7" i="5" s="1"/>
  <c r="M7" i="9"/>
  <c r="M7" i="5" s="1"/>
  <c r="N7" i="9"/>
  <c r="N7" i="5" s="1"/>
  <c r="O7" i="9"/>
  <c r="O7" i="5" s="1"/>
  <c r="P7" i="9"/>
  <c r="P7" i="5" s="1"/>
  <c r="Q7" i="9"/>
  <c r="Q7" i="5" s="1"/>
  <c r="R7" i="9"/>
  <c r="R7" i="5" s="1"/>
  <c r="S7" i="9"/>
  <c r="S7" i="5" s="1"/>
  <c r="T7" i="9"/>
  <c r="T7" i="5" s="1"/>
  <c r="U7" i="9"/>
  <c r="U7" i="5" s="1"/>
  <c r="V7" i="9"/>
  <c r="V7" i="5" s="1"/>
  <c r="W7" i="9"/>
  <c r="W7" i="5" s="1"/>
  <c r="X7" i="9"/>
  <c r="X7" i="5" s="1"/>
  <c r="Y7" i="9"/>
  <c r="Y7" i="5" s="1"/>
  <c r="Z7" i="9"/>
  <c r="Z7" i="5" s="1"/>
  <c r="AA7" i="9"/>
  <c r="AA7" i="5" s="1"/>
  <c r="AB7" i="9"/>
  <c r="AB7" i="5" s="1"/>
  <c r="AC7" i="9"/>
  <c r="AC7" i="5" s="1"/>
  <c r="AD7" i="9"/>
  <c r="AD7" i="5" s="1"/>
  <c r="AE7" i="9"/>
  <c r="AE7" i="5" s="1"/>
  <c r="AF7" i="9"/>
  <c r="AF7" i="5" s="1"/>
  <c r="AG7" i="9"/>
  <c r="AG7" i="5" s="1"/>
  <c r="AH7" i="9"/>
  <c r="AH7" i="5" s="1"/>
  <c r="AI7" i="9"/>
  <c r="AI7" i="5" s="1"/>
  <c r="AJ7" i="9"/>
  <c r="AJ7" i="5" s="1"/>
  <c r="AK7" i="9"/>
  <c r="AK7" i="5" s="1"/>
  <c r="AL7" i="9"/>
  <c r="AL7" i="5" s="1"/>
  <c r="D8" i="5"/>
  <c r="E8" i="5"/>
  <c r="F8" i="5"/>
  <c r="G8" i="5"/>
  <c r="H8" i="5"/>
  <c r="I8" i="9"/>
  <c r="I8" i="5" s="1"/>
  <c r="J8" i="9"/>
  <c r="J8" i="5" s="1"/>
  <c r="K8" i="9"/>
  <c r="K8" i="5" s="1"/>
  <c r="L8" i="9"/>
  <c r="L8" i="5" s="1"/>
  <c r="M8" i="9"/>
  <c r="M8" i="5" s="1"/>
  <c r="N8" i="9"/>
  <c r="N8" i="5" s="1"/>
  <c r="O8" i="9"/>
  <c r="O8" i="5" s="1"/>
  <c r="P8" i="9"/>
  <c r="P8" i="5" s="1"/>
  <c r="Q8" i="9"/>
  <c r="Q8" i="5" s="1"/>
  <c r="R8" i="9"/>
  <c r="R8" i="5" s="1"/>
  <c r="S8" i="9"/>
  <c r="S8" i="5" s="1"/>
  <c r="T8" i="9"/>
  <c r="T8" i="5" s="1"/>
  <c r="U8" i="9"/>
  <c r="U8" i="5" s="1"/>
  <c r="V8" i="9"/>
  <c r="V8" i="5" s="1"/>
  <c r="W8" i="9"/>
  <c r="W8" i="5" s="1"/>
  <c r="X8" i="9"/>
  <c r="X8" i="5" s="1"/>
  <c r="Y8" i="9"/>
  <c r="Y8" i="5" s="1"/>
  <c r="Z8" i="9"/>
  <c r="Z8" i="5" s="1"/>
  <c r="AA8" i="9"/>
  <c r="AA8" i="5" s="1"/>
  <c r="AB8" i="9"/>
  <c r="AB8" i="5" s="1"/>
  <c r="AC8" i="9"/>
  <c r="AC8" i="5" s="1"/>
  <c r="AD8" i="9"/>
  <c r="AD8" i="5" s="1"/>
  <c r="AE8" i="9"/>
  <c r="AE8" i="5" s="1"/>
  <c r="AF8" i="9"/>
  <c r="AF8" i="5" s="1"/>
  <c r="AG8" i="9"/>
  <c r="AG8" i="5" s="1"/>
  <c r="AH8" i="9"/>
  <c r="AH8" i="5" s="1"/>
  <c r="AI8" i="9"/>
  <c r="AI8" i="5" s="1"/>
  <c r="AJ8" i="9"/>
  <c r="AJ8" i="5" s="1"/>
  <c r="AK8" i="9"/>
  <c r="AK8" i="5" s="1"/>
  <c r="AL8" i="9"/>
  <c r="AL8" i="5" s="1"/>
  <c r="D9" i="5"/>
  <c r="E9" i="5"/>
  <c r="F9" i="5"/>
  <c r="G9" i="5"/>
  <c r="H9" i="5"/>
  <c r="I9" i="9"/>
  <c r="I9" i="5" s="1"/>
  <c r="J9" i="9"/>
  <c r="J9" i="5" s="1"/>
  <c r="K9" i="9"/>
  <c r="K9" i="5" s="1"/>
  <c r="L9" i="9"/>
  <c r="L9" i="5" s="1"/>
  <c r="M9" i="9"/>
  <c r="M9" i="5" s="1"/>
  <c r="N9" i="9"/>
  <c r="N9" i="5" s="1"/>
  <c r="O9" i="9"/>
  <c r="O9" i="5" s="1"/>
  <c r="P9" i="9"/>
  <c r="P9" i="5" s="1"/>
  <c r="Q9" i="9"/>
  <c r="Q9" i="5" s="1"/>
  <c r="R9" i="9"/>
  <c r="R9" i="5" s="1"/>
  <c r="S9" i="9"/>
  <c r="S9" i="5" s="1"/>
  <c r="T9" i="9"/>
  <c r="T9" i="5" s="1"/>
  <c r="U9" i="9"/>
  <c r="U9" i="5" s="1"/>
  <c r="V9" i="9"/>
  <c r="V9" i="5" s="1"/>
  <c r="W9" i="9"/>
  <c r="W9" i="5" s="1"/>
  <c r="X9" i="9"/>
  <c r="X9" i="5" s="1"/>
  <c r="Y9" i="9"/>
  <c r="Y9" i="5" s="1"/>
  <c r="Z9" i="9"/>
  <c r="Z9" i="5" s="1"/>
  <c r="AA9" i="9"/>
  <c r="AA9" i="5" s="1"/>
  <c r="AB9" i="9"/>
  <c r="AB9" i="5" s="1"/>
  <c r="AC9" i="9"/>
  <c r="AC9" i="5" s="1"/>
  <c r="AD9" i="9"/>
  <c r="AD9" i="5" s="1"/>
  <c r="AE9" i="9"/>
  <c r="AE9" i="5" s="1"/>
  <c r="AF9" i="9"/>
  <c r="AF9" i="5" s="1"/>
  <c r="AG9" i="9"/>
  <c r="AG9" i="5" s="1"/>
  <c r="AH9" i="9"/>
  <c r="AH9" i="5" s="1"/>
  <c r="AI9" i="9"/>
  <c r="AI9" i="5" s="1"/>
  <c r="AJ9" i="9"/>
  <c r="AJ9" i="5" s="1"/>
  <c r="AK9" i="9"/>
  <c r="AK9" i="5" s="1"/>
  <c r="AL9" i="9"/>
  <c r="AL9" i="5" s="1"/>
  <c r="D10" i="5"/>
  <c r="E10" i="5"/>
  <c r="F10" i="5"/>
  <c r="G10" i="5"/>
  <c r="H10" i="5"/>
  <c r="I10" i="9"/>
  <c r="I10" i="5" s="1"/>
  <c r="J10" i="9"/>
  <c r="J10" i="5" s="1"/>
  <c r="K10" i="9"/>
  <c r="K10" i="5" s="1"/>
  <c r="L10" i="9"/>
  <c r="L10" i="5" s="1"/>
  <c r="M10" i="9"/>
  <c r="M10" i="5" s="1"/>
  <c r="N10" i="9"/>
  <c r="N10" i="5" s="1"/>
  <c r="O10" i="9"/>
  <c r="O10" i="5" s="1"/>
  <c r="P10" i="9"/>
  <c r="P10" i="5" s="1"/>
  <c r="Q10" i="9"/>
  <c r="Q10" i="5" s="1"/>
  <c r="R10" i="9"/>
  <c r="R10" i="5" s="1"/>
  <c r="S10" i="9"/>
  <c r="S10" i="5" s="1"/>
  <c r="T10" i="9"/>
  <c r="T10" i="5" s="1"/>
  <c r="U10" i="9"/>
  <c r="U10" i="5" s="1"/>
  <c r="V10" i="9"/>
  <c r="V10" i="5" s="1"/>
  <c r="W10" i="9"/>
  <c r="W10" i="5" s="1"/>
  <c r="X10" i="9"/>
  <c r="X10" i="5" s="1"/>
  <c r="Y10" i="9"/>
  <c r="Y10" i="5" s="1"/>
  <c r="Z10" i="9"/>
  <c r="Z10" i="5" s="1"/>
  <c r="AA10" i="9"/>
  <c r="AA10" i="5" s="1"/>
  <c r="AB10" i="9"/>
  <c r="AB10" i="5" s="1"/>
  <c r="AC10" i="9"/>
  <c r="AC10" i="5" s="1"/>
  <c r="AD10" i="9"/>
  <c r="AD10" i="5" s="1"/>
  <c r="AE10" i="9"/>
  <c r="AE10" i="5" s="1"/>
  <c r="AF10" i="9"/>
  <c r="AF10" i="5" s="1"/>
  <c r="AG10" i="9"/>
  <c r="AG10" i="5" s="1"/>
  <c r="AH10" i="9"/>
  <c r="AH10" i="5" s="1"/>
  <c r="AI10" i="9"/>
  <c r="AI10" i="5" s="1"/>
  <c r="AJ10" i="9"/>
  <c r="AJ10" i="5" s="1"/>
  <c r="AK10" i="9"/>
  <c r="AK10" i="5" s="1"/>
  <c r="AL10" i="9"/>
  <c r="AL10" i="5" s="1"/>
  <c r="D11" i="5"/>
  <c r="E11" i="5"/>
  <c r="F11" i="5"/>
  <c r="G11" i="5"/>
  <c r="H11" i="5"/>
  <c r="I11" i="9"/>
  <c r="I11" i="5" s="1"/>
  <c r="J11" i="9"/>
  <c r="J11" i="5" s="1"/>
  <c r="K11" i="9"/>
  <c r="K11" i="5" s="1"/>
  <c r="L11" i="9"/>
  <c r="L11" i="5" s="1"/>
  <c r="M11" i="9"/>
  <c r="M11" i="5" s="1"/>
  <c r="N11" i="9"/>
  <c r="N11" i="5" s="1"/>
  <c r="O11" i="9"/>
  <c r="O11" i="5" s="1"/>
  <c r="P11" i="9"/>
  <c r="P11" i="5" s="1"/>
  <c r="Q11" i="9"/>
  <c r="Q11" i="5" s="1"/>
  <c r="R11" i="9"/>
  <c r="R11" i="5" s="1"/>
  <c r="S11" i="9"/>
  <c r="S11" i="5" s="1"/>
  <c r="T11" i="9"/>
  <c r="T11" i="5" s="1"/>
  <c r="U11" i="9"/>
  <c r="U11" i="5" s="1"/>
  <c r="V11" i="9"/>
  <c r="V11" i="5" s="1"/>
  <c r="W11" i="9"/>
  <c r="W11" i="5" s="1"/>
  <c r="X11" i="9"/>
  <c r="X11" i="5" s="1"/>
  <c r="Y11" i="9"/>
  <c r="Y11" i="5" s="1"/>
  <c r="Z11" i="9"/>
  <c r="Z11" i="5" s="1"/>
  <c r="AA11" i="9"/>
  <c r="AA11" i="5" s="1"/>
  <c r="AB11" i="9"/>
  <c r="AB11" i="5" s="1"/>
  <c r="AC11" i="9"/>
  <c r="AC11" i="5" s="1"/>
  <c r="AD11" i="9"/>
  <c r="AD11" i="5" s="1"/>
  <c r="AE11" i="9"/>
  <c r="AE11" i="5" s="1"/>
  <c r="AF11" i="9"/>
  <c r="AF11" i="5" s="1"/>
  <c r="AG11" i="9"/>
  <c r="AG11" i="5" s="1"/>
  <c r="AH11" i="9"/>
  <c r="AH11" i="5" s="1"/>
  <c r="AI11" i="9"/>
  <c r="AI11" i="5" s="1"/>
  <c r="AJ11" i="9"/>
  <c r="AJ11" i="5" s="1"/>
  <c r="AK11" i="9"/>
  <c r="AK11" i="5" s="1"/>
  <c r="AL11" i="9"/>
  <c r="AL11" i="5" s="1"/>
  <c r="D12" i="5"/>
  <c r="E12" i="5"/>
  <c r="F12" i="5"/>
  <c r="G12" i="5"/>
  <c r="H12" i="5"/>
  <c r="I12" i="9"/>
  <c r="I12" i="5" s="1"/>
  <c r="J12" i="9"/>
  <c r="J12" i="5" s="1"/>
  <c r="K12" i="9"/>
  <c r="K12" i="5" s="1"/>
  <c r="L12" i="9"/>
  <c r="L12" i="5" s="1"/>
  <c r="M12" i="9"/>
  <c r="M12" i="5" s="1"/>
  <c r="N12" i="9"/>
  <c r="N12" i="5" s="1"/>
  <c r="O12" i="9"/>
  <c r="O12" i="5" s="1"/>
  <c r="P12" i="9"/>
  <c r="P12" i="5" s="1"/>
  <c r="Q12" i="9"/>
  <c r="Q12" i="5" s="1"/>
  <c r="R12" i="9"/>
  <c r="R12" i="5" s="1"/>
  <c r="S12" i="9"/>
  <c r="S12" i="5" s="1"/>
  <c r="T12" i="9"/>
  <c r="T12" i="5" s="1"/>
  <c r="U12" i="9"/>
  <c r="U12" i="5" s="1"/>
  <c r="V12" i="9"/>
  <c r="V12" i="5" s="1"/>
  <c r="W12" i="9"/>
  <c r="W12" i="5" s="1"/>
  <c r="X12" i="9"/>
  <c r="X12" i="5" s="1"/>
  <c r="Y12" i="9"/>
  <c r="Y12" i="5" s="1"/>
  <c r="Z12" i="9"/>
  <c r="Z12" i="5" s="1"/>
  <c r="AA12" i="9"/>
  <c r="AA12" i="5" s="1"/>
  <c r="AB12" i="9"/>
  <c r="AB12" i="5" s="1"/>
  <c r="AC12" i="9"/>
  <c r="AC12" i="5" s="1"/>
  <c r="AD12" i="9"/>
  <c r="AD12" i="5" s="1"/>
  <c r="AE12" i="9"/>
  <c r="AE12" i="5" s="1"/>
  <c r="AF12" i="9"/>
  <c r="AF12" i="5" s="1"/>
  <c r="AG12" i="9"/>
  <c r="AG12" i="5" s="1"/>
  <c r="AH12" i="9"/>
  <c r="AH12" i="5" s="1"/>
  <c r="AI12" i="9"/>
  <c r="AI12" i="5" s="1"/>
  <c r="AJ12" i="9"/>
  <c r="AJ12" i="5" s="1"/>
  <c r="AK12" i="9"/>
  <c r="AK12" i="5" s="1"/>
  <c r="AL12" i="9"/>
  <c r="AL12" i="5" s="1"/>
  <c r="D13" i="5"/>
  <c r="E13" i="5"/>
  <c r="F13" i="5"/>
  <c r="G13" i="5"/>
  <c r="H13" i="5"/>
  <c r="I13" i="9"/>
  <c r="I13" i="5" s="1"/>
  <c r="J13" i="9"/>
  <c r="J13" i="5" s="1"/>
  <c r="K13" i="9"/>
  <c r="K13" i="5" s="1"/>
  <c r="L13" i="9"/>
  <c r="L13" i="5" s="1"/>
  <c r="M13" i="9"/>
  <c r="M13" i="5" s="1"/>
  <c r="N13" i="9"/>
  <c r="N13" i="5" s="1"/>
  <c r="O13" i="9"/>
  <c r="O13" i="5" s="1"/>
  <c r="P13" i="9"/>
  <c r="P13" i="5" s="1"/>
  <c r="Q13" i="9"/>
  <c r="Q13" i="5" s="1"/>
  <c r="R13" i="9"/>
  <c r="R13" i="5" s="1"/>
  <c r="S13" i="9"/>
  <c r="S13" i="5" s="1"/>
  <c r="T13" i="9"/>
  <c r="T13" i="5" s="1"/>
  <c r="U13" i="9"/>
  <c r="U13" i="5" s="1"/>
  <c r="V13" i="9"/>
  <c r="V13" i="5" s="1"/>
  <c r="W13" i="9"/>
  <c r="W13" i="5" s="1"/>
  <c r="X13" i="9"/>
  <c r="X13" i="5" s="1"/>
  <c r="Y13" i="9"/>
  <c r="Y13" i="5" s="1"/>
  <c r="Z13" i="9"/>
  <c r="Z13" i="5" s="1"/>
  <c r="AA13" i="9"/>
  <c r="AA13" i="5" s="1"/>
  <c r="AB13" i="9"/>
  <c r="AB13" i="5" s="1"/>
  <c r="AC13" i="9"/>
  <c r="AC13" i="5" s="1"/>
  <c r="AD13" i="9"/>
  <c r="AD13" i="5" s="1"/>
  <c r="AE13" i="9"/>
  <c r="AE13" i="5" s="1"/>
  <c r="AF13" i="9"/>
  <c r="AF13" i="5" s="1"/>
  <c r="AG13" i="9"/>
  <c r="AG13" i="5" s="1"/>
  <c r="AH13" i="9"/>
  <c r="AH13" i="5" s="1"/>
  <c r="AI13" i="9"/>
  <c r="AI13" i="5" s="1"/>
  <c r="AJ13" i="9"/>
  <c r="AJ13" i="5" s="1"/>
  <c r="AK13" i="9"/>
  <c r="AK13" i="5" s="1"/>
  <c r="AL13" i="9"/>
  <c r="AL13" i="5" s="1"/>
  <c r="D14" i="5"/>
  <c r="E14" i="5"/>
  <c r="F14" i="5"/>
  <c r="G14" i="5"/>
  <c r="H14" i="5"/>
  <c r="I14" i="9"/>
  <c r="I14" i="5" s="1"/>
  <c r="J14" i="9"/>
  <c r="J14" i="5" s="1"/>
  <c r="K14" i="9"/>
  <c r="K14" i="5" s="1"/>
  <c r="L14" i="9"/>
  <c r="L14" i="5" s="1"/>
  <c r="M14" i="9"/>
  <c r="M14" i="5" s="1"/>
  <c r="N14" i="9"/>
  <c r="N14" i="5" s="1"/>
  <c r="O14" i="9"/>
  <c r="O14" i="5" s="1"/>
  <c r="P14" i="9"/>
  <c r="P14" i="5" s="1"/>
  <c r="Q14" i="9"/>
  <c r="Q14" i="5" s="1"/>
  <c r="R14" i="9"/>
  <c r="R14" i="5" s="1"/>
  <c r="S14" i="9"/>
  <c r="S14" i="5" s="1"/>
  <c r="T14" i="9"/>
  <c r="T14" i="5" s="1"/>
  <c r="U14" i="9"/>
  <c r="U14" i="5" s="1"/>
  <c r="V14" i="9"/>
  <c r="V14" i="5" s="1"/>
  <c r="X14" i="9"/>
  <c r="X14" i="5" s="1"/>
  <c r="Y14" i="9"/>
  <c r="Y14" i="5" s="1"/>
  <c r="Z14" i="9"/>
  <c r="Z14" i="5" s="1"/>
  <c r="AA14" i="9"/>
  <c r="AA14" i="5" s="1"/>
  <c r="AB14" i="9"/>
  <c r="AB14" i="5" s="1"/>
  <c r="AC14" i="9"/>
  <c r="AC14" i="5" s="1"/>
  <c r="AD14" i="9"/>
  <c r="AD14" i="5" s="1"/>
  <c r="AE14" i="9"/>
  <c r="AE14" i="5" s="1"/>
  <c r="AF14" i="9"/>
  <c r="AF14" i="5" s="1"/>
  <c r="AG14" i="9"/>
  <c r="AG14" i="5" s="1"/>
  <c r="AH14" i="9"/>
  <c r="AH14" i="5" s="1"/>
  <c r="AI14" i="9"/>
  <c r="AI14" i="5" s="1"/>
  <c r="AJ14" i="9"/>
  <c r="AJ14" i="5" s="1"/>
  <c r="AK14" i="9"/>
  <c r="AK14" i="5" s="1"/>
  <c r="AL14" i="9"/>
  <c r="AL14" i="5" s="1"/>
  <c r="D15" i="5"/>
  <c r="E15" i="5"/>
  <c r="F15" i="5"/>
  <c r="G15" i="5"/>
  <c r="H15" i="5"/>
  <c r="I15" i="9"/>
  <c r="I15" i="5" s="1"/>
  <c r="J15" i="9"/>
  <c r="J15" i="5" s="1"/>
  <c r="K15" i="9"/>
  <c r="K15" i="5" s="1"/>
  <c r="L15" i="9"/>
  <c r="L15" i="5" s="1"/>
  <c r="M15" i="9"/>
  <c r="M15" i="5" s="1"/>
  <c r="N15" i="9"/>
  <c r="N15" i="5" s="1"/>
  <c r="O15" i="9"/>
  <c r="O15" i="5" s="1"/>
  <c r="P15" i="9"/>
  <c r="P15" i="5" s="1"/>
  <c r="Q15" i="9"/>
  <c r="Q15" i="5" s="1"/>
  <c r="R15" i="9"/>
  <c r="R15" i="5" s="1"/>
  <c r="S15" i="9"/>
  <c r="S15" i="5" s="1"/>
  <c r="T15" i="9"/>
  <c r="T15" i="5" s="1"/>
  <c r="U15" i="9"/>
  <c r="U15" i="5" s="1"/>
  <c r="V15" i="9"/>
  <c r="V15" i="5" s="1"/>
  <c r="W15" i="9"/>
  <c r="W15" i="5" s="1"/>
  <c r="X15" i="9"/>
  <c r="X15" i="5" s="1"/>
  <c r="Y15" i="9"/>
  <c r="Y15" i="5" s="1"/>
  <c r="Z15" i="9"/>
  <c r="Z15" i="5" s="1"/>
  <c r="AA15" i="9"/>
  <c r="AA15" i="5" s="1"/>
  <c r="AB15" i="9"/>
  <c r="AB15" i="5" s="1"/>
  <c r="AC15" i="9"/>
  <c r="AC15" i="5" s="1"/>
  <c r="AD15" i="9"/>
  <c r="AD15" i="5" s="1"/>
  <c r="AE15" i="9"/>
  <c r="AE15" i="5" s="1"/>
  <c r="AF15" i="9"/>
  <c r="AF15" i="5" s="1"/>
  <c r="AG15" i="9"/>
  <c r="AG15" i="5" s="1"/>
  <c r="AH15" i="9"/>
  <c r="AH15" i="5" s="1"/>
  <c r="AI15" i="9"/>
  <c r="AI15" i="5" s="1"/>
  <c r="AJ15" i="9"/>
  <c r="AJ15" i="5" s="1"/>
  <c r="AK15" i="9"/>
  <c r="AK15" i="5" s="1"/>
  <c r="AL15" i="9"/>
  <c r="AL15" i="5" s="1"/>
  <c r="D16" i="5"/>
  <c r="E16" i="5"/>
  <c r="F16" i="5"/>
  <c r="G16" i="5"/>
  <c r="H16" i="5"/>
  <c r="I16" i="9"/>
  <c r="I16" i="5" s="1"/>
  <c r="J16" i="9"/>
  <c r="J16" i="5" s="1"/>
  <c r="K16" i="9"/>
  <c r="K16" i="5" s="1"/>
  <c r="L16" i="9"/>
  <c r="L16" i="5" s="1"/>
  <c r="M16" i="9"/>
  <c r="M16" i="5" s="1"/>
  <c r="N16" i="9"/>
  <c r="N16" i="5" s="1"/>
  <c r="O16" i="9"/>
  <c r="O16" i="5" s="1"/>
  <c r="P16" i="9"/>
  <c r="P16" i="5" s="1"/>
  <c r="Q16" i="9"/>
  <c r="Q16" i="5" s="1"/>
  <c r="R16" i="9"/>
  <c r="R16" i="5" s="1"/>
  <c r="S16" i="9"/>
  <c r="S16" i="5" s="1"/>
  <c r="T16" i="9"/>
  <c r="T16" i="5" s="1"/>
  <c r="U16" i="9"/>
  <c r="U16" i="5" s="1"/>
  <c r="V16" i="9"/>
  <c r="V16" i="5" s="1"/>
  <c r="W16" i="9"/>
  <c r="W16" i="5" s="1"/>
  <c r="X16" i="9"/>
  <c r="X16" i="5" s="1"/>
  <c r="Y16" i="9"/>
  <c r="Y16" i="5" s="1"/>
  <c r="Z16" i="9"/>
  <c r="Z16" i="5" s="1"/>
  <c r="AA16" i="9"/>
  <c r="AA16" i="5" s="1"/>
  <c r="AB16" i="9"/>
  <c r="AB16" i="5" s="1"/>
  <c r="AC16" i="9"/>
  <c r="AC16" i="5" s="1"/>
  <c r="AD16" i="9"/>
  <c r="AD16" i="5" s="1"/>
  <c r="AE16" i="9"/>
  <c r="AE16" i="5" s="1"/>
  <c r="AF16" i="9"/>
  <c r="AF16" i="5" s="1"/>
  <c r="AG16" i="9"/>
  <c r="AG16" i="5" s="1"/>
  <c r="AH16" i="9"/>
  <c r="AH16" i="5" s="1"/>
  <c r="AI16" i="9"/>
  <c r="AI16" i="5" s="1"/>
  <c r="AJ16" i="9"/>
  <c r="AJ16" i="5" s="1"/>
  <c r="AK16" i="9"/>
  <c r="AK16" i="5" s="1"/>
  <c r="AL16" i="9"/>
  <c r="AL16" i="5" s="1"/>
  <c r="D17" i="5"/>
  <c r="E17" i="5"/>
  <c r="F17" i="5"/>
  <c r="G17" i="5"/>
  <c r="H17" i="5"/>
  <c r="I17" i="9"/>
  <c r="I17" i="5" s="1"/>
  <c r="J17" i="9"/>
  <c r="J17" i="5" s="1"/>
  <c r="K17" i="9"/>
  <c r="K17" i="5" s="1"/>
  <c r="L17" i="9"/>
  <c r="L17" i="5" s="1"/>
  <c r="M17" i="9"/>
  <c r="M17" i="5" s="1"/>
  <c r="N17" i="9"/>
  <c r="N17" i="5" s="1"/>
  <c r="O17" i="9"/>
  <c r="O17" i="5" s="1"/>
  <c r="P17" i="9"/>
  <c r="P17" i="5" s="1"/>
  <c r="Q17" i="9"/>
  <c r="Q17" i="5" s="1"/>
  <c r="R17" i="9"/>
  <c r="R17" i="5" s="1"/>
  <c r="S17" i="9"/>
  <c r="S17" i="5" s="1"/>
  <c r="T17" i="9"/>
  <c r="T17" i="5" s="1"/>
  <c r="U17" i="9"/>
  <c r="U17" i="5" s="1"/>
  <c r="V17" i="9"/>
  <c r="V17" i="5" s="1"/>
  <c r="W17" i="9"/>
  <c r="W17" i="5" s="1"/>
  <c r="X17" i="9"/>
  <c r="X17" i="5" s="1"/>
  <c r="Y17" i="9"/>
  <c r="Y17" i="5" s="1"/>
  <c r="Z17" i="9"/>
  <c r="Z17" i="5" s="1"/>
  <c r="AA17" i="9"/>
  <c r="AA17" i="5" s="1"/>
  <c r="AB17" i="9"/>
  <c r="AB17" i="5" s="1"/>
  <c r="AC17" i="9"/>
  <c r="AC17" i="5" s="1"/>
  <c r="AD17" i="9"/>
  <c r="AD17" i="5" s="1"/>
  <c r="AE17" i="9"/>
  <c r="AE17" i="5" s="1"/>
  <c r="AF17" i="9"/>
  <c r="AF17" i="5" s="1"/>
  <c r="AG17" i="9"/>
  <c r="AG17" i="5" s="1"/>
  <c r="AH17" i="9"/>
  <c r="AH17" i="5" s="1"/>
  <c r="AI17" i="9"/>
  <c r="AI17" i="5" s="1"/>
  <c r="AJ17" i="9"/>
  <c r="AJ17" i="5" s="1"/>
  <c r="AK17" i="9"/>
  <c r="AK17" i="5" s="1"/>
  <c r="AL17" i="9"/>
  <c r="AL17" i="5" s="1"/>
  <c r="D18" i="5"/>
  <c r="E18" i="5"/>
  <c r="F18" i="5"/>
  <c r="G18" i="5"/>
  <c r="H18" i="5"/>
  <c r="I18" i="9"/>
  <c r="I18" i="5" s="1"/>
  <c r="J18" i="9"/>
  <c r="J18" i="5" s="1"/>
  <c r="K18" i="9"/>
  <c r="K18" i="5" s="1"/>
  <c r="L18" i="9"/>
  <c r="L18" i="5" s="1"/>
  <c r="M18" i="9"/>
  <c r="M18" i="5" s="1"/>
  <c r="N18" i="9"/>
  <c r="N18" i="5" s="1"/>
  <c r="O18" i="9"/>
  <c r="O18" i="5" s="1"/>
  <c r="P18" i="9"/>
  <c r="P18" i="5" s="1"/>
  <c r="Q18" i="9"/>
  <c r="Q18" i="5" s="1"/>
  <c r="R18" i="9"/>
  <c r="R18" i="5" s="1"/>
  <c r="S18" i="9"/>
  <c r="S18" i="5" s="1"/>
  <c r="T18" i="9"/>
  <c r="T18" i="5" s="1"/>
  <c r="U18" i="9"/>
  <c r="U18" i="5" s="1"/>
  <c r="V18" i="9"/>
  <c r="V18" i="5" s="1"/>
  <c r="W18" i="9"/>
  <c r="W18" i="5" s="1"/>
  <c r="X18" i="9"/>
  <c r="X18" i="5" s="1"/>
  <c r="Y18" i="9"/>
  <c r="Y18" i="5" s="1"/>
  <c r="Z18" i="9"/>
  <c r="Z18" i="5" s="1"/>
  <c r="AA18" i="9"/>
  <c r="AA18" i="5" s="1"/>
  <c r="AB18" i="9"/>
  <c r="AB18" i="5" s="1"/>
  <c r="AC18" i="9"/>
  <c r="AC18" i="5" s="1"/>
  <c r="AD18" i="9"/>
  <c r="AD18" i="5" s="1"/>
  <c r="AE18" i="9"/>
  <c r="AE18" i="5" s="1"/>
  <c r="AF18" i="9"/>
  <c r="AF18" i="5" s="1"/>
  <c r="AG18" i="9"/>
  <c r="AG18" i="5" s="1"/>
  <c r="AH18" i="9"/>
  <c r="AH18" i="5" s="1"/>
  <c r="AI18" i="9"/>
  <c r="AI18" i="5" s="1"/>
  <c r="AJ18" i="9"/>
  <c r="AJ18" i="5" s="1"/>
  <c r="AK18" i="9"/>
  <c r="AK18" i="5" s="1"/>
  <c r="AL18" i="9"/>
  <c r="AL18" i="5" s="1"/>
  <c r="D19" i="5"/>
  <c r="E19" i="5"/>
  <c r="F19" i="5"/>
  <c r="G19" i="5"/>
  <c r="H19" i="5"/>
  <c r="I19" i="9"/>
  <c r="I19" i="5" s="1"/>
  <c r="J19" i="9"/>
  <c r="J19" i="5" s="1"/>
  <c r="K19" i="9"/>
  <c r="K19" i="5" s="1"/>
  <c r="L19" i="9"/>
  <c r="L19" i="5" s="1"/>
  <c r="M19" i="9"/>
  <c r="M19" i="5" s="1"/>
  <c r="N19" i="9"/>
  <c r="N19" i="5" s="1"/>
  <c r="O19" i="9"/>
  <c r="O19" i="5" s="1"/>
  <c r="P19" i="9"/>
  <c r="P19" i="5" s="1"/>
  <c r="Q19" i="9"/>
  <c r="Q19" i="5" s="1"/>
  <c r="R19" i="9"/>
  <c r="R19" i="5" s="1"/>
  <c r="S19" i="9"/>
  <c r="S19" i="5" s="1"/>
  <c r="T19" i="9"/>
  <c r="T19" i="5" s="1"/>
  <c r="U19" i="9"/>
  <c r="U19" i="5" s="1"/>
  <c r="V19" i="9"/>
  <c r="V19" i="5" s="1"/>
  <c r="W19" i="9"/>
  <c r="W19" i="5" s="1"/>
  <c r="X19" i="9"/>
  <c r="X19" i="5" s="1"/>
  <c r="Y19" i="9"/>
  <c r="Y19" i="5" s="1"/>
  <c r="Z19" i="9"/>
  <c r="Z19" i="5" s="1"/>
  <c r="AA19" i="9"/>
  <c r="AA19" i="5" s="1"/>
  <c r="AB19" i="9"/>
  <c r="AB19" i="5" s="1"/>
  <c r="AC19" i="9"/>
  <c r="AC19" i="5" s="1"/>
  <c r="AD19" i="9"/>
  <c r="AD19" i="5" s="1"/>
  <c r="AE19" i="9"/>
  <c r="AE19" i="5" s="1"/>
  <c r="AF19" i="9"/>
  <c r="AF19" i="5" s="1"/>
  <c r="AG19" i="9"/>
  <c r="AG19" i="5" s="1"/>
  <c r="AH19" i="9"/>
  <c r="AH19" i="5" s="1"/>
  <c r="AI19" i="9"/>
  <c r="AI19" i="5" s="1"/>
  <c r="AJ19" i="9"/>
  <c r="AJ19" i="5" s="1"/>
  <c r="AK19" i="9"/>
  <c r="AK19" i="5" s="1"/>
  <c r="AL19" i="9"/>
  <c r="AL19" i="5" s="1"/>
  <c r="D20" i="5"/>
  <c r="E20" i="5"/>
  <c r="F20" i="5"/>
  <c r="G20" i="5"/>
  <c r="H20" i="5"/>
  <c r="I20" i="9"/>
  <c r="I20" i="5" s="1"/>
  <c r="J20" i="9"/>
  <c r="J20" i="5" s="1"/>
  <c r="K20" i="9"/>
  <c r="K20" i="5" s="1"/>
  <c r="L20" i="9"/>
  <c r="L20" i="5" s="1"/>
  <c r="M20" i="9"/>
  <c r="M20" i="5" s="1"/>
  <c r="N20" i="9"/>
  <c r="N20" i="5" s="1"/>
  <c r="O20" i="9"/>
  <c r="O20" i="5" s="1"/>
  <c r="P20" i="9"/>
  <c r="P20" i="5" s="1"/>
  <c r="Q20" i="9"/>
  <c r="Q20" i="5" s="1"/>
  <c r="R20" i="9"/>
  <c r="R20" i="5" s="1"/>
  <c r="S20" i="9"/>
  <c r="S20" i="5" s="1"/>
  <c r="T20" i="9"/>
  <c r="T20" i="5" s="1"/>
  <c r="U20" i="9"/>
  <c r="U20" i="5" s="1"/>
  <c r="V20" i="9"/>
  <c r="V20" i="5" s="1"/>
  <c r="W20" i="9"/>
  <c r="W20" i="5" s="1"/>
  <c r="X20" i="9"/>
  <c r="X20" i="5" s="1"/>
  <c r="Y20" i="9"/>
  <c r="Y20" i="5" s="1"/>
  <c r="Z20" i="9"/>
  <c r="Z20" i="5" s="1"/>
  <c r="AA20" i="9"/>
  <c r="AA20" i="5" s="1"/>
  <c r="AB20" i="9"/>
  <c r="AB20" i="5" s="1"/>
  <c r="AC20" i="9"/>
  <c r="AC20" i="5" s="1"/>
  <c r="AD20" i="9"/>
  <c r="AD20" i="5" s="1"/>
  <c r="AE20" i="9"/>
  <c r="AE20" i="5" s="1"/>
  <c r="AF20" i="9"/>
  <c r="AF20" i="5" s="1"/>
  <c r="AG20" i="9"/>
  <c r="AG20" i="5" s="1"/>
  <c r="AH20" i="9"/>
  <c r="AH20" i="5" s="1"/>
  <c r="AI20" i="9"/>
  <c r="AI20" i="5" s="1"/>
  <c r="AJ20" i="9"/>
  <c r="AJ20" i="5" s="1"/>
  <c r="AK20" i="9"/>
  <c r="AK20" i="5" s="1"/>
  <c r="AL20" i="9"/>
  <c r="AL20" i="5" s="1"/>
  <c r="D21" i="5"/>
  <c r="E21" i="5"/>
  <c r="F21" i="5"/>
  <c r="G21" i="5"/>
  <c r="H21" i="5"/>
  <c r="I22" i="9"/>
  <c r="I21" i="5" s="1"/>
  <c r="J22" i="9"/>
  <c r="J21" i="5" s="1"/>
  <c r="K22" i="9"/>
  <c r="K21" i="5" s="1"/>
  <c r="L22" i="9"/>
  <c r="L21" i="5" s="1"/>
  <c r="M22" i="9"/>
  <c r="M21" i="5" s="1"/>
  <c r="N22" i="9"/>
  <c r="N21" i="5" s="1"/>
  <c r="O22" i="9"/>
  <c r="O21" i="5" s="1"/>
  <c r="P22" i="9"/>
  <c r="P21" i="5" s="1"/>
  <c r="Q22" i="9"/>
  <c r="Q21" i="5" s="1"/>
  <c r="R22" i="9"/>
  <c r="R21" i="5" s="1"/>
  <c r="S22" i="9"/>
  <c r="S21" i="5" s="1"/>
  <c r="T22" i="9"/>
  <c r="T21" i="5" s="1"/>
  <c r="U22" i="9"/>
  <c r="U21" i="5" s="1"/>
  <c r="V22" i="9"/>
  <c r="V21" i="5" s="1"/>
  <c r="W22" i="9"/>
  <c r="W21" i="5" s="1"/>
  <c r="X22" i="9"/>
  <c r="X21" i="5" s="1"/>
  <c r="Y22" i="9"/>
  <c r="Y21" i="5" s="1"/>
  <c r="Z22" i="9"/>
  <c r="Z21" i="5" s="1"/>
  <c r="AA22" i="9"/>
  <c r="AA21" i="5" s="1"/>
  <c r="AB22" i="9"/>
  <c r="AB21" i="5" s="1"/>
  <c r="AC22" i="9"/>
  <c r="AC21" i="5" s="1"/>
  <c r="AD22" i="9"/>
  <c r="AD21" i="5" s="1"/>
  <c r="AE22" i="9"/>
  <c r="AE21" i="5" s="1"/>
  <c r="AF22" i="9"/>
  <c r="AF21" i="5" s="1"/>
  <c r="AG22" i="9"/>
  <c r="AG21" i="5" s="1"/>
  <c r="AH22" i="9"/>
  <c r="AH21" i="5" s="1"/>
  <c r="AI22" i="9"/>
  <c r="AI21" i="5" s="1"/>
  <c r="AJ22" i="9"/>
  <c r="AJ21" i="5" s="1"/>
  <c r="AK22" i="9"/>
  <c r="AK21" i="5" s="1"/>
  <c r="AL22" i="9"/>
  <c r="AL21" i="5" s="1"/>
  <c r="D22" i="5"/>
  <c r="E22" i="5"/>
  <c r="F22" i="5"/>
  <c r="G22" i="5"/>
  <c r="H22" i="5"/>
  <c r="I23" i="9"/>
  <c r="I22" i="5" s="1"/>
  <c r="J23" i="9"/>
  <c r="J22" i="5" s="1"/>
  <c r="K23" i="9"/>
  <c r="K22" i="5" s="1"/>
  <c r="L23" i="9"/>
  <c r="L22" i="5" s="1"/>
  <c r="M23" i="9"/>
  <c r="M22" i="5" s="1"/>
  <c r="N23" i="9"/>
  <c r="N22" i="5" s="1"/>
  <c r="O23" i="9"/>
  <c r="O22" i="5" s="1"/>
  <c r="P23" i="9"/>
  <c r="P22" i="5" s="1"/>
  <c r="Q23" i="9"/>
  <c r="Q22" i="5" s="1"/>
  <c r="R23" i="9"/>
  <c r="R22" i="5" s="1"/>
  <c r="S23" i="9"/>
  <c r="S22" i="5" s="1"/>
  <c r="T23" i="9"/>
  <c r="T22" i="5" s="1"/>
  <c r="U23" i="9"/>
  <c r="U22" i="5" s="1"/>
  <c r="V23" i="9"/>
  <c r="V22" i="5" s="1"/>
  <c r="W23" i="9"/>
  <c r="W22" i="5" s="1"/>
  <c r="X23" i="9"/>
  <c r="X22" i="5" s="1"/>
  <c r="Y23" i="9"/>
  <c r="Y22" i="5" s="1"/>
  <c r="Z23" i="9"/>
  <c r="Z22" i="5" s="1"/>
  <c r="AA23" i="9"/>
  <c r="AA22" i="5" s="1"/>
  <c r="AB23" i="9"/>
  <c r="AB22" i="5" s="1"/>
  <c r="AC23" i="9"/>
  <c r="AC22" i="5" s="1"/>
  <c r="AD23" i="9"/>
  <c r="AD22" i="5" s="1"/>
  <c r="AE23" i="9"/>
  <c r="AE22" i="5" s="1"/>
  <c r="AF23" i="9"/>
  <c r="AF22" i="5" s="1"/>
  <c r="AG23" i="9"/>
  <c r="AG22" i="5" s="1"/>
  <c r="AH23" i="9"/>
  <c r="AH22" i="5" s="1"/>
  <c r="AI23" i="9"/>
  <c r="AI22" i="5" s="1"/>
  <c r="AJ23" i="9"/>
  <c r="AJ22" i="5" s="1"/>
  <c r="AK23" i="9"/>
  <c r="AK22" i="5" s="1"/>
  <c r="AL23" i="9"/>
  <c r="AL22" i="5" s="1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D24" i="5"/>
  <c r="E24" i="5"/>
  <c r="F24" i="5"/>
  <c r="G24" i="5"/>
  <c r="H24" i="5"/>
  <c r="I24" i="9"/>
  <c r="I24" i="5" s="1"/>
  <c r="J24" i="9"/>
  <c r="J24" i="5" s="1"/>
  <c r="K24" i="9"/>
  <c r="K24" i="5" s="1"/>
  <c r="L24" i="9"/>
  <c r="L24" i="5" s="1"/>
  <c r="M24" i="9"/>
  <c r="M24" i="5" s="1"/>
  <c r="N24" i="9"/>
  <c r="N24" i="5" s="1"/>
  <c r="O24" i="9"/>
  <c r="O24" i="5" s="1"/>
  <c r="P24" i="9"/>
  <c r="P24" i="5" s="1"/>
  <c r="Q24" i="9"/>
  <c r="Q24" i="5" s="1"/>
  <c r="R24" i="9"/>
  <c r="R24" i="5" s="1"/>
  <c r="S24" i="9"/>
  <c r="S24" i="5" s="1"/>
  <c r="T24" i="9"/>
  <c r="T24" i="5" s="1"/>
  <c r="U24" i="9"/>
  <c r="U24" i="5" s="1"/>
  <c r="V24" i="9"/>
  <c r="V24" i="5" s="1"/>
  <c r="W24" i="9"/>
  <c r="W24" i="5" s="1"/>
  <c r="X24" i="9"/>
  <c r="X24" i="5" s="1"/>
  <c r="Y24" i="9"/>
  <c r="Y24" i="5" s="1"/>
  <c r="Z24" i="9"/>
  <c r="Z24" i="5" s="1"/>
  <c r="AA24" i="9"/>
  <c r="AA24" i="5" s="1"/>
  <c r="AB24" i="9"/>
  <c r="AB24" i="5" s="1"/>
  <c r="AC24" i="9"/>
  <c r="AC24" i="5" s="1"/>
  <c r="AD24" i="9"/>
  <c r="AD24" i="5" s="1"/>
  <c r="AE24" i="9"/>
  <c r="AE24" i="5" s="1"/>
  <c r="AF24" i="9"/>
  <c r="AF24" i="5" s="1"/>
  <c r="AG24" i="9"/>
  <c r="AG24" i="5" s="1"/>
  <c r="AH24" i="9"/>
  <c r="AH24" i="5" s="1"/>
  <c r="AI24" i="9"/>
  <c r="AI24" i="5" s="1"/>
  <c r="AJ24" i="9"/>
  <c r="AJ24" i="5" s="1"/>
  <c r="AK24" i="9"/>
  <c r="AK24" i="5" s="1"/>
  <c r="AL24" i="9"/>
  <c r="AL24" i="5" s="1"/>
  <c r="D25" i="5"/>
  <c r="E25" i="5"/>
  <c r="F25" i="5"/>
  <c r="G25" i="5"/>
  <c r="H25" i="5"/>
  <c r="I25" i="9"/>
  <c r="I25" i="5" s="1"/>
  <c r="J25" i="9"/>
  <c r="J25" i="5" s="1"/>
  <c r="K25" i="9"/>
  <c r="K25" i="5" s="1"/>
  <c r="L25" i="9"/>
  <c r="L25" i="5" s="1"/>
  <c r="M25" i="9"/>
  <c r="M25" i="5" s="1"/>
  <c r="N25" i="9"/>
  <c r="N25" i="5" s="1"/>
  <c r="O25" i="9"/>
  <c r="O25" i="5" s="1"/>
  <c r="P25" i="9"/>
  <c r="P25" i="5" s="1"/>
  <c r="Q25" i="9"/>
  <c r="Q25" i="5" s="1"/>
  <c r="R25" i="9"/>
  <c r="R25" i="5" s="1"/>
  <c r="S25" i="9"/>
  <c r="S25" i="5" s="1"/>
  <c r="T25" i="9"/>
  <c r="T25" i="5" s="1"/>
  <c r="U25" i="9"/>
  <c r="U25" i="5" s="1"/>
  <c r="V25" i="9"/>
  <c r="V25" i="5" s="1"/>
  <c r="W25" i="9"/>
  <c r="W25" i="5" s="1"/>
  <c r="X25" i="9"/>
  <c r="X25" i="5" s="1"/>
  <c r="Y25" i="9"/>
  <c r="Y25" i="5" s="1"/>
  <c r="Z25" i="9"/>
  <c r="Z25" i="5" s="1"/>
  <c r="AA25" i="9"/>
  <c r="AA25" i="5" s="1"/>
  <c r="AB25" i="9"/>
  <c r="AB25" i="5" s="1"/>
  <c r="AC25" i="9"/>
  <c r="AC25" i="5" s="1"/>
  <c r="AD25" i="9"/>
  <c r="AD25" i="5" s="1"/>
  <c r="AE25" i="9"/>
  <c r="AE25" i="5" s="1"/>
  <c r="AF25" i="9"/>
  <c r="AF25" i="5" s="1"/>
  <c r="AG25" i="9"/>
  <c r="AG25" i="5" s="1"/>
  <c r="AH25" i="9"/>
  <c r="AH25" i="5" s="1"/>
  <c r="AI25" i="9"/>
  <c r="AI25" i="5" s="1"/>
  <c r="AJ25" i="9"/>
  <c r="AJ25" i="5" s="1"/>
  <c r="AK25" i="9"/>
  <c r="AK25" i="5" s="1"/>
  <c r="AL25" i="9"/>
  <c r="AL25" i="5" s="1"/>
  <c r="D26" i="5"/>
  <c r="E26" i="5"/>
  <c r="F26" i="5"/>
  <c r="G26" i="5"/>
  <c r="H26" i="5"/>
  <c r="I26" i="9"/>
  <c r="I26" i="5" s="1"/>
  <c r="J26" i="9"/>
  <c r="J26" i="5" s="1"/>
  <c r="K26" i="9"/>
  <c r="K26" i="5" s="1"/>
  <c r="L26" i="9"/>
  <c r="L26" i="5" s="1"/>
  <c r="M26" i="9"/>
  <c r="M26" i="5" s="1"/>
  <c r="N26" i="9"/>
  <c r="N26" i="5" s="1"/>
  <c r="O26" i="9"/>
  <c r="O26" i="5" s="1"/>
  <c r="P26" i="9"/>
  <c r="P26" i="5" s="1"/>
  <c r="Q26" i="9"/>
  <c r="Q26" i="5" s="1"/>
  <c r="R26" i="9"/>
  <c r="R26" i="5" s="1"/>
  <c r="S26" i="9"/>
  <c r="S26" i="5" s="1"/>
  <c r="T26" i="9"/>
  <c r="T26" i="5" s="1"/>
  <c r="U26" i="9"/>
  <c r="U26" i="5" s="1"/>
  <c r="V26" i="9"/>
  <c r="V26" i="5" s="1"/>
  <c r="W26" i="9"/>
  <c r="W26" i="5" s="1"/>
  <c r="X26" i="9"/>
  <c r="X26" i="5" s="1"/>
  <c r="Y26" i="9"/>
  <c r="Y26" i="5" s="1"/>
  <c r="Z26" i="9"/>
  <c r="Z26" i="5" s="1"/>
  <c r="AA26" i="9"/>
  <c r="AA26" i="5" s="1"/>
  <c r="AB26" i="9"/>
  <c r="AB26" i="5" s="1"/>
  <c r="AC26" i="9"/>
  <c r="AC26" i="5" s="1"/>
  <c r="AD26" i="9"/>
  <c r="AD26" i="5" s="1"/>
  <c r="AE26" i="9"/>
  <c r="AE26" i="5" s="1"/>
  <c r="AF26" i="9"/>
  <c r="AF26" i="5" s="1"/>
  <c r="AG26" i="9"/>
  <c r="AG26" i="5" s="1"/>
  <c r="AH26" i="9"/>
  <c r="AH26" i="5" s="1"/>
  <c r="AI26" i="9"/>
  <c r="AI26" i="5" s="1"/>
  <c r="AJ26" i="9"/>
  <c r="AJ26" i="5" s="1"/>
  <c r="AK26" i="9"/>
  <c r="AK26" i="5" s="1"/>
  <c r="AL26" i="9"/>
  <c r="AL26" i="5" s="1"/>
  <c r="D27" i="5"/>
  <c r="E27" i="5"/>
  <c r="F27" i="5"/>
  <c r="G27" i="5"/>
  <c r="H27" i="5"/>
  <c r="I27" i="9"/>
  <c r="I27" i="5" s="1"/>
  <c r="J27" i="9"/>
  <c r="J27" i="5" s="1"/>
  <c r="K27" i="9"/>
  <c r="K27" i="5" s="1"/>
  <c r="L27" i="9"/>
  <c r="L27" i="5" s="1"/>
  <c r="M27" i="9"/>
  <c r="M27" i="5" s="1"/>
  <c r="N27" i="9"/>
  <c r="N27" i="5" s="1"/>
  <c r="O27" i="9"/>
  <c r="O27" i="5" s="1"/>
  <c r="P27" i="9"/>
  <c r="P27" i="5" s="1"/>
  <c r="Q27" i="9"/>
  <c r="Q27" i="5" s="1"/>
  <c r="R27" i="9"/>
  <c r="R27" i="5" s="1"/>
  <c r="S27" i="9"/>
  <c r="S27" i="5" s="1"/>
  <c r="T27" i="9"/>
  <c r="T27" i="5" s="1"/>
  <c r="U27" i="9"/>
  <c r="U27" i="5" s="1"/>
  <c r="V27" i="9"/>
  <c r="V27" i="5" s="1"/>
  <c r="W27" i="9"/>
  <c r="W27" i="5" s="1"/>
  <c r="X27" i="9"/>
  <c r="X27" i="5" s="1"/>
  <c r="Y27" i="9"/>
  <c r="Y27" i="5" s="1"/>
  <c r="Z27" i="9"/>
  <c r="Z27" i="5" s="1"/>
  <c r="AA27" i="9"/>
  <c r="AA27" i="5" s="1"/>
  <c r="AB27" i="9"/>
  <c r="AB27" i="5" s="1"/>
  <c r="AC27" i="9"/>
  <c r="AC27" i="5" s="1"/>
  <c r="AD27" i="9"/>
  <c r="AD27" i="5" s="1"/>
  <c r="AE27" i="9"/>
  <c r="AE27" i="5" s="1"/>
  <c r="AF27" i="9"/>
  <c r="AF27" i="5" s="1"/>
  <c r="AG27" i="9"/>
  <c r="AG27" i="5" s="1"/>
  <c r="AH27" i="9"/>
  <c r="AH27" i="5" s="1"/>
  <c r="AI27" i="9"/>
  <c r="AI27" i="5" s="1"/>
  <c r="AJ27" i="9"/>
  <c r="AJ27" i="5" s="1"/>
  <c r="AK27" i="9"/>
  <c r="AK27" i="5" s="1"/>
  <c r="AL27" i="9"/>
  <c r="AL27" i="5" s="1"/>
  <c r="D28" i="5"/>
  <c r="E28" i="5"/>
  <c r="F28" i="5"/>
  <c r="G28" i="5"/>
  <c r="H28" i="5"/>
  <c r="I28" i="9"/>
  <c r="I28" i="5" s="1"/>
  <c r="J28" i="9"/>
  <c r="J28" i="5" s="1"/>
  <c r="K28" i="9"/>
  <c r="K28" i="5" s="1"/>
  <c r="L28" i="9"/>
  <c r="L28" i="5" s="1"/>
  <c r="M28" i="9"/>
  <c r="M28" i="5" s="1"/>
  <c r="N28" i="9"/>
  <c r="N28" i="5" s="1"/>
  <c r="O28" i="9"/>
  <c r="O28" i="5" s="1"/>
  <c r="P28" i="9"/>
  <c r="P28" i="5" s="1"/>
  <c r="Q28" i="9"/>
  <c r="Q28" i="5" s="1"/>
  <c r="R28" i="9"/>
  <c r="R28" i="5" s="1"/>
  <c r="S28" i="9"/>
  <c r="S28" i="5" s="1"/>
  <c r="T28" i="9"/>
  <c r="T28" i="5" s="1"/>
  <c r="U28" i="9"/>
  <c r="U28" i="5" s="1"/>
  <c r="V28" i="9"/>
  <c r="V28" i="5" s="1"/>
  <c r="W28" i="9"/>
  <c r="W28" i="5" s="1"/>
  <c r="X28" i="9"/>
  <c r="X28" i="5" s="1"/>
  <c r="Y28" i="9"/>
  <c r="Y28" i="5" s="1"/>
  <c r="Z28" i="9"/>
  <c r="Z28" i="5" s="1"/>
  <c r="AB28" i="9"/>
  <c r="AB28" i="5" s="1"/>
  <c r="AC28" i="9"/>
  <c r="AC28" i="5" s="1"/>
  <c r="AD28" i="9"/>
  <c r="AD28" i="5" s="1"/>
  <c r="AE28" i="9"/>
  <c r="AE28" i="5" s="1"/>
  <c r="AF28" i="9"/>
  <c r="AF28" i="5" s="1"/>
  <c r="AG28" i="9"/>
  <c r="AG28" i="5" s="1"/>
  <c r="AH28" i="9"/>
  <c r="AH28" i="5" s="1"/>
  <c r="AI28" i="9"/>
  <c r="AI28" i="5" s="1"/>
  <c r="AJ28" i="9"/>
  <c r="AJ28" i="5" s="1"/>
  <c r="AK28" i="9"/>
  <c r="AK28" i="5" s="1"/>
  <c r="AL28" i="9"/>
  <c r="AL28" i="5" s="1"/>
  <c r="D29" i="5"/>
  <c r="E29" i="5"/>
  <c r="F29" i="5"/>
  <c r="G29" i="5"/>
  <c r="H29" i="5"/>
  <c r="I29" i="9"/>
  <c r="I29" i="5" s="1"/>
  <c r="J29" i="9"/>
  <c r="J29" i="5" s="1"/>
  <c r="K29" i="9"/>
  <c r="K29" i="5" s="1"/>
  <c r="L29" i="9"/>
  <c r="L29" i="5" s="1"/>
  <c r="M29" i="9"/>
  <c r="M29" i="5" s="1"/>
  <c r="N29" i="9"/>
  <c r="N29" i="5" s="1"/>
  <c r="O29" i="9"/>
  <c r="O29" i="5" s="1"/>
  <c r="P29" i="9"/>
  <c r="P29" i="5" s="1"/>
  <c r="Q29" i="9"/>
  <c r="Q29" i="5" s="1"/>
  <c r="R29" i="9"/>
  <c r="R29" i="5" s="1"/>
  <c r="S29" i="9"/>
  <c r="S29" i="5" s="1"/>
  <c r="T29" i="9"/>
  <c r="T29" i="5" s="1"/>
  <c r="U29" i="9"/>
  <c r="U29" i="5" s="1"/>
  <c r="V29" i="9"/>
  <c r="V29" i="5" s="1"/>
  <c r="W29" i="9"/>
  <c r="W29" i="5" s="1"/>
  <c r="X29" i="9"/>
  <c r="X29" i="5" s="1"/>
  <c r="Y29" i="9"/>
  <c r="Y29" i="5" s="1"/>
  <c r="Z29" i="9"/>
  <c r="Z29" i="5" s="1"/>
  <c r="AA29" i="9"/>
  <c r="AA29" i="5" s="1"/>
  <c r="AB29" i="9"/>
  <c r="AB29" i="5" s="1"/>
  <c r="AC29" i="9"/>
  <c r="AC29" i="5" s="1"/>
  <c r="AD29" i="9"/>
  <c r="AD29" i="5" s="1"/>
  <c r="AE29" i="9"/>
  <c r="AE29" i="5" s="1"/>
  <c r="AF29" i="9"/>
  <c r="AF29" i="5" s="1"/>
  <c r="AG29" i="9"/>
  <c r="AG29" i="5" s="1"/>
  <c r="AH29" i="9"/>
  <c r="AH29" i="5" s="1"/>
  <c r="AI29" i="9"/>
  <c r="AI29" i="5" s="1"/>
  <c r="AJ29" i="9"/>
  <c r="AJ29" i="5" s="1"/>
  <c r="AK29" i="9"/>
  <c r="AK29" i="5" s="1"/>
  <c r="AL29" i="9"/>
  <c r="AL29" i="5" s="1"/>
  <c r="D30" i="5"/>
  <c r="E30" i="5"/>
  <c r="F30" i="5"/>
  <c r="G30" i="5"/>
  <c r="H30" i="5"/>
  <c r="I30" i="9"/>
  <c r="I30" i="5" s="1"/>
  <c r="J30" i="9"/>
  <c r="J30" i="5" s="1"/>
  <c r="K30" i="9"/>
  <c r="K30" i="5" s="1"/>
  <c r="L30" i="9"/>
  <c r="L30" i="5" s="1"/>
  <c r="M30" i="9"/>
  <c r="M30" i="5" s="1"/>
  <c r="N30" i="9"/>
  <c r="N30" i="5" s="1"/>
  <c r="O30" i="9"/>
  <c r="O30" i="5" s="1"/>
  <c r="P30" i="9"/>
  <c r="P30" i="5" s="1"/>
  <c r="Q30" i="9"/>
  <c r="Q30" i="5" s="1"/>
  <c r="R30" i="9"/>
  <c r="R30" i="5" s="1"/>
  <c r="S30" i="9"/>
  <c r="S30" i="5" s="1"/>
  <c r="T30" i="9"/>
  <c r="T30" i="5" s="1"/>
  <c r="U30" i="9"/>
  <c r="U30" i="5" s="1"/>
  <c r="V30" i="9"/>
  <c r="V30" i="5" s="1"/>
  <c r="W30" i="9"/>
  <c r="W30" i="5" s="1"/>
  <c r="X30" i="9"/>
  <c r="X30" i="5" s="1"/>
  <c r="Y30" i="9"/>
  <c r="Y30" i="5" s="1"/>
  <c r="Z30" i="9"/>
  <c r="Z30" i="5" s="1"/>
  <c r="AA30" i="9"/>
  <c r="AA30" i="5" s="1"/>
  <c r="AB30" i="9"/>
  <c r="AB30" i="5" s="1"/>
  <c r="AC30" i="9"/>
  <c r="AC30" i="5" s="1"/>
  <c r="AD30" i="9"/>
  <c r="AD30" i="5" s="1"/>
  <c r="AE30" i="9"/>
  <c r="AE30" i="5" s="1"/>
  <c r="AF30" i="9"/>
  <c r="AF30" i="5" s="1"/>
  <c r="AG30" i="9"/>
  <c r="AG30" i="5" s="1"/>
  <c r="AH30" i="9"/>
  <c r="AH30" i="5" s="1"/>
  <c r="AI30" i="9"/>
  <c r="AI30" i="5" s="1"/>
  <c r="AJ30" i="9"/>
  <c r="AJ30" i="5" s="1"/>
  <c r="AK30" i="9"/>
  <c r="AK30" i="5" s="1"/>
  <c r="AL30" i="9"/>
  <c r="AL30" i="5" s="1"/>
  <c r="D31" i="5"/>
  <c r="E31" i="5"/>
  <c r="F31" i="5"/>
  <c r="G31" i="5"/>
  <c r="H31" i="5"/>
  <c r="I31" i="9"/>
  <c r="I31" i="5" s="1"/>
  <c r="J31" i="9"/>
  <c r="J31" i="5" s="1"/>
  <c r="K31" i="9"/>
  <c r="K31" i="5" s="1"/>
  <c r="L31" i="9"/>
  <c r="L31" i="5" s="1"/>
  <c r="M31" i="9"/>
  <c r="M31" i="5" s="1"/>
  <c r="N31" i="9"/>
  <c r="N31" i="5" s="1"/>
  <c r="O31" i="9"/>
  <c r="O31" i="5" s="1"/>
  <c r="P31" i="9"/>
  <c r="P31" i="5" s="1"/>
  <c r="Q31" i="9"/>
  <c r="Q31" i="5" s="1"/>
  <c r="R31" i="9"/>
  <c r="R31" i="5" s="1"/>
  <c r="S31" i="9"/>
  <c r="S31" i="5" s="1"/>
  <c r="T31" i="9"/>
  <c r="T31" i="5" s="1"/>
  <c r="U31" i="9"/>
  <c r="U31" i="5" s="1"/>
  <c r="V31" i="9"/>
  <c r="V31" i="5" s="1"/>
  <c r="W31" i="9"/>
  <c r="W31" i="5" s="1"/>
  <c r="X31" i="9"/>
  <c r="X31" i="5" s="1"/>
  <c r="Y31" i="9"/>
  <c r="Y31" i="5" s="1"/>
  <c r="Z31" i="9"/>
  <c r="Z31" i="5" s="1"/>
  <c r="AA31" i="9"/>
  <c r="AA31" i="5" s="1"/>
  <c r="AB31" i="9"/>
  <c r="AB31" i="5" s="1"/>
  <c r="AC31" i="9"/>
  <c r="AC31" i="5" s="1"/>
  <c r="AD31" i="9"/>
  <c r="AD31" i="5" s="1"/>
  <c r="AE31" i="9"/>
  <c r="AE31" i="5" s="1"/>
  <c r="AF31" i="9"/>
  <c r="AF31" i="5" s="1"/>
  <c r="AG31" i="9"/>
  <c r="AG31" i="5" s="1"/>
  <c r="AH31" i="9"/>
  <c r="AH31" i="5" s="1"/>
  <c r="AI31" i="9"/>
  <c r="AI31" i="5" s="1"/>
  <c r="AJ31" i="9"/>
  <c r="AJ31" i="5" s="1"/>
  <c r="AK31" i="9"/>
  <c r="AK31" i="5" s="1"/>
  <c r="AL31" i="9"/>
  <c r="AL31" i="5" s="1"/>
  <c r="D32" i="5"/>
  <c r="E32" i="5"/>
  <c r="F32" i="5"/>
  <c r="G32" i="5"/>
  <c r="H32" i="5"/>
  <c r="I32" i="9"/>
  <c r="I32" i="5" s="1"/>
  <c r="J32" i="9"/>
  <c r="J32" i="5" s="1"/>
  <c r="K32" i="9"/>
  <c r="K32" i="5" s="1"/>
  <c r="L32" i="9"/>
  <c r="L32" i="5" s="1"/>
  <c r="M32" i="9"/>
  <c r="M32" i="5" s="1"/>
  <c r="N32" i="9"/>
  <c r="N32" i="5" s="1"/>
  <c r="O32" i="9"/>
  <c r="O32" i="5" s="1"/>
  <c r="P32" i="9"/>
  <c r="P32" i="5" s="1"/>
  <c r="Q32" i="9"/>
  <c r="Q32" i="5" s="1"/>
  <c r="R32" i="9"/>
  <c r="R32" i="5" s="1"/>
  <c r="S32" i="9"/>
  <c r="S32" i="5" s="1"/>
  <c r="T32" i="9"/>
  <c r="T32" i="5" s="1"/>
  <c r="U32" i="9"/>
  <c r="U32" i="5" s="1"/>
  <c r="V32" i="9"/>
  <c r="V32" i="5" s="1"/>
  <c r="X32" i="9"/>
  <c r="X32" i="5" s="1"/>
  <c r="Y32" i="9"/>
  <c r="Y32" i="5" s="1"/>
  <c r="Z32" i="9"/>
  <c r="Z32" i="5" s="1"/>
  <c r="AA32" i="9"/>
  <c r="AA32" i="5" s="1"/>
  <c r="AB32" i="9"/>
  <c r="AB32" i="5" s="1"/>
  <c r="AC32" i="9"/>
  <c r="AC32" i="5" s="1"/>
  <c r="AD32" i="9"/>
  <c r="AD32" i="5" s="1"/>
  <c r="AE32" i="9"/>
  <c r="AE32" i="5" s="1"/>
  <c r="AF32" i="9"/>
  <c r="AF32" i="5" s="1"/>
  <c r="AG32" i="9"/>
  <c r="AG32" i="5" s="1"/>
  <c r="AH32" i="9"/>
  <c r="AH32" i="5" s="1"/>
  <c r="AI32" i="9"/>
  <c r="AI32" i="5" s="1"/>
  <c r="AJ32" i="9"/>
  <c r="AJ32" i="5" s="1"/>
  <c r="AK32" i="9"/>
  <c r="AK32" i="5" s="1"/>
  <c r="AL32" i="9"/>
  <c r="AL32" i="5" s="1"/>
  <c r="D33" i="5"/>
  <c r="E33" i="5"/>
  <c r="F33" i="5"/>
  <c r="G33" i="5"/>
  <c r="H33" i="5"/>
  <c r="I33" i="9"/>
  <c r="I33" i="5" s="1"/>
  <c r="J33" i="9"/>
  <c r="J33" i="5" s="1"/>
  <c r="K33" i="9"/>
  <c r="K33" i="5" s="1"/>
  <c r="L33" i="9"/>
  <c r="L33" i="5" s="1"/>
  <c r="M33" i="9"/>
  <c r="M33" i="5" s="1"/>
  <c r="N33" i="9"/>
  <c r="N33" i="5" s="1"/>
  <c r="O33" i="9"/>
  <c r="O33" i="5" s="1"/>
  <c r="P33" i="9"/>
  <c r="P33" i="5" s="1"/>
  <c r="Q33" i="9"/>
  <c r="Q33" i="5" s="1"/>
  <c r="R33" i="9"/>
  <c r="R33" i="5" s="1"/>
  <c r="S33" i="9"/>
  <c r="S33" i="5" s="1"/>
  <c r="T33" i="9"/>
  <c r="T33" i="5" s="1"/>
  <c r="U33" i="9"/>
  <c r="U33" i="5" s="1"/>
  <c r="V33" i="9"/>
  <c r="V33" i="5" s="1"/>
  <c r="W33" i="9"/>
  <c r="W33" i="5" s="1"/>
  <c r="X33" i="9"/>
  <c r="X33" i="5" s="1"/>
  <c r="Y33" i="9"/>
  <c r="Y33" i="5" s="1"/>
  <c r="Z33" i="9"/>
  <c r="Z33" i="5" s="1"/>
  <c r="AB33" i="9"/>
  <c r="AB33" i="5" s="1"/>
  <c r="AC33" i="9"/>
  <c r="AC33" i="5" s="1"/>
  <c r="AD33" i="9"/>
  <c r="AD33" i="5" s="1"/>
  <c r="AE33" i="9"/>
  <c r="AE33" i="5" s="1"/>
  <c r="AF33" i="9"/>
  <c r="AF33" i="5" s="1"/>
  <c r="AG33" i="9"/>
  <c r="AG33" i="5" s="1"/>
  <c r="AH33" i="9"/>
  <c r="AH33" i="5" s="1"/>
  <c r="AI33" i="9"/>
  <c r="AI33" i="5" s="1"/>
  <c r="AJ33" i="9"/>
  <c r="AJ33" i="5" s="1"/>
  <c r="AK33" i="9"/>
  <c r="AK33" i="5" s="1"/>
  <c r="AL33" i="9"/>
  <c r="AL33" i="5" s="1"/>
  <c r="D34" i="5"/>
  <c r="E34" i="5"/>
  <c r="F34" i="5"/>
  <c r="G34" i="5"/>
  <c r="H34" i="5"/>
  <c r="I34" i="9"/>
  <c r="I34" i="5" s="1"/>
  <c r="J34" i="9"/>
  <c r="J34" i="5" s="1"/>
  <c r="K34" i="9"/>
  <c r="K34" i="5" s="1"/>
  <c r="L34" i="9"/>
  <c r="L34" i="5" s="1"/>
  <c r="M34" i="9"/>
  <c r="M34" i="5" s="1"/>
  <c r="N34" i="9"/>
  <c r="N34" i="5" s="1"/>
  <c r="O34" i="9"/>
  <c r="O34" i="5" s="1"/>
  <c r="P34" i="9"/>
  <c r="P34" i="5" s="1"/>
  <c r="Q34" i="9"/>
  <c r="Q34" i="5" s="1"/>
  <c r="R34" i="9"/>
  <c r="R34" i="5" s="1"/>
  <c r="S34" i="9"/>
  <c r="S34" i="5" s="1"/>
  <c r="T34" i="9"/>
  <c r="T34" i="5" s="1"/>
  <c r="U34" i="9"/>
  <c r="U34" i="5" s="1"/>
  <c r="V34" i="9"/>
  <c r="V34" i="5" s="1"/>
  <c r="W34" i="9"/>
  <c r="W34" i="5" s="1"/>
  <c r="X34" i="9"/>
  <c r="X34" i="5" s="1"/>
  <c r="Y34" i="9"/>
  <c r="Y34" i="5" s="1"/>
  <c r="Z34" i="9"/>
  <c r="Z34" i="5" s="1"/>
  <c r="AA34" i="9"/>
  <c r="AA34" i="5" s="1"/>
  <c r="AB34" i="9"/>
  <c r="AB34" i="5" s="1"/>
  <c r="AC34" i="9"/>
  <c r="AC34" i="5" s="1"/>
  <c r="AD34" i="9"/>
  <c r="AD34" i="5" s="1"/>
  <c r="AE34" i="9"/>
  <c r="AE34" i="5" s="1"/>
  <c r="AF34" i="9"/>
  <c r="AF34" i="5" s="1"/>
  <c r="AG34" i="9"/>
  <c r="AG34" i="5" s="1"/>
  <c r="AH34" i="9"/>
  <c r="AH34" i="5" s="1"/>
  <c r="AI34" i="9"/>
  <c r="AI34" i="5" s="1"/>
  <c r="AJ34" i="9"/>
  <c r="AJ34" i="5" s="1"/>
  <c r="AK34" i="9"/>
  <c r="AK34" i="5" s="1"/>
  <c r="AL34" i="9"/>
  <c r="AL34" i="5" s="1"/>
  <c r="D35" i="5"/>
  <c r="E35" i="5"/>
  <c r="F35" i="5"/>
  <c r="G35" i="5"/>
  <c r="H35" i="5"/>
  <c r="I36" i="9"/>
  <c r="I35" i="5" s="1"/>
  <c r="J36" i="9"/>
  <c r="J35" i="5" s="1"/>
  <c r="K36" i="9"/>
  <c r="K35" i="5" s="1"/>
  <c r="L36" i="9"/>
  <c r="L35" i="5" s="1"/>
  <c r="M36" i="9"/>
  <c r="M35" i="5" s="1"/>
  <c r="N36" i="9"/>
  <c r="N35" i="5" s="1"/>
  <c r="O36" i="9"/>
  <c r="O35" i="5" s="1"/>
  <c r="P36" i="9"/>
  <c r="P35" i="5" s="1"/>
  <c r="Q36" i="9"/>
  <c r="Q35" i="5" s="1"/>
  <c r="R36" i="9"/>
  <c r="R35" i="5" s="1"/>
  <c r="S36" i="9"/>
  <c r="S35" i="5" s="1"/>
  <c r="T36" i="9"/>
  <c r="T35" i="5" s="1"/>
  <c r="U36" i="9"/>
  <c r="U35" i="5" s="1"/>
  <c r="V36" i="9"/>
  <c r="V35" i="5" s="1"/>
  <c r="W36" i="9"/>
  <c r="W35" i="5" s="1"/>
  <c r="X36" i="9"/>
  <c r="X35" i="5" s="1"/>
  <c r="Y36" i="9"/>
  <c r="Y35" i="5" s="1"/>
  <c r="Z36" i="9"/>
  <c r="Z35" i="5" s="1"/>
  <c r="AA36" i="9"/>
  <c r="AA35" i="5" s="1"/>
  <c r="AB36" i="9"/>
  <c r="AB35" i="5" s="1"/>
  <c r="AC36" i="9"/>
  <c r="AC35" i="5" s="1"/>
  <c r="AD36" i="9"/>
  <c r="AD35" i="5" s="1"/>
  <c r="AE36" i="9"/>
  <c r="AE35" i="5" s="1"/>
  <c r="AF36" i="9"/>
  <c r="AF35" i="5" s="1"/>
  <c r="AG36" i="9"/>
  <c r="AG35" i="5" s="1"/>
  <c r="AH36" i="9"/>
  <c r="AH35" i="5" s="1"/>
  <c r="AI36" i="9"/>
  <c r="AI35" i="5" s="1"/>
  <c r="AJ36" i="9"/>
  <c r="AJ35" i="5" s="1"/>
  <c r="AK36" i="9"/>
  <c r="AK35" i="5" s="1"/>
  <c r="AL36" i="9"/>
  <c r="AL35" i="5" s="1"/>
  <c r="D36" i="5"/>
  <c r="E36" i="5"/>
  <c r="F36" i="5"/>
  <c r="G36" i="5"/>
  <c r="H36" i="5"/>
  <c r="I37" i="9"/>
  <c r="I36" i="5" s="1"/>
  <c r="J37" i="9"/>
  <c r="J36" i="5" s="1"/>
  <c r="K37" i="9"/>
  <c r="K36" i="5" s="1"/>
  <c r="L37" i="9"/>
  <c r="L36" i="5" s="1"/>
  <c r="M37" i="9"/>
  <c r="M36" i="5" s="1"/>
  <c r="N37" i="9"/>
  <c r="N36" i="5" s="1"/>
  <c r="O37" i="9"/>
  <c r="O36" i="5" s="1"/>
  <c r="P37" i="9"/>
  <c r="P36" i="5" s="1"/>
  <c r="Q37" i="9"/>
  <c r="Q36" i="5" s="1"/>
  <c r="R37" i="9"/>
  <c r="R36" i="5" s="1"/>
  <c r="S37" i="9"/>
  <c r="S36" i="5" s="1"/>
  <c r="T37" i="9"/>
  <c r="T36" i="5" s="1"/>
  <c r="U37" i="9"/>
  <c r="U36" i="5" s="1"/>
  <c r="V37" i="9"/>
  <c r="V36" i="5" s="1"/>
  <c r="W37" i="9"/>
  <c r="W36" i="5" s="1"/>
  <c r="X37" i="9"/>
  <c r="X36" i="5" s="1"/>
  <c r="Y37" i="9"/>
  <c r="Y36" i="5" s="1"/>
  <c r="Z37" i="9"/>
  <c r="Z36" i="5" s="1"/>
  <c r="AA37" i="9"/>
  <c r="AA36" i="5" s="1"/>
  <c r="AB37" i="9"/>
  <c r="AB36" i="5" s="1"/>
  <c r="AC37" i="9"/>
  <c r="AC36" i="5" s="1"/>
  <c r="AD37" i="9"/>
  <c r="AD36" i="5" s="1"/>
  <c r="AE37" i="9"/>
  <c r="AE36" i="5" s="1"/>
  <c r="AF37" i="9"/>
  <c r="AF36" i="5" s="1"/>
  <c r="AG37" i="9"/>
  <c r="AG36" i="5" s="1"/>
  <c r="AH37" i="9"/>
  <c r="AH36" i="5" s="1"/>
  <c r="AI37" i="9"/>
  <c r="AI36" i="5" s="1"/>
  <c r="AJ37" i="9"/>
  <c r="AJ36" i="5" s="1"/>
  <c r="AK37" i="9"/>
  <c r="AK36" i="5" s="1"/>
  <c r="AL37" i="9"/>
  <c r="AL36" i="5" s="1"/>
  <c r="D37" i="5"/>
  <c r="E37" i="5"/>
  <c r="F37" i="5"/>
  <c r="G37" i="5"/>
  <c r="H37" i="5"/>
  <c r="I38" i="9"/>
  <c r="I37" i="5" s="1"/>
  <c r="J38" i="9"/>
  <c r="J37" i="5" s="1"/>
  <c r="K38" i="9"/>
  <c r="K37" i="5" s="1"/>
  <c r="L38" i="9"/>
  <c r="L37" i="5" s="1"/>
  <c r="M38" i="9"/>
  <c r="M37" i="5" s="1"/>
  <c r="N38" i="9"/>
  <c r="N37" i="5" s="1"/>
  <c r="O38" i="9"/>
  <c r="O37" i="5" s="1"/>
  <c r="P38" i="9"/>
  <c r="P37" i="5" s="1"/>
  <c r="Q38" i="9"/>
  <c r="Q37" i="5" s="1"/>
  <c r="R38" i="9"/>
  <c r="R37" i="5" s="1"/>
  <c r="S38" i="9"/>
  <c r="S37" i="5" s="1"/>
  <c r="T38" i="9"/>
  <c r="T37" i="5" s="1"/>
  <c r="U38" i="9"/>
  <c r="U37" i="5" s="1"/>
  <c r="V38" i="9"/>
  <c r="V37" i="5" s="1"/>
  <c r="W38" i="9"/>
  <c r="W37" i="5" s="1"/>
  <c r="X38" i="9"/>
  <c r="X37" i="5" s="1"/>
  <c r="Y38" i="9"/>
  <c r="Y37" i="5" s="1"/>
  <c r="Z38" i="9"/>
  <c r="Z37" i="5" s="1"/>
  <c r="AA38" i="9"/>
  <c r="AA37" i="5" s="1"/>
  <c r="AB38" i="9"/>
  <c r="AB37" i="5" s="1"/>
  <c r="AC38" i="9"/>
  <c r="AC37" i="5" s="1"/>
  <c r="AD38" i="9"/>
  <c r="AD37" i="5" s="1"/>
  <c r="AE38" i="9"/>
  <c r="AE37" i="5" s="1"/>
  <c r="AF38" i="9"/>
  <c r="AF37" i="5" s="1"/>
  <c r="AG38" i="9"/>
  <c r="AG37" i="5" s="1"/>
  <c r="AH38" i="9"/>
  <c r="AH37" i="5" s="1"/>
  <c r="AI38" i="9"/>
  <c r="AI37" i="5" s="1"/>
  <c r="AJ38" i="9"/>
  <c r="AJ37" i="5" s="1"/>
  <c r="AK38" i="9"/>
  <c r="AK37" i="5" s="1"/>
  <c r="AL38" i="9"/>
  <c r="AL37" i="5" s="1"/>
  <c r="D38" i="5"/>
  <c r="E38" i="5"/>
  <c r="F38" i="5"/>
  <c r="G38" i="5"/>
  <c r="H38" i="5"/>
  <c r="I39" i="9"/>
  <c r="I38" i="5" s="1"/>
  <c r="J39" i="9"/>
  <c r="J38" i="5" s="1"/>
  <c r="K39" i="9"/>
  <c r="K38" i="5" s="1"/>
  <c r="L39" i="9"/>
  <c r="L38" i="5" s="1"/>
  <c r="M39" i="9"/>
  <c r="M38" i="5" s="1"/>
  <c r="N39" i="9"/>
  <c r="N38" i="5" s="1"/>
  <c r="O39" i="9"/>
  <c r="O38" i="5" s="1"/>
  <c r="P39" i="9"/>
  <c r="P38" i="5" s="1"/>
  <c r="Q39" i="9"/>
  <c r="Q38" i="5" s="1"/>
  <c r="R39" i="9"/>
  <c r="R38" i="5" s="1"/>
  <c r="S39" i="9"/>
  <c r="S38" i="5" s="1"/>
  <c r="T39" i="9"/>
  <c r="T38" i="5" s="1"/>
  <c r="U39" i="9"/>
  <c r="U38" i="5" s="1"/>
  <c r="V39" i="9"/>
  <c r="V38" i="5" s="1"/>
  <c r="W39" i="9"/>
  <c r="W38" i="5" s="1"/>
  <c r="X39" i="9"/>
  <c r="X38" i="5" s="1"/>
  <c r="Y39" i="9"/>
  <c r="Y38" i="5" s="1"/>
  <c r="Z39" i="9"/>
  <c r="Z38" i="5" s="1"/>
  <c r="AA39" i="9"/>
  <c r="AA38" i="5" s="1"/>
  <c r="AB39" i="9"/>
  <c r="AB38" i="5" s="1"/>
  <c r="AC39" i="9"/>
  <c r="AC38" i="5" s="1"/>
  <c r="AD39" i="9"/>
  <c r="AD38" i="5" s="1"/>
  <c r="AE39" i="9"/>
  <c r="AE38" i="5" s="1"/>
  <c r="AF39" i="9"/>
  <c r="AF38" i="5" s="1"/>
  <c r="AG39" i="9"/>
  <c r="AG38" i="5" s="1"/>
  <c r="AH39" i="9"/>
  <c r="AH38" i="5" s="1"/>
  <c r="AI39" i="9"/>
  <c r="AI38" i="5" s="1"/>
  <c r="AJ39" i="9"/>
  <c r="AJ38" i="5" s="1"/>
  <c r="AK39" i="9"/>
  <c r="AK38" i="5" s="1"/>
  <c r="AL39" i="9"/>
  <c r="AL38" i="5" s="1"/>
  <c r="D39" i="5"/>
  <c r="E39" i="5"/>
  <c r="F39" i="5"/>
  <c r="G39" i="5"/>
  <c r="H39" i="5"/>
  <c r="I40" i="9"/>
  <c r="I39" i="5" s="1"/>
  <c r="J40" i="9"/>
  <c r="J39" i="5" s="1"/>
  <c r="K40" i="9"/>
  <c r="K39" i="5" s="1"/>
  <c r="L40" i="9"/>
  <c r="L39" i="5" s="1"/>
  <c r="M40" i="9"/>
  <c r="M39" i="5" s="1"/>
  <c r="N40" i="9"/>
  <c r="N39" i="5" s="1"/>
  <c r="O40" i="9"/>
  <c r="O39" i="5" s="1"/>
  <c r="P40" i="9"/>
  <c r="P39" i="5" s="1"/>
  <c r="Q40" i="9"/>
  <c r="Q39" i="5" s="1"/>
  <c r="R40" i="9"/>
  <c r="R39" i="5" s="1"/>
  <c r="S40" i="9"/>
  <c r="S39" i="5" s="1"/>
  <c r="T40" i="9"/>
  <c r="T39" i="5" s="1"/>
  <c r="U40" i="9"/>
  <c r="U39" i="5" s="1"/>
  <c r="V40" i="9"/>
  <c r="V39" i="5" s="1"/>
  <c r="W40" i="9"/>
  <c r="W39" i="5" s="1"/>
  <c r="X40" i="9"/>
  <c r="X39" i="5" s="1"/>
  <c r="Y40" i="9"/>
  <c r="Y39" i="5" s="1"/>
  <c r="Z40" i="9"/>
  <c r="Z39" i="5" s="1"/>
  <c r="AA40" i="9"/>
  <c r="AA39" i="5" s="1"/>
  <c r="AB40" i="9"/>
  <c r="AB39" i="5" s="1"/>
  <c r="AC40" i="9"/>
  <c r="AC39" i="5" s="1"/>
  <c r="AD40" i="9"/>
  <c r="AD39" i="5" s="1"/>
  <c r="AE40" i="9"/>
  <c r="AE39" i="5" s="1"/>
  <c r="AF40" i="9"/>
  <c r="AF39" i="5" s="1"/>
  <c r="AG40" i="9"/>
  <c r="AG39" i="5" s="1"/>
  <c r="AH40" i="9"/>
  <c r="AH39" i="5" s="1"/>
  <c r="AI40" i="9"/>
  <c r="AI39" i="5" s="1"/>
  <c r="AJ40" i="9"/>
  <c r="AJ39" i="5" s="1"/>
  <c r="AK40" i="9"/>
  <c r="AK39" i="5" s="1"/>
  <c r="AL40" i="9"/>
  <c r="AL39" i="5" s="1"/>
  <c r="D40" i="5"/>
  <c r="E40" i="5"/>
  <c r="F40" i="5"/>
  <c r="G40" i="5"/>
  <c r="H40" i="5"/>
  <c r="I42" i="9"/>
  <c r="I40" i="5" s="1"/>
  <c r="J42" i="9"/>
  <c r="J40" i="5" s="1"/>
  <c r="K42" i="9"/>
  <c r="K40" i="5" s="1"/>
  <c r="L42" i="9"/>
  <c r="L40" i="5" s="1"/>
  <c r="M42" i="9"/>
  <c r="M40" i="5" s="1"/>
  <c r="N42" i="9"/>
  <c r="N40" i="5" s="1"/>
  <c r="O42" i="9"/>
  <c r="O40" i="5" s="1"/>
  <c r="P42" i="9"/>
  <c r="P40" i="5" s="1"/>
  <c r="Q42" i="9"/>
  <c r="Q40" i="5" s="1"/>
  <c r="R42" i="9"/>
  <c r="R40" i="5" s="1"/>
  <c r="S42" i="9"/>
  <c r="S40" i="5" s="1"/>
  <c r="T42" i="9"/>
  <c r="T40" i="5" s="1"/>
  <c r="U42" i="9"/>
  <c r="U40" i="5" s="1"/>
  <c r="V42" i="9"/>
  <c r="V40" i="5" s="1"/>
  <c r="W42" i="9"/>
  <c r="W40" i="5" s="1"/>
  <c r="X42" i="9"/>
  <c r="X40" i="5" s="1"/>
  <c r="Y42" i="9"/>
  <c r="Y40" i="5" s="1"/>
  <c r="Z42" i="9"/>
  <c r="Z40" i="5" s="1"/>
  <c r="AB42" i="9"/>
  <c r="AB40" i="5" s="1"/>
  <c r="AC42" i="9"/>
  <c r="AC40" i="5" s="1"/>
  <c r="AD42" i="9"/>
  <c r="AD40" i="5" s="1"/>
  <c r="AE42" i="9"/>
  <c r="AE40" i="5" s="1"/>
  <c r="AF42" i="9"/>
  <c r="AF40" i="5" s="1"/>
  <c r="AG42" i="9"/>
  <c r="AG40" i="5" s="1"/>
  <c r="AH42" i="9"/>
  <c r="AH40" i="5" s="1"/>
  <c r="AI42" i="9"/>
  <c r="AI40" i="5" s="1"/>
  <c r="AJ42" i="9"/>
  <c r="AJ40" i="5" s="1"/>
  <c r="AK42" i="9"/>
  <c r="AK40" i="5" s="1"/>
  <c r="AL42" i="9"/>
  <c r="AL40" i="5" s="1"/>
  <c r="D41" i="5"/>
  <c r="E41" i="5"/>
  <c r="F41" i="5"/>
  <c r="G41" i="5"/>
  <c r="H41" i="5"/>
  <c r="I43" i="9"/>
  <c r="I41" i="5" s="1"/>
  <c r="J43" i="9"/>
  <c r="J41" i="5" s="1"/>
  <c r="K43" i="9"/>
  <c r="K41" i="5" s="1"/>
  <c r="L43" i="9"/>
  <c r="L41" i="5" s="1"/>
  <c r="M43" i="9"/>
  <c r="M41" i="5" s="1"/>
  <c r="N43" i="9"/>
  <c r="N41" i="5" s="1"/>
  <c r="O43" i="9"/>
  <c r="O41" i="5" s="1"/>
  <c r="P43" i="9"/>
  <c r="P41" i="5" s="1"/>
  <c r="Q43" i="9"/>
  <c r="Q41" i="5" s="1"/>
  <c r="R43" i="9"/>
  <c r="R41" i="5" s="1"/>
  <c r="S43" i="9"/>
  <c r="S41" i="5" s="1"/>
  <c r="T43" i="9"/>
  <c r="T41" i="5" s="1"/>
  <c r="U43" i="9"/>
  <c r="U41" i="5" s="1"/>
  <c r="V43" i="9"/>
  <c r="V41" i="5" s="1"/>
  <c r="W43" i="9"/>
  <c r="W41" i="5" s="1"/>
  <c r="X43" i="9"/>
  <c r="X41" i="5" s="1"/>
  <c r="Y43" i="9"/>
  <c r="Y41" i="5" s="1"/>
  <c r="Z43" i="9"/>
  <c r="Z41" i="5" s="1"/>
  <c r="AA43" i="9"/>
  <c r="AA41" i="5" s="1"/>
  <c r="AB43" i="9"/>
  <c r="AB41" i="5" s="1"/>
  <c r="AC43" i="9"/>
  <c r="AC41" i="5" s="1"/>
  <c r="AD43" i="9"/>
  <c r="AD41" i="5" s="1"/>
  <c r="AE43" i="9"/>
  <c r="AE41" i="5" s="1"/>
  <c r="AF43" i="9"/>
  <c r="AF41" i="5" s="1"/>
  <c r="AG43" i="9"/>
  <c r="AG41" i="5" s="1"/>
  <c r="AH43" i="9"/>
  <c r="AH41" i="5" s="1"/>
  <c r="AI43" i="9"/>
  <c r="AI41" i="5" s="1"/>
  <c r="AJ43" i="9"/>
  <c r="AJ41" i="5" s="1"/>
  <c r="AK43" i="9"/>
  <c r="AK41" i="5" s="1"/>
  <c r="AL43" i="9"/>
  <c r="AL41" i="5" s="1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D44" i="5"/>
  <c r="E44" i="5"/>
  <c r="F44" i="5"/>
  <c r="G44" i="5"/>
  <c r="H44" i="5"/>
  <c r="I44" i="9"/>
  <c r="I44" i="5" s="1"/>
  <c r="J44" i="9"/>
  <c r="J44" i="5" s="1"/>
  <c r="K44" i="9"/>
  <c r="K44" i="5" s="1"/>
  <c r="L44" i="9"/>
  <c r="L44" i="5" s="1"/>
  <c r="M44" i="9"/>
  <c r="M44" i="5" s="1"/>
  <c r="N44" i="9"/>
  <c r="N44" i="5" s="1"/>
  <c r="O44" i="9"/>
  <c r="O44" i="5" s="1"/>
  <c r="P44" i="9"/>
  <c r="P44" i="5" s="1"/>
  <c r="Q44" i="9"/>
  <c r="Q44" i="5" s="1"/>
  <c r="R44" i="9"/>
  <c r="R44" i="5" s="1"/>
  <c r="S44" i="9"/>
  <c r="S44" i="5" s="1"/>
  <c r="T44" i="9"/>
  <c r="T44" i="5" s="1"/>
  <c r="U44" i="9"/>
  <c r="U44" i="5" s="1"/>
  <c r="V44" i="9"/>
  <c r="V44" i="5" s="1"/>
  <c r="W44" i="9"/>
  <c r="W44" i="5" s="1"/>
  <c r="X44" i="9"/>
  <c r="X44" i="5" s="1"/>
  <c r="Y44" i="9"/>
  <c r="Y44" i="5" s="1"/>
  <c r="Z44" i="9"/>
  <c r="Z44" i="5" s="1"/>
  <c r="AA44" i="9"/>
  <c r="AA44" i="5" s="1"/>
  <c r="AB44" i="9"/>
  <c r="AB44" i="5" s="1"/>
  <c r="AC44" i="9"/>
  <c r="AC44" i="5" s="1"/>
  <c r="AD44" i="9"/>
  <c r="AD44" i="5" s="1"/>
  <c r="AE44" i="9"/>
  <c r="AE44" i="5" s="1"/>
  <c r="AF44" i="9"/>
  <c r="AF44" i="5" s="1"/>
  <c r="AG44" i="9"/>
  <c r="AG44" i="5" s="1"/>
  <c r="AH44" i="9"/>
  <c r="AH44" i="5" s="1"/>
  <c r="AI44" i="9"/>
  <c r="AI44" i="5" s="1"/>
  <c r="AJ44" i="9"/>
  <c r="AJ44" i="5" s="1"/>
  <c r="AK44" i="9"/>
  <c r="AK44" i="5" s="1"/>
  <c r="AL44" i="9"/>
  <c r="AL44" i="5" s="1"/>
  <c r="D45" i="5"/>
  <c r="E45" i="5"/>
  <c r="F45" i="5"/>
  <c r="G45" i="5"/>
  <c r="H45" i="5"/>
  <c r="I45" i="9"/>
  <c r="I45" i="5" s="1"/>
  <c r="J45" i="9"/>
  <c r="J45" i="5" s="1"/>
  <c r="K45" i="9"/>
  <c r="K45" i="5" s="1"/>
  <c r="L45" i="9"/>
  <c r="L45" i="5" s="1"/>
  <c r="M45" i="9"/>
  <c r="M45" i="5" s="1"/>
  <c r="N45" i="9"/>
  <c r="N45" i="5" s="1"/>
  <c r="O45" i="9"/>
  <c r="O45" i="5" s="1"/>
  <c r="P45" i="9"/>
  <c r="P45" i="5" s="1"/>
  <c r="Q45" i="9"/>
  <c r="Q45" i="5" s="1"/>
  <c r="R45" i="9"/>
  <c r="R45" i="5" s="1"/>
  <c r="S45" i="9"/>
  <c r="S45" i="5" s="1"/>
  <c r="T45" i="9"/>
  <c r="T45" i="5" s="1"/>
  <c r="U45" i="9"/>
  <c r="U45" i="5" s="1"/>
  <c r="V45" i="9"/>
  <c r="V45" i="5" s="1"/>
  <c r="W45" i="9"/>
  <c r="W45" i="5" s="1"/>
  <c r="X45" i="9"/>
  <c r="X45" i="5" s="1"/>
  <c r="Y45" i="9"/>
  <c r="Y45" i="5" s="1"/>
  <c r="Z45" i="9"/>
  <c r="Z45" i="5" s="1"/>
  <c r="AA45" i="9"/>
  <c r="AA45" i="5" s="1"/>
  <c r="AB45" i="9"/>
  <c r="AB45" i="5" s="1"/>
  <c r="AC45" i="9"/>
  <c r="AC45" i="5" s="1"/>
  <c r="AD45" i="9"/>
  <c r="AD45" i="5" s="1"/>
  <c r="AE45" i="9"/>
  <c r="AE45" i="5" s="1"/>
  <c r="AF45" i="9"/>
  <c r="AF45" i="5" s="1"/>
  <c r="AG45" i="9"/>
  <c r="AG45" i="5" s="1"/>
  <c r="AH45" i="9"/>
  <c r="AH45" i="5" s="1"/>
  <c r="AI45" i="9"/>
  <c r="AI45" i="5" s="1"/>
  <c r="AJ45" i="9"/>
  <c r="AJ45" i="5" s="1"/>
  <c r="AK45" i="9"/>
  <c r="AK45" i="5" s="1"/>
  <c r="AL45" i="9"/>
  <c r="AL45" i="5" s="1"/>
  <c r="D46" i="5"/>
  <c r="E46" i="5"/>
  <c r="F46" i="5"/>
  <c r="G46" i="5"/>
  <c r="H46" i="5"/>
  <c r="I46" i="9"/>
  <c r="I46" i="5" s="1"/>
  <c r="J46" i="9"/>
  <c r="J46" i="5" s="1"/>
  <c r="K46" i="9"/>
  <c r="K46" i="5" s="1"/>
  <c r="L46" i="9"/>
  <c r="L46" i="5" s="1"/>
  <c r="M46" i="9"/>
  <c r="M46" i="5" s="1"/>
  <c r="N46" i="9"/>
  <c r="N46" i="5" s="1"/>
  <c r="O46" i="9"/>
  <c r="O46" i="5" s="1"/>
  <c r="P46" i="9"/>
  <c r="P46" i="5" s="1"/>
  <c r="Q46" i="9"/>
  <c r="Q46" i="5" s="1"/>
  <c r="R46" i="9"/>
  <c r="R46" i="5" s="1"/>
  <c r="S46" i="9"/>
  <c r="S46" i="5" s="1"/>
  <c r="T46" i="9"/>
  <c r="T46" i="5" s="1"/>
  <c r="U46" i="9"/>
  <c r="U46" i="5" s="1"/>
  <c r="V46" i="9"/>
  <c r="V46" i="5" s="1"/>
  <c r="W46" i="9"/>
  <c r="W46" i="5" s="1"/>
  <c r="X46" i="9"/>
  <c r="X46" i="5" s="1"/>
  <c r="Y46" i="9"/>
  <c r="Y46" i="5" s="1"/>
  <c r="Z46" i="9"/>
  <c r="Z46" i="5" s="1"/>
  <c r="AA46" i="9"/>
  <c r="AA46" i="5" s="1"/>
  <c r="AB46" i="9"/>
  <c r="AB46" i="5" s="1"/>
  <c r="AC46" i="9"/>
  <c r="AC46" i="5" s="1"/>
  <c r="AD46" i="9"/>
  <c r="AD46" i="5" s="1"/>
  <c r="AE46" i="9"/>
  <c r="AE46" i="5" s="1"/>
  <c r="AF46" i="9"/>
  <c r="AF46" i="5" s="1"/>
  <c r="AG46" i="9"/>
  <c r="AG46" i="5" s="1"/>
  <c r="AH46" i="9"/>
  <c r="AH46" i="5" s="1"/>
  <c r="AI46" i="9"/>
  <c r="AI46" i="5" s="1"/>
  <c r="AJ46" i="9"/>
  <c r="AJ46" i="5" s="1"/>
  <c r="AK46" i="9"/>
  <c r="AK46" i="5" s="1"/>
  <c r="AL46" i="9"/>
  <c r="AL46" i="5" s="1"/>
  <c r="D47" i="5"/>
  <c r="E47" i="5"/>
  <c r="F47" i="5"/>
  <c r="G47" i="5"/>
  <c r="H47" i="5"/>
  <c r="I48" i="9"/>
  <c r="I47" i="5" s="1"/>
  <c r="J48" i="9"/>
  <c r="J47" i="5" s="1"/>
  <c r="K48" i="9"/>
  <c r="K47" i="5" s="1"/>
  <c r="L48" i="9"/>
  <c r="L47" i="5" s="1"/>
  <c r="M48" i="9"/>
  <c r="M47" i="5" s="1"/>
  <c r="N48" i="9"/>
  <c r="N47" i="5" s="1"/>
  <c r="O48" i="9"/>
  <c r="O47" i="5" s="1"/>
  <c r="P48" i="9"/>
  <c r="P47" i="5" s="1"/>
  <c r="Q48" i="9"/>
  <c r="Q47" i="5" s="1"/>
  <c r="R48" i="9"/>
  <c r="R47" i="5" s="1"/>
  <c r="S48" i="9"/>
  <c r="S47" i="5" s="1"/>
  <c r="T48" i="9"/>
  <c r="T47" i="5" s="1"/>
  <c r="U48" i="9"/>
  <c r="U47" i="5" s="1"/>
  <c r="V48" i="9"/>
  <c r="V47" i="5" s="1"/>
  <c r="W48" i="9"/>
  <c r="W47" i="5" s="1"/>
  <c r="X48" i="9"/>
  <c r="X47" i="5" s="1"/>
  <c r="Y48" i="9"/>
  <c r="Y47" i="5" s="1"/>
  <c r="Z48" i="9"/>
  <c r="Z47" i="5" s="1"/>
  <c r="AA48" i="9"/>
  <c r="AA47" i="5" s="1"/>
  <c r="AB48" i="9"/>
  <c r="AB47" i="5" s="1"/>
  <c r="AC48" i="9"/>
  <c r="AC47" i="5" s="1"/>
  <c r="AD48" i="9"/>
  <c r="AD47" i="5" s="1"/>
  <c r="AE48" i="9"/>
  <c r="AE47" i="5" s="1"/>
  <c r="AF48" i="9"/>
  <c r="AF47" i="5" s="1"/>
  <c r="AG48" i="9"/>
  <c r="AG47" i="5" s="1"/>
  <c r="AH48" i="9"/>
  <c r="AH47" i="5" s="1"/>
  <c r="AI48" i="9"/>
  <c r="AI47" i="5" s="1"/>
  <c r="AJ48" i="9"/>
  <c r="AJ47" i="5" s="1"/>
  <c r="AK48" i="9"/>
  <c r="AK47" i="5" s="1"/>
  <c r="AL48" i="9"/>
  <c r="AL47" i="5" s="1"/>
  <c r="D48" i="5"/>
  <c r="E48" i="5"/>
  <c r="F48" i="5"/>
  <c r="G48" i="5"/>
  <c r="H48" i="5"/>
  <c r="I49" i="9"/>
  <c r="I48" i="5" s="1"/>
  <c r="J49" i="9"/>
  <c r="J48" i="5" s="1"/>
  <c r="K49" i="9"/>
  <c r="K48" i="5" s="1"/>
  <c r="L49" i="9"/>
  <c r="L48" i="5" s="1"/>
  <c r="M49" i="9"/>
  <c r="M48" i="5" s="1"/>
  <c r="N49" i="9"/>
  <c r="N48" i="5" s="1"/>
  <c r="O49" i="9"/>
  <c r="O48" i="5" s="1"/>
  <c r="P49" i="9"/>
  <c r="P48" i="5" s="1"/>
  <c r="Q49" i="9"/>
  <c r="Q48" i="5" s="1"/>
  <c r="R49" i="9"/>
  <c r="R48" i="5" s="1"/>
  <c r="S49" i="9"/>
  <c r="S48" i="5" s="1"/>
  <c r="T49" i="9"/>
  <c r="T48" i="5" s="1"/>
  <c r="U49" i="9"/>
  <c r="U48" i="5" s="1"/>
  <c r="V49" i="9"/>
  <c r="V48" i="5" s="1"/>
  <c r="W49" i="9"/>
  <c r="W48" i="5" s="1"/>
  <c r="X49" i="9"/>
  <c r="X48" i="5" s="1"/>
  <c r="Y49" i="9"/>
  <c r="Y48" i="5" s="1"/>
  <c r="Z49" i="9"/>
  <c r="Z48" i="5" s="1"/>
  <c r="AA49" i="9"/>
  <c r="AA48" i="5" s="1"/>
  <c r="AB49" i="9"/>
  <c r="AB48" i="5" s="1"/>
  <c r="AC49" i="9"/>
  <c r="AC48" i="5" s="1"/>
  <c r="AD49" i="9"/>
  <c r="AD48" i="5" s="1"/>
  <c r="AE49" i="9"/>
  <c r="AE48" i="5" s="1"/>
  <c r="AF49" i="9"/>
  <c r="AF48" i="5" s="1"/>
  <c r="AG49" i="9"/>
  <c r="AG48" i="5" s="1"/>
  <c r="AH49" i="9"/>
  <c r="AH48" i="5" s="1"/>
  <c r="AI49" i="9"/>
  <c r="AI48" i="5" s="1"/>
  <c r="AJ49" i="9"/>
  <c r="AJ48" i="5" s="1"/>
  <c r="AK49" i="9"/>
  <c r="AK48" i="5" s="1"/>
  <c r="AL49" i="9"/>
  <c r="AL48" i="5" s="1"/>
  <c r="D49" i="5"/>
  <c r="E49" i="5"/>
  <c r="F49" i="5"/>
  <c r="G49" i="5"/>
  <c r="H49" i="5"/>
  <c r="I50" i="9"/>
  <c r="I49" i="5" s="1"/>
  <c r="J50" i="9"/>
  <c r="J49" i="5" s="1"/>
  <c r="K50" i="9"/>
  <c r="K49" i="5" s="1"/>
  <c r="L50" i="9"/>
  <c r="L49" i="5" s="1"/>
  <c r="M50" i="9"/>
  <c r="M49" i="5" s="1"/>
  <c r="N50" i="9"/>
  <c r="N49" i="5" s="1"/>
  <c r="O50" i="9"/>
  <c r="O49" i="5" s="1"/>
  <c r="P50" i="9"/>
  <c r="P49" i="5" s="1"/>
  <c r="Q50" i="9"/>
  <c r="Q49" i="5" s="1"/>
  <c r="R50" i="9"/>
  <c r="R49" i="5" s="1"/>
  <c r="S50" i="9"/>
  <c r="S49" i="5" s="1"/>
  <c r="T50" i="9"/>
  <c r="T49" i="5" s="1"/>
  <c r="U50" i="9"/>
  <c r="U49" i="5" s="1"/>
  <c r="V50" i="9"/>
  <c r="V49" i="5" s="1"/>
  <c r="W50" i="9"/>
  <c r="W49" i="5" s="1"/>
  <c r="X50" i="9"/>
  <c r="X49" i="5" s="1"/>
  <c r="Y50" i="9"/>
  <c r="Y49" i="5" s="1"/>
  <c r="Z50" i="9"/>
  <c r="Z49" i="5" s="1"/>
  <c r="AA50" i="9"/>
  <c r="AA49" i="5" s="1"/>
  <c r="AB50" i="9"/>
  <c r="AB49" i="5" s="1"/>
  <c r="AC50" i="9"/>
  <c r="AC49" i="5" s="1"/>
  <c r="AD50" i="9"/>
  <c r="AD49" i="5" s="1"/>
  <c r="AE50" i="9"/>
  <c r="AE49" i="5" s="1"/>
  <c r="AF50" i="9"/>
  <c r="AF49" i="5" s="1"/>
  <c r="AG50" i="9"/>
  <c r="AG49" i="5" s="1"/>
  <c r="AH50" i="9"/>
  <c r="AH49" i="5" s="1"/>
  <c r="AI50" i="9"/>
  <c r="AI49" i="5" s="1"/>
  <c r="AJ50" i="9"/>
  <c r="AJ49" i="5" s="1"/>
  <c r="AK50" i="9"/>
  <c r="AK49" i="5" s="1"/>
  <c r="AL50" i="9"/>
  <c r="AL49" i="5" s="1"/>
  <c r="D50" i="5"/>
  <c r="E50" i="5"/>
  <c r="F50" i="5"/>
  <c r="G50" i="5"/>
  <c r="H50" i="5"/>
  <c r="I51" i="9"/>
  <c r="I50" i="5" s="1"/>
  <c r="J51" i="9"/>
  <c r="J50" i="5" s="1"/>
  <c r="K51" i="9"/>
  <c r="K50" i="5" s="1"/>
  <c r="L51" i="9"/>
  <c r="L50" i="5" s="1"/>
  <c r="M51" i="9"/>
  <c r="M50" i="5" s="1"/>
  <c r="N51" i="9"/>
  <c r="N50" i="5" s="1"/>
  <c r="O51" i="9"/>
  <c r="O50" i="5" s="1"/>
  <c r="P51" i="9"/>
  <c r="P50" i="5" s="1"/>
  <c r="Q51" i="9"/>
  <c r="Q50" i="5" s="1"/>
  <c r="R51" i="9"/>
  <c r="R50" i="5" s="1"/>
  <c r="S51" i="9"/>
  <c r="S50" i="5" s="1"/>
  <c r="T51" i="9"/>
  <c r="T50" i="5" s="1"/>
  <c r="U51" i="9"/>
  <c r="U50" i="5" s="1"/>
  <c r="V51" i="9"/>
  <c r="V50" i="5" s="1"/>
  <c r="W51" i="9"/>
  <c r="W50" i="5" s="1"/>
  <c r="X51" i="9"/>
  <c r="X50" i="5" s="1"/>
  <c r="Y51" i="9"/>
  <c r="Y50" i="5" s="1"/>
  <c r="Z51" i="9"/>
  <c r="Z50" i="5" s="1"/>
  <c r="AA51" i="9"/>
  <c r="AA50" i="5" s="1"/>
  <c r="AB51" i="9"/>
  <c r="AB50" i="5" s="1"/>
  <c r="AC51" i="9"/>
  <c r="AC50" i="5" s="1"/>
  <c r="AD51" i="9"/>
  <c r="AD50" i="5" s="1"/>
  <c r="AE51" i="9"/>
  <c r="AE50" i="5" s="1"/>
  <c r="AF51" i="9"/>
  <c r="AF50" i="5" s="1"/>
  <c r="AG51" i="9"/>
  <c r="AG50" i="5" s="1"/>
  <c r="AH51" i="9"/>
  <c r="AH50" i="5" s="1"/>
  <c r="AI51" i="9"/>
  <c r="AI50" i="5" s="1"/>
  <c r="AJ51" i="9"/>
  <c r="AJ50" i="5" s="1"/>
  <c r="AK51" i="9"/>
  <c r="AK50" i="5" s="1"/>
  <c r="AL51" i="9"/>
  <c r="AL50" i="5" s="1"/>
  <c r="D51" i="5"/>
  <c r="E51" i="5"/>
  <c r="F51" i="5"/>
  <c r="G51" i="5"/>
  <c r="H51" i="5"/>
  <c r="I52" i="9"/>
  <c r="I51" i="5" s="1"/>
  <c r="J52" i="9"/>
  <c r="J51" i="5" s="1"/>
  <c r="K52" i="9"/>
  <c r="K51" i="5" s="1"/>
  <c r="L52" i="9"/>
  <c r="L51" i="5" s="1"/>
  <c r="M52" i="9"/>
  <c r="M51" i="5" s="1"/>
  <c r="N52" i="9"/>
  <c r="N51" i="5" s="1"/>
  <c r="O52" i="9"/>
  <c r="O51" i="5" s="1"/>
  <c r="P52" i="9"/>
  <c r="P51" i="5" s="1"/>
  <c r="Q52" i="9"/>
  <c r="Q51" i="5" s="1"/>
  <c r="R52" i="9"/>
  <c r="R51" i="5" s="1"/>
  <c r="S52" i="9"/>
  <c r="S51" i="5" s="1"/>
  <c r="T52" i="9"/>
  <c r="T51" i="5" s="1"/>
  <c r="U52" i="9"/>
  <c r="U51" i="5" s="1"/>
  <c r="V52" i="9"/>
  <c r="V51" i="5" s="1"/>
  <c r="W52" i="9"/>
  <c r="W51" i="5" s="1"/>
  <c r="X52" i="9"/>
  <c r="X51" i="5" s="1"/>
  <c r="Y52" i="9"/>
  <c r="Y51" i="5" s="1"/>
  <c r="Z52" i="9"/>
  <c r="Z51" i="5" s="1"/>
  <c r="AB52" i="9"/>
  <c r="AB51" i="5" s="1"/>
  <c r="AC52" i="9"/>
  <c r="AC51" i="5" s="1"/>
  <c r="AD52" i="9"/>
  <c r="AD51" i="5" s="1"/>
  <c r="AE52" i="9"/>
  <c r="AE51" i="5" s="1"/>
  <c r="AF52" i="9"/>
  <c r="AF51" i="5" s="1"/>
  <c r="AG52" i="9"/>
  <c r="AG51" i="5" s="1"/>
  <c r="AH52" i="9"/>
  <c r="AH51" i="5" s="1"/>
  <c r="AI52" i="9"/>
  <c r="AI51" i="5" s="1"/>
  <c r="AJ52" i="9"/>
  <c r="AJ51" i="5" s="1"/>
  <c r="AK52" i="9"/>
  <c r="AK51" i="5" s="1"/>
  <c r="AL52" i="9"/>
  <c r="AL51" i="5" s="1"/>
  <c r="D52" i="5"/>
  <c r="E52" i="5"/>
  <c r="F52" i="5"/>
  <c r="G52" i="5"/>
  <c r="H52" i="5"/>
  <c r="I53" i="9"/>
  <c r="I52" i="5" s="1"/>
  <c r="J53" i="9"/>
  <c r="J52" i="5" s="1"/>
  <c r="K53" i="9"/>
  <c r="K52" i="5" s="1"/>
  <c r="L53" i="9"/>
  <c r="L52" i="5" s="1"/>
  <c r="M53" i="9"/>
  <c r="M52" i="5" s="1"/>
  <c r="N53" i="9"/>
  <c r="N52" i="5" s="1"/>
  <c r="O53" i="9"/>
  <c r="O52" i="5" s="1"/>
  <c r="P53" i="9"/>
  <c r="P52" i="5" s="1"/>
  <c r="Q53" i="9"/>
  <c r="Q52" i="5" s="1"/>
  <c r="R53" i="9"/>
  <c r="R52" i="5" s="1"/>
  <c r="S53" i="9"/>
  <c r="S52" i="5" s="1"/>
  <c r="T53" i="9"/>
  <c r="T52" i="5" s="1"/>
  <c r="U53" i="9"/>
  <c r="U52" i="5" s="1"/>
  <c r="V53" i="9"/>
  <c r="V52" i="5" s="1"/>
  <c r="X53" i="9"/>
  <c r="X52" i="5" s="1"/>
  <c r="Y53" i="9"/>
  <c r="Y52" i="5" s="1"/>
  <c r="Z53" i="9"/>
  <c r="Z52" i="5" s="1"/>
  <c r="AA53" i="9"/>
  <c r="AA52" i="5" s="1"/>
  <c r="AB53" i="9"/>
  <c r="AB52" i="5" s="1"/>
  <c r="AC53" i="9"/>
  <c r="AC52" i="5" s="1"/>
  <c r="AD53" i="9"/>
  <c r="AD52" i="5" s="1"/>
  <c r="AE53" i="9"/>
  <c r="AE52" i="5" s="1"/>
  <c r="AF53" i="9"/>
  <c r="AF52" i="5" s="1"/>
  <c r="AG53" i="9"/>
  <c r="AG52" i="5" s="1"/>
  <c r="AH53" i="9"/>
  <c r="AH52" i="5" s="1"/>
  <c r="AI53" i="9"/>
  <c r="AI52" i="5" s="1"/>
  <c r="AJ53" i="9"/>
  <c r="AJ52" i="5" s="1"/>
  <c r="AK53" i="9"/>
  <c r="AK52" i="5" s="1"/>
  <c r="AL53" i="9"/>
  <c r="AL52" i="5" s="1"/>
  <c r="D53" i="5"/>
  <c r="E53" i="5"/>
  <c r="F53" i="5"/>
  <c r="G53" i="5"/>
  <c r="H53" i="5"/>
  <c r="I54" i="9"/>
  <c r="I53" i="5" s="1"/>
  <c r="J54" i="9"/>
  <c r="J53" i="5" s="1"/>
  <c r="K54" i="9"/>
  <c r="K53" i="5" s="1"/>
  <c r="L54" i="9"/>
  <c r="L53" i="5" s="1"/>
  <c r="M54" i="9"/>
  <c r="M53" i="5" s="1"/>
  <c r="N54" i="9"/>
  <c r="N53" i="5" s="1"/>
  <c r="O54" i="9"/>
  <c r="O53" i="5" s="1"/>
  <c r="P54" i="9"/>
  <c r="P53" i="5" s="1"/>
  <c r="Q54" i="9"/>
  <c r="Q53" i="5" s="1"/>
  <c r="R54" i="9"/>
  <c r="R53" i="5" s="1"/>
  <c r="S54" i="9"/>
  <c r="S53" i="5" s="1"/>
  <c r="T54" i="9"/>
  <c r="T53" i="5" s="1"/>
  <c r="U54" i="9"/>
  <c r="U53" i="5" s="1"/>
  <c r="V54" i="9"/>
  <c r="V53" i="5" s="1"/>
  <c r="W54" i="9"/>
  <c r="W53" i="5" s="1"/>
  <c r="X54" i="9"/>
  <c r="X53" i="5" s="1"/>
  <c r="Y54" i="9"/>
  <c r="Y53" i="5" s="1"/>
  <c r="Z54" i="9"/>
  <c r="Z53" i="5" s="1"/>
  <c r="AA54" i="9"/>
  <c r="AA53" i="5" s="1"/>
  <c r="AB54" i="9"/>
  <c r="AB53" i="5" s="1"/>
  <c r="AC54" i="9"/>
  <c r="AC53" i="5" s="1"/>
  <c r="AD54" i="9"/>
  <c r="AD53" i="5" s="1"/>
  <c r="AE54" i="9"/>
  <c r="AE53" i="5" s="1"/>
  <c r="AF54" i="9"/>
  <c r="AF53" i="5" s="1"/>
  <c r="AG54" i="9"/>
  <c r="AG53" i="5" s="1"/>
  <c r="AH54" i="9"/>
  <c r="AH53" i="5" s="1"/>
  <c r="AI54" i="9"/>
  <c r="AI53" i="5" s="1"/>
  <c r="AJ54" i="9"/>
  <c r="AJ53" i="5" s="1"/>
  <c r="AK54" i="9"/>
  <c r="AK53" i="5" s="1"/>
  <c r="AL54" i="9"/>
  <c r="AL53" i="5" s="1"/>
  <c r="D54" i="5"/>
  <c r="E54" i="5"/>
  <c r="F54" i="5"/>
  <c r="G54" i="5"/>
  <c r="H54" i="5"/>
  <c r="I55" i="9"/>
  <c r="I54" i="5" s="1"/>
  <c r="J55" i="9"/>
  <c r="J54" i="5" s="1"/>
  <c r="K55" i="9"/>
  <c r="K54" i="5" s="1"/>
  <c r="L55" i="9"/>
  <c r="L54" i="5" s="1"/>
  <c r="M55" i="9"/>
  <c r="M54" i="5" s="1"/>
  <c r="N55" i="9"/>
  <c r="N54" i="5" s="1"/>
  <c r="O55" i="9"/>
  <c r="O54" i="5" s="1"/>
  <c r="P55" i="9"/>
  <c r="P54" i="5" s="1"/>
  <c r="Q55" i="9"/>
  <c r="Q54" i="5" s="1"/>
  <c r="R55" i="9"/>
  <c r="R54" i="5" s="1"/>
  <c r="S55" i="9"/>
  <c r="S54" i="5" s="1"/>
  <c r="T55" i="9"/>
  <c r="T54" i="5" s="1"/>
  <c r="U55" i="9"/>
  <c r="U54" i="5" s="1"/>
  <c r="V55" i="9"/>
  <c r="V54" i="5" s="1"/>
  <c r="W55" i="9"/>
  <c r="W54" i="5" s="1"/>
  <c r="X55" i="9"/>
  <c r="X54" i="5" s="1"/>
  <c r="Y55" i="9"/>
  <c r="Y54" i="5" s="1"/>
  <c r="Z55" i="9"/>
  <c r="Z54" i="5" s="1"/>
  <c r="AA55" i="9"/>
  <c r="AA54" i="5" s="1"/>
  <c r="AB55" i="9"/>
  <c r="AB54" i="5" s="1"/>
  <c r="AC55" i="9"/>
  <c r="AC54" i="5" s="1"/>
  <c r="AD55" i="9"/>
  <c r="AD54" i="5" s="1"/>
  <c r="AE55" i="9"/>
  <c r="AE54" i="5" s="1"/>
  <c r="AF55" i="9"/>
  <c r="AF54" i="5" s="1"/>
  <c r="AG55" i="9"/>
  <c r="AG54" i="5" s="1"/>
  <c r="AH55" i="9"/>
  <c r="AH54" i="5" s="1"/>
  <c r="AI55" i="9"/>
  <c r="AI54" i="5" s="1"/>
  <c r="AJ55" i="9"/>
  <c r="AJ54" i="5" s="1"/>
  <c r="AK55" i="9"/>
  <c r="AK54" i="5" s="1"/>
  <c r="AL55" i="9"/>
  <c r="AL54" i="5" s="1"/>
  <c r="D55" i="5"/>
  <c r="E55" i="5"/>
  <c r="F55" i="5"/>
  <c r="G55" i="5"/>
  <c r="H55" i="5"/>
  <c r="I56" i="9"/>
  <c r="I55" i="5" s="1"/>
  <c r="J56" i="9"/>
  <c r="J55" i="5" s="1"/>
  <c r="K56" i="9"/>
  <c r="K55" i="5" s="1"/>
  <c r="L56" i="9"/>
  <c r="L55" i="5" s="1"/>
  <c r="M56" i="9"/>
  <c r="M55" i="5" s="1"/>
  <c r="N56" i="9"/>
  <c r="N55" i="5" s="1"/>
  <c r="O56" i="9"/>
  <c r="O55" i="5" s="1"/>
  <c r="P56" i="9"/>
  <c r="P55" i="5" s="1"/>
  <c r="Q56" i="9"/>
  <c r="Q55" i="5" s="1"/>
  <c r="R56" i="9"/>
  <c r="R55" i="5" s="1"/>
  <c r="S56" i="9"/>
  <c r="S55" i="5" s="1"/>
  <c r="T56" i="9"/>
  <c r="T55" i="5" s="1"/>
  <c r="U56" i="9"/>
  <c r="U55" i="5" s="1"/>
  <c r="V56" i="9"/>
  <c r="V55" i="5" s="1"/>
  <c r="W56" i="9"/>
  <c r="W55" i="5" s="1"/>
  <c r="X56" i="9"/>
  <c r="X55" i="5" s="1"/>
  <c r="Y56" i="9"/>
  <c r="Y55" i="5" s="1"/>
  <c r="Z56" i="9"/>
  <c r="Z55" i="5" s="1"/>
  <c r="AB56" i="9"/>
  <c r="AB55" i="5" s="1"/>
  <c r="AC56" i="9"/>
  <c r="AC55" i="5" s="1"/>
  <c r="AD56" i="9"/>
  <c r="AD55" i="5" s="1"/>
  <c r="AE56" i="9"/>
  <c r="AE55" i="5" s="1"/>
  <c r="AF56" i="9"/>
  <c r="AF55" i="5" s="1"/>
  <c r="AG56" i="9"/>
  <c r="AG55" i="5" s="1"/>
  <c r="AH56" i="9"/>
  <c r="AH55" i="5" s="1"/>
  <c r="AI56" i="9"/>
  <c r="AI55" i="5" s="1"/>
  <c r="AJ56" i="9"/>
  <c r="AJ55" i="5" s="1"/>
  <c r="AK56" i="9"/>
  <c r="AK55" i="5" s="1"/>
  <c r="AL56" i="9"/>
  <c r="AL55" i="5" s="1"/>
  <c r="D57" i="5"/>
  <c r="E57" i="5"/>
  <c r="F57" i="5"/>
  <c r="G57" i="5"/>
  <c r="H57" i="5"/>
  <c r="I58" i="9"/>
  <c r="I57" i="5" s="1"/>
  <c r="J58" i="9"/>
  <c r="J57" i="5" s="1"/>
  <c r="K58" i="9"/>
  <c r="K57" i="5" s="1"/>
  <c r="L58" i="9"/>
  <c r="L57" i="5" s="1"/>
  <c r="M58" i="9"/>
  <c r="M57" i="5" s="1"/>
  <c r="N58" i="9"/>
  <c r="N57" i="5" s="1"/>
  <c r="O58" i="9"/>
  <c r="O57" i="5" s="1"/>
  <c r="P58" i="9"/>
  <c r="P57" i="5" s="1"/>
  <c r="Q58" i="9"/>
  <c r="Q57" i="5" s="1"/>
  <c r="R58" i="9"/>
  <c r="R57" i="5" s="1"/>
  <c r="S58" i="9"/>
  <c r="S57" i="5" s="1"/>
  <c r="T58" i="9"/>
  <c r="T57" i="5" s="1"/>
  <c r="U58" i="9"/>
  <c r="U57" i="5" s="1"/>
  <c r="V58" i="9"/>
  <c r="V57" i="5" s="1"/>
  <c r="W58" i="9"/>
  <c r="W57" i="5" s="1"/>
  <c r="X58" i="9"/>
  <c r="X57" i="5" s="1"/>
  <c r="Y58" i="9"/>
  <c r="Y57" i="5" s="1"/>
  <c r="Z58" i="9"/>
  <c r="Z57" i="5" s="1"/>
  <c r="AA58" i="9"/>
  <c r="AA57" i="5" s="1"/>
  <c r="AB58" i="9"/>
  <c r="AB57" i="5" s="1"/>
  <c r="AC58" i="9"/>
  <c r="AC57" i="5" s="1"/>
  <c r="AD58" i="9"/>
  <c r="AD57" i="5" s="1"/>
  <c r="AE58" i="9"/>
  <c r="AE57" i="5" s="1"/>
  <c r="AF58" i="9"/>
  <c r="AF57" i="5" s="1"/>
  <c r="AG58" i="9"/>
  <c r="AG57" i="5" s="1"/>
  <c r="AH58" i="9"/>
  <c r="AH57" i="5" s="1"/>
  <c r="AI58" i="9"/>
  <c r="AI57" i="5" s="1"/>
  <c r="AJ58" i="9"/>
  <c r="AJ57" i="5" s="1"/>
  <c r="AK58" i="9"/>
  <c r="AK57" i="5" s="1"/>
  <c r="AL58" i="9"/>
  <c r="AL57" i="5" s="1"/>
  <c r="D58" i="5"/>
  <c r="E58" i="5"/>
  <c r="F58" i="5"/>
  <c r="G58" i="5"/>
  <c r="H58" i="5"/>
  <c r="I59" i="9"/>
  <c r="I58" i="5" s="1"/>
  <c r="J59" i="9"/>
  <c r="J58" i="5" s="1"/>
  <c r="K59" i="9"/>
  <c r="K58" i="5" s="1"/>
  <c r="L59" i="9"/>
  <c r="L58" i="5" s="1"/>
  <c r="M59" i="9"/>
  <c r="M58" i="5" s="1"/>
  <c r="N59" i="9"/>
  <c r="N58" i="5" s="1"/>
  <c r="O59" i="9"/>
  <c r="O58" i="5" s="1"/>
  <c r="P59" i="9"/>
  <c r="P58" i="5" s="1"/>
  <c r="Q59" i="9"/>
  <c r="Q58" i="5" s="1"/>
  <c r="R59" i="9"/>
  <c r="R58" i="5" s="1"/>
  <c r="S59" i="9"/>
  <c r="S58" i="5" s="1"/>
  <c r="T59" i="9"/>
  <c r="T58" i="5" s="1"/>
  <c r="U59" i="9"/>
  <c r="U58" i="5" s="1"/>
  <c r="V59" i="9"/>
  <c r="V58" i="5" s="1"/>
  <c r="W59" i="9"/>
  <c r="W58" i="5" s="1"/>
  <c r="X59" i="9"/>
  <c r="X58" i="5" s="1"/>
  <c r="Y59" i="9"/>
  <c r="Y58" i="5" s="1"/>
  <c r="Z59" i="9"/>
  <c r="Z58" i="5" s="1"/>
  <c r="AB59" i="9"/>
  <c r="AB58" i="5" s="1"/>
  <c r="AC59" i="9"/>
  <c r="AC58" i="5" s="1"/>
  <c r="AD59" i="9"/>
  <c r="AD58" i="5" s="1"/>
  <c r="AE59" i="9"/>
  <c r="AE58" i="5" s="1"/>
  <c r="AF59" i="9"/>
  <c r="AF58" i="5" s="1"/>
  <c r="AG59" i="9"/>
  <c r="AG58" i="5" s="1"/>
  <c r="AH59" i="9"/>
  <c r="AH58" i="5" s="1"/>
  <c r="AI59" i="9"/>
  <c r="AI58" i="5" s="1"/>
  <c r="AJ59" i="9"/>
  <c r="AJ58" i="5" s="1"/>
  <c r="AK59" i="9"/>
  <c r="AK58" i="5" s="1"/>
  <c r="AL59" i="9"/>
  <c r="AL58" i="5" s="1"/>
  <c r="D59" i="5"/>
  <c r="E59" i="5"/>
  <c r="F59" i="5"/>
  <c r="G59" i="5"/>
  <c r="H59" i="5"/>
  <c r="I60" i="9"/>
  <c r="I59" i="5" s="1"/>
  <c r="J60" i="9"/>
  <c r="J59" i="5" s="1"/>
  <c r="K60" i="9"/>
  <c r="K59" i="5" s="1"/>
  <c r="L60" i="9"/>
  <c r="L59" i="5" s="1"/>
  <c r="M60" i="9"/>
  <c r="M59" i="5" s="1"/>
  <c r="N60" i="9"/>
  <c r="N59" i="5" s="1"/>
  <c r="O60" i="9"/>
  <c r="O59" i="5" s="1"/>
  <c r="P60" i="9"/>
  <c r="P59" i="5" s="1"/>
  <c r="Q60" i="9"/>
  <c r="Q59" i="5" s="1"/>
  <c r="R60" i="9"/>
  <c r="R59" i="5" s="1"/>
  <c r="S60" i="9"/>
  <c r="S59" i="5" s="1"/>
  <c r="T60" i="9"/>
  <c r="T59" i="5" s="1"/>
  <c r="U60" i="9"/>
  <c r="U59" i="5" s="1"/>
  <c r="V60" i="9"/>
  <c r="V59" i="5" s="1"/>
  <c r="X60" i="9"/>
  <c r="X59" i="5" s="1"/>
  <c r="Y60" i="9"/>
  <c r="Y59" i="5" s="1"/>
  <c r="Z60" i="9"/>
  <c r="Z59" i="5" s="1"/>
  <c r="AA60" i="9"/>
  <c r="AA59" i="5" s="1"/>
  <c r="AB60" i="9"/>
  <c r="AB59" i="5" s="1"/>
  <c r="AC60" i="9"/>
  <c r="AC59" i="5" s="1"/>
  <c r="AD60" i="9"/>
  <c r="AD59" i="5" s="1"/>
  <c r="AE60" i="9"/>
  <c r="AE59" i="5" s="1"/>
  <c r="AF60" i="9"/>
  <c r="AF59" i="5" s="1"/>
  <c r="AG60" i="9"/>
  <c r="AG59" i="5" s="1"/>
  <c r="AH60" i="9"/>
  <c r="AH59" i="5" s="1"/>
  <c r="AI60" i="9"/>
  <c r="AI59" i="5" s="1"/>
  <c r="AJ60" i="9"/>
  <c r="AJ59" i="5" s="1"/>
  <c r="AK60" i="9"/>
  <c r="AK59" i="5" s="1"/>
  <c r="AL60" i="9"/>
  <c r="AL59" i="5" s="1"/>
  <c r="D60" i="5"/>
  <c r="E60" i="5"/>
  <c r="F60" i="5"/>
  <c r="G60" i="5"/>
  <c r="H60" i="5"/>
  <c r="I61" i="9"/>
  <c r="I60" i="5" s="1"/>
  <c r="J61" i="9"/>
  <c r="J60" i="5" s="1"/>
  <c r="K61" i="9"/>
  <c r="K60" i="5" s="1"/>
  <c r="L61" i="9"/>
  <c r="L60" i="5" s="1"/>
  <c r="M61" i="9"/>
  <c r="M60" i="5" s="1"/>
  <c r="N61" i="9"/>
  <c r="N60" i="5" s="1"/>
  <c r="O61" i="9"/>
  <c r="O60" i="5" s="1"/>
  <c r="P61" i="9"/>
  <c r="P60" i="5" s="1"/>
  <c r="Q61" i="9"/>
  <c r="Q60" i="5" s="1"/>
  <c r="R61" i="9"/>
  <c r="R60" i="5" s="1"/>
  <c r="S61" i="9"/>
  <c r="S60" i="5" s="1"/>
  <c r="T61" i="9"/>
  <c r="T60" i="5" s="1"/>
  <c r="U61" i="9"/>
  <c r="U60" i="5" s="1"/>
  <c r="V61" i="9"/>
  <c r="V60" i="5" s="1"/>
  <c r="W61" i="9"/>
  <c r="W60" i="5" s="1"/>
  <c r="X61" i="9"/>
  <c r="X60" i="5" s="1"/>
  <c r="Y61" i="9"/>
  <c r="Y60" i="5" s="1"/>
  <c r="Z61" i="9"/>
  <c r="Z60" i="5" s="1"/>
  <c r="AA61" i="9"/>
  <c r="AA60" i="5" s="1"/>
  <c r="AB61" i="9"/>
  <c r="AB60" i="5" s="1"/>
  <c r="AC61" i="9"/>
  <c r="AC60" i="5" s="1"/>
  <c r="AD61" i="9"/>
  <c r="AD60" i="5" s="1"/>
  <c r="AE61" i="9"/>
  <c r="AE60" i="5" s="1"/>
  <c r="AF61" i="9"/>
  <c r="AF60" i="5" s="1"/>
  <c r="AG61" i="9"/>
  <c r="AG60" i="5" s="1"/>
  <c r="AH61" i="9"/>
  <c r="AH60" i="5" s="1"/>
  <c r="AI61" i="9"/>
  <c r="AI60" i="5" s="1"/>
  <c r="AJ61" i="9"/>
  <c r="AJ60" i="5" s="1"/>
  <c r="AK61" i="9"/>
  <c r="AK60" i="5" s="1"/>
  <c r="AL61" i="9"/>
  <c r="AL60" i="5" s="1"/>
  <c r="D61" i="5"/>
  <c r="E61" i="5"/>
  <c r="F61" i="5"/>
  <c r="G61" i="5"/>
  <c r="H61" i="5"/>
  <c r="I62" i="9"/>
  <c r="I61" i="5" s="1"/>
  <c r="J62" i="9"/>
  <c r="J61" i="5" s="1"/>
  <c r="K62" i="9"/>
  <c r="K61" i="5" s="1"/>
  <c r="L62" i="9"/>
  <c r="L61" i="5" s="1"/>
  <c r="M62" i="9"/>
  <c r="M61" i="5" s="1"/>
  <c r="N62" i="9"/>
  <c r="N61" i="5" s="1"/>
  <c r="O62" i="9"/>
  <c r="O61" i="5" s="1"/>
  <c r="P62" i="9"/>
  <c r="P61" i="5" s="1"/>
  <c r="Q62" i="9"/>
  <c r="Q61" i="5" s="1"/>
  <c r="R62" i="9"/>
  <c r="R61" i="5" s="1"/>
  <c r="S62" i="9"/>
  <c r="S61" i="5" s="1"/>
  <c r="T62" i="9"/>
  <c r="T61" i="5" s="1"/>
  <c r="U62" i="9"/>
  <c r="U61" i="5" s="1"/>
  <c r="V62" i="9"/>
  <c r="V61" i="5" s="1"/>
  <c r="W62" i="9"/>
  <c r="W61" i="5" s="1"/>
  <c r="X62" i="9"/>
  <c r="X61" i="5" s="1"/>
  <c r="Y62" i="9"/>
  <c r="Y61" i="5" s="1"/>
  <c r="Z62" i="9"/>
  <c r="Z61" i="5" s="1"/>
  <c r="AA62" i="9"/>
  <c r="AA61" i="5" s="1"/>
  <c r="AB62" i="9"/>
  <c r="AB61" i="5" s="1"/>
  <c r="AC62" i="9"/>
  <c r="AC61" i="5" s="1"/>
  <c r="AD62" i="9"/>
  <c r="AD61" i="5" s="1"/>
  <c r="AE62" i="9"/>
  <c r="AE61" i="5" s="1"/>
  <c r="AF62" i="9"/>
  <c r="AF61" i="5" s="1"/>
  <c r="AG62" i="9"/>
  <c r="AG61" i="5" s="1"/>
  <c r="AH62" i="9"/>
  <c r="AH61" i="5" s="1"/>
  <c r="AI62" i="9"/>
  <c r="AI61" i="5" s="1"/>
  <c r="AJ62" i="9"/>
  <c r="AJ61" i="5" s="1"/>
  <c r="AK62" i="9"/>
  <c r="AK61" i="5" s="1"/>
  <c r="AL62" i="9"/>
  <c r="AL61" i="5" s="1"/>
  <c r="D62" i="5"/>
  <c r="E62" i="5"/>
  <c r="F62" i="5"/>
  <c r="G62" i="5"/>
  <c r="H62" i="5"/>
  <c r="I63" i="9"/>
  <c r="I62" i="5" s="1"/>
  <c r="J63" i="9"/>
  <c r="J62" i="5" s="1"/>
  <c r="K63" i="9"/>
  <c r="K62" i="5" s="1"/>
  <c r="L63" i="9"/>
  <c r="L62" i="5" s="1"/>
  <c r="M63" i="9"/>
  <c r="M62" i="5" s="1"/>
  <c r="N63" i="9"/>
  <c r="N62" i="5" s="1"/>
  <c r="O63" i="9"/>
  <c r="O62" i="5" s="1"/>
  <c r="P63" i="9"/>
  <c r="P62" i="5" s="1"/>
  <c r="Q63" i="9"/>
  <c r="Q62" i="5" s="1"/>
  <c r="R63" i="9"/>
  <c r="R62" i="5" s="1"/>
  <c r="S63" i="9"/>
  <c r="S62" i="5" s="1"/>
  <c r="T63" i="9"/>
  <c r="T62" i="5" s="1"/>
  <c r="U63" i="9"/>
  <c r="U62" i="5" s="1"/>
  <c r="V63" i="9"/>
  <c r="V62" i="5" s="1"/>
  <c r="W63" i="9"/>
  <c r="W62" i="5" s="1"/>
  <c r="X63" i="9"/>
  <c r="X62" i="5" s="1"/>
  <c r="Y63" i="9"/>
  <c r="Y62" i="5" s="1"/>
  <c r="Z63" i="9"/>
  <c r="Z62" i="5" s="1"/>
  <c r="AA63" i="9"/>
  <c r="AA62" i="5" s="1"/>
  <c r="AB63" i="9"/>
  <c r="AB62" i="5" s="1"/>
  <c r="AC63" i="9"/>
  <c r="AC62" i="5" s="1"/>
  <c r="AD63" i="9"/>
  <c r="AD62" i="5" s="1"/>
  <c r="AE63" i="9"/>
  <c r="AE62" i="5" s="1"/>
  <c r="AF63" i="9"/>
  <c r="AF62" i="5" s="1"/>
  <c r="AG63" i="9"/>
  <c r="AG62" i="5" s="1"/>
  <c r="AH63" i="9"/>
  <c r="AH62" i="5" s="1"/>
  <c r="AI63" i="9"/>
  <c r="AI62" i="5" s="1"/>
  <c r="AJ63" i="9"/>
  <c r="AJ62" i="5" s="1"/>
  <c r="AK63" i="9"/>
  <c r="AK62" i="5" s="1"/>
  <c r="AL63" i="9"/>
  <c r="AL62" i="5" s="1"/>
  <c r="D63" i="5"/>
  <c r="E63" i="5"/>
  <c r="F63" i="5"/>
  <c r="G63" i="5"/>
  <c r="H63" i="5"/>
  <c r="I64" i="9"/>
  <c r="I63" i="5" s="1"/>
  <c r="J64" i="9"/>
  <c r="J63" i="5" s="1"/>
  <c r="K64" i="9"/>
  <c r="K63" i="5" s="1"/>
  <c r="L64" i="9"/>
  <c r="L63" i="5" s="1"/>
  <c r="M64" i="9"/>
  <c r="M63" i="5" s="1"/>
  <c r="N64" i="9"/>
  <c r="N63" i="5" s="1"/>
  <c r="O64" i="9"/>
  <c r="O63" i="5" s="1"/>
  <c r="P64" i="9"/>
  <c r="P63" i="5" s="1"/>
  <c r="Q64" i="9"/>
  <c r="Q63" i="5" s="1"/>
  <c r="R64" i="9"/>
  <c r="R63" i="5" s="1"/>
  <c r="S64" i="9"/>
  <c r="S63" i="5" s="1"/>
  <c r="T64" i="9"/>
  <c r="T63" i="5" s="1"/>
  <c r="U64" i="9"/>
  <c r="U63" i="5" s="1"/>
  <c r="V64" i="9"/>
  <c r="V63" i="5" s="1"/>
  <c r="W64" i="9"/>
  <c r="W63" i="5" s="1"/>
  <c r="X64" i="9"/>
  <c r="X63" i="5" s="1"/>
  <c r="Y64" i="9"/>
  <c r="Y63" i="5" s="1"/>
  <c r="Z64" i="9"/>
  <c r="Z63" i="5" s="1"/>
  <c r="AA64" i="9"/>
  <c r="AA63" i="5" s="1"/>
  <c r="AB64" i="9"/>
  <c r="AB63" i="5" s="1"/>
  <c r="AC64" i="9"/>
  <c r="AC63" i="5" s="1"/>
  <c r="AD64" i="9"/>
  <c r="AD63" i="5" s="1"/>
  <c r="AE64" i="9"/>
  <c r="AE63" i="5" s="1"/>
  <c r="AF64" i="9"/>
  <c r="AF63" i="5" s="1"/>
  <c r="AG64" i="9"/>
  <c r="AG63" i="5" s="1"/>
  <c r="AH64" i="9"/>
  <c r="AH63" i="5" s="1"/>
  <c r="AI64" i="9"/>
  <c r="AI63" i="5" s="1"/>
  <c r="AJ64" i="9"/>
  <c r="AJ63" i="5" s="1"/>
  <c r="AK64" i="9"/>
  <c r="AK63" i="5" s="1"/>
  <c r="AL64" i="9"/>
  <c r="AL63" i="5" s="1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D65" i="5"/>
  <c r="E65" i="5"/>
  <c r="F65" i="5"/>
  <c r="G65" i="5"/>
  <c r="H65" i="5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V65" i="9"/>
  <c r="V65" i="5" s="1"/>
  <c r="W65" i="9"/>
  <c r="W65" i="5" s="1"/>
  <c r="X65" i="9"/>
  <c r="X65" i="5" s="1"/>
  <c r="Y65" i="9"/>
  <c r="Y65" i="5" s="1"/>
  <c r="Z65" i="9"/>
  <c r="Z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AI65" i="9"/>
  <c r="AI65" i="5" s="1"/>
  <c r="AJ65" i="9"/>
  <c r="AJ65" i="5" s="1"/>
  <c r="AK65" i="9"/>
  <c r="AK65" i="5" s="1"/>
  <c r="AL65" i="9"/>
  <c r="AL65" i="5" s="1"/>
  <c r="D66" i="5"/>
  <c r="E66" i="5"/>
  <c r="F66" i="5"/>
  <c r="G66" i="5"/>
  <c r="H66" i="5"/>
  <c r="I66" i="9"/>
  <c r="I66" i="5" s="1"/>
  <c r="J66" i="9"/>
  <c r="J66" i="5" s="1"/>
  <c r="K66" i="9"/>
  <c r="K66" i="5" s="1"/>
  <c r="L66" i="9"/>
  <c r="L66" i="5" s="1"/>
  <c r="M66" i="9"/>
  <c r="M66" i="5" s="1"/>
  <c r="N66" i="9"/>
  <c r="N66" i="5" s="1"/>
  <c r="O66" i="9"/>
  <c r="O66" i="5" s="1"/>
  <c r="P66" i="9"/>
  <c r="P66" i="5" s="1"/>
  <c r="Q66" i="9"/>
  <c r="Q66" i="5" s="1"/>
  <c r="R66" i="9"/>
  <c r="R66" i="5" s="1"/>
  <c r="S66" i="9"/>
  <c r="S66" i="5" s="1"/>
  <c r="T66" i="9"/>
  <c r="T66" i="5" s="1"/>
  <c r="U66" i="9"/>
  <c r="U66" i="5" s="1"/>
  <c r="V66" i="9"/>
  <c r="V66" i="5" s="1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AC66" i="9"/>
  <c r="AC66" i="5" s="1"/>
  <c r="AD66" i="9"/>
  <c r="AD66" i="5" s="1"/>
  <c r="AE66" i="9"/>
  <c r="AE66" i="5" s="1"/>
  <c r="AF66" i="9"/>
  <c r="AF66" i="5" s="1"/>
  <c r="AG66" i="9"/>
  <c r="AG66" i="5" s="1"/>
  <c r="AH66" i="9"/>
  <c r="AH66" i="5" s="1"/>
  <c r="AI66" i="9"/>
  <c r="AI66" i="5" s="1"/>
  <c r="AJ66" i="9"/>
  <c r="AJ66" i="5" s="1"/>
  <c r="AK66" i="9"/>
  <c r="AK66" i="5" s="1"/>
  <c r="AL66" i="9"/>
  <c r="AL66" i="5" s="1"/>
  <c r="D67" i="5"/>
  <c r="E67" i="5"/>
  <c r="F67" i="5"/>
  <c r="G67" i="5"/>
  <c r="H67" i="5"/>
  <c r="I67" i="9"/>
  <c r="I67" i="5" s="1"/>
  <c r="J67" i="9"/>
  <c r="J67" i="5" s="1"/>
  <c r="K67" i="9"/>
  <c r="K67" i="5" s="1"/>
  <c r="L67" i="9"/>
  <c r="L67" i="5" s="1"/>
  <c r="M67" i="9"/>
  <c r="M67" i="5" s="1"/>
  <c r="N67" i="9"/>
  <c r="N67" i="5" s="1"/>
  <c r="O67" i="9"/>
  <c r="O67" i="5" s="1"/>
  <c r="P67" i="9"/>
  <c r="P67" i="5" s="1"/>
  <c r="Q67" i="9"/>
  <c r="Q67" i="5" s="1"/>
  <c r="R67" i="9"/>
  <c r="R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Y67" i="9"/>
  <c r="Y67" i="5" s="1"/>
  <c r="Z67" i="9"/>
  <c r="Z67" i="5" s="1"/>
  <c r="AA67" i="9"/>
  <c r="AA67" i="5" s="1"/>
  <c r="AB67" i="9"/>
  <c r="AB67" i="5" s="1"/>
  <c r="AC67" i="9"/>
  <c r="AC67" i="5" s="1"/>
  <c r="AD67" i="9"/>
  <c r="AD67" i="5" s="1"/>
  <c r="AE67" i="9"/>
  <c r="AE67" i="5" s="1"/>
  <c r="AF67" i="9"/>
  <c r="AF67" i="5" s="1"/>
  <c r="AG67" i="9"/>
  <c r="AG67" i="5" s="1"/>
  <c r="AH67" i="9"/>
  <c r="AH67" i="5" s="1"/>
  <c r="AI67" i="9"/>
  <c r="AI67" i="5" s="1"/>
  <c r="AJ67" i="9"/>
  <c r="AJ67" i="5" s="1"/>
  <c r="AK67" i="9"/>
  <c r="AK67" i="5" s="1"/>
  <c r="AL67" i="9"/>
  <c r="AL67" i="5" s="1"/>
  <c r="D68" i="5"/>
  <c r="E68" i="5"/>
  <c r="F68" i="5"/>
  <c r="G68" i="5"/>
  <c r="H68" i="5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9"/>
  <c r="Y68" i="5" s="1"/>
  <c r="Z68" i="9"/>
  <c r="Z68" i="5" s="1"/>
  <c r="AA68" i="9"/>
  <c r="AA68" i="5" s="1"/>
  <c r="AB68" i="9"/>
  <c r="AB68" i="5" s="1"/>
  <c r="AC68" i="9"/>
  <c r="AC68" i="5" s="1"/>
  <c r="AD68" i="9"/>
  <c r="AD68" i="5" s="1"/>
  <c r="AE68" i="9"/>
  <c r="AE68" i="5" s="1"/>
  <c r="AF68" i="9"/>
  <c r="AF68" i="5" s="1"/>
  <c r="AG68" i="9"/>
  <c r="AG68" i="5" s="1"/>
  <c r="AH68" i="9"/>
  <c r="AH68" i="5" s="1"/>
  <c r="AI68" i="9"/>
  <c r="AI68" i="5" s="1"/>
  <c r="AJ68" i="9"/>
  <c r="AJ68" i="5" s="1"/>
  <c r="AK68" i="9"/>
  <c r="AK68" i="5" s="1"/>
  <c r="AL68" i="9"/>
  <c r="AL68" i="5" s="1"/>
  <c r="D69" i="5"/>
  <c r="E69" i="5"/>
  <c r="F69" i="5"/>
  <c r="G69" i="5"/>
  <c r="H69" i="5"/>
  <c r="I69" i="9"/>
  <c r="I69" i="5" s="1"/>
  <c r="J69" i="9"/>
  <c r="J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V69" i="9"/>
  <c r="V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AC69" i="9"/>
  <c r="AC69" i="5" s="1"/>
  <c r="AD69" i="9"/>
  <c r="AD69" i="5" s="1"/>
  <c r="AE69" i="9"/>
  <c r="AE69" i="5" s="1"/>
  <c r="AF69" i="9"/>
  <c r="AF69" i="5" s="1"/>
  <c r="AG69" i="9"/>
  <c r="AG69" i="5" s="1"/>
  <c r="AH69" i="9"/>
  <c r="AH69" i="5" s="1"/>
  <c r="AI69" i="9"/>
  <c r="AI69" i="5" s="1"/>
  <c r="AJ69" i="9"/>
  <c r="AJ69" i="5" s="1"/>
  <c r="AK69" i="9"/>
  <c r="AK69" i="5" s="1"/>
  <c r="AL69" i="9"/>
  <c r="AL69" i="5" s="1"/>
  <c r="D70" i="5"/>
  <c r="E70" i="5"/>
  <c r="F70" i="5"/>
  <c r="G70" i="5"/>
  <c r="H70" i="5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U70" i="9"/>
  <c r="U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AC70" i="9"/>
  <c r="AC70" i="5" s="1"/>
  <c r="AD70" i="9"/>
  <c r="AD70" i="5" s="1"/>
  <c r="AE70" i="9"/>
  <c r="AE70" i="5" s="1"/>
  <c r="AF70" i="9"/>
  <c r="AF70" i="5" s="1"/>
  <c r="AG70" i="9"/>
  <c r="AG70" i="5" s="1"/>
  <c r="AH70" i="9"/>
  <c r="AH70" i="5" s="1"/>
  <c r="AI70" i="9"/>
  <c r="AI70" i="5" s="1"/>
  <c r="AJ70" i="9"/>
  <c r="AJ70" i="5" s="1"/>
  <c r="AK70" i="9"/>
  <c r="AK70" i="5" s="1"/>
  <c r="AL70" i="9"/>
  <c r="AL70" i="5" s="1"/>
  <c r="D71" i="5"/>
  <c r="E71" i="5"/>
  <c r="F71" i="5"/>
  <c r="G71" i="5"/>
  <c r="H71" i="5"/>
  <c r="I72" i="9"/>
  <c r="I71" i="5" s="1"/>
  <c r="J72" i="9"/>
  <c r="J71" i="5" s="1"/>
  <c r="K72" i="9"/>
  <c r="K71" i="5" s="1"/>
  <c r="L72" i="9"/>
  <c r="L71" i="5" s="1"/>
  <c r="M72" i="9"/>
  <c r="M71" i="5" s="1"/>
  <c r="N72" i="9"/>
  <c r="N71" i="5" s="1"/>
  <c r="O72" i="9"/>
  <c r="O71" i="5" s="1"/>
  <c r="P72" i="9"/>
  <c r="P71" i="5" s="1"/>
  <c r="Q72" i="9"/>
  <c r="Q71" i="5" s="1"/>
  <c r="R72" i="9"/>
  <c r="R71" i="5" s="1"/>
  <c r="S72" i="9"/>
  <c r="S71" i="5" s="1"/>
  <c r="T72" i="9"/>
  <c r="T71" i="5" s="1"/>
  <c r="U72" i="9"/>
  <c r="U71" i="5" s="1"/>
  <c r="V72" i="9"/>
  <c r="V71" i="5" s="1"/>
  <c r="W72" i="9"/>
  <c r="W71" i="5" s="1"/>
  <c r="X72" i="9"/>
  <c r="X71" i="5" s="1"/>
  <c r="Y72" i="9"/>
  <c r="Y71" i="5" s="1"/>
  <c r="Z72" i="9"/>
  <c r="Z71" i="5" s="1"/>
  <c r="AA72" i="9"/>
  <c r="AA71" i="5" s="1"/>
  <c r="AB72" i="9"/>
  <c r="AB71" i="5" s="1"/>
  <c r="AC72" i="9"/>
  <c r="AC71" i="5" s="1"/>
  <c r="AD72" i="9"/>
  <c r="AD71" i="5" s="1"/>
  <c r="AE72" i="9"/>
  <c r="AE71" i="5" s="1"/>
  <c r="AF72" i="9"/>
  <c r="AF71" i="5" s="1"/>
  <c r="AG72" i="9"/>
  <c r="AG71" i="5" s="1"/>
  <c r="AH72" i="9"/>
  <c r="AH71" i="5" s="1"/>
  <c r="AI72" i="9"/>
  <c r="AI71" i="5" s="1"/>
  <c r="AJ72" i="9"/>
  <c r="AJ71" i="5" s="1"/>
  <c r="AK72" i="9"/>
  <c r="AK71" i="5" s="1"/>
  <c r="AL72" i="9"/>
  <c r="AL71" i="5" s="1"/>
  <c r="AK2" i="5" l="1"/>
  <c r="AL2" i="5"/>
  <c r="E3" i="5"/>
  <c r="F3" i="5"/>
  <c r="G3" i="5"/>
  <c r="H3" i="5"/>
  <c r="I3" i="9"/>
  <c r="I3" i="5" s="1"/>
  <c r="J3" i="9"/>
  <c r="J3" i="5" s="1"/>
  <c r="K3" i="9"/>
  <c r="K3" i="5" s="1"/>
  <c r="L3" i="9"/>
  <c r="L3" i="5" s="1"/>
  <c r="M3" i="9"/>
  <c r="M3" i="5" s="1"/>
  <c r="N3" i="9"/>
  <c r="N3" i="5" s="1"/>
  <c r="O3" i="9"/>
  <c r="O3" i="5" s="1"/>
  <c r="P3" i="9"/>
  <c r="P3" i="5" s="1"/>
  <c r="Q3" i="9"/>
  <c r="Q3" i="5" s="1"/>
  <c r="R3" i="9"/>
  <c r="R3" i="5" s="1"/>
  <c r="S3" i="9"/>
  <c r="S3" i="5" s="1"/>
  <c r="T3" i="9"/>
  <c r="T3" i="5" s="1"/>
  <c r="U3" i="9"/>
  <c r="U3" i="5" s="1"/>
  <c r="V3" i="9"/>
  <c r="V3" i="5" s="1"/>
  <c r="W3" i="9"/>
  <c r="W3" i="5" s="1"/>
  <c r="X3" i="9"/>
  <c r="X3" i="5" s="1"/>
  <c r="Y3" i="9"/>
  <c r="Y3" i="5" s="1"/>
  <c r="Z3" i="9"/>
  <c r="Z3" i="5" s="1"/>
  <c r="AA3" i="9"/>
  <c r="AA3" i="5" s="1"/>
  <c r="AB3" i="9"/>
  <c r="AB3" i="5" s="1"/>
  <c r="AC3" i="9"/>
  <c r="AC3" i="5" s="1"/>
  <c r="AD3" i="9"/>
  <c r="AD3" i="5" s="1"/>
  <c r="AE3" i="9"/>
  <c r="AE3" i="5" s="1"/>
  <c r="AF3" i="9"/>
  <c r="AF3" i="5" s="1"/>
  <c r="AG3" i="9"/>
  <c r="AG3" i="5" s="1"/>
  <c r="AH3" i="9"/>
  <c r="AH3" i="5" s="1"/>
  <c r="AI3" i="9"/>
  <c r="AJ3" i="9"/>
  <c r="AK3" i="9"/>
  <c r="AL3" i="9"/>
  <c r="AL3" i="5" s="1"/>
  <c r="AK77" i="9" l="1"/>
  <c r="AJ77" i="9"/>
  <c r="AK3" i="5"/>
  <c r="AI77" i="9"/>
  <c r="AI3" i="5"/>
  <c r="AJ102" i="9"/>
  <c r="AJ99" i="9"/>
  <c r="AJ96" i="9"/>
  <c r="AJ93" i="9"/>
  <c r="AJ90" i="9"/>
  <c r="AK86" i="9"/>
  <c r="AK85" i="9" s="1"/>
  <c r="AL82" i="9"/>
  <c r="AL79" i="9"/>
  <c r="AL76" i="9"/>
  <c r="AI102" i="9"/>
  <c r="AI99" i="9"/>
  <c r="AI96" i="9"/>
  <c r="AI93" i="9"/>
  <c r="AI90" i="9"/>
  <c r="AJ86" i="9"/>
  <c r="AJ85" i="9" s="1"/>
  <c r="AK82" i="9"/>
  <c r="AK79" i="9"/>
  <c r="AK76" i="9"/>
  <c r="AJ3" i="5"/>
  <c r="AL101" i="9"/>
  <c r="AL98" i="9"/>
  <c r="AL95" i="9"/>
  <c r="AL92" i="9"/>
  <c r="AL89" i="9"/>
  <c r="AL88" i="9" s="1"/>
  <c r="AI86" i="9"/>
  <c r="AI85" i="9" s="1"/>
  <c r="AJ82" i="9"/>
  <c r="AJ79" i="9"/>
  <c r="AJ76" i="9"/>
  <c r="AK101" i="9"/>
  <c r="AK98" i="9"/>
  <c r="AK95" i="9"/>
  <c r="AK92" i="9"/>
  <c r="AK89" i="9"/>
  <c r="AK88" i="9" s="1"/>
  <c r="AI82" i="9"/>
  <c r="AI79" i="9"/>
  <c r="AI76" i="9"/>
  <c r="AL75" i="9"/>
  <c r="AI101" i="9"/>
  <c r="AI98" i="9"/>
  <c r="AI95" i="9"/>
  <c r="AI92" i="9"/>
  <c r="AI89" i="9"/>
  <c r="AI88" i="9" s="1"/>
  <c r="AK84" i="9"/>
  <c r="AK81" i="9"/>
  <c r="AK78" i="9"/>
  <c r="AJ75" i="9"/>
  <c r="AJ98" i="9"/>
  <c r="AJ89" i="9"/>
  <c r="AJ88" i="9" s="1"/>
  <c r="AL100" i="9"/>
  <c r="AL97" i="9"/>
  <c r="AL94" i="9"/>
  <c r="AL91" i="9"/>
  <c r="AJ84" i="9"/>
  <c r="AJ81" i="9"/>
  <c r="AJ78" i="9"/>
  <c r="AI75" i="9"/>
  <c r="AL78" i="9"/>
  <c r="AK100" i="9"/>
  <c r="AK97" i="9"/>
  <c r="AK94" i="9"/>
  <c r="AK91" i="9"/>
  <c r="AL87" i="9"/>
  <c r="AI84" i="9"/>
  <c r="AI81" i="9"/>
  <c r="AI78" i="9"/>
  <c r="AL74" i="9"/>
  <c r="AJ95" i="9"/>
  <c r="AJ100" i="9"/>
  <c r="AJ97" i="9"/>
  <c r="AJ94" i="9"/>
  <c r="AJ91" i="9"/>
  <c r="AK87" i="9"/>
  <c r="AL83" i="9"/>
  <c r="AL80" i="9"/>
  <c r="AL77" i="9"/>
  <c r="AK74" i="9"/>
  <c r="AL84" i="9"/>
  <c r="AI100" i="9"/>
  <c r="AI97" i="9"/>
  <c r="AI94" i="9"/>
  <c r="AI91" i="9"/>
  <c r="AJ87" i="9"/>
  <c r="AK83" i="9"/>
  <c r="AK80" i="9"/>
  <c r="AJ74" i="9"/>
  <c r="AJ101" i="9"/>
  <c r="AL81" i="9"/>
  <c r="AK75" i="9"/>
  <c r="AL102" i="9"/>
  <c r="AL99" i="9"/>
  <c r="AL96" i="9"/>
  <c r="AL93" i="9"/>
  <c r="AL90" i="9"/>
  <c r="AI87" i="9"/>
  <c r="AJ83" i="9"/>
  <c r="AJ80" i="9"/>
  <c r="AI74" i="9"/>
  <c r="AJ92" i="9"/>
  <c r="AK102" i="9"/>
  <c r="AK99" i="9"/>
  <c r="AK96" i="9"/>
  <c r="AK93" i="9"/>
  <c r="AK90" i="9"/>
  <c r="AL86" i="9"/>
  <c r="AL85" i="9" s="1"/>
  <c r="AI83" i="9"/>
  <c r="AI80" i="9"/>
  <c r="D1" i="9" l="1"/>
  <c r="Z74" i="9" l="1"/>
  <c r="P74" i="9"/>
  <c r="AD74" i="9"/>
  <c r="AF74" i="9"/>
  <c r="X74" i="9"/>
  <c r="N74" i="9"/>
  <c r="T74" i="9"/>
  <c r="AB74" i="9"/>
  <c r="AC74" i="9"/>
  <c r="AE74" i="9"/>
  <c r="S74" i="9"/>
  <c r="AG74" i="9"/>
  <c r="U74" i="9"/>
  <c r="W74" i="9"/>
  <c r="V74" i="9"/>
  <c r="R74" i="9"/>
  <c r="Q74" i="9"/>
  <c r="AH74" i="9"/>
  <c r="AA74" i="9"/>
  <c r="O74" i="9"/>
  <c r="Y74" i="9"/>
  <c r="M74" i="9"/>
  <c r="AH101" i="9" l="1"/>
  <c r="AH100" i="9"/>
  <c r="AH99" i="9"/>
  <c r="AH102" i="9"/>
  <c r="AH92" i="9"/>
  <c r="AH78" i="9"/>
  <c r="AH95" i="9"/>
  <c r="AH76" i="9"/>
  <c r="AH79" i="9"/>
  <c r="AH82" i="9"/>
  <c r="AH84" i="9"/>
  <c r="AH91" i="9"/>
  <c r="AH75" i="9"/>
  <c r="AH86" i="9"/>
  <c r="AH85" i="9" s="1"/>
  <c r="AH77" i="9"/>
  <c r="AH97" i="9"/>
  <c r="AH81" i="9"/>
  <c r="AH80" i="9"/>
  <c r="AH93" i="9"/>
  <c r="AH89" i="9"/>
  <c r="AH88" i="9" s="1"/>
  <c r="AH96" i="9"/>
  <c r="AH90" i="9"/>
  <c r="AH87" i="9"/>
  <c r="AH83" i="9"/>
  <c r="AH94" i="9"/>
  <c r="AH98" i="9"/>
  <c r="B3" i="9" l="1"/>
  <c r="C3" i="9" s="1"/>
  <c r="L74" i="9" l="1"/>
  <c r="AG101" i="9"/>
  <c r="AG100" i="9"/>
  <c r="AG99" i="9"/>
  <c r="AG102" i="9"/>
  <c r="AF101" i="9"/>
  <c r="AF100" i="9"/>
  <c r="AF99" i="9"/>
  <c r="AF102" i="9"/>
  <c r="AE101" i="9"/>
  <c r="AE100" i="9"/>
  <c r="AE99" i="9"/>
  <c r="AE102" i="9"/>
  <c r="AD101" i="9"/>
  <c r="AD100" i="9"/>
  <c r="AD99" i="9"/>
  <c r="AD102" i="9"/>
  <c r="AC100" i="9"/>
  <c r="AC99" i="9"/>
  <c r="AC102" i="9"/>
  <c r="AC101" i="9"/>
  <c r="AB100" i="9"/>
  <c r="AB99" i="9"/>
  <c r="AB102" i="9"/>
  <c r="AB101" i="9"/>
  <c r="AA102" i="9"/>
  <c r="AA101" i="9"/>
  <c r="AA100" i="9"/>
  <c r="AA99" i="9"/>
  <c r="W96" i="9"/>
  <c r="W101" i="9"/>
  <c r="W79" i="9"/>
  <c r="W82" i="9"/>
  <c r="W91" i="9"/>
  <c r="W90" i="9"/>
  <c r="W83" i="9"/>
  <c r="W75" i="9"/>
  <c r="W100" i="9"/>
  <c r="W77" i="9"/>
  <c r="W81" i="9"/>
  <c r="W78" i="9"/>
  <c r="W76" i="9"/>
  <c r="W99" i="9"/>
  <c r="W92" i="9"/>
  <c r="W84" i="9"/>
  <c r="W94" i="9"/>
  <c r="W89" i="9"/>
  <c r="W88" i="9" s="1"/>
  <c r="W80" i="9"/>
  <c r="W86" i="9"/>
  <c r="W85" i="9" s="1"/>
  <c r="W98" i="9"/>
  <c r="W87" i="9"/>
  <c r="W93" i="9"/>
  <c r="W95" i="9"/>
  <c r="W97" i="9"/>
  <c r="W102" i="9"/>
  <c r="V95" i="9"/>
  <c r="V101" i="9"/>
  <c r="V100" i="9"/>
  <c r="V97" i="9"/>
  <c r="V83" i="9"/>
  <c r="V87" i="9"/>
  <c r="V98" i="9"/>
  <c r="V96" i="9"/>
  <c r="V90" i="9"/>
  <c r="V102" i="9"/>
  <c r="V92" i="9"/>
  <c r="V84" i="9"/>
  <c r="V99" i="9"/>
  <c r="V76" i="9"/>
  <c r="V75" i="9"/>
  <c r="V91" i="9"/>
  <c r="V94" i="9"/>
  <c r="V82" i="9"/>
  <c r="V80" i="9"/>
  <c r="V79" i="9"/>
  <c r="V86" i="9"/>
  <c r="V85" i="9" s="1"/>
  <c r="V89" i="9"/>
  <c r="V88" i="9" s="1"/>
  <c r="V81" i="9"/>
  <c r="V77" i="9"/>
  <c r="V93" i="9"/>
  <c r="V78" i="9"/>
  <c r="AG93" i="9"/>
  <c r="AG83" i="9"/>
  <c r="AG84" i="9"/>
  <c r="AG87" i="9"/>
  <c r="AG89" i="9"/>
  <c r="AG88" i="9" s="1"/>
  <c r="AG97" i="9"/>
  <c r="AG98" i="9"/>
  <c r="AG96" i="9"/>
  <c r="AG92" i="9"/>
  <c r="AG81" i="9"/>
  <c r="AG82" i="9"/>
  <c r="AG91" i="9"/>
  <c r="AG86" i="9"/>
  <c r="AG85" i="9" s="1"/>
  <c r="AG94" i="9"/>
  <c r="AG76" i="9"/>
  <c r="AG75" i="9"/>
  <c r="AG79" i="9"/>
  <c r="AG95" i="9"/>
  <c r="AG77" i="9"/>
  <c r="AG80" i="9"/>
  <c r="AG78" i="9"/>
  <c r="AG90" i="9"/>
  <c r="U80" i="9"/>
  <c r="U100" i="9"/>
  <c r="U94" i="9"/>
  <c r="U101" i="9"/>
  <c r="U93" i="9"/>
  <c r="U95" i="9"/>
  <c r="U92" i="9"/>
  <c r="U83" i="9"/>
  <c r="U96" i="9"/>
  <c r="U81" i="9"/>
  <c r="U98" i="9"/>
  <c r="U99" i="9"/>
  <c r="U87" i="9"/>
  <c r="U78" i="9"/>
  <c r="U90" i="9"/>
  <c r="U86" i="9"/>
  <c r="U85" i="9" s="1"/>
  <c r="U84" i="9"/>
  <c r="U97" i="9"/>
  <c r="U91" i="9"/>
  <c r="U75" i="9"/>
  <c r="U82" i="9"/>
  <c r="U76" i="9"/>
  <c r="U102" i="9"/>
  <c r="U79" i="9"/>
  <c r="U89" i="9"/>
  <c r="U88" i="9" s="1"/>
  <c r="U77" i="9"/>
  <c r="AF90" i="9"/>
  <c r="AF76" i="9"/>
  <c r="AF78" i="9"/>
  <c r="AF77" i="9"/>
  <c r="AF81" i="9"/>
  <c r="AF98" i="9"/>
  <c r="AF86" i="9"/>
  <c r="AF85" i="9" s="1"/>
  <c r="AF87" i="9"/>
  <c r="AF92" i="9"/>
  <c r="AF97" i="9"/>
  <c r="AF84" i="9"/>
  <c r="AF89" i="9"/>
  <c r="AF88" i="9" s="1"/>
  <c r="AF83" i="9"/>
  <c r="AF91" i="9"/>
  <c r="AF75" i="9"/>
  <c r="AF82" i="9"/>
  <c r="AF93" i="9"/>
  <c r="AF96" i="9"/>
  <c r="AF94" i="9"/>
  <c r="AF79" i="9"/>
  <c r="AF80" i="9"/>
  <c r="AF95" i="9"/>
  <c r="T95" i="9"/>
  <c r="T97" i="9"/>
  <c r="T75" i="9"/>
  <c r="T90" i="9"/>
  <c r="T91" i="9"/>
  <c r="T78" i="9"/>
  <c r="T77" i="9"/>
  <c r="T93" i="9"/>
  <c r="T92" i="9"/>
  <c r="T83" i="9"/>
  <c r="T87" i="9"/>
  <c r="T86" i="9"/>
  <c r="T85" i="9" s="1"/>
  <c r="T99" i="9"/>
  <c r="T89" i="9"/>
  <c r="T88" i="9" s="1"/>
  <c r="T76" i="9"/>
  <c r="T100" i="9"/>
  <c r="T101" i="9"/>
  <c r="T82" i="9"/>
  <c r="T98" i="9"/>
  <c r="T79" i="9"/>
  <c r="T84" i="9"/>
  <c r="T81" i="9"/>
  <c r="T102" i="9"/>
  <c r="T96" i="9"/>
  <c r="T94" i="9"/>
  <c r="T80" i="9"/>
  <c r="AE81" i="9"/>
  <c r="AE78" i="9"/>
  <c r="AE77" i="9"/>
  <c r="AE82" i="9"/>
  <c r="AE93" i="9"/>
  <c r="AE75" i="9"/>
  <c r="AE95" i="9"/>
  <c r="AE98" i="9"/>
  <c r="AE86" i="9"/>
  <c r="AE85" i="9" s="1"/>
  <c r="AE92" i="9"/>
  <c r="AE87" i="9"/>
  <c r="AE76" i="9"/>
  <c r="AE83" i="9"/>
  <c r="AE91" i="9"/>
  <c r="AE97" i="9"/>
  <c r="AE89" i="9"/>
  <c r="AE88" i="9" s="1"/>
  <c r="AE79" i="9"/>
  <c r="AE84" i="9"/>
  <c r="AE80" i="9"/>
  <c r="AE90" i="9"/>
  <c r="AE96" i="9"/>
  <c r="AE94" i="9"/>
  <c r="S100" i="9"/>
  <c r="S77" i="9"/>
  <c r="S83" i="9"/>
  <c r="S95" i="9"/>
  <c r="S89" i="9"/>
  <c r="S88" i="9" s="1"/>
  <c r="S98" i="9"/>
  <c r="S102" i="9"/>
  <c r="S78" i="9"/>
  <c r="S81" i="9"/>
  <c r="S90" i="9"/>
  <c r="S79" i="9"/>
  <c r="S101" i="9"/>
  <c r="S80" i="9"/>
  <c r="S99" i="9"/>
  <c r="S76" i="9"/>
  <c r="S92" i="9"/>
  <c r="S82" i="9"/>
  <c r="S87" i="9"/>
  <c r="S91" i="9"/>
  <c r="S96" i="9"/>
  <c r="S84" i="9"/>
  <c r="S94" i="9"/>
  <c r="S97" i="9"/>
  <c r="S86" i="9"/>
  <c r="S85" i="9" s="1"/>
  <c r="S93" i="9"/>
  <c r="S75" i="9"/>
  <c r="L96" i="9"/>
  <c r="L92" i="9"/>
  <c r="L77" i="9"/>
  <c r="L87" i="9"/>
  <c r="L91" i="9"/>
  <c r="L81" i="9"/>
  <c r="L93" i="9"/>
  <c r="L80" i="9"/>
  <c r="L76" i="9"/>
  <c r="L99" i="9"/>
  <c r="L100" i="9"/>
  <c r="L84" i="9"/>
  <c r="L94" i="9"/>
  <c r="L95" i="9"/>
  <c r="L82" i="9"/>
  <c r="L79" i="9"/>
  <c r="L75" i="9"/>
  <c r="L90" i="9"/>
  <c r="L89" i="9"/>
  <c r="L88" i="9" s="1"/>
  <c r="L97" i="9"/>
  <c r="L83" i="9"/>
  <c r="L86" i="9"/>
  <c r="L85" i="9" s="1"/>
  <c r="L78" i="9"/>
  <c r="L101" i="9"/>
  <c r="L98" i="9"/>
  <c r="L102" i="9"/>
  <c r="AD83" i="9"/>
  <c r="AD91" i="9"/>
  <c r="AD98" i="9"/>
  <c r="AD82" i="9"/>
  <c r="AD93" i="9"/>
  <c r="AD79" i="9"/>
  <c r="AD89" i="9"/>
  <c r="AD88" i="9" s="1"/>
  <c r="AD97" i="9"/>
  <c r="AD75" i="9"/>
  <c r="AD94" i="9"/>
  <c r="AD96" i="9"/>
  <c r="AD92" i="9"/>
  <c r="AD77" i="9"/>
  <c r="AD90" i="9"/>
  <c r="AD86" i="9"/>
  <c r="AD85" i="9" s="1"/>
  <c r="AD81" i="9"/>
  <c r="AD80" i="9"/>
  <c r="AD87" i="9"/>
  <c r="AD78" i="9"/>
  <c r="AD95" i="9"/>
  <c r="AD76" i="9"/>
  <c r="AD84" i="9"/>
  <c r="R82" i="9"/>
  <c r="R86" i="9"/>
  <c r="R85" i="9" s="1"/>
  <c r="R91" i="9"/>
  <c r="R79" i="9"/>
  <c r="R76" i="9"/>
  <c r="R77" i="9"/>
  <c r="R97" i="9"/>
  <c r="R102" i="9"/>
  <c r="R101" i="9"/>
  <c r="R92" i="9"/>
  <c r="R90" i="9"/>
  <c r="R80" i="9"/>
  <c r="R83" i="9"/>
  <c r="R96" i="9"/>
  <c r="R100" i="9"/>
  <c r="R84" i="9"/>
  <c r="R99" i="9"/>
  <c r="R98" i="9"/>
  <c r="R81" i="9"/>
  <c r="R75" i="9"/>
  <c r="R95" i="9"/>
  <c r="R87" i="9"/>
  <c r="R93" i="9"/>
  <c r="R89" i="9"/>
  <c r="R88" i="9" s="1"/>
  <c r="R78" i="9"/>
  <c r="R94" i="9"/>
  <c r="K79" i="9"/>
  <c r="K84" i="9"/>
  <c r="K102" i="9"/>
  <c r="K78" i="9"/>
  <c r="K75" i="9"/>
  <c r="K86" i="9"/>
  <c r="K85" i="9" s="1"/>
  <c r="K95" i="9"/>
  <c r="K81" i="9"/>
  <c r="K94" i="9"/>
  <c r="K101" i="9"/>
  <c r="K74" i="9"/>
  <c r="K100" i="9"/>
  <c r="K77" i="9"/>
  <c r="K92" i="9"/>
  <c r="K91" i="9"/>
  <c r="K97" i="9"/>
  <c r="K98" i="9"/>
  <c r="K83" i="9"/>
  <c r="K76" i="9"/>
  <c r="K89" i="9"/>
  <c r="K88" i="9" s="1"/>
  <c r="K96" i="9"/>
  <c r="K80" i="9"/>
  <c r="K90" i="9"/>
  <c r="K93" i="9"/>
  <c r="K82" i="9"/>
  <c r="K87" i="9"/>
  <c r="K99" i="9"/>
  <c r="X77" i="9"/>
  <c r="X76" i="9"/>
  <c r="X82" i="9"/>
  <c r="X78" i="9"/>
  <c r="X93" i="9"/>
  <c r="X90" i="9"/>
  <c r="X75" i="9"/>
  <c r="X101" i="9"/>
  <c r="X99" i="9"/>
  <c r="X97" i="9"/>
  <c r="X100" i="9"/>
  <c r="X80" i="9"/>
  <c r="X96" i="9"/>
  <c r="X83" i="9"/>
  <c r="X79" i="9"/>
  <c r="X98" i="9"/>
  <c r="X92" i="9"/>
  <c r="X94" i="9"/>
  <c r="X102" i="9"/>
  <c r="X91" i="9"/>
  <c r="X95" i="9"/>
  <c r="X87" i="9"/>
  <c r="X81" i="9"/>
  <c r="X84" i="9"/>
  <c r="X86" i="9"/>
  <c r="X85" i="9" s="1"/>
  <c r="X89" i="9"/>
  <c r="X88" i="9" s="1"/>
  <c r="AC81" i="9"/>
  <c r="AC83" i="9"/>
  <c r="AC77" i="9"/>
  <c r="AC89" i="9"/>
  <c r="AC88" i="9" s="1"/>
  <c r="AC84" i="9"/>
  <c r="AC87" i="9"/>
  <c r="AC96" i="9"/>
  <c r="AC78" i="9"/>
  <c r="AC98" i="9"/>
  <c r="AC75" i="9"/>
  <c r="AC80" i="9"/>
  <c r="AC92" i="9"/>
  <c r="AC95" i="9"/>
  <c r="AC79" i="9"/>
  <c r="AC91" i="9"/>
  <c r="AC82" i="9"/>
  <c r="AC94" i="9"/>
  <c r="AC86" i="9"/>
  <c r="AC85" i="9" s="1"/>
  <c r="AC97" i="9"/>
  <c r="AC90" i="9"/>
  <c r="AC93" i="9"/>
  <c r="AC76" i="9"/>
  <c r="Q91" i="9"/>
  <c r="Q86" i="9"/>
  <c r="Q85" i="9" s="1"/>
  <c r="Q100" i="9"/>
  <c r="Q99" i="9"/>
  <c r="Q82" i="9"/>
  <c r="Q98" i="9"/>
  <c r="Q92" i="9"/>
  <c r="Q95" i="9"/>
  <c r="Q102" i="9"/>
  <c r="Q77" i="9"/>
  <c r="Q97" i="9"/>
  <c r="Q79" i="9"/>
  <c r="Q84" i="9"/>
  <c r="Q80" i="9"/>
  <c r="Q90" i="9"/>
  <c r="Q96" i="9"/>
  <c r="Q75" i="9"/>
  <c r="Q93" i="9"/>
  <c r="Q78" i="9"/>
  <c r="Q81" i="9"/>
  <c r="Q89" i="9"/>
  <c r="Q88" i="9" s="1"/>
  <c r="Q94" i="9"/>
  <c r="Q101" i="9"/>
  <c r="Q87" i="9"/>
  <c r="Q76" i="9"/>
  <c r="Q83" i="9"/>
  <c r="J79" i="9"/>
  <c r="J101" i="9"/>
  <c r="J89" i="9"/>
  <c r="J88" i="9" s="1"/>
  <c r="J97" i="9"/>
  <c r="J93" i="9"/>
  <c r="J96" i="9"/>
  <c r="J75" i="9"/>
  <c r="J83" i="9"/>
  <c r="J92" i="9"/>
  <c r="J90" i="9"/>
  <c r="J95" i="9"/>
  <c r="J77" i="9"/>
  <c r="J98" i="9"/>
  <c r="J91" i="9"/>
  <c r="J102" i="9"/>
  <c r="J87" i="9"/>
  <c r="J84" i="9"/>
  <c r="J78" i="9"/>
  <c r="J81" i="9"/>
  <c r="J100" i="9"/>
  <c r="J94" i="9"/>
  <c r="J76" i="9"/>
  <c r="J82" i="9"/>
  <c r="J80" i="9"/>
  <c r="J74" i="9"/>
  <c r="J86" i="9"/>
  <c r="J85" i="9" s="1"/>
  <c r="J99" i="9"/>
  <c r="AB77" i="9"/>
  <c r="AB84" i="9"/>
  <c r="AB87" i="9"/>
  <c r="AB82" i="9"/>
  <c r="AB97" i="9"/>
  <c r="AB89" i="9"/>
  <c r="AB88" i="9" s="1"/>
  <c r="AB83" i="9"/>
  <c r="AB94" i="9"/>
  <c r="AB80" i="9"/>
  <c r="AB78" i="9"/>
  <c r="AB95" i="9"/>
  <c r="AB96" i="9"/>
  <c r="AB79" i="9"/>
  <c r="AB91" i="9"/>
  <c r="AB98" i="9"/>
  <c r="AB75" i="9"/>
  <c r="AB81" i="9"/>
  <c r="AB76" i="9"/>
  <c r="AB90" i="9"/>
  <c r="AB86" i="9"/>
  <c r="AB85" i="9" s="1"/>
  <c r="AB93" i="9"/>
  <c r="AB92" i="9"/>
  <c r="P89" i="9"/>
  <c r="P88" i="9" s="1"/>
  <c r="P78" i="9"/>
  <c r="P90" i="9"/>
  <c r="P93" i="9"/>
  <c r="P91" i="9"/>
  <c r="P100" i="9"/>
  <c r="P95" i="9"/>
  <c r="P83" i="9"/>
  <c r="P97" i="9"/>
  <c r="P86" i="9"/>
  <c r="P85" i="9" s="1"/>
  <c r="P96" i="9"/>
  <c r="P87" i="9"/>
  <c r="P98" i="9"/>
  <c r="P81" i="9"/>
  <c r="P99" i="9"/>
  <c r="P77" i="9"/>
  <c r="P80" i="9"/>
  <c r="P102" i="9"/>
  <c r="P94" i="9"/>
  <c r="P84" i="9"/>
  <c r="P92" i="9"/>
  <c r="P79" i="9"/>
  <c r="P76" i="9"/>
  <c r="P75" i="9"/>
  <c r="P101" i="9"/>
  <c r="P82" i="9"/>
  <c r="I97" i="9"/>
  <c r="I77" i="9"/>
  <c r="I78" i="9"/>
  <c r="I98" i="9"/>
  <c r="I101" i="9"/>
  <c r="I92" i="9"/>
  <c r="I102" i="9"/>
  <c r="I96" i="9"/>
  <c r="I100" i="9"/>
  <c r="I91" i="9"/>
  <c r="I76" i="9"/>
  <c r="I95" i="9"/>
  <c r="I80" i="9"/>
  <c r="I81" i="9"/>
  <c r="I90" i="9"/>
  <c r="I99" i="9"/>
  <c r="I86" i="9"/>
  <c r="I85" i="9" s="1"/>
  <c r="I74" i="9"/>
  <c r="I87" i="9"/>
  <c r="I94" i="9"/>
  <c r="I84" i="9"/>
  <c r="I75" i="9"/>
  <c r="I83" i="9"/>
  <c r="I79" i="9"/>
  <c r="I89" i="9"/>
  <c r="I88" i="9" s="1"/>
  <c r="I93" i="9"/>
  <c r="I82" i="9"/>
  <c r="AA81" i="9"/>
  <c r="AA82" i="9"/>
  <c r="AA76" i="9"/>
  <c r="AA98" i="9"/>
  <c r="AA93" i="9"/>
  <c r="AA89" i="9"/>
  <c r="AA88" i="9" s="1"/>
  <c r="AA83" i="9"/>
  <c r="AA79" i="9"/>
  <c r="AA80" i="9"/>
  <c r="AA90" i="9"/>
  <c r="AA92" i="9"/>
  <c r="AA94" i="9"/>
  <c r="AA91" i="9"/>
  <c r="AA87" i="9"/>
  <c r="AA84" i="9"/>
  <c r="AA96" i="9"/>
  <c r="AA97" i="9"/>
  <c r="AA95" i="9"/>
  <c r="AA77" i="9"/>
  <c r="AA75" i="9"/>
  <c r="AA86" i="9"/>
  <c r="AA85" i="9" s="1"/>
  <c r="AA78" i="9"/>
  <c r="O100" i="9"/>
  <c r="O98" i="9"/>
  <c r="O87" i="9"/>
  <c r="O81" i="9"/>
  <c r="O96" i="9"/>
  <c r="O95" i="9"/>
  <c r="O84" i="9"/>
  <c r="O102" i="9"/>
  <c r="O92" i="9"/>
  <c r="O83" i="9"/>
  <c r="O80" i="9"/>
  <c r="O97" i="9"/>
  <c r="O79" i="9"/>
  <c r="O82" i="9"/>
  <c r="O76" i="9"/>
  <c r="O93" i="9"/>
  <c r="O78" i="9"/>
  <c r="O77" i="9"/>
  <c r="O86" i="9"/>
  <c r="O85" i="9" s="1"/>
  <c r="O94" i="9"/>
  <c r="O91" i="9"/>
  <c r="O89" i="9"/>
  <c r="O88" i="9" s="1"/>
  <c r="O99" i="9"/>
  <c r="O101" i="9"/>
  <c r="O90" i="9"/>
  <c r="O75" i="9"/>
  <c r="H75" i="9"/>
  <c r="H80" i="9"/>
  <c r="H98" i="9"/>
  <c r="H78" i="9"/>
  <c r="H102" i="9"/>
  <c r="H91" i="9"/>
  <c r="H101" i="9"/>
  <c r="H95" i="9"/>
  <c r="H76" i="9"/>
  <c r="H82" i="9"/>
  <c r="H86" i="9"/>
  <c r="H85" i="9" s="1"/>
  <c r="H94" i="9"/>
  <c r="H79" i="9"/>
  <c r="H74" i="9"/>
  <c r="H81" i="9"/>
  <c r="H83" i="9"/>
  <c r="H77" i="9"/>
  <c r="H97" i="9"/>
  <c r="H90" i="9"/>
  <c r="H89" i="9"/>
  <c r="H88" i="9" s="1"/>
  <c r="H100" i="9"/>
  <c r="H92" i="9"/>
  <c r="H96" i="9"/>
  <c r="H99" i="9"/>
  <c r="H84" i="9"/>
  <c r="H93" i="9"/>
  <c r="H87" i="9"/>
  <c r="Z91" i="9"/>
  <c r="Z75" i="9"/>
  <c r="Z78" i="9"/>
  <c r="Z81" i="9"/>
  <c r="Z90" i="9"/>
  <c r="Z82" i="9"/>
  <c r="Z95" i="9"/>
  <c r="Z79" i="9"/>
  <c r="Z80" i="9"/>
  <c r="Z89" i="9"/>
  <c r="Z88" i="9" s="1"/>
  <c r="Z98" i="9"/>
  <c r="Z76" i="9"/>
  <c r="Z102" i="9"/>
  <c r="Z101" i="9"/>
  <c r="Z87" i="9"/>
  <c r="Z84" i="9"/>
  <c r="Z97" i="9"/>
  <c r="Z99" i="9"/>
  <c r="Z100" i="9"/>
  <c r="Z77" i="9"/>
  <c r="Z83" i="9"/>
  <c r="Z92" i="9"/>
  <c r="Z94" i="9"/>
  <c r="Z93" i="9"/>
  <c r="Z86" i="9"/>
  <c r="Z85" i="9" s="1"/>
  <c r="Z96" i="9"/>
  <c r="N102" i="9"/>
  <c r="N101" i="9"/>
  <c r="N76" i="9"/>
  <c r="N84" i="9"/>
  <c r="N97" i="9"/>
  <c r="N100" i="9"/>
  <c r="N95" i="9"/>
  <c r="N96" i="9"/>
  <c r="N94" i="9"/>
  <c r="N89" i="9"/>
  <c r="N88" i="9" s="1"/>
  <c r="N92" i="9"/>
  <c r="N86" i="9"/>
  <c r="N85" i="9" s="1"/>
  <c r="N90" i="9"/>
  <c r="N79" i="9"/>
  <c r="N91" i="9"/>
  <c r="N83" i="9"/>
  <c r="N98" i="9"/>
  <c r="N81" i="9"/>
  <c r="N93" i="9"/>
  <c r="N82" i="9"/>
  <c r="N99" i="9"/>
  <c r="N78" i="9"/>
  <c r="N80" i="9"/>
  <c r="N87" i="9"/>
  <c r="N77" i="9"/>
  <c r="N75" i="9"/>
  <c r="G74" i="9"/>
  <c r="G97" i="9"/>
  <c r="G82" i="9"/>
  <c r="G86" i="9"/>
  <c r="G85" i="9" s="1"/>
  <c r="G93" i="9"/>
  <c r="G92" i="9"/>
  <c r="G77" i="9"/>
  <c r="G81" i="9"/>
  <c r="G101" i="9"/>
  <c r="G76" i="9"/>
  <c r="G96" i="9"/>
  <c r="G100" i="9"/>
  <c r="G91" i="9"/>
  <c r="G95" i="9"/>
  <c r="G80" i="9"/>
  <c r="G83" i="9"/>
  <c r="G79" i="9"/>
  <c r="G90" i="9"/>
  <c r="G75" i="9"/>
  <c r="G89" i="9"/>
  <c r="G88" i="9" s="1"/>
  <c r="G98" i="9"/>
  <c r="G87" i="9"/>
  <c r="G99" i="9"/>
  <c r="G102" i="9"/>
  <c r="G78" i="9"/>
  <c r="G84" i="9"/>
  <c r="G94" i="9"/>
  <c r="Y93" i="9"/>
  <c r="Y86" i="9"/>
  <c r="Y85" i="9" s="1"/>
  <c r="Y82" i="9"/>
  <c r="Y81" i="9"/>
  <c r="Y78" i="9"/>
  <c r="Y97" i="9"/>
  <c r="Y102" i="9"/>
  <c r="Y90" i="9"/>
  <c r="Y83" i="9"/>
  <c r="Y96" i="9"/>
  <c r="Y89" i="9"/>
  <c r="Y88" i="9" s="1"/>
  <c r="Y100" i="9"/>
  <c r="Y75" i="9"/>
  <c r="Y95" i="9"/>
  <c r="Y101" i="9"/>
  <c r="Y79" i="9"/>
  <c r="Y76" i="9"/>
  <c r="Y99" i="9"/>
  <c r="Y87" i="9"/>
  <c r="Y94" i="9"/>
  <c r="Y80" i="9"/>
  <c r="Y91" i="9"/>
  <c r="Y77" i="9"/>
  <c r="Y98" i="9"/>
  <c r="Y84" i="9"/>
  <c r="Y92" i="9"/>
  <c r="M89" i="9"/>
  <c r="M88" i="9" s="1"/>
  <c r="M82" i="9"/>
  <c r="M83" i="9"/>
  <c r="M84" i="9"/>
  <c r="M90" i="9"/>
  <c r="M76" i="9"/>
  <c r="M101" i="9"/>
  <c r="M75" i="9"/>
  <c r="M87" i="9"/>
  <c r="M93" i="9"/>
  <c r="M95" i="9"/>
  <c r="M91" i="9"/>
  <c r="M78" i="9"/>
  <c r="M99" i="9"/>
  <c r="M98" i="9"/>
  <c r="M102" i="9"/>
  <c r="M80" i="9"/>
  <c r="M79" i="9"/>
  <c r="M81" i="9"/>
  <c r="M77" i="9"/>
  <c r="M96" i="9"/>
  <c r="M94" i="9"/>
  <c r="M100" i="9"/>
  <c r="M92" i="9"/>
  <c r="M86" i="9"/>
  <c r="M85" i="9" s="1"/>
  <c r="M97" i="9"/>
  <c r="F76" i="9"/>
  <c r="F89" i="9"/>
  <c r="F88" i="9" s="1"/>
  <c r="F98" i="9"/>
  <c r="F82" i="9"/>
  <c r="F79" i="9"/>
  <c r="F97" i="9"/>
  <c r="F80" i="9"/>
  <c r="F87" i="9"/>
  <c r="F96" i="9"/>
  <c r="F100" i="9"/>
  <c r="F81" i="9"/>
  <c r="F78" i="9"/>
  <c r="F99" i="9"/>
  <c r="F77" i="9"/>
  <c r="F91" i="9"/>
  <c r="F93" i="9"/>
  <c r="F101" i="9"/>
  <c r="F92" i="9"/>
  <c r="F86" i="9"/>
  <c r="F85" i="9" s="1"/>
  <c r="F94" i="9"/>
  <c r="F83" i="9"/>
  <c r="F74" i="9"/>
  <c r="F95" i="9"/>
  <c r="F75" i="9"/>
  <c r="F102" i="9"/>
  <c r="F84" i="9"/>
  <c r="F90" i="9"/>
  <c r="E80" i="9"/>
  <c r="E101" i="9"/>
  <c r="E89" i="9"/>
  <c r="E88" i="9" s="1"/>
  <c r="E98" i="9"/>
  <c r="E83" i="9"/>
  <c r="E97" i="9"/>
  <c r="E90" i="9"/>
  <c r="E84" i="9"/>
  <c r="E82" i="9"/>
  <c r="E87" i="9"/>
  <c r="E74" i="9"/>
  <c r="E81" i="9"/>
  <c r="E75" i="9"/>
  <c r="E102" i="9"/>
  <c r="E92" i="9"/>
  <c r="E79" i="9"/>
  <c r="E77" i="9"/>
  <c r="E96" i="9"/>
  <c r="E99" i="9"/>
  <c r="E86" i="9"/>
  <c r="E85" i="9" s="1"/>
  <c r="E100" i="9"/>
  <c r="E93" i="9"/>
  <c r="E91" i="9"/>
  <c r="E76" i="9"/>
  <c r="E94" i="9"/>
  <c r="E95" i="9"/>
  <c r="E78" i="9"/>
  <c r="E1" i="9" l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E2" i="9" l="1"/>
  <c r="F2" i="9" l="1"/>
  <c r="AJ1" i="9"/>
  <c r="AI2" i="9"/>
  <c r="G2" i="9" l="1"/>
  <c r="AK1" i="9"/>
  <c r="AJ2" i="9"/>
  <c r="AK2" i="9" l="1"/>
  <c r="AL1" i="9"/>
  <c r="AL2" i="9" s="1"/>
  <c r="H2" i="9"/>
  <c r="I2" i="9" l="1"/>
  <c r="J2" i="9" l="1"/>
  <c r="K2" i="9" l="1"/>
  <c r="L2" i="9" l="1"/>
  <c r="M2" i="9" l="1"/>
  <c r="D3" i="5" l="1"/>
  <c r="D93" i="9"/>
  <c r="D90" i="9"/>
  <c r="D87" i="9"/>
  <c r="D102" i="9"/>
  <c r="D83" i="9"/>
  <c r="D99" i="9"/>
  <c r="D79" i="9"/>
  <c r="D76" i="9"/>
  <c r="D89" i="9"/>
  <c r="D88" i="9" s="1"/>
  <c r="D77" i="9"/>
  <c r="D80" i="9"/>
  <c r="D74" i="9"/>
  <c r="D92" i="9"/>
  <c r="D84" i="9"/>
  <c r="D101" i="9"/>
  <c r="D95" i="9"/>
  <c r="D91" i="9"/>
  <c r="D100" i="9"/>
  <c r="D78" i="9"/>
  <c r="D82" i="9"/>
  <c r="D94" i="9"/>
  <c r="D86" i="9"/>
  <c r="D85" i="9" s="1"/>
  <c r="D97" i="9"/>
  <c r="D96" i="9"/>
  <c r="D81" i="9"/>
  <c r="D75" i="9"/>
  <c r="D98" i="9"/>
  <c r="N2" i="9"/>
  <c r="O2" i="9" l="1"/>
  <c r="D2" i="9"/>
  <c r="P2" i="9" l="1"/>
  <c r="Q2" i="9" l="1"/>
  <c r="R2" i="9" l="1"/>
  <c r="S2" i="9" l="1"/>
  <c r="T2" i="9" l="1"/>
  <c r="U2" i="9" l="1"/>
  <c r="B3" i="5"/>
  <c r="C3" i="5" s="1"/>
  <c r="V2" i="9" l="1"/>
  <c r="D1" i="5"/>
  <c r="D2" i="5" s="1"/>
  <c r="W2" i="9" l="1"/>
  <c r="E1" i="5"/>
  <c r="E2" i="5" s="1"/>
  <c r="X2" i="9" l="1"/>
  <c r="F1" i="5"/>
  <c r="G1" i="5" s="1"/>
  <c r="Y2" i="9" l="1"/>
  <c r="F2" i="5"/>
  <c r="H1" i="5"/>
  <c r="G2" i="5"/>
  <c r="Z2" i="9" l="1"/>
  <c r="I1" i="5"/>
  <c r="H2" i="5"/>
  <c r="AA2" i="9" l="1"/>
  <c r="I2" i="5"/>
  <c r="J1" i="5"/>
  <c r="AB2" i="9" l="1"/>
  <c r="J2" i="5"/>
  <c r="K1" i="5"/>
  <c r="AC2" i="9" l="1"/>
  <c r="L1" i="5"/>
  <c r="K2" i="5"/>
  <c r="AD2" i="9" l="1"/>
  <c r="L2" i="5"/>
  <c r="M1" i="5"/>
  <c r="AE2" i="9" l="1"/>
  <c r="M2" i="5"/>
  <c r="N1" i="5"/>
  <c r="AF2" i="9" l="1"/>
  <c r="N2" i="5"/>
  <c r="O1" i="5"/>
  <c r="AH2" i="9" l="1"/>
  <c r="AG2" i="9"/>
  <c r="P1" i="5"/>
  <c r="O2" i="5"/>
  <c r="Q1" i="5" l="1"/>
  <c r="P2" i="5"/>
  <c r="Q2" i="5" l="1"/>
  <c r="R1" i="5"/>
  <c r="R2" i="5" l="1"/>
  <c r="S1" i="5"/>
  <c r="T1" i="5" l="1"/>
  <c r="S2" i="5"/>
  <c r="T2" i="5" l="1"/>
  <c r="U1" i="5"/>
  <c r="U2" i="5" l="1"/>
  <c r="V1" i="5"/>
  <c r="V2" i="5" l="1"/>
  <c r="W1" i="5"/>
  <c r="X1" i="5" l="1"/>
  <c r="W2" i="5"/>
  <c r="Y1" i="5" l="1"/>
  <c r="X2" i="5"/>
  <c r="Y2" i="5" l="1"/>
  <c r="Z1" i="5"/>
  <c r="Z2" i="5" l="1"/>
  <c r="AA1" i="5"/>
  <c r="AB1" i="5" l="1"/>
  <c r="AA2" i="5"/>
  <c r="AB2" i="5" l="1"/>
  <c r="AC1" i="5"/>
  <c r="AC2" i="5" l="1"/>
  <c r="AD1" i="5"/>
  <c r="AD2" i="5" l="1"/>
  <c r="AE1" i="5"/>
  <c r="AF1" i="5" l="1"/>
  <c r="AE2" i="5"/>
  <c r="AG1" i="5" l="1"/>
  <c r="AF2" i="5"/>
  <c r="AI2" i="5" l="1"/>
  <c r="AH2" i="5"/>
  <c r="AG2" i="5"/>
  <c r="AJ2" i="5" l="1"/>
</calcChain>
</file>

<file path=xl/sharedStrings.xml><?xml version="1.0" encoding="utf-8"?>
<sst xmlns="http://schemas.openxmlformats.org/spreadsheetml/2006/main" count="903" uniqueCount="209">
  <si>
    <t>員編
ID No.</t>
  </si>
  <si>
    <t>L</t>
  </si>
  <si>
    <t>R</t>
  </si>
  <si>
    <t>P</t>
  </si>
  <si>
    <t>A1</t>
  </si>
  <si>
    <t>T00509</t>
  </si>
  <si>
    <t>T01028</t>
  </si>
  <si>
    <t>T01029</t>
  </si>
  <si>
    <t>T00929</t>
  </si>
  <si>
    <t>T01734</t>
  </si>
  <si>
    <t>黃冠銘</t>
  </si>
  <si>
    <t>T01795</t>
  </si>
  <si>
    <t>A2</t>
  </si>
  <si>
    <t>A3</t>
  </si>
  <si>
    <t>A4</t>
  </si>
  <si>
    <t>A5</t>
  </si>
  <si>
    <t>A6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</si>
  <si>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</si>
  <si>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</si>
  <si>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</si>
  <si>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</si>
  <si>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</si>
  <si>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</si>
  <si>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</si>
  <si>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</si>
  <si>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</si>
  <si>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</si>
  <si>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</si>
  <si>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</si>
  <si>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</si>
  <si>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</si>
  <si>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</si>
  <si>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</si>
  <si>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</si>
  <si>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</si>
  <si>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</si>
  <si>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</si>
  <si>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</si>
  <si>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</si>
  <si>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</si>
  <si>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</si>
  <si>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</si>
  <si>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</si>
  <si>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T01600</t>
  </si>
  <si>
    <t>陳奎羽</t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</si>
  <si>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</si>
  <si>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</si>
  <si>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</si>
  <si>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</si>
  <si>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</si>
  <si>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</si>
  <si>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</si>
  <si>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</si>
  <si>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</si>
  <si>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</si>
  <si>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</si>
  <si>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</si>
  <si>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</si>
  <si>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</si>
  <si>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</si>
  <si>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</si>
  <si>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</si>
  <si>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</si>
  <si>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</si>
  <si>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</si>
  <si>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</si>
  <si>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</si>
  <si>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</si>
  <si>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</si>
  <si>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</si>
  <si>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</si>
  <si>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</si>
  <si>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</si>
  <si>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</si>
  <si>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</si>
  <si>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</si>
  <si>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</si>
  <si>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</si>
  <si>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</si>
  <si>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</si>
  <si>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</si>
  <si>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</si>
  <si>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</si>
  <si>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</si>
  <si>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</si>
  <si>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r'(06中A)</t>
    <phoneticPr fontId="1" type="noConversion"/>
  </si>
  <si>
    <t>23d</t>
  </si>
  <si>
    <t>34d</t>
  </si>
  <si>
    <t>41日</t>
    <phoneticPr fontId="1" type="noConversion"/>
  </si>
  <si>
    <t>P</t>
    <phoneticPr fontId="1" type="noConversion"/>
  </si>
  <si>
    <t>01午</t>
    <phoneticPr fontId="1" type="noConversion"/>
  </si>
  <si>
    <t>r'(02午)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</si>
  <si>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</si>
  <si>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</si>
  <si>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</si>
  <si>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</si>
  <si>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</si>
  <si>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</si>
  <si>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r'(04午)</t>
    <phoneticPr fontId="1" type="noConversion"/>
  </si>
  <si>
    <t>r'(04中A)</t>
    <phoneticPr fontId="1" type="noConversion"/>
  </si>
  <si>
    <t>92C</t>
    <phoneticPr fontId="1" type="noConversion"/>
  </si>
  <si>
    <t>r'(05中A)</t>
    <phoneticPr fontId="1" type="noConversion"/>
  </si>
  <si>
    <t>r'(01中A)</t>
    <phoneticPr fontId="1" type="noConversion"/>
  </si>
  <si>
    <t>r'(03午)</t>
    <phoneticPr fontId="1" type="noConversion"/>
  </si>
  <si>
    <t>r'(01午)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</si>
  <si>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</si>
  <si>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</si>
  <si>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</si>
  <si>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</si>
  <si>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T02233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</si>
  <si>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</si>
  <si>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</si>
  <si>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</si>
  <si>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</si>
  <si>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A1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</si>
  <si>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</si>
  <si>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</si>
  <si>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</si>
  <si>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</si>
  <si>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早Q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</si>
  <si>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</si>
  <si>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</si>
  <si>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</si>
  <si>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</si>
  <si>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</si>
  <si>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</si>
  <si>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</si>
  <si>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</si>
  <si>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</si>
  <si>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T00557</t>
  </si>
  <si>
    <t>陳志明</t>
  </si>
  <si>
    <t>T01459</t>
  </si>
  <si>
    <t>T02359</t>
  </si>
  <si>
    <t>陳佳婷</t>
  </si>
  <si>
    <t>T02363</t>
  </si>
  <si>
    <t>郭秋儀</t>
  </si>
  <si>
    <t>T02287</t>
  </si>
  <si>
    <t>T02505</t>
  </si>
  <si>
    <t>林禹丞</t>
  </si>
  <si>
    <t>簡悅如</t>
  </si>
  <si>
    <t>T02498</t>
  </si>
  <si>
    <t>張芯瑜</t>
  </si>
  <si>
    <t>T02612</t>
  </si>
  <si>
    <t>蕭曉琦</t>
  </si>
  <si>
    <t>T02613</t>
  </si>
  <si>
    <t>張雅荃</t>
  </si>
  <si>
    <t>01夜B1</t>
  </si>
  <si>
    <t>01早M</t>
  </si>
  <si>
    <t>01早m</t>
  </si>
  <si>
    <t>01午M</t>
  </si>
  <si>
    <t>林金緗</t>
    <phoneticPr fontId="1" type="noConversion"/>
  </si>
  <si>
    <t>01午m</t>
  </si>
  <si>
    <t>01夜B2</t>
  </si>
  <si>
    <t>林雯琳</t>
    <phoneticPr fontId="1" type="noConversion"/>
  </si>
  <si>
    <t>林江玉</t>
    <phoneticPr fontId="1" type="noConversion"/>
  </si>
  <si>
    <t>林孟錡</t>
    <phoneticPr fontId="1" type="noConversion"/>
  </si>
  <si>
    <t>T02504</t>
    <phoneticPr fontId="1" type="noConversion"/>
  </si>
  <si>
    <t>潘元浩</t>
    <phoneticPr fontId="1" type="noConversion"/>
  </si>
  <si>
    <t>李慧盺</t>
    <phoneticPr fontId="1" type="noConversion"/>
  </si>
  <si>
    <t>01午B1</t>
  </si>
  <si>
    <t>01午B2</t>
  </si>
  <si>
    <t>01早B2</t>
  </si>
  <si>
    <t>01早B1</t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</si>
  <si>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</si>
  <si>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</si>
  <si>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日(防災士訓)</t>
  </si>
  <si>
    <t>L</t>
    <phoneticPr fontId="1" type="noConversion"/>
  </si>
  <si>
    <t>R</t>
    <phoneticPr fontId="1" type="noConversion"/>
  </si>
  <si>
    <t>r'</t>
    <phoneticPr fontId="1" type="noConversion"/>
  </si>
  <si>
    <t>P</t>
    <phoneticPr fontId="1" type="noConversion"/>
  </si>
  <si>
    <t>01早</t>
  </si>
  <si>
    <t>01午</t>
  </si>
  <si>
    <t>01夜</t>
    <phoneticPr fontId="1" type="noConversion"/>
  </si>
  <si>
    <t>01夜</t>
    <phoneticPr fontId="1" type="noConversion"/>
  </si>
  <si>
    <t>01夜B1</t>
    <phoneticPr fontId="1" type="noConversion"/>
  </si>
  <si>
    <t>01早</t>
    <phoneticPr fontId="1" type="noConversion"/>
  </si>
  <si>
    <t>01夜</t>
    <phoneticPr fontId="1" type="noConversion"/>
  </si>
  <si>
    <t>01夜</t>
    <phoneticPr fontId="1" type="noConversion"/>
  </si>
  <si>
    <t>r'</t>
    <phoneticPr fontId="1" type="noConversion"/>
  </si>
  <si>
    <t>R</t>
    <phoneticPr fontId="1" type="noConversion"/>
  </si>
  <si>
    <t>01早</t>
    <phoneticPr fontId="1" type="noConversion"/>
  </si>
  <si>
    <t>01午</t>
    <phoneticPr fontId="1" type="noConversion"/>
  </si>
  <si>
    <t>01早</t>
    <phoneticPr fontId="1" type="noConversion"/>
  </si>
  <si>
    <t>R</t>
    <phoneticPr fontId="1" type="noConversion"/>
  </si>
  <si>
    <t>01午</t>
    <phoneticPr fontId="1" type="noConversion"/>
  </si>
  <si>
    <t>01午</t>
    <phoneticPr fontId="1" type="noConversion"/>
  </si>
  <si>
    <t>r'</t>
    <phoneticPr fontId="1" type="noConversion"/>
  </si>
  <si>
    <t>r'</t>
    <phoneticPr fontId="1" type="noConversion"/>
  </si>
  <si>
    <t>R</t>
    <phoneticPr fontId="1" type="noConversion"/>
  </si>
  <si>
    <t>L</t>
    <phoneticPr fontId="1" type="noConversion"/>
  </si>
  <si>
    <t>L</t>
    <phoneticPr fontId="1" type="noConversion"/>
  </si>
  <si>
    <t>P</t>
    <phoneticPr fontId="1" type="noConversion"/>
  </si>
  <si>
    <t>01早</t>
    <phoneticPr fontId="1" type="noConversion"/>
  </si>
  <si>
    <t>01中A</t>
    <phoneticPr fontId="1" type="noConversion"/>
  </si>
  <si>
    <t>01中A</t>
    <phoneticPr fontId="1" type="noConversion"/>
  </si>
  <si>
    <t>簡婉蓁</t>
    <phoneticPr fontId="1" type="noConversion"/>
  </si>
  <si>
    <t>黃羿綾</t>
    <phoneticPr fontId="1" type="noConversion"/>
  </si>
  <si>
    <t xml:space="preserve">          日期
          星期                   
</t>
    <phoneticPr fontId="1" type="noConversion"/>
  </si>
  <si>
    <t>姓名</t>
    <phoneticPr fontId="1" type="noConversion"/>
  </si>
  <si>
    <t>01早M</t>
    <phoneticPr fontId="1" type="noConversion"/>
  </si>
  <si>
    <t>01早m</t>
    <phoneticPr fontId="1" type="noConversion"/>
  </si>
  <si>
    <t>01夜B2</t>
    <phoneticPr fontId="1" type="noConversion"/>
  </si>
  <si>
    <t>01午m</t>
    <phoneticPr fontId="1" type="noConversion"/>
  </si>
  <si>
    <t>01午M</t>
    <phoneticPr fontId="1" type="noConversion"/>
  </si>
  <si>
    <t>01早B1</t>
    <phoneticPr fontId="1" type="noConversion"/>
  </si>
  <si>
    <t>01早B2</t>
    <phoneticPr fontId="1" type="noConversion"/>
  </si>
  <si>
    <t>01午B2</t>
    <phoneticPr fontId="1" type="noConversion"/>
  </si>
  <si>
    <t>01午B1</t>
    <phoneticPr fontId="1" type="noConversion"/>
  </si>
  <si>
    <t>日(防災士訓)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</si>
</sst>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76" formatCode="d"/>
    <numFmt numFmtId="177" formatCode="[DBNum1][$-404]General"/>
  </numFmts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24"/>
      <color rgb="FF00B050"/>
      <name val="微軟正黑體"/>
      <family val="2"/>
      <charset val="136"/>
    </font>
    <font>
      <sz val="24"/>
      <color rgb="FFFF0000"/>
      <name val="微軟正黑體"/>
      <family val="2"/>
      <charset val="136"/>
    </font>
    <font>
      <sz val="24"/>
      <color rgb="FF00B0F0"/>
      <name val="微軟正黑體"/>
      <family val="2"/>
      <charset val="136"/>
    </font>
    <font>
      <sz val="24"/>
      <name val="微軟正黑體"/>
      <family val="1"/>
      <charset val="136"/>
    </font>
    <font>
      <sz val="24"/>
      <color rgb="FFFF0000"/>
      <name val="Microsoft JhengHei"/>
      <family val="2"/>
      <charset val="136"/>
    </font>
    <font>
      <sz val="24"/>
      <name val="細明體-ExtB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>
      <alignment vertical="center"/>
    </xf>
    <xf numFmtId="0" fontId="5" fillId="0" borderId="0">
      <alignment vertical="center"/>
    </xf>
    <xf numFmtId="0" fontId="6" fillId="0" borderId="0"/>
    <xf numFmtId="0" fontId="7" fillId="0" borderId="0">
      <alignment vertical="center"/>
    </xf>
    <xf numFmtId="0" fontId="5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1" fillId="0" borderId="0"/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13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77" fontId="4" fillId="0" borderId="2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7" fontId="4" fillId="0" borderId="29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4" fillId="0" borderId="15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1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4" xfId="0" applyFont="1" applyBorder="1">
      <alignment vertical="center"/>
    </xf>
    <xf numFmtId="0" fontId="2" fillId="0" borderId="35" xfId="0" applyFont="1" applyBorder="1">
      <alignment vertical="center"/>
    </xf>
    <xf numFmtId="0" fontId="2" fillId="0" borderId="3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23" xfId="0" applyFont="1" applyBorder="1">
      <alignment vertical="center"/>
    </xf>
    <xf numFmtId="0" fontId="0" fillId="6" borderId="0" xfId="0" applyFill="1">
      <alignment vertical="center"/>
    </xf>
    <xf numFmtId="0" fontId="22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176" fontId="2" fillId="7" borderId="5" xfId="0" applyNumberFormat="1" applyFont="1" applyFill="1" applyBorder="1" applyAlignment="1">
      <alignment horizontal="center" vertical="center" wrapText="1"/>
    </xf>
    <xf numFmtId="177" fontId="4" fillId="7" borderId="9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77" fontId="4" fillId="7" borderId="27" xfId="0" applyNumberFormat="1" applyFont="1" applyFill="1" applyBorder="1" applyAlignment="1">
      <alignment horizontal="center" vertical="center"/>
    </xf>
    <xf numFmtId="177" fontId="4" fillId="7" borderId="41" xfId="0" applyNumberFormat="1" applyFont="1" applyFill="1" applyBorder="1" applyAlignment="1">
      <alignment horizontal="center" vertical="center"/>
    </xf>
    <xf numFmtId="177" fontId="4" fillId="7" borderId="42" xfId="0" applyNumberFormat="1" applyFont="1" applyFill="1" applyBorder="1" applyAlignment="1">
      <alignment horizontal="center" vertical="center"/>
    </xf>
    <xf numFmtId="177" fontId="4" fillId="8" borderId="42" xfId="0" applyNumberFormat="1" applyFont="1" applyFill="1" applyBorder="1" applyAlignment="1">
      <alignment horizontal="center" vertical="center"/>
    </xf>
    <xf numFmtId="177" fontId="4" fillId="0" borderId="42" xfId="0" applyNumberFormat="1" applyFont="1" applyBorder="1" applyAlignment="1">
      <alignment horizontal="center" vertical="center"/>
    </xf>
    <xf numFmtId="177" fontId="4" fillId="5" borderId="42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177" fontId="4" fillId="5" borderId="29" xfId="0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77" fontId="4" fillId="8" borderId="41" xfId="0" applyNumberFormat="1" applyFont="1" applyFill="1" applyBorder="1" applyAlignment="1">
      <alignment horizontal="center" vertical="center"/>
    </xf>
    <xf numFmtId="177" fontId="4" fillId="8" borderId="29" xfId="0" applyNumberFormat="1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177" fontId="4" fillId="5" borderId="41" xfId="0" applyNumberFormat="1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22" fillId="5" borderId="38" xfId="0" applyFont="1" applyFill="1" applyBorder="1" applyAlignment="1">
      <alignment horizontal="center" vertical="center"/>
    </xf>
    <xf numFmtId="0" fontId="4" fillId="5" borderId="7" xfId="0" quotePrefix="1" applyFont="1" applyFill="1" applyBorder="1" applyAlignment="1">
      <alignment horizontal="center" vertical="center"/>
    </xf>
    <xf numFmtId="0" fontId="4" fillId="5" borderId="16" xfId="0" quotePrefix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/>
    </xf>
    <xf numFmtId="0" fontId="22" fillId="5" borderId="31" xfId="0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</cellXfs>
  <cellStyles count="59">
    <cellStyle name="Normal_OJT DOCS" xfId="17"/>
    <cellStyle name="TableStyleLight1" xfId="4"/>
    <cellStyle name="一般" xfId="0" builtinId="0"/>
    <cellStyle name="一般 10" xfId="2"/>
    <cellStyle name="一般 10 2" xfId="5"/>
    <cellStyle name="一般 10 3" xfId="54"/>
    <cellStyle name="一般 11" xfId="6"/>
    <cellStyle name="一般 2" xfId="7"/>
    <cellStyle name="一般 2 2" xfId="8"/>
    <cellStyle name="一般 2 3" xfId="9"/>
    <cellStyle name="一般 3" xfId="10"/>
    <cellStyle name="一般 3 2" xfId="18"/>
    <cellStyle name="一般 3 2 2" xfId="19"/>
    <cellStyle name="一般 3 2 3" xfId="20"/>
    <cellStyle name="一般 3 2_個人班表小月曆" xfId="21"/>
    <cellStyle name="一般 3 3" xfId="22"/>
    <cellStyle name="一般 3 4" xfId="23"/>
    <cellStyle name="一般 3_個人班表小月曆" xfId="24"/>
    <cellStyle name="一般 4" xfId="11"/>
    <cellStyle name="一般 4 2" xfId="25"/>
    <cellStyle name="一般 4 2 2" xfId="26"/>
    <cellStyle name="一般 4 3" xfId="27"/>
    <cellStyle name="一般 4 3 2" xfId="28"/>
    <cellStyle name="一般 4 3_個人班表小月曆" xfId="29"/>
    <cellStyle name="一般 4 4" xfId="30"/>
    <cellStyle name="一般 4 5" xfId="31"/>
    <cellStyle name="一般 4_個人班表小月曆" xfId="32"/>
    <cellStyle name="一般 5" xfId="12"/>
    <cellStyle name="一般 5 2" xfId="33"/>
    <cellStyle name="一般 5 2 2" xfId="34"/>
    <cellStyle name="一般 5 2 3" xfId="35"/>
    <cellStyle name="一般 5 2_個人班表小月曆" xfId="36"/>
    <cellStyle name="一般 5 3" xfId="37"/>
    <cellStyle name="一般 5 4" xfId="38"/>
    <cellStyle name="一般 5_個人班表小月曆" xfId="39"/>
    <cellStyle name="一般 6" xfId="13"/>
    <cellStyle name="一般 6 2" xfId="40"/>
    <cellStyle name="一般 6 3" xfId="41"/>
    <cellStyle name="一般 6 4" xfId="42"/>
    <cellStyle name="一般 6_個人班表小月曆" xfId="43"/>
    <cellStyle name="一般 7" xfId="1"/>
    <cellStyle name="一般 8" xfId="14"/>
    <cellStyle name="一般 9" xfId="3"/>
    <cellStyle name="一般 9 3 2" xfId="15"/>
    <cellStyle name="一般 9 4" xfId="16"/>
    <cellStyle name="一般 9 7 2 2 2 2 2 2" xfId="46"/>
    <cellStyle name="千分位 2" xfId="47"/>
    <cellStyle name="千分位 2 2" xfId="49"/>
    <cellStyle name="千分位 2 2 2" xfId="58"/>
    <cellStyle name="千分位 2 2 3" xfId="53"/>
    <cellStyle name="千分位 2 3" xfId="56"/>
    <cellStyle name="千分位 2 4" xfId="51"/>
    <cellStyle name="千分位 3" xfId="48"/>
    <cellStyle name="千分位 3 2" xfId="57"/>
    <cellStyle name="千分位 3 3" xfId="52"/>
    <cellStyle name="千分位 4" xfId="55"/>
    <cellStyle name="千分位 5" xfId="50"/>
    <cellStyle name="好_個人班表小月曆" xfId="44"/>
    <cellStyle name="壞_個人班表小月曆" xfId="45"/>
  </cellStyles>
  <dxfs count="9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5"/>
</file>

<file path=xl/ctrlProps/ctrlProp2.xml><?xml version="1.0" encoding="utf-8"?>
<formControlPr xmlns="http://schemas.microsoft.com/office/spreadsheetml/2009/9/main" objectType="Spin" dx="26" fmlaLink="$H$1" max="12" min="1" page="10" val="8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613;&#23567;&#32160;\2.&#24046;&#21220;\0.&#21271;&#27573;&#29677;&#34920;\112&#24180;\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1"/>
  <sheetViews>
    <sheetView tabSelected="1" zoomScale="55" zoomScaleNormal="55" zoomScaleSheetLayoutView="40" zoomScalePageLayoutView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2" sqref="L2"/>
    </sheetView>
  </sheetViews>
  <sheetFormatPr defaultColWidth="8.875" defaultRowHeight="16.5"/>
  <cols>
    <col min="1" max="1" width="8.875" bestFit="1" customWidth="1"/>
    <col min="2" max="2" width="20.125" bestFit="1" customWidth="1"/>
    <col min="3" max="3" width="27.625" bestFit="1" customWidth="1"/>
    <col min="4" max="11" width="27.625" customWidth="1"/>
    <col min="12" max="15" width="18.875" customWidth="1"/>
    <col min="16" max="16" width="21" customWidth="1"/>
    <col min="17" max="27" width="18.625" customWidth="1"/>
    <col min="28" max="28" width="18.625" style="42" customWidth="1"/>
    <col min="29" max="35" width="18.625" customWidth="1"/>
    <col min="36" max="38" width="18.625" style="44" customWidth="1"/>
    <col min="39" max="41" width="18.625" customWidth="1"/>
    <col min="42" max="43" width="27.25" customWidth="1"/>
  </cols>
  <sheetData>
    <row r="1" spans="1:42" ht="120.6" customHeight="1">
      <c r="A1" s="145"/>
      <c r="B1" s="147" t="s">
        <v>0</v>
      </c>
      <c r="C1" s="143" t="s">
        <v>197</v>
      </c>
      <c r="D1" s="71">
        <v>46166</v>
      </c>
      <c r="E1" s="71">
        <v>46167</v>
      </c>
      <c r="F1" s="71">
        <v>46168</v>
      </c>
      <c r="G1" s="71">
        <v>46169</v>
      </c>
      <c r="H1" s="71">
        <v>46170</v>
      </c>
      <c r="I1" s="71">
        <v>46171</v>
      </c>
      <c r="J1" s="71">
        <v>46172</v>
      </c>
      <c r="K1" s="71">
        <v>46173</v>
      </c>
      <c r="L1" s="71">
        <v>46174</v>
      </c>
      <c r="M1" s="71">
        <v>46175</v>
      </c>
      <c r="N1" s="71">
        <v>46176</v>
      </c>
      <c r="O1" s="71">
        <v>46177</v>
      </c>
      <c r="P1" s="71">
        <v>46178</v>
      </c>
      <c r="Q1" s="71">
        <v>46179</v>
      </c>
      <c r="R1" s="71">
        <v>46180</v>
      </c>
      <c r="S1" s="71">
        <v>46181</v>
      </c>
      <c r="T1" s="71">
        <v>46182</v>
      </c>
      <c r="U1" s="71">
        <v>46183</v>
      </c>
      <c r="V1" s="71">
        <v>46184</v>
      </c>
      <c r="W1" s="71">
        <v>46185</v>
      </c>
      <c r="X1" s="71">
        <v>46186</v>
      </c>
      <c r="Y1" s="71">
        <v>46187</v>
      </c>
      <c r="Z1" s="71">
        <v>46188</v>
      </c>
      <c r="AA1" s="71">
        <v>46189</v>
      </c>
      <c r="AB1" s="71">
        <v>46190</v>
      </c>
      <c r="AC1" s="71">
        <v>46191</v>
      </c>
      <c r="AD1" s="71">
        <v>46192</v>
      </c>
      <c r="AE1" s="71">
        <v>46193</v>
      </c>
      <c r="AF1" s="71">
        <v>46194</v>
      </c>
      <c r="AG1" s="71">
        <v>46195</v>
      </c>
      <c r="AH1" s="71">
        <v>46196</v>
      </c>
      <c r="AI1" s="71">
        <v>46197</v>
      </c>
      <c r="AJ1" s="71">
        <v>46198</v>
      </c>
      <c r="AK1" s="71">
        <v>46199</v>
      </c>
      <c r="AL1" s="71">
        <v>46200</v>
      </c>
      <c r="AM1" s="71">
        <v>46201</v>
      </c>
      <c r="AN1" s="71">
        <v>46202</v>
      </c>
      <c r="AO1" s="71">
        <v>46203</v>
      </c>
      <c r="AP1" s="53"/>
    </row>
    <row r="2" spans="1:42" ht="43.5" customHeight="1" thickBot="1">
      <c r="A2" s="146"/>
      <c r="B2" s="148"/>
      <c r="C2" s="144" t="s">
        <v>198</v>
      </c>
      <c r="D2" s="94" t="str">
        <f t="shared" ref="D2:K2" si="0">RIGHT(TEXT(D1,"[$-404]aaaa;@"),1)</f>
        <v>日</v>
      </c>
      <c r="E2" s="86" t="str">
        <f t="shared" si="0"/>
        <v>一</v>
      </c>
      <c r="F2" s="72" t="str">
        <f t="shared" si="0"/>
        <v>二</v>
      </c>
      <c r="G2" s="72" t="str">
        <f t="shared" si="0"/>
        <v>三</v>
      </c>
      <c r="H2" s="88" t="str">
        <f t="shared" si="0"/>
        <v>四</v>
      </c>
      <c r="I2" s="88" t="str">
        <f t="shared" si="0"/>
        <v>五</v>
      </c>
      <c r="J2" s="87" t="str">
        <f t="shared" si="0"/>
        <v>六</v>
      </c>
      <c r="K2" s="94" t="str">
        <f t="shared" si="0"/>
        <v>日</v>
      </c>
      <c r="L2" s="86" t="str">
        <f t="shared" ref="L2:M2" si="1">RIGHT(TEXT(L1,"[$-404]aaaa;@"),1)</f>
        <v>一</v>
      </c>
      <c r="M2" s="72" t="str">
        <f t="shared" si="1"/>
        <v>二</v>
      </c>
      <c r="N2" s="72" t="str">
        <f>RIGHT(TEXT(N1,"[$-404]aaaa;@"),1)</f>
        <v>三</v>
      </c>
      <c r="O2" s="88" t="str">
        <f t="shared" ref="O2:AO2" si="2">RIGHT(TEXT(O1,"[$-404]aaaa;@"),1)</f>
        <v>四</v>
      </c>
      <c r="P2" s="88" t="str">
        <f t="shared" si="2"/>
        <v>五</v>
      </c>
      <c r="Q2" s="87" t="str">
        <f t="shared" si="2"/>
        <v>六</v>
      </c>
      <c r="R2" s="94" t="str">
        <f t="shared" si="2"/>
        <v>日</v>
      </c>
      <c r="S2" s="89" t="str">
        <f t="shared" si="2"/>
        <v>一</v>
      </c>
      <c r="T2" s="89" t="str">
        <f t="shared" si="2"/>
        <v>二</v>
      </c>
      <c r="U2" s="89" t="str">
        <f t="shared" si="2"/>
        <v>三</v>
      </c>
      <c r="V2" s="89" t="str">
        <f t="shared" si="2"/>
        <v>四</v>
      </c>
      <c r="W2" s="89" t="str">
        <f t="shared" si="2"/>
        <v>五</v>
      </c>
      <c r="X2" s="103" t="str">
        <f t="shared" si="2"/>
        <v>六</v>
      </c>
      <c r="Y2" s="104" t="str">
        <f t="shared" si="2"/>
        <v>日</v>
      </c>
      <c r="Z2" s="90" t="str">
        <f t="shared" si="2"/>
        <v>一</v>
      </c>
      <c r="AA2" s="90" t="str">
        <f t="shared" si="2"/>
        <v>二</v>
      </c>
      <c r="AB2" s="90" t="str">
        <f t="shared" si="2"/>
        <v>三</v>
      </c>
      <c r="AC2" s="90" t="str">
        <f t="shared" si="2"/>
        <v>四</v>
      </c>
      <c r="AD2" s="91" t="str">
        <f t="shared" si="2"/>
        <v>五</v>
      </c>
      <c r="AE2" s="108" t="str">
        <f t="shared" si="2"/>
        <v>六</v>
      </c>
      <c r="AF2" s="94" t="str">
        <f t="shared" si="2"/>
        <v>日</v>
      </c>
      <c r="AG2" s="90" t="str">
        <f t="shared" si="2"/>
        <v>一</v>
      </c>
      <c r="AH2" s="90" t="str">
        <f t="shared" si="2"/>
        <v>二</v>
      </c>
      <c r="AI2" s="90" t="str">
        <f t="shared" si="2"/>
        <v>三</v>
      </c>
      <c r="AJ2" s="90" t="str">
        <f t="shared" si="2"/>
        <v>四</v>
      </c>
      <c r="AK2" s="90" t="str">
        <f t="shared" si="2"/>
        <v>五</v>
      </c>
      <c r="AL2" s="108" t="str">
        <f t="shared" si="2"/>
        <v>六</v>
      </c>
      <c r="AM2" s="94" t="str">
        <f t="shared" si="2"/>
        <v>日</v>
      </c>
      <c r="AN2" s="90" t="str">
        <f t="shared" si="2"/>
        <v>一</v>
      </c>
      <c r="AO2" s="90" t="str">
        <f t="shared" si="2"/>
        <v>二</v>
      </c>
      <c r="AP2" s="53"/>
    </row>
    <row r="3" spans="1:42" ht="39.75" customHeight="1">
      <c r="A3" s="149" t="s">
        <v>114</v>
      </c>
      <c r="B3" s="55" t="s">
        <v>5</v>
      </c>
      <c r="C3" s="61" t="s">
        <v>135</v>
      </c>
      <c r="D3" s="74" t="s">
        <v>3</v>
      </c>
      <c r="E3" s="15" t="s">
        <v>199</v>
      </c>
      <c r="F3" s="15" t="s">
        <v>199</v>
      </c>
      <c r="G3" s="15" t="s">
        <v>200</v>
      </c>
      <c r="H3" s="15" t="s">
        <v>77</v>
      </c>
      <c r="I3" s="15" t="s">
        <v>2</v>
      </c>
      <c r="J3" s="74" t="s">
        <v>201</v>
      </c>
      <c r="K3" s="74" t="s">
        <v>174</v>
      </c>
      <c r="L3" s="92" t="s">
        <v>49</v>
      </c>
      <c r="M3" s="92" t="s">
        <v>2</v>
      </c>
      <c r="N3" s="92" t="s">
        <v>147</v>
      </c>
      <c r="O3" s="92" t="s">
        <v>148</v>
      </c>
      <c r="P3" s="92" t="s">
        <v>149</v>
      </c>
      <c r="Q3" s="95" t="s">
        <v>49</v>
      </c>
      <c r="R3" s="127" t="s">
        <v>173</v>
      </c>
      <c r="S3" s="119" t="s">
        <v>173</v>
      </c>
      <c r="T3" s="119" t="s">
        <v>173</v>
      </c>
      <c r="U3" s="119" t="s">
        <v>187</v>
      </c>
      <c r="V3" s="119" t="s">
        <v>179</v>
      </c>
      <c r="W3" s="8" t="s">
        <v>180</v>
      </c>
      <c r="X3" s="130" t="s">
        <v>192</v>
      </c>
      <c r="Y3" s="131" t="s">
        <v>173</v>
      </c>
      <c r="Z3" s="119" t="s">
        <v>173</v>
      </c>
      <c r="AA3" s="119" t="s">
        <v>179</v>
      </c>
      <c r="AB3" s="119" t="s">
        <v>191</v>
      </c>
      <c r="AC3" s="125" t="s">
        <v>186</v>
      </c>
      <c r="AD3" s="134" t="s">
        <v>186</v>
      </c>
      <c r="AE3" s="135" t="s">
        <v>182</v>
      </c>
      <c r="AF3" s="136" t="s">
        <v>82</v>
      </c>
      <c r="AG3" s="8" t="s">
        <v>82</v>
      </c>
      <c r="AH3" s="8" t="s">
        <v>185</v>
      </c>
      <c r="AI3" s="126" t="s">
        <v>168</v>
      </c>
      <c r="AJ3" s="120" t="s">
        <v>2</v>
      </c>
      <c r="AK3" s="120" t="s">
        <v>189</v>
      </c>
      <c r="AL3" s="140" t="s">
        <v>1</v>
      </c>
      <c r="AM3" s="141" t="s">
        <v>184</v>
      </c>
      <c r="AN3" s="8" t="s">
        <v>185</v>
      </c>
      <c r="AO3" s="8" t="s">
        <v>183</v>
      </c>
      <c r="AP3" s="32"/>
    </row>
    <row r="4" spans="1:42" ht="39.75" customHeight="1">
      <c r="A4" s="150"/>
      <c r="B4" s="56" t="s">
        <v>6</v>
      </c>
      <c r="C4" s="60" t="s">
        <v>150</v>
      </c>
      <c r="D4" s="74" t="s">
        <v>2</v>
      </c>
      <c r="E4" s="15" t="s">
        <v>49</v>
      </c>
      <c r="F4" s="15" t="s">
        <v>202</v>
      </c>
      <c r="G4" s="15" t="s">
        <v>203</v>
      </c>
      <c r="H4" s="15" t="s">
        <v>202</v>
      </c>
      <c r="I4" s="15" t="s">
        <v>203</v>
      </c>
      <c r="J4" s="75" t="s">
        <v>49</v>
      </c>
      <c r="K4" s="74" t="s">
        <v>203</v>
      </c>
      <c r="L4" s="73" t="s">
        <v>151</v>
      </c>
      <c r="M4" s="73" t="s">
        <v>3</v>
      </c>
      <c r="N4" s="73" t="s">
        <v>2</v>
      </c>
      <c r="O4" s="73" t="s">
        <v>146</v>
      </c>
      <c r="P4" s="73" t="s">
        <v>152</v>
      </c>
      <c r="Q4" s="96" t="s">
        <v>174</v>
      </c>
      <c r="R4" s="128" t="s">
        <v>183</v>
      </c>
      <c r="S4" s="10" t="s">
        <v>186</v>
      </c>
      <c r="T4" s="10" t="s">
        <v>166</v>
      </c>
      <c r="U4" s="10" t="s">
        <v>185</v>
      </c>
      <c r="V4" s="10" t="s">
        <v>181</v>
      </c>
      <c r="W4" s="15" t="s">
        <v>173</v>
      </c>
      <c r="X4" s="48" t="s">
        <v>173</v>
      </c>
      <c r="Y4" s="50" t="s">
        <v>173</v>
      </c>
      <c r="Z4" s="15" t="s">
        <v>178</v>
      </c>
      <c r="AA4" s="15" t="s">
        <v>179</v>
      </c>
      <c r="AB4" s="45" t="s">
        <v>185</v>
      </c>
      <c r="AC4" s="114" t="s">
        <v>184</v>
      </c>
      <c r="AD4" s="137" t="s">
        <v>185</v>
      </c>
      <c r="AE4" s="52" t="s">
        <v>185</v>
      </c>
      <c r="AF4" s="115" t="s">
        <v>183</v>
      </c>
      <c r="AG4" s="10" t="s">
        <v>90</v>
      </c>
      <c r="AH4" s="10" t="s">
        <v>90</v>
      </c>
      <c r="AI4" s="114" t="s">
        <v>168</v>
      </c>
      <c r="AJ4" s="10" t="s">
        <v>181</v>
      </c>
      <c r="AK4" s="10" t="s">
        <v>181</v>
      </c>
      <c r="AL4" s="48" t="s">
        <v>186</v>
      </c>
      <c r="AM4" s="128" t="s">
        <v>182</v>
      </c>
      <c r="AN4" s="10" t="s">
        <v>82</v>
      </c>
      <c r="AO4" s="10" t="s">
        <v>90</v>
      </c>
      <c r="AP4" s="32"/>
    </row>
    <row r="5" spans="1:42" ht="39.75" customHeight="1">
      <c r="A5" s="150"/>
      <c r="B5" s="56" t="s">
        <v>7</v>
      </c>
      <c r="C5" s="60" t="s">
        <v>153</v>
      </c>
      <c r="D5" s="74" t="s">
        <v>2</v>
      </c>
      <c r="E5" s="15" t="s">
        <v>3</v>
      </c>
      <c r="F5" s="15" t="s">
        <v>3</v>
      </c>
      <c r="G5" s="15" t="s">
        <v>202</v>
      </c>
      <c r="H5" s="15" t="s">
        <v>203</v>
      </c>
      <c r="I5" s="15" t="s">
        <v>202</v>
      </c>
      <c r="J5" s="74" t="s">
        <v>202</v>
      </c>
      <c r="K5" s="74" t="s">
        <v>49</v>
      </c>
      <c r="L5" s="73" t="s">
        <v>146</v>
      </c>
      <c r="M5" s="73" t="s">
        <v>152</v>
      </c>
      <c r="N5" s="73" t="s">
        <v>2</v>
      </c>
      <c r="O5" s="73" t="s">
        <v>3</v>
      </c>
      <c r="P5" s="73" t="s">
        <v>49</v>
      </c>
      <c r="Q5" s="96" t="s">
        <v>151</v>
      </c>
      <c r="R5" s="128" t="s">
        <v>181</v>
      </c>
      <c r="S5" s="10" t="s">
        <v>183</v>
      </c>
      <c r="T5" s="10" t="s">
        <v>186</v>
      </c>
      <c r="U5" s="10" t="s">
        <v>181</v>
      </c>
      <c r="V5" s="10" t="s">
        <v>185</v>
      </c>
      <c r="W5" s="10" t="s">
        <v>186</v>
      </c>
      <c r="X5" s="49" t="s">
        <v>192</v>
      </c>
      <c r="Y5" s="51" t="s">
        <v>184</v>
      </c>
      <c r="Z5" s="15" t="s">
        <v>173</v>
      </c>
      <c r="AA5" s="15" t="s">
        <v>173</v>
      </c>
      <c r="AB5" s="15" t="s">
        <v>173</v>
      </c>
      <c r="AC5" s="15" t="s">
        <v>179</v>
      </c>
      <c r="AD5" s="137" t="s">
        <v>190</v>
      </c>
      <c r="AE5" s="52" t="s">
        <v>185</v>
      </c>
      <c r="AF5" s="128" t="s">
        <v>185</v>
      </c>
      <c r="AG5" s="10" t="s">
        <v>185</v>
      </c>
      <c r="AH5" s="10" t="s">
        <v>186</v>
      </c>
      <c r="AI5" s="114" t="s">
        <v>186</v>
      </c>
      <c r="AJ5" s="45" t="s">
        <v>183</v>
      </c>
      <c r="AK5" s="45" t="s">
        <v>1</v>
      </c>
      <c r="AL5" s="48" t="s">
        <v>1</v>
      </c>
      <c r="AM5" s="115" t="s">
        <v>181</v>
      </c>
      <c r="AN5" s="10" t="s">
        <v>90</v>
      </c>
      <c r="AO5" s="10" t="s">
        <v>183</v>
      </c>
      <c r="AP5" s="32"/>
    </row>
    <row r="6" spans="1:42" ht="39.75" customHeight="1">
      <c r="A6" s="150"/>
      <c r="B6" s="56" t="s">
        <v>9</v>
      </c>
      <c r="C6" s="60" t="s">
        <v>10</v>
      </c>
      <c r="D6" s="74" t="s">
        <v>200</v>
      </c>
      <c r="E6" s="45" t="s">
        <v>2</v>
      </c>
      <c r="F6" s="45" t="s">
        <v>49</v>
      </c>
      <c r="G6" s="15" t="s">
        <v>199</v>
      </c>
      <c r="H6" s="15" t="s">
        <v>200</v>
      </c>
      <c r="I6" s="15" t="s">
        <v>199</v>
      </c>
      <c r="J6" s="74" t="s">
        <v>49</v>
      </c>
      <c r="K6" s="74" t="s">
        <v>200</v>
      </c>
      <c r="L6" s="73" t="s">
        <v>147</v>
      </c>
      <c r="M6" s="73" t="s">
        <v>148</v>
      </c>
      <c r="N6" s="73" t="s">
        <v>3</v>
      </c>
      <c r="O6" s="73" t="s">
        <v>2</v>
      </c>
      <c r="P6" s="73" t="s">
        <v>147</v>
      </c>
      <c r="Q6" s="96" t="s">
        <v>148</v>
      </c>
      <c r="R6" s="128" t="s">
        <v>183</v>
      </c>
      <c r="S6" s="15" t="s">
        <v>173</v>
      </c>
      <c r="T6" s="15" t="s">
        <v>173</v>
      </c>
      <c r="U6" s="15" t="s">
        <v>173</v>
      </c>
      <c r="V6" s="15" t="s">
        <v>173</v>
      </c>
      <c r="W6" s="15" t="s">
        <v>187</v>
      </c>
      <c r="X6" s="48" t="s">
        <v>186</v>
      </c>
      <c r="Y6" s="51" t="s">
        <v>2</v>
      </c>
      <c r="Z6" s="10" t="s">
        <v>185</v>
      </c>
      <c r="AA6" s="10" t="s">
        <v>185</v>
      </c>
      <c r="AB6" s="10" t="s">
        <v>186</v>
      </c>
      <c r="AC6" s="10" t="s">
        <v>182</v>
      </c>
      <c r="AD6" s="137" t="s">
        <v>182</v>
      </c>
      <c r="AE6" s="52" t="s">
        <v>180</v>
      </c>
      <c r="AF6" s="128" t="s">
        <v>180</v>
      </c>
      <c r="AG6" s="10" t="s">
        <v>180</v>
      </c>
      <c r="AH6" s="45" t="s">
        <v>2</v>
      </c>
      <c r="AI6" s="45" t="s">
        <v>49</v>
      </c>
      <c r="AJ6" s="10" t="s">
        <v>180</v>
      </c>
      <c r="AK6" s="10" t="s">
        <v>180</v>
      </c>
      <c r="AL6" s="52" t="s">
        <v>180</v>
      </c>
      <c r="AM6" s="128" t="s">
        <v>182</v>
      </c>
      <c r="AN6" s="10" t="s">
        <v>188</v>
      </c>
      <c r="AO6" s="10" t="s">
        <v>180</v>
      </c>
      <c r="AP6" s="32"/>
    </row>
    <row r="7" spans="1:42" ht="39.75" customHeight="1">
      <c r="A7" s="150"/>
      <c r="B7" s="57" t="s">
        <v>136</v>
      </c>
      <c r="C7" s="58" t="s">
        <v>154</v>
      </c>
      <c r="D7" s="74" t="s">
        <v>201</v>
      </c>
      <c r="E7" s="15" t="s">
        <v>174</v>
      </c>
      <c r="F7" s="15" t="s">
        <v>201</v>
      </c>
      <c r="G7" s="15" t="s">
        <v>2</v>
      </c>
      <c r="H7" s="15" t="s">
        <v>49</v>
      </c>
      <c r="I7" s="15" t="s">
        <v>49</v>
      </c>
      <c r="J7" s="74" t="s">
        <v>200</v>
      </c>
      <c r="K7" s="74" t="s">
        <v>199</v>
      </c>
      <c r="L7" s="73" t="s">
        <v>148</v>
      </c>
      <c r="M7" s="73" t="s">
        <v>147</v>
      </c>
      <c r="N7" s="73" t="s">
        <v>2</v>
      </c>
      <c r="O7" s="73" t="s">
        <v>147</v>
      </c>
      <c r="P7" s="73" t="s">
        <v>148</v>
      </c>
      <c r="Q7" s="96" t="s">
        <v>147</v>
      </c>
      <c r="R7" s="128" t="s">
        <v>183</v>
      </c>
      <c r="S7" s="10" t="s">
        <v>180</v>
      </c>
      <c r="T7" s="10" t="s">
        <v>180</v>
      </c>
      <c r="U7" s="10" t="s">
        <v>180</v>
      </c>
      <c r="V7" s="10" t="s">
        <v>180</v>
      </c>
      <c r="W7" s="45" t="s">
        <v>186</v>
      </c>
      <c r="X7" s="48" t="s">
        <v>186</v>
      </c>
      <c r="Y7" s="128" t="s">
        <v>175</v>
      </c>
      <c r="Z7" s="10" t="s">
        <v>182</v>
      </c>
      <c r="AA7" s="10" t="s">
        <v>182</v>
      </c>
      <c r="AB7" s="10" t="s">
        <v>182</v>
      </c>
      <c r="AC7" s="10" t="s">
        <v>180</v>
      </c>
      <c r="AD7" s="116" t="s">
        <v>183</v>
      </c>
      <c r="AE7" s="48" t="s">
        <v>1</v>
      </c>
      <c r="AF7" s="115" t="s">
        <v>188</v>
      </c>
      <c r="AG7" s="45" t="s">
        <v>186</v>
      </c>
      <c r="AH7" s="15" t="s">
        <v>173</v>
      </c>
      <c r="AI7" s="15" t="s">
        <v>173</v>
      </c>
      <c r="AJ7" s="15" t="s">
        <v>173</v>
      </c>
      <c r="AK7" s="15" t="s">
        <v>173</v>
      </c>
      <c r="AL7" s="47" t="s">
        <v>176</v>
      </c>
      <c r="AM7" s="50" t="s">
        <v>179</v>
      </c>
      <c r="AN7" s="15" t="s">
        <v>191</v>
      </c>
      <c r="AO7" s="15" t="s">
        <v>194</v>
      </c>
      <c r="AP7" s="32"/>
    </row>
    <row r="8" spans="1:42" ht="39.75" customHeight="1">
      <c r="A8" s="150"/>
      <c r="B8" s="57" t="s">
        <v>132</v>
      </c>
      <c r="C8" s="59" t="s">
        <v>133</v>
      </c>
      <c r="D8" s="74" t="s">
        <v>204</v>
      </c>
      <c r="E8" s="15" t="s">
        <v>200</v>
      </c>
      <c r="F8" s="45" t="s">
        <v>2</v>
      </c>
      <c r="G8" s="15" t="s">
        <v>77</v>
      </c>
      <c r="H8" s="15" t="s">
        <v>199</v>
      </c>
      <c r="I8" s="15" t="s">
        <v>200</v>
      </c>
      <c r="J8" s="74" t="s">
        <v>199</v>
      </c>
      <c r="K8" s="74" t="s">
        <v>2</v>
      </c>
      <c r="L8" s="73" t="s">
        <v>152</v>
      </c>
      <c r="M8" s="73" t="s">
        <v>146</v>
      </c>
      <c r="N8" s="73" t="s">
        <v>152</v>
      </c>
      <c r="O8" s="73" t="s">
        <v>49</v>
      </c>
      <c r="P8" s="73" t="s">
        <v>3</v>
      </c>
      <c r="Q8" s="96" t="s">
        <v>49</v>
      </c>
      <c r="R8" s="128" t="s">
        <v>182</v>
      </c>
      <c r="S8" s="10" t="s">
        <v>180</v>
      </c>
      <c r="T8" s="10" t="s">
        <v>90</v>
      </c>
      <c r="U8" s="10" t="s">
        <v>188</v>
      </c>
      <c r="V8" s="10" t="s">
        <v>186</v>
      </c>
      <c r="W8" s="10" t="s">
        <v>90</v>
      </c>
      <c r="X8" s="52" t="s">
        <v>184</v>
      </c>
      <c r="Y8" s="51" t="s">
        <v>1</v>
      </c>
      <c r="Z8" s="45" t="s">
        <v>1</v>
      </c>
      <c r="AA8" s="45" t="s">
        <v>2</v>
      </c>
      <c r="AB8" s="10" t="s">
        <v>180</v>
      </c>
      <c r="AC8" s="10" t="s">
        <v>180</v>
      </c>
      <c r="AD8" s="137" t="s">
        <v>182</v>
      </c>
      <c r="AE8" s="52" t="s">
        <v>82</v>
      </c>
      <c r="AF8" s="128" t="s">
        <v>82</v>
      </c>
      <c r="AG8" s="10" t="s">
        <v>168</v>
      </c>
      <c r="AH8" s="10" t="s">
        <v>180</v>
      </c>
      <c r="AI8" s="10" t="s">
        <v>180</v>
      </c>
      <c r="AJ8" s="123" t="s">
        <v>173</v>
      </c>
      <c r="AK8" s="15" t="s">
        <v>173</v>
      </c>
      <c r="AL8" s="47" t="s">
        <v>183</v>
      </c>
      <c r="AM8" s="51" t="s">
        <v>2</v>
      </c>
      <c r="AN8" s="10" t="s">
        <v>186</v>
      </c>
      <c r="AO8" s="10" t="s">
        <v>180</v>
      </c>
      <c r="AP8" s="32"/>
    </row>
    <row r="9" spans="1:42" ht="39.75" customHeight="1">
      <c r="A9" s="150"/>
      <c r="B9" s="57" t="s">
        <v>134</v>
      </c>
      <c r="C9" s="59" t="s">
        <v>155</v>
      </c>
      <c r="D9" s="74" t="s">
        <v>174</v>
      </c>
      <c r="E9" s="15" t="s">
        <v>201</v>
      </c>
      <c r="F9" s="15" t="s">
        <v>49</v>
      </c>
      <c r="G9" s="15" t="s">
        <v>2</v>
      </c>
      <c r="H9" s="15" t="s">
        <v>174</v>
      </c>
      <c r="I9" s="15" t="s">
        <v>201</v>
      </c>
      <c r="J9" s="74" t="s">
        <v>174</v>
      </c>
      <c r="K9" s="74" t="s">
        <v>201</v>
      </c>
      <c r="L9" s="73" t="s">
        <v>49</v>
      </c>
      <c r="M9" s="73" t="s">
        <v>2</v>
      </c>
      <c r="N9" s="73" t="s">
        <v>146</v>
      </c>
      <c r="O9" s="73" t="s">
        <v>152</v>
      </c>
      <c r="P9" s="73" t="s">
        <v>146</v>
      </c>
      <c r="Q9" s="96" t="s">
        <v>152</v>
      </c>
      <c r="R9" s="50" t="s">
        <v>173</v>
      </c>
      <c r="S9" s="15" t="s">
        <v>168</v>
      </c>
      <c r="T9" s="15" t="s">
        <v>167</v>
      </c>
      <c r="U9" s="15" t="s">
        <v>173</v>
      </c>
      <c r="V9" s="15" t="s">
        <v>172</v>
      </c>
      <c r="W9" s="15" t="s">
        <v>172</v>
      </c>
      <c r="X9" s="47" t="s">
        <v>173</v>
      </c>
      <c r="Y9" s="50" t="s">
        <v>168</v>
      </c>
      <c r="Z9" s="15" t="s">
        <v>168</v>
      </c>
      <c r="AA9" s="15" t="s">
        <v>172</v>
      </c>
      <c r="AB9" s="15" t="s">
        <v>172</v>
      </c>
      <c r="AC9" s="15" t="s">
        <v>173</v>
      </c>
      <c r="AD9" s="74" t="s">
        <v>167</v>
      </c>
      <c r="AE9" s="47" t="s">
        <v>187</v>
      </c>
      <c r="AF9" s="50" t="s">
        <v>172</v>
      </c>
      <c r="AG9" s="15" t="s">
        <v>172</v>
      </c>
      <c r="AH9" s="15" t="s">
        <v>172</v>
      </c>
      <c r="AI9" s="15" t="s">
        <v>172</v>
      </c>
      <c r="AJ9" s="15" t="s">
        <v>167</v>
      </c>
      <c r="AK9" s="15" t="s">
        <v>169</v>
      </c>
      <c r="AL9" s="47" t="s">
        <v>172</v>
      </c>
      <c r="AM9" s="50" t="s">
        <v>177</v>
      </c>
      <c r="AN9" s="15" t="s">
        <v>172</v>
      </c>
      <c r="AO9" s="15" t="s">
        <v>172</v>
      </c>
      <c r="AP9" s="32"/>
    </row>
    <row r="10" spans="1:42" ht="39.75" customHeight="1">
      <c r="A10" s="150"/>
      <c r="B10" s="57" t="s">
        <v>156</v>
      </c>
      <c r="C10" s="59" t="s">
        <v>157</v>
      </c>
      <c r="D10" s="74" t="s">
        <v>202</v>
      </c>
      <c r="E10" s="15" t="s">
        <v>203</v>
      </c>
      <c r="F10" s="15" t="s">
        <v>174</v>
      </c>
      <c r="G10" s="15" t="s">
        <v>201</v>
      </c>
      <c r="H10" s="15" t="s">
        <v>2</v>
      </c>
      <c r="I10" s="15" t="s">
        <v>49</v>
      </c>
      <c r="J10" s="74" t="s">
        <v>49</v>
      </c>
      <c r="K10" s="74" t="s">
        <v>77</v>
      </c>
      <c r="L10" s="73" t="s">
        <v>149</v>
      </c>
      <c r="M10" s="73" t="s">
        <v>151</v>
      </c>
      <c r="N10" s="73" t="s">
        <v>149</v>
      </c>
      <c r="O10" s="73" t="s">
        <v>2</v>
      </c>
      <c r="P10" s="73" t="s">
        <v>151</v>
      </c>
      <c r="Q10" s="96" t="s">
        <v>149</v>
      </c>
      <c r="R10" s="128" t="s">
        <v>181</v>
      </c>
      <c r="S10" s="10" t="s">
        <v>181</v>
      </c>
      <c r="T10" s="45" t="s">
        <v>167</v>
      </c>
      <c r="U10" s="45" t="s">
        <v>168</v>
      </c>
      <c r="V10" s="45" t="s">
        <v>166</v>
      </c>
      <c r="W10" s="45" t="s">
        <v>166</v>
      </c>
      <c r="X10" s="48" t="s">
        <v>166</v>
      </c>
      <c r="Y10" s="51" t="s">
        <v>166</v>
      </c>
      <c r="Z10" s="45" t="s">
        <v>169</v>
      </c>
      <c r="AA10" s="45" t="s">
        <v>167</v>
      </c>
      <c r="AB10" s="114" t="s">
        <v>185</v>
      </c>
      <c r="AC10" s="15" t="s">
        <v>173</v>
      </c>
      <c r="AD10" s="74" t="s">
        <v>173</v>
      </c>
      <c r="AE10" s="47" t="s">
        <v>173</v>
      </c>
      <c r="AF10" s="50" t="s">
        <v>173</v>
      </c>
      <c r="AG10" s="15" t="s">
        <v>173</v>
      </c>
      <c r="AH10" s="15" t="s">
        <v>179</v>
      </c>
      <c r="AI10" s="15" t="s">
        <v>187</v>
      </c>
      <c r="AJ10" s="15" t="s">
        <v>187</v>
      </c>
      <c r="AK10" s="10" t="s">
        <v>181</v>
      </c>
      <c r="AL10" s="52" t="s">
        <v>181</v>
      </c>
      <c r="AM10" s="128" t="s">
        <v>181</v>
      </c>
      <c r="AN10" s="10" t="s">
        <v>181</v>
      </c>
      <c r="AO10" s="10" t="s">
        <v>90</v>
      </c>
      <c r="AP10" s="32"/>
    </row>
    <row r="11" spans="1:42" ht="39.75" customHeight="1" thickBot="1">
      <c r="A11" s="150"/>
      <c r="B11" s="57" t="s">
        <v>137</v>
      </c>
      <c r="C11" s="59" t="s">
        <v>158</v>
      </c>
      <c r="D11" s="160" t="s">
        <v>203</v>
      </c>
      <c r="E11" s="121" t="s">
        <v>202</v>
      </c>
      <c r="F11" s="121" t="s">
        <v>203</v>
      </c>
      <c r="G11" s="121" t="s">
        <v>49</v>
      </c>
      <c r="H11" s="121" t="s">
        <v>2</v>
      </c>
      <c r="I11" s="121" t="s">
        <v>77</v>
      </c>
      <c r="J11" s="160" t="s">
        <v>203</v>
      </c>
      <c r="K11" s="160" t="s">
        <v>202</v>
      </c>
      <c r="L11" s="76" t="s">
        <v>49</v>
      </c>
      <c r="M11" s="76" t="s">
        <v>149</v>
      </c>
      <c r="N11" s="76" t="s">
        <v>151</v>
      </c>
      <c r="O11" s="76" t="s">
        <v>149</v>
      </c>
      <c r="P11" s="76" t="s">
        <v>159</v>
      </c>
      <c r="Q11" s="97" t="s">
        <v>2</v>
      </c>
      <c r="R11" s="129" t="s">
        <v>182</v>
      </c>
      <c r="S11" s="62" t="s">
        <v>181</v>
      </c>
      <c r="T11" s="45" t="s">
        <v>167</v>
      </c>
      <c r="U11" s="122" t="s">
        <v>168</v>
      </c>
      <c r="V11" s="122" t="s">
        <v>166</v>
      </c>
      <c r="W11" s="122" t="s">
        <v>166</v>
      </c>
      <c r="X11" s="132" t="s">
        <v>166</v>
      </c>
      <c r="Y11" s="133" t="s">
        <v>166</v>
      </c>
      <c r="Z11" s="122" t="s">
        <v>169</v>
      </c>
      <c r="AA11" s="122" t="s">
        <v>167</v>
      </c>
      <c r="AB11" s="124" t="s">
        <v>184</v>
      </c>
      <c r="AC11" s="62" t="s">
        <v>181</v>
      </c>
      <c r="AD11" s="74" t="s">
        <v>176</v>
      </c>
      <c r="AE11" s="138" t="s">
        <v>176</v>
      </c>
      <c r="AF11" s="139" t="s">
        <v>179</v>
      </c>
      <c r="AG11" s="121" t="s">
        <v>187</v>
      </c>
      <c r="AH11" s="62" t="s">
        <v>181</v>
      </c>
      <c r="AI11" s="62" t="s">
        <v>181</v>
      </c>
      <c r="AJ11" s="62" t="s">
        <v>181</v>
      </c>
      <c r="AK11" s="62" t="s">
        <v>186</v>
      </c>
      <c r="AL11" s="142" t="s">
        <v>181</v>
      </c>
      <c r="AM11" s="139" t="s">
        <v>176</v>
      </c>
      <c r="AN11" s="121" t="s">
        <v>176</v>
      </c>
      <c r="AO11" s="121" t="s">
        <v>176</v>
      </c>
      <c r="AP11" s="32"/>
    </row>
    <row r="12" spans="1:42" ht="39.75" customHeight="1" thickTop="1">
      <c r="A12" s="150"/>
      <c r="B12" s="77" t="s">
        <v>129</v>
      </c>
      <c r="C12" s="78" t="s">
        <v>130</v>
      </c>
      <c r="D12" s="161" t="s">
        <v>204</v>
      </c>
      <c r="E12" s="162" t="s">
        <v>205</v>
      </c>
      <c r="F12" s="81" t="s">
        <v>204</v>
      </c>
      <c r="G12" s="81" t="s">
        <v>2</v>
      </c>
      <c r="H12" s="81" t="s">
        <v>49</v>
      </c>
      <c r="I12" s="81" t="s">
        <v>49</v>
      </c>
      <c r="J12" s="80" t="s">
        <v>77</v>
      </c>
      <c r="K12" s="162" t="s">
        <v>206</v>
      </c>
      <c r="L12" s="79" t="s">
        <v>159</v>
      </c>
      <c r="M12" s="79" t="s">
        <v>3</v>
      </c>
      <c r="N12" s="79" t="s">
        <v>2</v>
      </c>
      <c r="O12" s="79" t="s">
        <v>161</v>
      </c>
      <c r="P12" s="79" t="s">
        <v>162</v>
      </c>
      <c r="Q12" s="98" t="s">
        <v>161</v>
      </c>
      <c r="R12" s="99" t="s">
        <v>170</v>
      </c>
      <c r="S12" s="15" t="s">
        <v>2</v>
      </c>
      <c r="T12" s="81" t="s">
        <v>170</v>
      </c>
      <c r="U12" s="81" t="s">
        <v>170</v>
      </c>
      <c r="V12" s="81" t="s">
        <v>170</v>
      </c>
      <c r="W12" s="82" t="s">
        <v>1</v>
      </c>
      <c r="X12" s="105" t="s">
        <v>185</v>
      </c>
      <c r="Y12" s="99" t="s">
        <v>185</v>
      </c>
      <c r="Z12" s="82" t="s">
        <v>49</v>
      </c>
      <c r="AA12" s="81" t="s">
        <v>185</v>
      </c>
      <c r="AB12" s="81" t="s">
        <v>171</v>
      </c>
      <c r="AC12" s="81" t="s">
        <v>171</v>
      </c>
      <c r="AD12" s="80" t="s">
        <v>185</v>
      </c>
      <c r="AE12" s="109" t="s">
        <v>2</v>
      </c>
      <c r="AF12" s="110" t="s">
        <v>2</v>
      </c>
      <c r="AG12" s="81" t="s">
        <v>171</v>
      </c>
      <c r="AH12" s="81" t="s">
        <v>185</v>
      </c>
      <c r="AI12" s="81" t="s">
        <v>186</v>
      </c>
      <c r="AJ12" s="81" t="s">
        <v>182</v>
      </c>
      <c r="AK12" s="81" t="s">
        <v>182</v>
      </c>
      <c r="AL12" s="105" t="s">
        <v>182</v>
      </c>
      <c r="AM12" s="50" t="s">
        <v>170</v>
      </c>
      <c r="AN12" s="81" t="s">
        <v>186</v>
      </c>
      <c r="AO12" s="81" t="s">
        <v>189</v>
      </c>
      <c r="AP12" s="32"/>
    </row>
    <row r="13" spans="1:42" ht="39.75" customHeight="1">
      <c r="A13" s="150"/>
      <c r="B13" s="56" t="s">
        <v>8</v>
      </c>
      <c r="C13" s="60" t="s">
        <v>195</v>
      </c>
      <c r="D13" s="74" t="s">
        <v>3</v>
      </c>
      <c r="E13" s="15" t="s">
        <v>2</v>
      </c>
      <c r="F13" s="15" t="s">
        <v>49</v>
      </c>
      <c r="G13" s="161" t="s">
        <v>204</v>
      </c>
      <c r="H13" s="161" t="s">
        <v>205</v>
      </c>
      <c r="I13" s="15" t="s">
        <v>204</v>
      </c>
      <c r="J13" s="161" t="s">
        <v>205</v>
      </c>
      <c r="K13" s="74" t="s">
        <v>2</v>
      </c>
      <c r="L13" s="73" t="s">
        <v>162</v>
      </c>
      <c r="M13" s="73" t="s">
        <v>161</v>
      </c>
      <c r="N13" s="73" t="s">
        <v>162</v>
      </c>
      <c r="O13" s="73" t="s">
        <v>160</v>
      </c>
      <c r="P13" s="73" t="s">
        <v>49</v>
      </c>
      <c r="Q13" s="96" t="s">
        <v>162</v>
      </c>
      <c r="R13" s="50" t="s">
        <v>170</v>
      </c>
      <c r="S13" s="15" t="s">
        <v>170</v>
      </c>
      <c r="T13" s="15" t="s">
        <v>49</v>
      </c>
      <c r="U13" s="114" t="s">
        <v>170</v>
      </c>
      <c r="V13" s="114" t="s">
        <v>182</v>
      </c>
      <c r="W13" s="15" t="s">
        <v>182</v>
      </c>
      <c r="X13" s="48" t="s">
        <v>2</v>
      </c>
      <c r="Y13" s="115" t="s">
        <v>182</v>
      </c>
      <c r="Z13" s="15" t="s">
        <v>182</v>
      </c>
      <c r="AA13" s="15" t="s">
        <v>182</v>
      </c>
      <c r="AB13" s="114" t="s">
        <v>183</v>
      </c>
      <c r="AC13" s="15" t="s">
        <v>182</v>
      </c>
      <c r="AD13" s="74" t="s">
        <v>182</v>
      </c>
      <c r="AE13" s="49" t="s">
        <v>49</v>
      </c>
      <c r="AF13" s="115" t="s">
        <v>2</v>
      </c>
      <c r="AG13" s="15" t="s">
        <v>170</v>
      </c>
      <c r="AH13" s="15" t="s">
        <v>170</v>
      </c>
      <c r="AI13" s="114" t="s">
        <v>170</v>
      </c>
      <c r="AJ13" s="15" t="s">
        <v>49</v>
      </c>
      <c r="AK13" s="15" t="s">
        <v>185</v>
      </c>
      <c r="AL13" s="47" t="s">
        <v>185</v>
      </c>
      <c r="AM13" s="50" t="s">
        <v>185</v>
      </c>
      <c r="AN13" s="15" t="s">
        <v>185</v>
      </c>
      <c r="AO13" s="45" t="s">
        <v>2</v>
      </c>
      <c r="AP13" s="32"/>
    </row>
    <row r="14" spans="1:42" ht="39.75" customHeight="1">
      <c r="A14" s="150"/>
      <c r="B14" s="56" t="s">
        <v>131</v>
      </c>
      <c r="C14" s="60" t="s">
        <v>138</v>
      </c>
      <c r="D14" s="74" t="s">
        <v>2</v>
      </c>
      <c r="E14" s="45" t="s">
        <v>1</v>
      </c>
      <c r="F14" s="161" t="s">
        <v>207</v>
      </c>
      <c r="G14" s="15" t="s">
        <v>207</v>
      </c>
      <c r="H14" s="161" t="s">
        <v>206</v>
      </c>
      <c r="I14" s="161" t="s">
        <v>207</v>
      </c>
      <c r="J14" s="74" t="s">
        <v>49</v>
      </c>
      <c r="K14" s="74" t="s">
        <v>2</v>
      </c>
      <c r="L14" s="73" t="s">
        <v>3</v>
      </c>
      <c r="M14" s="73" t="s">
        <v>77</v>
      </c>
      <c r="N14" s="73" t="s">
        <v>161</v>
      </c>
      <c r="O14" s="73" t="s">
        <v>162</v>
      </c>
      <c r="P14" s="73" t="s">
        <v>162</v>
      </c>
      <c r="Q14" s="96" t="s">
        <v>49</v>
      </c>
      <c r="R14" s="115" t="s">
        <v>49</v>
      </c>
      <c r="S14" s="114" t="s">
        <v>2</v>
      </c>
      <c r="T14" s="15" t="s">
        <v>170</v>
      </c>
      <c r="U14" s="15" t="s">
        <v>170</v>
      </c>
      <c r="V14" s="15" t="s">
        <v>185</v>
      </c>
      <c r="W14" s="15" t="s">
        <v>185</v>
      </c>
      <c r="X14" s="47" t="s">
        <v>185</v>
      </c>
      <c r="Y14" s="51" t="s">
        <v>2</v>
      </c>
      <c r="Z14" s="45" t="s">
        <v>1</v>
      </c>
      <c r="AA14" s="15" t="s">
        <v>182</v>
      </c>
      <c r="AB14" s="15" t="s">
        <v>182</v>
      </c>
      <c r="AC14" s="15" t="s">
        <v>186</v>
      </c>
      <c r="AD14" s="74" t="s">
        <v>170</v>
      </c>
      <c r="AE14" s="47" t="s">
        <v>170</v>
      </c>
      <c r="AF14" s="51" t="s">
        <v>2</v>
      </c>
      <c r="AG14" s="45" t="s">
        <v>49</v>
      </c>
      <c r="AH14" s="15" t="s">
        <v>182</v>
      </c>
      <c r="AI14" s="15" t="s">
        <v>90</v>
      </c>
      <c r="AJ14" s="15" t="s">
        <v>90</v>
      </c>
      <c r="AK14" s="15" t="s">
        <v>185</v>
      </c>
      <c r="AL14" s="47" t="s">
        <v>193</v>
      </c>
      <c r="AM14" s="115" t="s">
        <v>2</v>
      </c>
      <c r="AN14" s="114" t="s">
        <v>49</v>
      </c>
      <c r="AO14" s="15" t="s">
        <v>185</v>
      </c>
      <c r="AP14" s="32"/>
    </row>
    <row r="15" spans="1:42" ht="39.75" customHeight="1">
      <c r="A15" s="150"/>
      <c r="B15" s="57" t="s">
        <v>43</v>
      </c>
      <c r="C15" s="58" t="s">
        <v>44</v>
      </c>
      <c r="D15" s="161" t="s">
        <v>205</v>
      </c>
      <c r="E15" s="15" t="s">
        <v>204</v>
      </c>
      <c r="F15" s="161" t="s">
        <v>205</v>
      </c>
      <c r="G15" s="15" t="s">
        <v>2</v>
      </c>
      <c r="H15" s="15" t="s">
        <v>49</v>
      </c>
      <c r="I15" s="161" t="s">
        <v>205</v>
      </c>
      <c r="J15" s="74" t="s">
        <v>204</v>
      </c>
      <c r="K15" s="161" t="s">
        <v>205</v>
      </c>
      <c r="L15" s="73" t="s">
        <v>162</v>
      </c>
      <c r="M15" s="73" t="s">
        <v>2</v>
      </c>
      <c r="N15" s="73" t="s">
        <v>49</v>
      </c>
      <c r="O15" s="73" t="s">
        <v>162</v>
      </c>
      <c r="P15" s="73" t="s">
        <v>161</v>
      </c>
      <c r="Q15" s="96" t="s">
        <v>162</v>
      </c>
      <c r="R15" s="50" t="s">
        <v>170</v>
      </c>
      <c r="S15" s="15" t="s">
        <v>2</v>
      </c>
      <c r="T15" s="15" t="s">
        <v>82</v>
      </c>
      <c r="U15" s="15" t="s">
        <v>82</v>
      </c>
      <c r="V15" s="15" t="s">
        <v>170</v>
      </c>
      <c r="W15" s="15" t="s">
        <v>186</v>
      </c>
      <c r="X15" s="47" t="s">
        <v>185</v>
      </c>
      <c r="Y15" s="50" t="s">
        <v>185</v>
      </c>
      <c r="Z15" s="15" t="s">
        <v>185</v>
      </c>
      <c r="AA15" s="15" t="s">
        <v>185</v>
      </c>
      <c r="AB15" s="15" t="s">
        <v>185</v>
      </c>
      <c r="AC15" s="15" t="s">
        <v>186</v>
      </c>
      <c r="AD15" s="116" t="s">
        <v>2</v>
      </c>
      <c r="AE15" s="48" t="s">
        <v>1</v>
      </c>
      <c r="AF15" s="50" t="s">
        <v>170</v>
      </c>
      <c r="AG15" s="15" t="s">
        <v>182</v>
      </c>
      <c r="AH15" s="15" t="s">
        <v>170</v>
      </c>
      <c r="AI15" s="15" t="s">
        <v>182</v>
      </c>
      <c r="AJ15" s="15" t="s">
        <v>2</v>
      </c>
      <c r="AK15" s="15" t="s">
        <v>182</v>
      </c>
      <c r="AL15" s="47" t="s">
        <v>170</v>
      </c>
      <c r="AM15" s="51" t="s">
        <v>2</v>
      </c>
      <c r="AN15" s="45" t="s">
        <v>89</v>
      </c>
      <c r="AO15" s="45" t="s">
        <v>168</v>
      </c>
      <c r="AP15" s="32"/>
    </row>
    <row r="16" spans="1:42" ht="39.75" customHeight="1">
      <c r="A16" s="150"/>
      <c r="B16" s="56" t="s">
        <v>11</v>
      </c>
      <c r="C16" s="60" t="s">
        <v>196</v>
      </c>
      <c r="D16" s="74" t="s">
        <v>207</v>
      </c>
      <c r="E16" s="161" t="s">
        <v>206</v>
      </c>
      <c r="F16" s="15" t="s">
        <v>77</v>
      </c>
      <c r="G16" s="15" t="s">
        <v>2</v>
      </c>
      <c r="H16" s="15" t="s">
        <v>3</v>
      </c>
      <c r="I16" s="161" t="s">
        <v>204</v>
      </c>
      <c r="J16" s="74" t="s">
        <v>207</v>
      </c>
      <c r="K16" s="163" t="s">
        <v>207</v>
      </c>
      <c r="L16" s="73" t="s">
        <v>160</v>
      </c>
      <c r="M16" s="73" t="s">
        <v>159</v>
      </c>
      <c r="N16" s="73" t="s">
        <v>159</v>
      </c>
      <c r="O16" s="73" t="s">
        <v>159</v>
      </c>
      <c r="P16" s="73" t="s">
        <v>2</v>
      </c>
      <c r="Q16" s="96" t="s">
        <v>49</v>
      </c>
      <c r="R16" s="51" t="s">
        <v>2</v>
      </c>
      <c r="S16" s="45" t="s">
        <v>49</v>
      </c>
      <c r="T16" s="15" t="s">
        <v>171</v>
      </c>
      <c r="U16" s="15" t="s">
        <v>171</v>
      </c>
      <c r="V16" s="15" t="s">
        <v>186</v>
      </c>
      <c r="W16" s="15" t="s">
        <v>185</v>
      </c>
      <c r="X16" s="47" t="s">
        <v>185</v>
      </c>
      <c r="Y16" s="50" t="s">
        <v>185</v>
      </c>
      <c r="Z16" s="15" t="s">
        <v>171</v>
      </c>
      <c r="AA16" s="15" t="s">
        <v>183</v>
      </c>
      <c r="AB16" s="46" t="s">
        <v>182</v>
      </c>
      <c r="AC16" s="46" t="s">
        <v>185</v>
      </c>
      <c r="AD16" s="74" t="s">
        <v>185</v>
      </c>
      <c r="AE16" s="111" t="s">
        <v>171</v>
      </c>
      <c r="AF16" s="112" t="s">
        <v>171</v>
      </c>
      <c r="AG16" s="117" t="s">
        <v>2</v>
      </c>
      <c r="AH16" s="15" t="s">
        <v>193</v>
      </c>
      <c r="AI16" s="15" t="s">
        <v>171</v>
      </c>
      <c r="AJ16" s="15" t="s">
        <v>171</v>
      </c>
      <c r="AK16" s="15" t="s">
        <v>171</v>
      </c>
      <c r="AL16" s="47" t="s">
        <v>49</v>
      </c>
      <c r="AM16" s="50" t="s">
        <v>182</v>
      </c>
      <c r="AN16" s="15" t="s">
        <v>182</v>
      </c>
      <c r="AO16" s="15" t="s">
        <v>171</v>
      </c>
      <c r="AP16" s="32"/>
    </row>
    <row r="17" spans="1:42" ht="39.75" customHeight="1">
      <c r="A17" s="150"/>
      <c r="B17" s="56" t="s">
        <v>163</v>
      </c>
      <c r="C17" s="54" t="s">
        <v>164</v>
      </c>
      <c r="D17" s="75" t="s">
        <v>3</v>
      </c>
      <c r="E17" s="45" t="s">
        <v>2</v>
      </c>
      <c r="F17" s="161" t="s">
        <v>204</v>
      </c>
      <c r="G17" s="15" t="s">
        <v>204</v>
      </c>
      <c r="H17" s="161" t="s">
        <v>204</v>
      </c>
      <c r="I17" s="15" t="s">
        <v>3</v>
      </c>
      <c r="J17" s="74" t="s">
        <v>49</v>
      </c>
      <c r="K17" s="161" t="s">
        <v>204</v>
      </c>
      <c r="L17" s="73" t="s">
        <v>161</v>
      </c>
      <c r="M17" s="73" t="s">
        <v>162</v>
      </c>
      <c r="N17" s="73" t="s">
        <v>162</v>
      </c>
      <c r="O17" s="73" t="s">
        <v>160</v>
      </c>
      <c r="P17" s="73" t="s">
        <v>49</v>
      </c>
      <c r="Q17" s="96" t="s">
        <v>2</v>
      </c>
      <c r="R17" s="50" t="s">
        <v>171</v>
      </c>
      <c r="S17" s="15" t="s">
        <v>171</v>
      </c>
      <c r="T17" s="15" t="s">
        <v>171</v>
      </c>
      <c r="U17" s="15" t="s">
        <v>171</v>
      </c>
      <c r="V17" s="15" t="s">
        <v>2</v>
      </c>
      <c r="W17" s="15" t="s">
        <v>182</v>
      </c>
      <c r="X17" s="47" t="s">
        <v>182</v>
      </c>
      <c r="Y17" s="50" t="s">
        <v>182</v>
      </c>
      <c r="Z17" s="15" t="s">
        <v>182</v>
      </c>
      <c r="AA17" s="45" t="s">
        <v>2</v>
      </c>
      <c r="AB17" s="45" t="s">
        <v>49</v>
      </c>
      <c r="AC17" s="45" t="s">
        <v>1</v>
      </c>
      <c r="AD17" s="75" t="s">
        <v>1</v>
      </c>
      <c r="AE17" s="48" t="s">
        <v>1</v>
      </c>
      <c r="AF17" s="51" t="s">
        <v>2</v>
      </c>
      <c r="AG17" s="15" t="s">
        <v>182</v>
      </c>
      <c r="AH17" s="15" t="s">
        <v>182</v>
      </c>
      <c r="AI17" s="15" t="s">
        <v>182</v>
      </c>
      <c r="AJ17" s="15" t="s">
        <v>182</v>
      </c>
      <c r="AK17" s="114" t="s">
        <v>49</v>
      </c>
      <c r="AL17" s="49" t="s">
        <v>49</v>
      </c>
      <c r="AM17" s="50" t="s">
        <v>182</v>
      </c>
      <c r="AN17" s="15" t="s">
        <v>182</v>
      </c>
      <c r="AO17" s="15" t="s">
        <v>182</v>
      </c>
      <c r="AP17" s="32"/>
    </row>
    <row r="18" spans="1:42" ht="39.75" customHeight="1">
      <c r="A18" s="150"/>
      <c r="B18" s="56" t="s">
        <v>109</v>
      </c>
      <c r="C18" s="60" t="s">
        <v>139</v>
      </c>
      <c r="D18" s="161" t="s">
        <v>206</v>
      </c>
      <c r="E18" s="161" t="s">
        <v>207</v>
      </c>
      <c r="F18" s="15" t="s">
        <v>2</v>
      </c>
      <c r="G18" s="161" t="s">
        <v>205</v>
      </c>
      <c r="H18" s="15" t="s">
        <v>204</v>
      </c>
      <c r="I18" s="15" t="s">
        <v>208</v>
      </c>
      <c r="J18" s="161" t="s">
        <v>204</v>
      </c>
      <c r="K18" s="74" t="s">
        <v>204</v>
      </c>
      <c r="L18" s="73" t="s">
        <v>49</v>
      </c>
      <c r="M18" s="73" t="s">
        <v>162</v>
      </c>
      <c r="N18" s="73" t="s">
        <v>161</v>
      </c>
      <c r="O18" s="73" t="s">
        <v>77</v>
      </c>
      <c r="P18" s="73" t="s">
        <v>165</v>
      </c>
      <c r="Q18" s="96" t="s">
        <v>2</v>
      </c>
      <c r="R18" s="50" t="s">
        <v>2</v>
      </c>
      <c r="S18" s="15" t="s">
        <v>170</v>
      </c>
      <c r="T18" s="15" t="s">
        <v>185</v>
      </c>
      <c r="U18" s="15" t="s">
        <v>185</v>
      </c>
      <c r="V18" s="15" t="s">
        <v>49</v>
      </c>
      <c r="W18" s="15" t="s">
        <v>182</v>
      </c>
      <c r="X18" s="47" t="s">
        <v>182</v>
      </c>
      <c r="Y18" s="51" t="s">
        <v>1</v>
      </c>
      <c r="Z18" s="15" t="s">
        <v>185</v>
      </c>
      <c r="AA18" s="15" t="s">
        <v>185</v>
      </c>
      <c r="AB18" s="15" t="s">
        <v>2</v>
      </c>
      <c r="AC18" s="15" t="s">
        <v>186</v>
      </c>
      <c r="AD18" s="74" t="s">
        <v>182</v>
      </c>
      <c r="AE18" s="47" t="s">
        <v>182</v>
      </c>
      <c r="AF18" s="50" t="s">
        <v>182</v>
      </c>
      <c r="AG18" s="45" t="s">
        <v>2</v>
      </c>
      <c r="AH18" s="45" t="s">
        <v>166</v>
      </c>
      <c r="AI18" s="15" t="s">
        <v>168</v>
      </c>
      <c r="AJ18" s="15" t="s">
        <v>182</v>
      </c>
      <c r="AK18" s="15" t="s">
        <v>182</v>
      </c>
      <c r="AL18" s="47" t="s">
        <v>182</v>
      </c>
      <c r="AM18" s="51" t="s">
        <v>3</v>
      </c>
      <c r="AN18" s="15" t="s">
        <v>170</v>
      </c>
      <c r="AO18" s="15" t="s">
        <v>170</v>
      </c>
      <c r="AP18" s="32"/>
    </row>
    <row r="19" spans="1:42" ht="39.75" customHeight="1">
      <c r="A19" s="150"/>
      <c r="B19" s="56" t="s">
        <v>140</v>
      </c>
      <c r="C19" s="60" t="s">
        <v>141</v>
      </c>
      <c r="D19" s="161" t="s">
        <v>207</v>
      </c>
      <c r="E19" s="15" t="s">
        <v>207</v>
      </c>
      <c r="F19" s="161" t="s">
        <v>206</v>
      </c>
      <c r="G19" s="15" t="s">
        <v>2</v>
      </c>
      <c r="H19" s="15" t="s">
        <v>49</v>
      </c>
      <c r="I19" s="15" t="s">
        <v>207</v>
      </c>
      <c r="J19" s="161" t="s">
        <v>206</v>
      </c>
      <c r="K19" s="74" t="s">
        <v>207</v>
      </c>
      <c r="L19" s="73" t="s">
        <v>159</v>
      </c>
      <c r="M19" s="73" t="s">
        <v>2</v>
      </c>
      <c r="N19" s="73" t="s">
        <v>49</v>
      </c>
      <c r="O19" s="73" t="s">
        <v>159</v>
      </c>
      <c r="P19" s="73" t="s">
        <v>160</v>
      </c>
      <c r="Q19" s="96" t="s">
        <v>159</v>
      </c>
      <c r="R19" s="50" t="s">
        <v>171</v>
      </c>
      <c r="S19" s="15" t="s">
        <v>171</v>
      </c>
      <c r="T19" s="45" t="s">
        <v>49</v>
      </c>
      <c r="U19" s="45" t="s">
        <v>3</v>
      </c>
      <c r="V19" s="15" t="s">
        <v>171</v>
      </c>
      <c r="W19" s="15" t="s">
        <v>171</v>
      </c>
      <c r="X19" s="49" t="s">
        <v>2</v>
      </c>
      <c r="Y19" s="50" t="s">
        <v>170</v>
      </c>
      <c r="Z19" s="15" t="s">
        <v>182</v>
      </c>
      <c r="AA19" s="15" t="s">
        <v>182</v>
      </c>
      <c r="AB19" s="15" t="s">
        <v>182</v>
      </c>
      <c r="AC19" s="15" t="s">
        <v>49</v>
      </c>
      <c r="AD19" s="75" t="s">
        <v>2</v>
      </c>
      <c r="AE19" s="48" t="s">
        <v>171</v>
      </c>
      <c r="AF19" s="50" t="s">
        <v>171</v>
      </c>
      <c r="AG19" s="15" t="s">
        <v>185</v>
      </c>
      <c r="AH19" s="15" t="s">
        <v>185</v>
      </c>
      <c r="AI19" s="15" t="s">
        <v>185</v>
      </c>
      <c r="AJ19" s="15" t="s">
        <v>49</v>
      </c>
      <c r="AK19" s="15" t="s">
        <v>183</v>
      </c>
      <c r="AL19" s="47" t="s">
        <v>90</v>
      </c>
      <c r="AM19" s="50" t="s">
        <v>193</v>
      </c>
      <c r="AN19" s="15" t="s">
        <v>90</v>
      </c>
      <c r="AO19" s="15" t="s">
        <v>185</v>
      </c>
      <c r="AP19" s="32"/>
    </row>
    <row r="20" spans="1:42" ht="39.75" customHeight="1">
      <c r="A20" s="150"/>
      <c r="B20" s="63" t="s">
        <v>142</v>
      </c>
      <c r="C20" s="64" t="s">
        <v>143</v>
      </c>
      <c r="D20" s="164" t="s">
        <v>77</v>
      </c>
      <c r="E20" s="84" t="s">
        <v>2</v>
      </c>
      <c r="F20" s="84" t="s">
        <v>205</v>
      </c>
      <c r="G20" s="165" t="s">
        <v>207</v>
      </c>
      <c r="H20" s="84" t="s">
        <v>207</v>
      </c>
      <c r="I20" s="165" t="s">
        <v>206</v>
      </c>
      <c r="J20" s="164" t="s">
        <v>49</v>
      </c>
      <c r="K20" s="166" t="s">
        <v>2</v>
      </c>
      <c r="L20" s="83" t="s">
        <v>77</v>
      </c>
      <c r="M20" s="83" t="s">
        <v>159</v>
      </c>
      <c r="N20" s="83" t="s">
        <v>160</v>
      </c>
      <c r="O20" s="83" t="s">
        <v>49</v>
      </c>
      <c r="P20" s="83" t="s">
        <v>159</v>
      </c>
      <c r="Q20" s="100" t="s">
        <v>160</v>
      </c>
      <c r="R20" s="118" t="s">
        <v>2</v>
      </c>
      <c r="S20" s="84" t="s">
        <v>170</v>
      </c>
      <c r="T20" s="84" t="s">
        <v>170</v>
      </c>
      <c r="U20" s="84" t="s">
        <v>3</v>
      </c>
      <c r="V20" s="84" t="s">
        <v>182</v>
      </c>
      <c r="W20" s="84" t="s">
        <v>182</v>
      </c>
      <c r="X20" s="106" t="s">
        <v>170</v>
      </c>
      <c r="Y20" s="107" t="s">
        <v>2</v>
      </c>
      <c r="Z20" s="84" t="s">
        <v>182</v>
      </c>
      <c r="AA20" s="84" t="s">
        <v>182</v>
      </c>
      <c r="AB20" s="84" t="s">
        <v>186</v>
      </c>
      <c r="AC20" s="15" t="s">
        <v>170</v>
      </c>
      <c r="AD20" s="74" t="s">
        <v>185</v>
      </c>
      <c r="AE20" s="106" t="s">
        <v>186</v>
      </c>
      <c r="AF20" s="118" t="s">
        <v>185</v>
      </c>
      <c r="AG20" s="84" t="s">
        <v>185</v>
      </c>
      <c r="AH20" s="84" t="s">
        <v>183</v>
      </c>
      <c r="AI20" s="84" t="s">
        <v>182</v>
      </c>
      <c r="AJ20" s="84" t="s">
        <v>182</v>
      </c>
      <c r="AK20" s="84" t="s">
        <v>182</v>
      </c>
      <c r="AL20" s="106" t="s">
        <v>182</v>
      </c>
      <c r="AM20" s="107" t="s">
        <v>2</v>
      </c>
      <c r="AN20" s="84" t="s">
        <v>182</v>
      </c>
      <c r="AO20" s="84" t="s">
        <v>182</v>
      </c>
      <c r="AP20" s="32"/>
    </row>
    <row r="21" spans="1:42" ht="39.75" customHeight="1" thickBot="1">
      <c r="A21" s="150"/>
      <c r="B21" s="65" t="s">
        <v>144</v>
      </c>
      <c r="C21" s="66" t="s">
        <v>145</v>
      </c>
      <c r="D21" s="167" t="s">
        <v>3</v>
      </c>
      <c r="E21" s="168" t="s">
        <v>204</v>
      </c>
      <c r="F21" s="68" t="s">
        <v>207</v>
      </c>
      <c r="G21" s="168" t="s">
        <v>206</v>
      </c>
      <c r="H21" s="168" t="s">
        <v>207</v>
      </c>
      <c r="I21" s="68" t="s">
        <v>2</v>
      </c>
      <c r="J21" s="168" t="s">
        <v>207</v>
      </c>
      <c r="K21" s="169" t="s">
        <v>168</v>
      </c>
      <c r="L21" s="93" t="s">
        <v>49</v>
      </c>
      <c r="M21" s="93" t="s">
        <v>160</v>
      </c>
      <c r="N21" s="93" t="s">
        <v>159</v>
      </c>
      <c r="O21" s="93" t="s">
        <v>49</v>
      </c>
      <c r="P21" s="93" t="s">
        <v>2</v>
      </c>
      <c r="Q21" s="101" t="s">
        <v>159</v>
      </c>
      <c r="R21" s="102" t="s">
        <v>171</v>
      </c>
      <c r="S21" s="68" t="s">
        <v>171</v>
      </c>
      <c r="T21" s="68" t="s">
        <v>171</v>
      </c>
      <c r="U21" s="68" t="s">
        <v>49</v>
      </c>
      <c r="V21" s="68" t="s">
        <v>171</v>
      </c>
      <c r="W21" s="68" t="s">
        <v>171</v>
      </c>
      <c r="X21" s="69" t="s">
        <v>2</v>
      </c>
      <c r="Y21" s="70" t="s">
        <v>3</v>
      </c>
      <c r="Z21" s="68" t="s">
        <v>171</v>
      </c>
      <c r="AA21" s="68" t="s">
        <v>171</v>
      </c>
      <c r="AB21" s="67" t="s">
        <v>183</v>
      </c>
      <c r="AC21" s="68" t="s">
        <v>185</v>
      </c>
      <c r="AD21" s="85" t="s">
        <v>185</v>
      </c>
      <c r="AE21" s="113" t="s">
        <v>185</v>
      </c>
      <c r="AF21" s="102" t="s">
        <v>185</v>
      </c>
      <c r="AG21" s="67" t="s">
        <v>2</v>
      </c>
      <c r="AH21" s="68" t="s">
        <v>49</v>
      </c>
      <c r="AI21" s="68" t="s">
        <v>185</v>
      </c>
      <c r="AJ21" s="68" t="s">
        <v>185</v>
      </c>
      <c r="AK21" s="68" t="s">
        <v>186</v>
      </c>
      <c r="AL21" s="113" t="s">
        <v>90</v>
      </c>
      <c r="AM21" s="102" t="s">
        <v>90</v>
      </c>
      <c r="AN21" s="68" t="s">
        <v>193</v>
      </c>
      <c r="AO21" s="68" t="s">
        <v>45</v>
      </c>
      <c r="AP21" s="32"/>
    </row>
  </sheetData>
  <sheetProtection autoFilter="0"/>
  <mergeCells count="3">
    <mergeCell ref="A1:A2"/>
    <mergeCell ref="B1:B2"/>
    <mergeCell ref="A3:A21"/>
  </mergeCells>
  <phoneticPr fontId="1" type="noConversion"/>
  <pageMargins left="0.23622047244094491" right="0.23622047244094491" top="0.74803149606299213" bottom="0.19685039370078741" header="0.31496062992125984" footer="0.31496062992125984"/>
  <pageSetup paperSize="8" scale="21" fitToHeight="0" orientation="landscape" r:id="rId1"/>
  <headerFooter>
    <oddHeader>&amp;C&amp;"微軟正黑體,標準"&amp;48桃園捷運公司 運務處站務中心
113年10月員工輪值表(北段)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2"/>
  <sheetViews>
    <sheetView zoomScale="50" zoomScaleNormal="50" zoomScaleSheetLayoutView="25" zoomScalePageLayoutView="85" workbookViewId="0">
      <pane xSplit="3" ySplit="2" topLeftCell="D3" activePane="bottomRight" state="frozen"/>
      <selection activeCell="F11" sqref="F11"/>
      <selection pane="topRight" activeCell="F11" sqref="F11"/>
      <selection pane="bottomLeft" activeCell="F11" sqref="F11"/>
      <selection pane="bottomRight" activeCell="D3" sqref="D3"/>
    </sheetView>
  </sheetViews>
  <sheetFormatPr defaultColWidth="8.875" defaultRowHeight="16.5"/>
  <cols>
    <col min="1" max="1" width="11.875" customWidth="1"/>
    <col min="2" max="2" width="20.125" bestFit="1" customWidth="1"/>
    <col min="3" max="3" width="18.875" customWidth="1"/>
    <col min="4" max="26" width="18.25" customWidth="1"/>
    <col min="27" max="27" width="21.75" customWidth="1"/>
    <col min="28" max="34" width="18.25" customWidth="1"/>
    <col min="35" max="38" width="21.75" customWidth="1"/>
  </cols>
  <sheetData>
    <row r="1" spans="1:38" ht="63.75" customHeight="1">
      <c r="A1" s="21"/>
      <c r="B1" s="152" t="s">
        <v>0</v>
      </c>
      <c r="C1" s="154" t="s">
        <v>41</v>
      </c>
      <c r="D1" s="16">
        <f>DATE(工作表1!C1,工作表1!H1,1)</f>
        <v>45870</v>
      </c>
      <c r="E1" s="5">
        <f>D1+1</f>
        <v>45871</v>
      </c>
      <c r="F1" s="5">
        <f t="shared" ref="F1:AI1" si="0">E1+1</f>
        <v>45872</v>
      </c>
      <c r="G1" s="5">
        <f t="shared" si="0"/>
        <v>45873</v>
      </c>
      <c r="H1" s="5">
        <f t="shared" si="0"/>
        <v>45874</v>
      </c>
      <c r="I1" s="5">
        <f t="shared" si="0"/>
        <v>45875</v>
      </c>
      <c r="J1" s="5">
        <f t="shared" si="0"/>
        <v>45876</v>
      </c>
      <c r="K1" s="5">
        <f t="shared" si="0"/>
        <v>45877</v>
      </c>
      <c r="L1" s="5">
        <f t="shared" si="0"/>
        <v>45878</v>
      </c>
      <c r="M1" s="5">
        <f t="shared" si="0"/>
        <v>45879</v>
      </c>
      <c r="N1" s="5">
        <f t="shared" si="0"/>
        <v>45880</v>
      </c>
      <c r="O1" s="5">
        <f t="shared" si="0"/>
        <v>45881</v>
      </c>
      <c r="P1" s="5">
        <f t="shared" si="0"/>
        <v>45882</v>
      </c>
      <c r="Q1" s="5">
        <f t="shared" si="0"/>
        <v>45883</v>
      </c>
      <c r="R1" s="5">
        <f t="shared" si="0"/>
        <v>45884</v>
      </c>
      <c r="S1" s="5">
        <f t="shared" si="0"/>
        <v>45885</v>
      </c>
      <c r="T1" s="5">
        <f t="shared" si="0"/>
        <v>45886</v>
      </c>
      <c r="U1" s="5">
        <f t="shared" si="0"/>
        <v>45887</v>
      </c>
      <c r="V1" s="5">
        <f t="shared" si="0"/>
        <v>45888</v>
      </c>
      <c r="W1" s="5">
        <f t="shared" si="0"/>
        <v>45889</v>
      </c>
      <c r="X1" s="5">
        <f t="shared" si="0"/>
        <v>45890</v>
      </c>
      <c r="Y1" s="5">
        <f t="shared" si="0"/>
        <v>45891</v>
      </c>
      <c r="Z1" s="5">
        <f t="shared" si="0"/>
        <v>45892</v>
      </c>
      <c r="AA1" s="5">
        <f t="shared" si="0"/>
        <v>45893</v>
      </c>
      <c r="AB1" s="5">
        <f t="shared" si="0"/>
        <v>45894</v>
      </c>
      <c r="AC1" s="5">
        <f t="shared" si="0"/>
        <v>45895</v>
      </c>
      <c r="AD1" s="5">
        <f t="shared" si="0"/>
        <v>45896</v>
      </c>
      <c r="AE1" s="5">
        <f t="shared" si="0"/>
        <v>45897</v>
      </c>
      <c r="AF1" s="5">
        <f t="shared" si="0"/>
        <v>45898</v>
      </c>
      <c r="AG1" s="5">
        <f t="shared" si="0"/>
        <v>45899</v>
      </c>
      <c r="AH1" s="5">
        <f t="shared" si="0"/>
        <v>45900</v>
      </c>
      <c r="AI1" s="5">
        <f t="shared" si="0"/>
        <v>45901</v>
      </c>
      <c r="AJ1" s="5">
        <f t="shared" ref="AJ1:AL1" si="1">AI1+1</f>
        <v>45902</v>
      </c>
      <c r="AK1" s="5">
        <f t="shared" si="1"/>
        <v>45903</v>
      </c>
      <c r="AL1" s="5">
        <f t="shared" si="1"/>
        <v>45904</v>
      </c>
    </row>
    <row r="2" spans="1:38" ht="43.5" customHeight="1" thickBot="1">
      <c r="A2" s="22"/>
      <c r="B2" s="153"/>
      <c r="C2" s="155"/>
      <c r="D2" s="17">
        <f>IFERROR(IF(WEEKDAY(D1,2)=7,"日",WEEKDAY(D1,2)),"")</f>
        <v>5</v>
      </c>
      <c r="E2" s="17">
        <f t="shared" ref="E2:AH2" si="2">IFERROR(IF(WEEKDAY(E1,2)=7,"日",WEEKDAY(E1,2)),"")</f>
        <v>6</v>
      </c>
      <c r="F2" s="17" t="str">
        <f t="shared" si="2"/>
        <v>日</v>
      </c>
      <c r="G2" s="17">
        <f t="shared" si="2"/>
        <v>1</v>
      </c>
      <c r="H2" s="17">
        <f t="shared" si="2"/>
        <v>2</v>
      </c>
      <c r="I2" s="17">
        <f t="shared" si="2"/>
        <v>3</v>
      </c>
      <c r="J2" s="17">
        <f t="shared" si="2"/>
        <v>4</v>
      </c>
      <c r="K2" s="17">
        <f t="shared" si="2"/>
        <v>5</v>
      </c>
      <c r="L2" s="17">
        <f t="shared" si="2"/>
        <v>6</v>
      </c>
      <c r="M2" s="17" t="str">
        <f t="shared" si="2"/>
        <v>日</v>
      </c>
      <c r="N2" s="17">
        <f t="shared" si="2"/>
        <v>1</v>
      </c>
      <c r="O2" s="17">
        <f t="shared" si="2"/>
        <v>2</v>
      </c>
      <c r="P2" s="17">
        <f t="shared" si="2"/>
        <v>3</v>
      </c>
      <c r="Q2" s="17">
        <f t="shared" si="2"/>
        <v>4</v>
      </c>
      <c r="R2" s="17">
        <f t="shared" si="2"/>
        <v>5</v>
      </c>
      <c r="S2" s="17">
        <f t="shared" si="2"/>
        <v>6</v>
      </c>
      <c r="T2" s="17" t="str">
        <f t="shared" si="2"/>
        <v>日</v>
      </c>
      <c r="U2" s="17">
        <f t="shared" si="2"/>
        <v>1</v>
      </c>
      <c r="V2" s="17">
        <f t="shared" si="2"/>
        <v>2</v>
      </c>
      <c r="W2" s="17">
        <f t="shared" si="2"/>
        <v>3</v>
      </c>
      <c r="X2" s="17">
        <f t="shared" si="2"/>
        <v>4</v>
      </c>
      <c r="Y2" s="17">
        <f t="shared" si="2"/>
        <v>5</v>
      </c>
      <c r="Z2" s="17">
        <f t="shared" si="2"/>
        <v>6</v>
      </c>
      <c r="AA2" s="17" t="str">
        <f t="shared" si="2"/>
        <v>日</v>
      </c>
      <c r="AB2" s="17">
        <f t="shared" si="2"/>
        <v>1</v>
      </c>
      <c r="AC2" s="17">
        <f t="shared" si="2"/>
        <v>2</v>
      </c>
      <c r="AD2" s="17">
        <f t="shared" si="2"/>
        <v>3</v>
      </c>
      <c r="AE2" s="17">
        <f t="shared" si="2"/>
        <v>4</v>
      </c>
      <c r="AF2" s="17">
        <f t="shared" si="2"/>
        <v>5</v>
      </c>
      <c r="AG2" s="17">
        <f t="shared" si="2"/>
        <v>6</v>
      </c>
      <c r="AH2" s="17" t="str">
        <f t="shared" si="2"/>
        <v>日</v>
      </c>
      <c r="AI2" s="14">
        <f t="shared" ref="AI2:AL2" si="3">IFERROR(IF(WEEKDAY(AI1,2)=7,"日",WEEKDAY(AI1,2)),"")</f>
        <v>1</v>
      </c>
      <c r="AJ2" s="14">
        <f t="shared" si="3"/>
        <v>2</v>
      </c>
      <c r="AK2" s="14">
        <f t="shared" si="3"/>
        <v>3</v>
      </c>
      <c r="AL2" s="14">
        <f t="shared" si="3"/>
        <v>4</v>
      </c>
    </row>
    <row r="3" spans="1:38" ht="39.75" customHeight="1">
      <c r="A3" s="28" t="s">
        <v>42</v>
      </c>
      <c r="B3" s="10" t="e">
        <f>LEFT(北段!#REF!,6)</f>
        <v>#REF!</v>
      </c>
      <c r="C3" s="10" t="e">
        <f>VLOOKUP(B3,北段!B:C,2,FALSE)</f>
        <v>#REF!</v>
      </c>
      <c r="D3" s="20" t="e">
        <f>LEFT(北段!#REF!,4)</f>
        <v>#REF!</v>
      </c>
      <c r="E3" s="20" t="e">
        <f>LEFT(北段!#REF!,4)</f>
        <v>#REF!</v>
      </c>
      <c r="F3" s="20" t="e">
        <f>LEFT(北段!#REF!,4)</f>
        <v>#REF!</v>
      </c>
      <c r="G3" s="20" t="e">
        <f>LEFT(北段!#REF!,4)</f>
        <v>#REF!</v>
      </c>
      <c r="H3" s="20" t="e">
        <f>LEFT(北段!#REF!,4)</f>
        <v>#REF!</v>
      </c>
      <c r="I3" s="20" t="e">
        <f>LEFT(北段!#REF!,4)</f>
        <v>#REF!</v>
      </c>
      <c r="J3" s="20" t="e">
        <f>LEFT(北段!#REF!,4)</f>
        <v>#REF!</v>
      </c>
      <c r="K3" s="20" t="e">
        <f>LEFT(北段!#REF!,4)</f>
        <v>#REF!</v>
      </c>
      <c r="L3" s="20" t="e">
        <f>LEFT(北段!#REF!,4)</f>
        <v>#REF!</v>
      </c>
      <c r="M3" s="20" t="e">
        <f>LEFT(北段!#REF!,4)</f>
        <v>#REF!</v>
      </c>
      <c r="N3" s="20" t="e">
        <f>LEFT(北段!#REF!,4)</f>
        <v>#REF!</v>
      </c>
      <c r="O3" s="20" t="e">
        <f>LEFT(北段!#REF!,4)</f>
        <v>#REF!</v>
      </c>
      <c r="P3" s="20" t="e">
        <f>LEFT(北段!#REF!,4)</f>
        <v>#REF!</v>
      </c>
      <c r="Q3" s="20" t="e">
        <f>LEFT(北段!#REF!,4)</f>
        <v>#REF!</v>
      </c>
      <c r="R3" s="20" t="e">
        <f>LEFT(北段!#REF!,4)</f>
        <v>#REF!</v>
      </c>
      <c r="S3" s="20" t="e">
        <f>LEFT(北段!#REF!,4)</f>
        <v>#REF!</v>
      </c>
      <c r="T3" s="20" t="e">
        <f>LEFT(北段!#REF!,4)</f>
        <v>#REF!</v>
      </c>
      <c r="U3" s="20" t="e">
        <f>LEFT(北段!#REF!,4)</f>
        <v>#REF!</v>
      </c>
      <c r="V3" s="20" t="e">
        <f>LEFT(北段!#REF!,4)</f>
        <v>#REF!</v>
      </c>
      <c r="W3" s="20" t="e">
        <f>LEFT(北段!#REF!,4)</f>
        <v>#REF!</v>
      </c>
      <c r="X3" s="20" t="e">
        <f>LEFT(北段!#REF!,4)</f>
        <v>#REF!</v>
      </c>
      <c r="Y3" s="20" t="e">
        <f>LEFT(北段!#REF!,4)</f>
        <v>#REF!</v>
      </c>
      <c r="Z3" s="20" t="e">
        <f>LEFT(北段!#REF!,4)</f>
        <v>#REF!</v>
      </c>
      <c r="AA3" s="20" t="e">
        <f>LEFT(北段!#REF!,4)</f>
        <v>#REF!</v>
      </c>
      <c r="AB3" s="20" t="e">
        <f>LEFT(北段!#REF!,4)</f>
        <v>#REF!</v>
      </c>
      <c r="AC3" s="20" t="e">
        <f>LEFT(北段!#REF!,4)</f>
        <v>#REF!</v>
      </c>
      <c r="AD3" s="20" t="e">
        <f>LEFT(北段!#REF!,4)</f>
        <v>#REF!</v>
      </c>
      <c r="AE3" s="20" t="e">
        <f>LEFT(北段!#REF!,4)</f>
        <v>#REF!</v>
      </c>
      <c r="AF3" s="20" t="e">
        <f>LEFT(北段!#REF!,4)</f>
        <v>#REF!</v>
      </c>
      <c r="AG3" s="20" t="e">
        <f>LEFT(北段!#REF!,4)</f>
        <v>#REF!</v>
      </c>
      <c r="AH3" s="20" t="e">
        <f>LEFT(北段!#REF!,4)</f>
        <v>#REF!</v>
      </c>
      <c r="AI3" s="20" t="e">
        <f>LEFT(北段!#REF!,4)</f>
        <v>#REF!</v>
      </c>
      <c r="AJ3" s="20" t="e">
        <f>LEFT(北段!#REF!,4)</f>
        <v>#REF!</v>
      </c>
      <c r="AK3" s="20" t="e">
        <f>LEFT(北段!#REF!,4)</f>
        <v>#REF!</v>
      </c>
      <c r="AL3" s="20" t="e">
        <f>LEFT(北段!#REF!,4)</f>
        <v>#REF!</v>
      </c>
    </row>
    <row r="4" spans="1:38" ht="39.75" customHeight="1">
      <c r="A4" s="29"/>
      <c r="B4" s="10" t="e">
        <f>LEFT(北段!#REF!,6)</f>
        <v>#REF!</v>
      </c>
      <c r="C4" s="10" t="e">
        <f>VLOOKUP(B4,北段!B:C,2,FALSE)</f>
        <v>#REF!</v>
      </c>
      <c r="D4" s="20" t="e">
        <f>LEFT(北段!#REF!,4)</f>
        <v>#REF!</v>
      </c>
      <c r="E4" s="20" t="e">
        <f>LEFT(北段!#REF!,4)</f>
        <v>#REF!</v>
      </c>
      <c r="F4" s="20" t="e">
        <f>LEFT(北段!#REF!,4)</f>
        <v>#REF!</v>
      </c>
      <c r="G4" s="20" t="e">
        <f>LEFT(北段!#REF!,4)</f>
        <v>#REF!</v>
      </c>
      <c r="H4" s="20" t="e">
        <f>LEFT(北段!#REF!,4)</f>
        <v>#REF!</v>
      </c>
      <c r="I4" s="20" t="e">
        <f>LEFT(北段!#REF!,4)</f>
        <v>#REF!</v>
      </c>
      <c r="J4" s="20" t="e">
        <f>LEFT(北段!#REF!,4)</f>
        <v>#REF!</v>
      </c>
      <c r="K4" s="20" t="e">
        <f>LEFT(北段!#REF!,4)</f>
        <v>#REF!</v>
      </c>
      <c r="L4" s="20" t="e">
        <f>LEFT(北段!#REF!,4)</f>
        <v>#REF!</v>
      </c>
      <c r="M4" s="20" t="e">
        <f>LEFT(北段!#REF!,4)</f>
        <v>#REF!</v>
      </c>
      <c r="N4" s="20" t="e">
        <f>LEFT(北段!#REF!,4)</f>
        <v>#REF!</v>
      </c>
      <c r="O4" s="20" t="e">
        <f>LEFT(北段!#REF!,4)</f>
        <v>#REF!</v>
      </c>
      <c r="P4" s="20" t="e">
        <f>LEFT(北段!#REF!,4)</f>
        <v>#REF!</v>
      </c>
      <c r="Q4" s="20" t="e">
        <f>LEFT(北段!#REF!,4)</f>
        <v>#REF!</v>
      </c>
      <c r="R4" s="20" t="e">
        <f>LEFT(北段!#REF!,4)</f>
        <v>#REF!</v>
      </c>
      <c r="S4" s="20" t="e">
        <f>LEFT(北段!#REF!,4)</f>
        <v>#REF!</v>
      </c>
      <c r="T4" s="20" t="e">
        <f>LEFT(北段!#REF!,4)</f>
        <v>#REF!</v>
      </c>
      <c r="U4" s="20" t="e">
        <f>LEFT(北段!#REF!,4)</f>
        <v>#REF!</v>
      </c>
      <c r="V4" s="20" t="e">
        <f>LEFT(北段!#REF!,4)</f>
        <v>#REF!</v>
      </c>
      <c r="W4" s="20" t="e">
        <f>LEFT(北段!#REF!,4)</f>
        <v>#REF!</v>
      </c>
      <c r="X4" s="20" t="e">
        <f>LEFT(北段!#REF!,4)</f>
        <v>#REF!</v>
      </c>
      <c r="Y4" s="20" t="e">
        <f>LEFT(北段!#REF!,4)</f>
        <v>#REF!</v>
      </c>
      <c r="Z4" s="20" t="e">
        <f>LEFT(北段!#REF!,4)</f>
        <v>#REF!</v>
      </c>
      <c r="AA4" s="20" t="e">
        <f>LEFT(北段!#REF!,4)</f>
        <v>#REF!</v>
      </c>
      <c r="AB4" s="20" t="e">
        <f>LEFT(北段!#REF!,4)</f>
        <v>#REF!</v>
      </c>
      <c r="AC4" s="20" t="e">
        <f>LEFT(北段!#REF!,4)</f>
        <v>#REF!</v>
      </c>
      <c r="AD4" s="20" t="e">
        <f>LEFT(北段!#REF!,4)</f>
        <v>#REF!</v>
      </c>
      <c r="AE4" s="20" t="e">
        <f>LEFT(北段!#REF!,4)</f>
        <v>#REF!</v>
      </c>
      <c r="AF4" s="20" t="e">
        <f>LEFT(北段!#REF!,4)</f>
        <v>#REF!</v>
      </c>
      <c r="AG4" s="20" t="e">
        <f>LEFT(北段!#REF!,4)</f>
        <v>#REF!</v>
      </c>
      <c r="AH4" s="20" t="e">
        <f>LEFT(北段!#REF!,4)</f>
        <v>#REF!</v>
      </c>
      <c r="AI4" s="20" t="e">
        <f>LEFT(北段!#REF!,4)</f>
        <v>#REF!</v>
      </c>
      <c r="AJ4" s="20" t="e">
        <f>LEFT(北段!#REF!,4)</f>
        <v>#REF!</v>
      </c>
      <c r="AK4" s="20" t="e">
        <f>LEFT(北段!#REF!,4)</f>
        <v>#REF!</v>
      </c>
      <c r="AL4" s="20" t="e">
        <f>LEFT(北段!#REF!,4)</f>
        <v>#REF!</v>
      </c>
    </row>
    <row r="5" spans="1:38" ht="39.75" customHeight="1">
      <c r="A5" s="29"/>
      <c r="B5" s="10" t="e">
        <f>LEFT(北段!#REF!,6)</f>
        <v>#REF!</v>
      </c>
      <c r="C5" s="10" t="e">
        <f>VLOOKUP(B5,北段!B:C,2,FALSE)</f>
        <v>#REF!</v>
      </c>
      <c r="D5" s="20" t="e">
        <f>LEFT(北段!#REF!,4)</f>
        <v>#REF!</v>
      </c>
      <c r="E5" s="20" t="e">
        <f>LEFT(北段!#REF!,4)</f>
        <v>#REF!</v>
      </c>
      <c r="F5" s="20" t="e">
        <f>LEFT(北段!#REF!,4)</f>
        <v>#REF!</v>
      </c>
      <c r="G5" s="20" t="e">
        <f>LEFT(北段!#REF!,4)</f>
        <v>#REF!</v>
      </c>
      <c r="H5" s="20" t="e">
        <f>LEFT(北段!#REF!,4)</f>
        <v>#REF!</v>
      </c>
      <c r="I5" s="20" t="e">
        <f>LEFT(北段!#REF!,4)</f>
        <v>#REF!</v>
      </c>
      <c r="J5" s="20" t="e">
        <f>LEFT(北段!#REF!,4)</f>
        <v>#REF!</v>
      </c>
      <c r="K5" s="20" t="e">
        <f>LEFT(北段!#REF!,4)</f>
        <v>#REF!</v>
      </c>
      <c r="L5" s="20" t="e">
        <f>LEFT(北段!#REF!,4)</f>
        <v>#REF!</v>
      </c>
      <c r="M5" s="20" t="e">
        <f>LEFT(北段!#REF!,4)</f>
        <v>#REF!</v>
      </c>
      <c r="N5" s="20" t="e">
        <f>LEFT(北段!#REF!,4)</f>
        <v>#REF!</v>
      </c>
      <c r="O5" s="20" t="e">
        <f>LEFT(北段!#REF!,4)</f>
        <v>#REF!</v>
      </c>
      <c r="P5" s="20" t="e">
        <f>LEFT(北段!#REF!,4)</f>
        <v>#REF!</v>
      </c>
      <c r="Q5" s="20" t="e">
        <f>LEFT(北段!#REF!,4)</f>
        <v>#REF!</v>
      </c>
      <c r="R5" s="20" t="e">
        <f>LEFT(北段!#REF!,4)</f>
        <v>#REF!</v>
      </c>
      <c r="S5" s="20" t="e">
        <f>LEFT(北段!#REF!,4)</f>
        <v>#REF!</v>
      </c>
      <c r="T5" s="20" t="e">
        <f>LEFT(北段!#REF!,4)</f>
        <v>#REF!</v>
      </c>
      <c r="U5" s="20" t="e">
        <f>LEFT(北段!#REF!,4)</f>
        <v>#REF!</v>
      </c>
      <c r="V5" s="20" t="e">
        <f>LEFT(北段!#REF!,4)</f>
        <v>#REF!</v>
      </c>
      <c r="W5" s="20" t="e">
        <f>LEFT(北段!#REF!,4)</f>
        <v>#REF!</v>
      </c>
      <c r="X5" s="20" t="e">
        <f>LEFT(北段!#REF!,4)</f>
        <v>#REF!</v>
      </c>
      <c r="Y5" s="20" t="e">
        <f>LEFT(北段!#REF!,4)</f>
        <v>#REF!</v>
      </c>
      <c r="Z5" s="20" t="e">
        <f>LEFT(北段!#REF!,4)</f>
        <v>#REF!</v>
      </c>
      <c r="AA5" s="20" t="e">
        <f>LEFT(北段!#REF!,4)</f>
        <v>#REF!</v>
      </c>
      <c r="AB5" s="20" t="e">
        <f>LEFT(北段!#REF!,4)</f>
        <v>#REF!</v>
      </c>
      <c r="AC5" s="20" t="e">
        <f>LEFT(北段!#REF!,4)</f>
        <v>#REF!</v>
      </c>
      <c r="AD5" s="20" t="e">
        <f>LEFT(北段!#REF!,4)</f>
        <v>#REF!</v>
      </c>
      <c r="AE5" s="20" t="e">
        <f>LEFT(北段!#REF!,4)</f>
        <v>#REF!</v>
      </c>
      <c r="AF5" s="20" t="e">
        <f>LEFT(北段!#REF!,4)</f>
        <v>#REF!</v>
      </c>
      <c r="AG5" s="20" t="e">
        <f>LEFT(北段!#REF!,4)</f>
        <v>#REF!</v>
      </c>
      <c r="AH5" s="20" t="e">
        <f>LEFT(北段!#REF!,4)</f>
        <v>#REF!</v>
      </c>
      <c r="AI5" s="20" t="e">
        <f>LEFT(北段!#REF!,4)</f>
        <v>#REF!</v>
      </c>
      <c r="AJ5" s="20" t="e">
        <f>LEFT(北段!#REF!,4)</f>
        <v>#REF!</v>
      </c>
      <c r="AK5" s="20" t="e">
        <f>LEFT(北段!#REF!,4)</f>
        <v>#REF!</v>
      </c>
      <c r="AL5" s="20" t="e">
        <f>LEFT(北段!#REF!,4)</f>
        <v>#REF!</v>
      </c>
    </row>
    <row r="6" spans="1:38" ht="39.75" customHeight="1">
      <c r="A6" s="29"/>
      <c r="B6" s="10" t="e">
        <f>LEFT(北段!#REF!,6)</f>
        <v>#REF!</v>
      </c>
      <c r="C6" s="10" t="e">
        <f>VLOOKUP(B6,北段!B:C,2,FALSE)</f>
        <v>#REF!</v>
      </c>
      <c r="D6" s="20" t="e">
        <f>LEFT(北段!#REF!,4)</f>
        <v>#REF!</v>
      </c>
      <c r="E6" s="20" t="e">
        <f>LEFT(北段!#REF!,4)</f>
        <v>#REF!</v>
      </c>
      <c r="F6" s="20" t="e">
        <f>LEFT(北段!#REF!,4)</f>
        <v>#REF!</v>
      </c>
      <c r="G6" s="20" t="e">
        <f>LEFT(北段!#REF!,4)</f>
        <v>#REF!</v>
      </c>
      <c r="H6" s="20" t="e">
        <f>LEFT(北段!#REF!,4)</f>
        <v>#REF!</v>
      </c>
      <c r="I6" s="20" t="e">
        <f>LEFT(北段!#REF!,4)</f>
        <v>#REF!</v>
      </c>
      <c r="J6" s="20" t="e">
        <f>LEFT(北段!#REF!,4)</f>
        <v>#REF!</v>
      </c>
      <c r="K6" s="20" t="e">
        <f>LEFT(北段!#REF!,4)</f>
        <v>#REF!</v>
      </c>
      <c r="L6" s="20" t="e">
        <f>LEFT(北段!#REF!,4)</f>
        <v>#REF!</v>
      </c>
      <c r="M6" s="20" t="e">
        <f>LEFT(北段!#REF!,4)</f>
        <v>#REF!</v>
      </c>
      <c r="N6" s="20" t="e">
        <f>LEFT(北段!#REF!,4)</f>
        <v>#REF!</v>
      </c>
      <c r="O6" s="20" t="e">
        <f>LEFT(北段!#REF!,4)</f>
        <v>#REF!</v>
      </c>
      <c r="P6" s="20" t="e">
        <f>LEFT(北段!#REF!,4)</f>
        <v>#REF!</v>
      </c>
      <c r="Q6" s="20" t="e">
        <f>LEFT(北段!#REF!,4)</f>
        <v>#REF!</v>
      </c>
      <c r="R6" s="20" t="e">
        <f>LEFT(北段!#REF!,4)</f>
        <v>#REF!</v>
      </c>
      <c r="S6" s="20" t="e">
        <f>LEFT(北段!#REF!,4)</f>
        <v>#REF!</v>
      </c>
      <c r="T6" s="20" t="e">
        <f>LEFT(北段!#REF!,4)</f>
        <v>#REF!</v>
      </c>
      <c r="U6" s="20" t="e">
        <f>LEFT(北段!#REF!,4)</f>
        <v>#REF!</v>
      </c>
      <c r="V6" s="20" t="e">
        <f>LEFT(北段!#REF!,4)</f>
        <v>#REF!</v>
      </c>
      <c r="W6" s="20" t="e">
        <f>LEFT(北段!#REF!,4)</f>
        <v>#REF!</v>
      </c>
      <c r="X6" s="20" t="e">
        <f>LEFT(北段!#REF!,4)</f>
        <v>#REF!</v>
      </c>
      <c r="Y6" s="20" t="e">
        <f>LEFT(北段!#REF!,4)</f>
        <v>#REF!</v>
      </c>
      <c r="Z6" s="20" t="e">
        <f>LEFT(北段!#REF!,4)</f>
        <v>#REF!</v>
      </c>
      <c r="AA6" s="20" t="e">
        <f>LEFT(北段!#REF!,5)</f>
        <v>#REF!</v>
      </c>
      <c r="AB6" s="20" t="e">
        <f>LEFT(北段!#REF!,4)</f>
        <v>#REF!</v>
      </c>
      <c r="AC6" s="20" t="e">
        <f>LEFT(北段!#REF!,4)</f>
        <v>#REF!</v>
      </c>
      <c r="AD6" s="20" t="e">
        <f>LEFT(北段!#REF!,4)</f>
        <v>#REF!</v>
      </c>
      <c r="AE6" s="20" t="e">
        <f>LEFT(北段!#REF!,4)</f>
        <v>#REF!</v>
      </c>
      <c r="AF6" s="20" t="e">
        <f>LEFT(北段!#REF!,4)</f>
        <v>#REF!</v>
      </c>
      <c r="AG6" s="20" t="e">
        <f>LEFT(北段!#REF!,4)</f>
        <v>#REF!</v>
      </c>
      <c r="AH6" s="20" t="e">
        <f>LEFT(北段!#REF!,4)</f>
        <v>#REF!</v>
      </c>
      <c r="AI6" s="20" t="e">
        <f>LEFT(北段!#REF!,4)</f>
        <v>#REF!</v>
      </c>
      <c r="AJ6" s="20" t="e">
        <f>LEFT(北段!#REF!,4)</f>
        <v>#REF!</v>
      </c>
      <c r="AK6" s="20" t="e">
        <f>LEFT(北段!#REF!,4)</f>
        <v>#REF!</v>
      </c>
      <c r="AL6" s="20" t="e">
        <f>LEFT(北段!#REF!,4)</f>
        <v>#REF!</v>
      </c>
    </row>
    <row r="7" spans="1:38" ht="39.75" customHeight="1">
      <c r="A7" s="29"/>
      <c r="B7" s="10" t="e">
        <f>LEFT(北段!#REF!,6)</f>
        <v>#REF!</v>
      </c>
      <c r="C7" s="10" t="e">
        <f>VLOOKUP(B7,北段!B:C,2,FALSE)</f>
        <v>#REF!</v>
      </c>
      <c r="D7" s="20" t="e">
        <f>LEFT(北段!#REF!,4)</f>
        <v>#REF!</v>
      </c>
      <c r="E7" s="20" t="e">
        <f>LEFT(北段!#REF!,4)</f>
        <v>#REF!</v>
      </c>
      <c r="F7" s="20" t="e">
        <f>LEFT(北段!#REF!,4)</f>
        <v>#REF!</v>
      </c>
      <c r="G7" s="20" t="e">
        <f>LEFT(北段!#REF!,4)</f>
        <v>#REF!</v>
      </c>
      <c r="H7" s="20" t="e">
        <f>LEFT(北段!#REF!,4)</f>
        <v>#REF!</v>
      </c>
      <c r="I7" s="20" t="e">
        <f>LEFT(北段!#REF!,4)</f>
        <v>#REF!</v>
      </c>
      <c r="J7" s="20" t="e">
        <f>LEFT(北段!#REF!,4)</f>
        <v>#REF!</v>
      </c>
      <c r="K7" s="20" t="e">
        <f>LEFT(北段!#REF!,4)</f>
        <v>#REF!</v>
      </c>
      <c r="L7" s="20" t="e">
        <f>LEFT(北段!#REF!,4)</f>
        <v>#REF!</v>
      </c>
      <c r="M7" s="20" t="e">
        <f>LEFT(北段!#REF!,4)</f>
        <v>#REF!</v>
      </c>
      <c r="N7" s="20" t="e">
        <f>LEFT(北段!#REF!,4)</f>
        <v>#REF!</v>
      </c>
      <c r="O7" s="20" t="e">
        <f>LEFT(北段!#REF!,4)</f>
        <v>#REF!</v>
      </c>
      <c r="P7" s="20" t="e">
        <f>LEFT(北段!#REF!,4)</f>
        <v>#REF!</v>
      </c>
      <c r="Q7" s="20" t="e">
        <f>LEFT(北段!#REF!,4)</f>
        <v>#REF!</v>
      </c>
      <c r="R7" s="20" t="e">
        <f>LEFT(北段!#REF!,4)</f>
        <v>#REF!</v>
      </c>
      <c r="S7" s="20" t="e">
        <f>LEFT(北段!#REF!,4)</f>
        <v>#REF!</v>
      </c>
      <c r="T7" s="20" t="e">
        <f>LEFT(北段!#REF!,4)</f>
        <v>#REF!</v>
      </c>
      <c r="U7" s="20" t="e">
        <f>LEFT(北段!#REF!,4)</f>
        <v>#REF!</v>
      </c>
      <c r="V7" s="20" t="e">
        <f>LEFT(北段!#REF!,4)</f>
        <v>#REF!</v>
      </c>
      <c r="W7" s="20" t="e">
        <f>LEFT(北段!#REF!,4)</f>
        <v>#REF!</v>
      </c>
      <c r="X7" s="20" t="e">
        <f>LEFT(北段!#REF!,4)</f>
        <v>#REF!</v>
      </c>
      <c r="Y7" s="20" t="e">
        <f>LEFT(北段!#REF!,4)</f>
        <v>#REF!</v>
      </c>
      <c r="Z7" s="20" t="e">
        <f>LEFT(北段!#REF!,4)</f>
        <v>#REF!</v>
      </c>
      <c r="AA7" s="20" t="e">
        <f>LEFT(北段!#REF!,4)</f>
        <v>#REF!</v>
      </c>
      <c r="AB7" s="20" t="e">
        <f>LEFT(北段!#REF!,4)</f>
        <v>#REF!</v>
      </c>
      <c r="AC7" s="20" t="e">
        <f>LEFT(北段!#REF!,4)</f>
        <v>#REF!</v>
      </c>
      <c r="AD7" s="20" t="e">
        <f>LEFT(北段!#REF!,4)</f>
        <v>#REF!</v>
      </c>
      <c r="AE7" s="20" t="e">
        <f>LEFT(北段!#REF!,4)</f>
        <v>#REF!</v>
      </c>
      <c r="AF7" s="20" t="e">
        <f>LEFT(北段!#REF!,4)</f>
        <v>#REF!</v>
      </c>
      <c r="AG7" s="20" t="e">
        <f>LEFT(北段!#REF!,4)</f>
        <v>#REF!</v>
      </c>
      <c r="AH7" s="20" t="e">
        <f>LEFT(北段!#REF!,4)</f>
        <v>#REF!</v>
      </c>
      <c r="AI7" s="20" t="e">
        <f>LEFT(北段!#REF!,4)</f>
        <v>#REF!</v>
      </c>
      <c r="AJ7" s="20" t="e">
        <f>LEFT(北段!#REF!,4)</f>
        <v>#REF!</v>
      </c>
      <c r="AK7" s="20" t="e">
        <f>LEFT(北段!#REF!,4)</f>
        <v>#REF!</v>
      </c>
      <c r="AL7" s="20" t="e">
        <f>LEFT(北段!#REF!,4)</f>
        <v>#REF!</v>
      </c>
    </row>
    <row r="8" spans="1:38" ht="39.75" customHeight="1">
      <c r="A8" s="29"/>
      <c r="B8" s="10" t="e">
        <f>LEFT(北段!#REF!,6)</f>
        <v>#REF!</v>
      </c>
      <c r="C8" s="10" t="e">
        <f>VLOOKUP(B8,北段!B:C,2,FALSE)</f>
        <v>#REF!</v>
      </c>
      <c r="D8" s="20" t="e">
        <f>LEFT(北段!#REF!,4)</f>
        <v>#REF!</v>
      </c>
      <c r="E8" s="20" t="e">
        <f>LEFT(北段!#REF!,4)</f>
        <v>#REF!</v>
      </c>
      <c r="F8" s="20" t="e">
        <f>LEFT(北段!#REF!,4)</f>
        <v>#REF!</v>
      </c>
      <c r="G8" s="20" t="e">
        <f>LEFT(北段!#REF!,4)</f>
        <v>#REF!</v>
      </c>
      <c r="H8" s="20" t="e">
        <f>LEFT(北段!#REF!,4)</f>
        <v>#REF!</v>
      </c>
      <c r="I8" s="20" t="e">
        <f>LEFT(北段!#REF!,4)</f>
        <v>#REF!</v>
      </c>
      <c r="J8" s="20" t="e">
        <f>LEFT(北段!#REF!,4)</f>
        <v>#REF!</v>
      </c>
      <c r="K8" s="20" t="e">
        <f>LEFT(北段!#REF!,4)</f>
        <v>#REF!</v>
      </c>
      <c r="L8" s="20" t="e">
        <f>LEFT(北段!#REF!,4)</f>
        <v>#REF!</v>
      </c>
      <c r="M8" s="20" t="e">
        <f>LEFT(北段!#REF!,4)</f>
        <v>#REF!</v>
      </c>
      <c r="N8" s="20" t="e">
        <f>LEFT(北段!#REF!,4)</f>
        <v>#REF!</v>
      </c>
      <c r="O8" s="20" t="e">
        <f>LEFT(北段!#REF!,4)</f>
        <v>#REF!</v>
      </c>
      <c r="P8" s="20" t="e">
        <f>LEFT(北段!#REF!,4)</f>
        <v>#REF!</v>
      </c>
      <c r="Q8" s="20" t="e">
        <f>LEFT(北段!#REF!,4)</f>
        <v>#REF!</v>
      </c>
      <c r="R8" s="20" t="e">
        <f>LEFT(北段!#REF!,4)</f>
        <v>#REF!</v>
      </c>
      <c r="S8" s="20" t="e">
        <f>LEFT(北段!#REF!,4)</f>
        <v>#REF!</v>
      </c>
      <c r="T8" s="20" t="e">
        <f>LEFT(北段!#REF!,4)</f>
        <v>#REF!</v>
      </c>
      <c r="U8" s="20" t="e">
        <f>LEFT(北段!#REF!,4)</f>
        <v>#REF!</v>
      </c>
      <c r="V8" s="20" t="e">
        <f>LEFT(北段!#REF!,4)</f>
        <v>#REF!</v>
      </c>
      <c r="W8" s="20" t="e">
        <f>LEFT(北段!#REF!,4)</f>
        <v>#REF!</v>
      </c>
      <c r="X8" s="20" t="e">
        <f>LEFT(北段!#REF!,4)</f>
        <v>#REF!</v>
      </c>
      <c r="Y8" s="20" t="e">
        <f>LEFT(北段!#REF!,4)</f>
        <v>#REF!</v>
      </c>
      <c r="Z8" s="20" t="e">
        <f>LEFT(北段!#REF!,4)</f>
        <v>#REF!</v>
      </c>
      <c r="AA8" s="20" t="e">
        <f>LEFT(北段!#REF!,4)</f>
        <v>#REF!</v>
      </c>
      <c r="AB8" s="20" t="e">
        <f>LEFT(北段!#REF!,4)</f>
        <v>#REF!</v>
      </c>
      <c r="AC8" s="20" t="e">
        <f>LEFT(北段!#REF!,4)</f>
        <v>#REF!</v>
      </c>
      <c r="AD8" s="20" t="e">
        <f>LEFT(北段!#REF!,4)</f>
        <v>#REF!</v>
      </c>
      <c r="AE8" s="20" t="e">
        <f>LEFT(北段!#REF!,4)</f>
        <v>#REF!</v>
      </c>
      <c r="AF8" s="20" t="e">
        <f>LEFT(北段!#REF!,4)</f>
        <v>#REF!</v>
      </c>
      <c r="AG8" s="20" t="e">
        <f>LEFT(北段!#REF!,4)</f>
        <v>#REF!</v>
      </c>
      <c r="AH8" s="20" t="e">
        <f>LEFT(北段!#REF!,4)</f>
        <v>#REF!</v>
      </c>
      <c r="AI8" s="20" t="e">
        <f>LEFT(北段!#REF!,4)</f>
        <v>#REF!</v>
      </c>
      <c r="AJ8" s="20" t="e">
        <f>LEFT(北段!#REF!,4)</f>
        <v>#REF!</v>
      </c>
      <c r="AK8" s="20" t="e">
        <f>LEFT(北段!#REF!,4)</f>
        <v>#REF!</v>
      </c>
      <c r="AL8" s="20" t="e">
        <f>LEFT(北段!#REF!,4)</f>
        <v>#REF!</v>
      </c>
    </row>
    <row r="9" spans="1:38" ht="39" customHeight="1">
      <c r="A9" s="29"/>
      <c r="B9" s="10" t="e">
        <f>LEFT(北段!#REF!,6)</f>
        <v>#REF!</v>
      </c>
      <c r="C9" s="10" t="e">
        <f>VLOOKUP(B9,北段!B:C,2,FALSE)</f>
        <v>#REF!</v>
      </c>
      <c r="D9" s="20" t="e">
        <f>LEFT(北段!#REF!,4)</f>
        <v>#REF!</v>
      </c>
      <c r="E9" s="20" t="e">
        <f>LEFT(北段!#REF!,4)</f>
        <v>#REF!</v>
      </c>
      <c r="F9" s="20" t="e">
        <f>LEFT(北段!#REF!,4)</f>
        <v>#REF!</v>
      </c>
      <c r="G9" s="20" t="e">
        <f>LEFT(北段!#REF!,4)</f>
        <v>#REF!</v>
      </c>
      <c r="H9" s="20" t="e">
        <f>LEFT(北段!#REF!,4)</f>
        <v>#REF!</v>
      </c>
      <c r="I9" s="20" t="e">
        <f>LEFT(北段!#REF!,4)</f>
        <v>#REF!</v>
      </c>
      <c r="J9" s="20" t="e">
        <f>LEFT(北段!#REF!,4)</f>
        <v>#REF!</v>
      </c>
      <c r="K9" s="20" t="e">
        <f>LEFT(北段!#REF!,4)</f>
        <v>#REF!</v>
      </c>
      <c r="L9" s="20" t="e">
        <f>LEFT(北段!#REF!,4)</f>
        <v>#REF!</v>
      </c>
      <c r="M9" s="20" t="e">
        <f>LEFT(北段!#REF!,4)</f>
        <v>#REF!</v>
      </c>
      <c r="N9" s="20" t="e">
        <f>LEFT(北段!#REF!,4)</f>
        <v>#REF!</v>
      </c>
      <c r="O9" s="20" t="e">
        <f>LEFT(北段!#REF!,4)</f>
        <v>#REF!</v>
      </c>
      <c r="P9" s="20" t="e">
        <f>LEFT(北段!#REF!,4)</f>
        <v>#REF!</v>
      </c>
      <c r="Q9" s="20" t="e">
        <f>LEFT(北段!#REF!,4)</f>
        <v>#REF!</v>
      </c>
      <c r="R9" s="20" t="e">
        <f>LEFT(北段!#REF!,4)</f>
        <v>#REF!</v>
      </c>
      <c r="S9" s="20" t="e">
        <f>LEFT(北段!#REF!,4)</f>
        <v>#REF!</v>
      </c>
      <c r="T9" s="20" t="e">
        <f>LEFT(北段!#REF!,4)</f>
        <v>#REF!</v>
      </c>
      <c r="U9" s="20" t="e">
        <f>LEFT(北段!#REF!,4)</f>
        <v>#REF!</v>
      </c>
      <c r="V9" s="20" t="e">
        <f>LEFT(北段!#REF!,4)</f>
        <v>#REF!</v>
      </c>
      <c r="W9" s="20" t="e">
        <f>LEFT(北段!#REF!,4)</f>
        <v>#REF!</v>
      </c>
      <c r="X9" s="20" t="e">
        <f>LEFT(北段!#REF!,4)</f>
        <v>#REF!</v>
      </c>
      <c r="Y9" s="20" t="e">
        <f>LEFT(北段!#REF!,4)</f>
        <v>#REF!</v>
      </c>
      <c r="Z9" s="20" t="e">
        <f>LEFT(北段!#REF!,4)</f>
        <v>#REF!</v>
      </c>
      <c r="AA9" s="20" t="e">
        <f>LEFT(北段!#REF!,4)</f>
        <v>#REF!</v>
      </c>
      <c r="AB9" s="20" t="e">
        <f>LEFT(北段!#REF!,4)</f>
        <v>#REF!</v>
      </c>
      <c r="AC9" s="20" t="e">
        <f>LEFT(北段!#REF!,4)</f>
        <v>#REF!</v>
      </c>
      <c r="AD9" s="20" t="e">
        <f>LEFT(北段!#REF!,4)</f>
        <v>#REF!</v>
      </c>
      <c r="AE9" s="20" t="e">
        <f>LEFT(北段!#REF!,4)</f>
        <v>#REF!</v>
      </c>
      <c r="AF9" s="20" t="e">
        <f>LEFT(北段!#REF!,4)</f>
        <v>#REF!</v>
      </c>
      <c r="AG9" s="20" t="e">
        <f>LEFT(北段!#REF!,4)</f>
        <v>#REF!</v>
      </c>
      <c r="AH9" s="20" t="e">
        <f>LEFT(北段!#REF!,4)</f>
        <v>#REF!</v>
      </c>
      <c r="AI9" s="20" t="e">
        <f>LEFT(北段!#REF!,4)</f>
        <v>#REF!</v>
      </c>
      <c r="AJ9" s="20" t="e">
        <f>LEFT(北段!#REF!,4)</f>
        <v>#REF!</v>
      </c>
      <c r="AK9" s="20" t="e">
        <f>LEFT(北段!#REF!,4)</f>
        <v>#REF!</v>
      </c>
      <c r="AL9" s="20" t="e">
        <f>LEFT(北段!#REF!,4)</f>
        <v>#REF!</v>
      </c>
    </row>
    <row r="10" spans="1:38" ht="39.6" customHeight="1">
      <c r="A10" s="29"/>
      <c r="B10" s="10" t="e">
        <f>LEFT(北段!#REF!,6)</f>
        <v>#REF!</v>
      </c>
      <c r="C10" s="10" t="e">
        <f>VLOOKUP(B10,北段!B:C,2,FALSE)</f>
        <v>#REF!</v>
      </c>
      <c r="D10" s="20" t="e">
        <f>LEFT(北段!#REF!,4)</f>
        <v>#REF!</v>
      </c>
      <c r="E10" s="20" t="e">
        <f>LEFT(北段!#REF!,4)</f>
        <v>#REF!</v>
      </c>
      <c r="F10" s="20" t="e">
        <f>LEFT(北段!#REF!,4)</f>
        <v>#REF!</v>
      </c>
      <c r="G10" s="20" t="e">
        <f>LEFT(北段!#REF!,4)</f>
        <v>#REF!</v>
      </c>
      <c r="H10" s="20" t="e">
        <f>LEFT(北段!#REF!,4)</f>
        <v>#REF!</v>
      </c>
      <c r="I10" s="20" t="e">
        <f>LEFT(北段!#REF!,4)</f>
        <v>#REF!</v>
      </c>
      <c r="J10" s="20" t="e">
        <f>LEFT(北段!#REF!,4)</f>
        <v>#REF!</v>
      </c>
      <c r="K10" s="20" t="e">
        <f>LEFT(北段!#REF!,4)</f>
        <v>#REF!</v>
      </c>
      <c r="L10" s="20" t="e">
        <f>LEFT(北段!#REF!,4)</f>
        <v>#REF!</v>
      </c>
      <c r="M10" s="20" t="e">
        <f>LEFT(北段!#REF!,4)</f>
        <v>#REF!</v>
      </c>
      <c r="N10" s="20" t="e">
        <f>LEFT(北段!#REF!,4)</f>
        <v>#REF!</v>
      </c>
      <c r="O10" s="20" t="e">
        <f>LEFT(北段!#REF!,4)</f>
        <v>#REF!</v>
      </c>
      <c r="P10" s="20" t="e">
        <f>LEFT(北段!#REF!,4)</f>
        <v>#REF!</v>
      </c>
      <c r="Q10" s="20" t="e">
        <f>LEFT(北段!#REF!,4)</f>
        <v>#REF!</v>
      </c>
      <c r="R10" s="20" t="e">
        <f>LEFT(北段!#REF!,4)</f>
        <v>#REF!</v>
      </c>
      <c r="S10" s="20" t="e">
        <f>LEFT(北段!#REF!,4)</f>
        <v>#REF!</v>
      </c>
      <c r="T10" s="20" t="e">
        <f>LEFT(北段!#REF!,4)</f>
        <v>#REF!</v>
      </c>
      <c r="U10" s="20" t="e">
        <f>LEFT(北段!#REF!,4)</f>
        <v>#REF!</v>
      </c>
      <c r="V10" s="20" t="e">
        <f>LEFT(北段!#REF!,4)</f>
        <v>#REF!</v>
      </c>
      <c r="W10" s="20" t="e">
        <f>LEFT(北段!#REF!,4)</f>
        <v>#REF!</v>
      </c>
      <c r="X10" s="20" t="e">
        <f>LEFT(北段!#REF!,4)</f>
        <v>#REF!</v>
      </c>
      <c r="Y10" s="20" t="e">
        <f>LEFT(北段!#REF!,4)</f>
        <v>#REF!</v>
      </c>
      <c r="Z10" s="20" t="e">
        <f>LEFT(北段!#REF!,4)</f>
        <v>#REF!</v>
      </c>
      <c r="AA10" s="20" t="e">
        <f>LEFT(北段!#REF!,4)</f>
        <v>#REF!</v>
      </c>
      <c r="AB10" s="20" t="e">
        <f>LEFT(北段!#REF!,4)</f>
        <v>#REF!</v>
      </c>
      <c r="AC10" s="20" t="e">
        <f>LEFT(北段!#REF!,4)</f>
        <v>#REF!</v>
      </c>
      <c r="AD10" s="20" t="e">
        <f>LEFT(北段!#REF!,4)</f>
        <v>#REF!</v>
      </c>
      <c r="AE10" s="20" t="e">
        <f>LEFT(北段!#REF!,4)</f>
        <v>#REF!</v>
      </c>
      <c r="AF10" s="20" t="e">
        <f>LEFT(北段!#REF!,4)</f>
        <v>#REF!</v>
      </c>
      <c r="AG10" s="20" t="e">
        <f>LEFT(北段!#REF!,4)</f>
        <v>#REF!</v>
      </c>
      <c r="AH10" s="20" t="e">
        <f>LEFT(北段!#REF!,4)</f>
        <v>#REF!</v>
      </c>
      <c r="AI10" s="20" t="e">
        <f>LEFT(北段!#REF!,4)</f>
        <v>#REF!</v>
      </c>
      <c r="AJ10" s="20" t="e">
        <f>LEFT(北段!#REF!,4)</f>
        <v>#REF!</v>
      </c>
      <c r="AK10" s="20" t="e">
        <f>LEFT(北段!#REF!,4)</f>
        <v>#REF!</v>
      </c>
      <c r="AL10" s="20" t="e">
        <f>LEFT(北段!#REF!,4)</f>
        <v>#REF!</v>
      </c>
    </row>
    <row r="11" spans="1:38" ht="39.6" customHeight="1">
      <c r="A11" s="29"/>
      <c r="B11" s="10" t="e">
        <f>LEFT(北段!#REF!,6)</f>
        <v>#REF!</v>
      </c>
      <c r="C11" s="10" t="e">
        <f>VLOOKUP(B11,北段!B:C,2,FALSE)</f>
        <v>#REF!</v>
      </c>
      <c r="D11" s="20" t="e">
        <f>LEFT(北段!#REF!,4)</f>
        <v>#REF!</v>
      </c>
      <c r="E11" s="20" t="e">
        <f>LEFT(北段!#REF!,4)</f>
        <v>#REF!</v>
      </c>
      <c r="F11" s="20" t="e">
        <f>LEFT(北段!#REF!,4)</f>
        <v>#REF!</v>
      </c>
      <c r="G11" s="20" t="e">
        <f>LEFT(北段!#REF!,4)</f>
        <v>#REF!</v>
      </c>
      <c r="H11" s="20" t="e">
        <f>LEFT(北段!#REF!,4)</f>
        <v>#REF!</v>
      </c>
      <c r="I11" s="20" t="e">
        <f>LEFT(北段!#REF!,4)</f>
        <v>#REF!</v>
      </c>
      <c r="J11" s="20" t="e">
        <f>LEFT(北段!#REF!,4)</f>
        <v>#REF!</v>
      </c>
      <c r="K11" s="20" t="e">
        <f>LEFT(北段!#REF!,4)</f>
        <v>#REF!</v>
      </c>
      <c r="L11" s="20" t="e">
        <f>LEFT(北段!#REF!,4)</f>
        <v>#REF!</v>
      </c>
      <c r="M11" s="20" t="e">
        <f>LEFT(北段!#REF!,4)</f>
        <v>#REF!</v>
      </c>
      <c r="N11" s="20" t="e">
        <f>LEFT(北段!#REF!,4)</f>
        <v>#REF!</v>
      </c>
      <c r="O11" s="20" t="e">
        <f>LEFT(北段!#REF!,4)</f>
        <v>#REF!</v>
      </c>
      <c r="P11" s="20" t="e">
        <f>LEFT(北段!#REF!,4)</f>
        <v>#REF!</v>
      </c>
      <c r="Q11" s="20" t="e">
        <f>LEFT(北段!#REF!,4)</f>
        <v>#REF!</v>
      </c>
      <c r="R11" s="20" t="e">
        <f>LEFT(北段!#REF!,4)</f>
        <v>#REF!</v>
      </c>
      <c r="S11" s="20" t="e">
        <f>LEFT(北段!#REF!,4)</f>
        <v>#REF!</v>
      </c>
      <c r="T11" s="20" t="e">
        <f>LEFT(北段!#REF!,4)</f>
        <v>#REF!</v>
      </c>
      <c r="U11" s="20" t="e">
        <f>LEFT(北段!#REF!,4)</f>
        <v>#REF!</v>
      </c>
      <c r="V11" s="20" t="e">
        <f>LEFT(北段!#REF!,4)</f>
        <v>#REF!</v>
      </c>
      <c r="W11" s="20" t="e">
        <f>LEFT(北段!#REF!,4)</f>
        <v>#REF!</v>
      </c>
      <c r="X11" s="20" t="e">
        <f>LEFT(北段!#REF!,4)</f>
        <v>#REF!</v>
      </c>
      <c r="Y11" s="20" t="e">
        <f>LEFT(北段!#REF!,4)</f>
        <v>#REF!</v>
      </c>
      <c r="Z11" s="20" t="e">
        <f>LEFT(北段!#REF!,4)</f>
        <v>#REF!</v>
      </c>
      <c r="AA11" s="20" t="e">
        <f>LEFT(北段!#REF!,4)</f>
        <v>#REF!</v>
      </c>
      <c r="AB11" s="20" t="e">
        <f>LEFT(北段!#REF!,4)</f>
        <v>#REF!</v>
      </c>
      <c r="AC11" s="20" t="e">
        <f>LEFT(北段!#REF!,4)</f>
        <v>#REF!</v>
      </c>
      <c r="AD11" s="20" t="e">
        <f>LEFT(北段!#REF!,4)</f>
        <v>#REF!</v>
      </c>
      <c r="AE11" s="20" t="e">
        <f>LEFT(北段!#REF!,4)</f>
        <v>#REF!</v>
      </c>
      <c r="AF11" s="20" t="e">
        <f>LEFT(北段!#REF!,4)</f>
        <v>#REF!</v>
      </c>
      <c r="AG11" s="20" t="e">
        <f>LEFT(北段!#REF!,4)</f>
        <v>#REF!</v>
      </c>
      <c r="AH11" s="20" t="e">
        <f>LEFT(北段!#REF!,4)</f>
        <v>#REF!</v>
      </c>
      <c r="AI11" s="20" t="e">
        <f>LEFT(北段!#REF!,4)</f>
        <v>#REF!</v>
      </c>
      <c r="AJ11" s="20" t="e">
        <f>LEFT(北段!#REF!,4)</f>
        <v>#REF!</v>
      </c>
      <c r="AK11" s="20" t="e">
        <f>LEFT(北段!#REF!,4)</f>
        <v>#REF!</v>
      </c>
      <c r="AL11" s="20" t="e">
        <f>LEFT(北段!#REF!,4)</f>
        <v>#REF!</v>
      </c>
    </row>
    <row r="12" spans="1:38" ht="39.75" customHeight="1" thickBot="1">
      <c r="A12" s="30"/>
      <c r="B12" s="10" t="e">
        <f>LEFT(北段!#REF!,6)</f>
        <v>#REF!</v>
      </c>
      <c r="C12" s="10" t="e">
        <f>VLOOKUP(B12,北段!B:C,2,FALSE)</f>
        <v>#REF!</v>
      </c>
      <c r="D12" s="20" t="e">
        <f>LEFT(北段!#REF!,4)</f>
        <v>#REF!</v>
      </c>
      <c r="E12" s="20" t="e">
        <f>LEFT(北段!#REF!,4)</f>
        <v>#REF!</v>
      </c>
      <c r="F12" s="20" t="e">
        <f>LEFT(北段!#REF!,4)</f>
        <v>#REF!</v>
      </c>
      <c r="G12" s="20" t="e">
        <f>LEFT(北段!#REF!,4)</f>
        <v>#REF!</v>
      </c>
      <c r="H12" s="20" t="e">
        <f>LEFT(北段!#REF!,4)</f>
        <v>#REF!</v>
      </c>
      <c r="I12" s="20" t="e">
        <f>LEFT(北段!#REF!,4)</f>
        <v>#REF!</v>
      </c>
      <c r="J12" s="20" t="e">
        <f>LEFT(北段!#REF!,4)</f>
        <v>#REF!</v>
      </c>
      <c r="K12" s="20" t="e">
        <f>LEFT(北段!#REF!,4)</f>
        <v>#REF!</v>
      </c>
      <c r="L12" s="20" t="e">
        <f>LEFT(北段!#REF!,4)</f>
        <v>#REF!</v>
      </c>
      <c r="M12" s="20" t="e">
        <f>LEFT(北段!#REF!,4)</f>
        <v>#REF!</v>
      </c>
      <c r="N12" s="20" t="e">
        <f>LEFT(北段!#REF!,4)</f>
        <v>#REF!</v>
      </c>
      <c r="O12" s="20" t="e">
        <f>LEFT(北段!#REF!,4)</f>
        <v>#REF!</v>
      </c>
      <c r="P12" s="20" t="e">
        <f>LEFT(北段!#REF!,4)</f>
        <v>#REF!</v>
      </c>
      <c r="Q12" s="20" t="e">
        <f>LEFT(北段!#REF!,4)</f>
        <v>#REF!</v>
      </c>
      <c r="R12" s="20" t="e">
        <f>LEFT(北段!#REF!,4)</f>
        <v>#REF!</v>
      </c>
      <c r="S12" s="20" t="e">
        <f>LEFT(北段!#REF!,4)</f>
        <v>#REF!</v>
      </c>
      <c r="T12" s="20" t="e">
        <f>LEFT(北段!#REF!,4)</f>
        <v>#REF!</v>
      </c>
      <c r="U12" s="20" t="e">
        <f>LEFT(北段!#REF!,4)</f>
        <v>#REF!</v>
      </c>
      <c r="V12" s="20" t="e">
        <f>LEFT(北段!#REF!,4)</f>
        <v>#REF!</v>
      </c>
      <c r="W12" s="20" t="e">
        <f>LEFT(北段!#REF!,4)</f>
        <v>#REF!</v>
      </c>
      <c r="X12" s="20" t="e">
        <f>LEFT(北段!#REF!,4)</f>
        <v>#REF!</v>
      </c>
      <c r="Y12" s="20" t="e">
        <f>LEFT(北段!#REF!,4)</f>
        <v>#REF!</v>
      </c>
      <c r="Z12" s="20" t="e">
        <f>LEFT(北段!#REF!,4)</f>
        <v>#REF!</v>
      </c>
      <c r="AA12" s="20" t="e">
        <f>LEFT(北段!#REF!,4)</f>
        <v>#REF!</v>
      </c>
      <c r="AB12" s="20" t="e">
        <f>LEFT(北段!#REF!,4)</f>
        <v>#REF!</v>
      </c>
      <c r="AC12" s="20" t="e">
        <f>LEFT(北段!#REF!,4)</f>
        <v>#REF!</v>
      </c>
      <c r="AD12" s="20" t="e">
        <f>LEFT(北段!#REF!,4)</f>
        <v>#REF!</v>
      </c>
      <c r="AE12" s="20" t="e">
        <f>LEFT(北段!#REF!,4)</f>
        <v>#REF!</v>
      </c>
      <c r="AF12" s="20" t="e">
        <f>LEFT(北段!#REF!,4)</f>
        <v>#REF!</v>
      </c>
      <c r="AG12" s="20" t="e">
        <f>LEFT(北段!#REF!,4)</f>
        <v>#REF!</v>
      </c>
      <c r="AH12" s="20" t="e">
        <f>LEFT(北段!#REF!,4)</f>
        <v>#REF!</v>
      </c>
      <c r="AI12" s="20" t="e">
        <f>LEFT(北段!#REF!,4)</f>
        <v>#REF!</v>
      </c>
      <c r="AJ12" s="20" t="e">
        <f>LEFT(北段!#REF!,4)</f>
        <v>#REF!</v>
      </c>
      <c r="AK12" s="20" t="e">
        <f>LEFT(北段!#REF!,4)</f>
        <v>#REF!</v>
      </c>
      <c r="AL12" s="20" t="e">
        <f>LEFT(北段!#REF!,4)</f>
        <v>#REF!</v>
      </c>
    </row>
    <row r="13" spans="1:38" ht="39.75" customHeight="1">
      <c r="A13" s="23" t="s">
        <v>4</v>
      </c>
      <c r="B13" s="10" t="str">
        <f>LEFT(北段!B3,6)</f>
        <v>T00509</v>
      </c>
      <c r="C13" s="10" t="str">
        <f>VLOOKUP(B13,北段!B:C,2,FALSE)</f>
        <v>郭秋儀</v>
      </c>
      <c r="D13" s="20" t="str">
        <f>LEFT(北段!Q3,4)</f>
        <v>r'</v>
      </c>
      <c r="E13" s="20" t="str">
        <f>LEFT(北段!R3,4)</f>
        <v>01夜</v>
      </c>
      <c r="F13" s="20" t="str">
        <f>LEFT(北段!S3,4)</f>
        <v>01夜</v>
      </c>
      <c r="G13" s="20" t="str">
        <f>LEFT(北段!T3,4)</f>
        <v>01夜</v>
      </c>
      <c r="H13" s="20" t="str">
        <f>LEFT(北段!U3,4)</f>
        <v>r'</v>
      </c>
      <c r="I13" s="20" t="str">
        <f>LEFT(北段!Q3,4)</f>
        <v>r'</v>
      </c>
      <c r="J13" s="20" t="str">
        <f>LEFT(北段!R3,4)</f>
        <v>01夜</v>
      </c>
      <c r="K13" s="20" t="str">
        <f>LEFT(北段!S3,4)</f>
        <v>01夜</v>
      </c>
      <c r="L13" s="20" t="str">
        <f>LEFT(北段!T3,4)</f>
        <v>01夜</v>
      </c>
      <c r="M13" s="20" t="str">
        <f>LEFT(北段!U3,4)</f>
        <v>r'</v>
      </c>
      <c r="N13" s="20" t="str">
        <f>LEFT(北段!V3,4)</f>
        <v>R</v>
      </c>
      <c r="O13" s="20" t="str">
        <f>LEFT(北段!W3,4)</f>
        <v>01早</v>
      </c>
      <c r="P13" s="20" t="str">
        <f>LEFT(北段!X3,4)</f>
        <v>01早</v>
      </c>
      <c r="Q13" s="20" t="str">
        <f>LEFT(北段!Y3,4)</f>
        <v>01夜</v>
      </c>
      <c r="R13" s="20" t="str">
        <f>LEFT(北段!Z3,4)</f>
        <v>01夜</v>
      </c>
      <c r="S13" s="20" t="str">
        <f>LEFT(北段!AA3,4)</f>
        <v>R</v>
      </c>
      <c r="T13" s="20" t="str">
        <f>LEFT(北段!AB3,4)</f>
        <v>P</v>
      </c>
      <c r="U13" s="20" t="str">
        <f>LEFT(北段!AC3,4)</f>
        <v>r'</v>
      </c>
      <c r="V13" s="20" t="str">
        <f>LEFT(北段!AD3,4)</f>
        <v>r'</v>
      </c>
      <c r="W13" s="20" t="str">
        <f>LEFT(北段!AE3,4)</f>
        <v>01早</v>
      </c>
      <c r="X13" s="20" t="str">
        <f>LEFT(北段!AF3,4)</f>
        <v>01早</v>
      </c>
      <c r="Y13" s="20" t="str">
        <f>LEFT(北段!AG3,4)</f>
        <v>01早</v>
      </c>
      <c r="Z13" s="20" t="str">
        <f>LEFT(北段!AH3,4)</f>
        <v>01午</v>
      </c>
      <c r="AA13" s="20" t="str">
        <f>LEFT(北段!AI3,4)</f>
        <v>r'</v>
      </c>
      <c r="AB13" s="20" t="str">
        <f>LEFT(北段!AJ3,4)</f>
        <v>R</v>
      </c>
      <c r="AC13" s="20" t="str">
        <f>LEFT(北段!AK3,4)</f>
        <v>L</v>
      </c>
      <c r="AD13" s="20" t="str">
        <f>LEFT(北段!AL3,4)</f>
        <v>L</v>
      </c>
      <c r="AE13" s="20" t="str">
        <f>LEFT(北段!AM3,4)</f>
        <v>01午</v>
      </c>
      <c r="AF13" s="20" t="str">
        <f>LEFT(北段!AN3,4)</f>
        <v>01午</v>
      </c>
      <c r="AG13" s="20" t="str">
        <f>LEFT(北段!AO3,4)</f>
        <v>R</v>
      </c>
      <c r="AH13" s="20" t="e">
        <f>LEFT(北段!#REF!,4)</f>
        <v>#REF!</v>
      </c>
      <c r="AI13" s="20" t="e">
        <f>LEFT(北段!#REF!,4)</f>
        <v>#REF!</v>
      </c>
      <c r="AJ13" s="20" t="e">
        <f>LEFT(北段!#REF!,4)</f>
        <v>#REF!</v>
      </c>
      <c r="AK13" s="20" t="e">
        <f>LEFT(北段!#REF!,4)</f>
        <v>#REF!</v>
      </c>
      <c r="AL13" s="20" t="e">
        <f>LEFT(北段!#REF!,4)</f>
        <v>#REF!</v>
      </c>
    </row>
    <row r="14" spans="1:38" ht="39.75" customHeight="1">
      <c r="A14" s="23"/>
      <c r="B14" s="10" t="str">
        <f>LEFT(北段!B4,6)</f>
        <v>T01028</v>
      </c>
      <c r="C14" s="10" t="str">
        <f>VLOOKUP(B14,北段!B:C,2,FALSE)</f>
        <v>林金緗</v>
      </c>
      <c r="D14" s="20" t="str">
        <f>LEFT(北段!Q4,4)</f>
        <v>01夜B</v>
      </c>
      <c r="E14" s="20" t="str">
        <f>LEFT(北段!R4,4)</f>
        <v>R</v>
      </c>
      <c r="F14" s="20" t="str">
        <f>LEFT(北段!S4,4)</f>
        <v>r'</v>
      </c>
      <c r="G14" s="20" t="str">
        <f>LEFT(北段!T4,4)</f>
        <v>L</v>
      </c>
      <c r="H14" s="20" t="str">
        <f>LEFT(北段!U4,4)</f>
        <v>01午</v>
      </c>
      <c r="I14" s="20" t="str">
        <f>LEFT(北段!Q4,4)</f>
        <v>01夜B</v>
      </c>
      <c r="J14" s="20" t="str">
        <f>LEFT(北段!R4,4)</f>
        <v>R</v>
      </c>
      <c r="K14" s="20" t="str">
        <f>LEFT(北段!S4,4)</f>
        <v>r'</v>
      </c>
      <c r="L14" s="20" t="str">
        <f>LEFT(北段!T4,4)</f>
        <v>L</v>
      </c>
      <c r="M14" s="20" t="str">
        <f>LEFT(北段!U4,4)</f>
        <v>01午</v>
      </c>
      <c r="N14" s="20" t="str">
        <f>LEFT(北段!V4,4)</f>
        <v>01午</v>
      </c>
      <c r="O14" s="20" t="str">
        <f>LEFT(北段!W4,4)</f>
        <v>01夜</v>
      </c>
      <c r="P14" s="20" t="str">
        <f>LEFT(北段!X4,4)</f>
        <v>01夜</v>
      </c>
      <c r="Q14" s="20" t="str">
        <f>LEFT(北段!Y4,4)</f>
        <v>01夜</v>
      </c>
      <c r="R14" s="20" t="str">
        <f>LEFT(北段!Z4,4)</f>
        <v>r'</v>
      </c>
      <c r="S14" s="20" t="str">
        <f>LEFT(北段!AA4,4)</f>
        <v>R</v>
      </c>
      <c r="T14" s="20" t="str">
        <f>LEFT(北段!AB4,4)</f>
        <v>01午</v>
      </c>
      <c r="U14" s="20" t="str">
        <f>LEFT(北段!AC4,4)</f>
        <v>01午</v>
      </c>
      <c r="V14" s="20" t="str">
        <f>LEFT(北段!AD4,4)</f>
        <v>01午</v>
      </c>
      <c r="W14" s="20" t="str">
        <f>LEFT(北段!AE4,6)</f>
        <v>01午</v>
      </c>
      <c r="X14" s="20" t="str">
        <f>LEFT(北段!AF4,4)</f>
        <v>R</v>
      </c>
      <c r="Y14" s="20" t="str">
        <f>LEFT(北段!AG4,4)</f>
        <v>01午</v>
      </c>
      <c r="Z14" s="20" t="str">
        <f>LEFT(北段!AH4,4)</f>
        <v>01午</v>
      </c>
      <c r="AA14" s="20" t="str">
        <f>LEFT(北段!AI4,4)</f>
        <v>r'</v>
      </c>
      <c r="AB14" s="20" t="str">
        <f>LEFT(北段!AJ4,4)</f>
        <v>01午</v>
      </c>
      <c r="AC14" s="20" t="str">
        <f>LEFT(北段!AK4,4)</f>
        <v>01午</v>
      </c>
      <c r="AD14" s="20" t="str">
        <f>LEFT(北段!AL4,4)</f>
        <v>r'</v>
      </c>
      <c r="AE14" s="20" t="str">
        <f>LEFT(北段!AM4,4)</f>
        <v>01早</v>
      </c>
      <c r="AF14" s="20" t="str">
        <f>LEFT(北段!AN4,4)</f>
        <v>01早</v>
      </c>
      <c r="AG14" s="20" t="str">
        <f>LEFT(北段!AO4,4)</f>
        <v>01午</v>
      </c>
      <c r="AH14" s="20" t="e">
        <f>LEFT(北段!#REF!,4)</f>
        <v>#REF!</v>
      </c>
      <c r="AI14" s="20" t="e">
        <f>LEFT(北段!#REF!,4)</f>
        <v>#REF!</v>
      </c>
      <c r="AJ14" s="20" t="e">
        <f>LEFT(北段!#REF!,4)</f>
        <v>#REF!</v>
      </c>
      <c r="AK14" s="20" t="e">
        <f>LEFT(北段!#REF!,4)</f>
        <v>#REF!</v>
      </c>
      <c r="AL14" s="20" t="e">
        <f>LEFT(北段!#REF!,4)</f>
        <v>#REF!</v>
      </c>
    </row>
    <row r="15" spans="1:38" ht="39.6" customHeight="1">
      <c r="A15" s="23"/>
      <c r="B15" s="10" t="str">
        <f>LEFT(北段!B6,6)</f>
        <v>T01734</v>
      </c>
      <c r="C15" s="10" t="str">
        <f>VLOOKUP(B15,北段!B:C,2,FALSE)</f>
        <v>黃冠銘</v>
      </c>
      <c r="D15" s="20" t="e">
        <f>LEFT(北段!#REF!,4)</f>
        <v>#REF!</v>
      </c>
      <c r="E15" s="20" t="e">
        <f>LEFT(北段!#REF!,4)</f>
        <v>#REF!</v>
      </c>
      <c r="F15" s="20" t="e">
        <f>LEFT(北段!#REF!,4)</f>
        <v>#REF!</v>
      </c>
      <c r="G15" s="20" t="e">
        <f>LEFT(北段!#REF!,4)</f>
        <v>#REF!</v>
      </c>
      <c r="H15" s="20" t="e">
        <f>LEFT(北段!#REF!,4)</f>
        <v>#REF!</v>
      </c>
      <c r="I15" s="20" t="e">
        <f>LEFT(北段!#REF!,4)</f>
        <v>#REF!</v>
      </c>
      <c r="J15" s="20" t="e">
        <f>LEFT(北段!#REF!,4)</f>
        <v>#REF!</v>
      </c>
      <c r="K15" s="20" t="e">
        <f>LEFT(北段!#REF!,4)</f>
        <v>#REF!</v>
      </c>
      <c r="L15" s="20" t="e">
        <f>LEFT(北段!#REF!,4)</f>
        <v>#REF!</v>
      </c>
      <c r="M15" s="20" t="e">
        <f>LEFT(北段!#REF!,4)</f>
        <v>#REF!</v>
      </c>
      <c r="N15" s="20" t="e">
        <f>LEFT(北段!#REF!,4)</f>
        <v>#REF!</v>
      </c>
      <c r="O15" s="20" t="e">
        <f>LEFT(北段!#REF!,4)</f>
        <v>#REF!</v>
      </c>
      <c r="P15" s="20" t="e">
        <f>LEFT(北段!#REF!,4)</f>
        <v>#REF!</v>
      </c>
      <c r="Q15" s="20" t="e">
        <f>LEFT(北段!#REF!,4)</f>
        <v>#REF!</v>
      </c>
      <c r="R15" s="20" t="e">
        <f>LEFT(北段!#REF!,4)</f>
        <v>#REF!</v>
      </c>
      <c r="S15" s="20" t="e">
        <f>LEFT(北段!#REF!,4)</f>
        <v>#REF!</v>
      </c>
      <c r="T15" s="20" t="e">
        <f>LEFT(北段!#REF!,4)</f>
        <v>#REF!</v>
      </c>
      <c r="U15" s="20" t="e">
        <f>LEFT(北段!#REF!,4)</f>
        <v>#REF!</v>
      </c>
      <c r="V15" s="20" t="e">
        <f>LEFT(北段!#REF!,4)</f>
        <v>#REF!</v>
      </c>
      <c r="W15" s="20" t="e">
        <f>LEFT(北段!#REF!,4)</f>
        <v>#REF!</v>
      </c>
      <c r="X15" s="20" t="e">
        <f>LEFT(北段!#REF!,4)</f>
        <v>#REF!</v>
      </c>
      <c r="Y15" s="20" t="e">
        <f>LEFT(北段!#REF!,4)</f>
        <v>#REF!</v>
      </c>
      <c r="Z15" s="20" t="e">
        <f>LEFT(北段!#REF!,4)</f>
        <v>#REF!</v>
      </c>
      <c r="AA15" s="20" t="e">
        <f>LEFT(北段!#REF!,4)</f>
        <v>#REF!</v>
      </c>
      <c r="AB15" s="20" t="e">
        <f>LEFT(北段!#REF!,4)</f>
        <v>#REF!</v>
      </c>
      <c r="AC15" s="20" t="e">
        <f>LEFT(北段!#REF!,4)</f>
        <v>#REF!</v>
      </c>
      <c r="AD15" s="20" t="e">
        <f>LEFT(北段!#REF!,4)</f>
        <v>#REF!</v>
      </c>
      <c r="AE15" s="20" t="e">
        <f>LEFT(北段!#REF!,4)</f>
        <v>#REF!</v>
      </c>
      <c r="AF15" s="20" t="e">
        <f>LEFT(北段!#REF!,4)</f>
        <v>#REF!</v>
      </c>
      <c r="AG15" s="20" t="e">
        <f>LEFT(北段!#REF!,4)</f>
        <v>#REF!</v>
      </c>
      <c r="AH15" s="20" t="e">
        <f>LEFT(北段!#REF!,4)</f>
        <v>#REF!</v>
      </c>
      <c r="AI15" s="20" t="e">
        <f>LEFT(北段!#REF!,4)</f>
        <v>#REF!</v>
      </c>
      <c r="AJ15" s="20" t="e">
        <f>LEFT(北段!#REF!,4)</f>
        <v>#REF!</v>
      </c>
      <c r="AK15" s="20" t="e">
        <f>LEFT(北段!#REF!,4)</f>
        <v>#REF!</v>
      </c>
      <c r="AL15" s="20" t="e">
        <f>LEFT(北段!#REF!,4)</f>
        <v>#REF!</v>
      </c>
    </row>
    <row r="16" spans="1:38" ht="39.75" customHeight="1">
      <c r="A16" s="23"/>
      <c r="B16" s="10" t="str">
        <f>LEFT(北段!B7,6)</f>
        <v>T02287</v>
      </c>
      <c r="C16" s="10" t="str">
        <f>VLOOKUP(B16,北段!B:C,2,FALSE)</f>
        <v>林江玉</v>
      </c>
      <c r="D16" s="20" t="str">
        <f>LEFT(北段!Q6,4)</f>
        <v>01早m</v>
      </c>
      <c r="E16" s="20" t="str">
        <f>LEFT(北段!R6,4)</f>
        <v>R</v>
      </c>
      <c r="F16" s="20" t="str">
        <f>LEFT(北段!S6,4)</f>
        <v>01夜</v>
      </c>
      <c r="G16" s="20" t="str">
        <f>LEFT(北段!T6,4)</f>
        <v>01夜</v>
      </c>
      <c r="H16" s="20" t="str">
        <f>LEFT(北段!U6,4)</f>
        <v>01夜</v>
      </c>
      <c r="I16" s="20" t="str">
        <f>LEFT(北段!Q6,4)</f>
        <v>01早m</v>
      </c>
      <c r="J16" s="20" t="str">
        <f>LEFT(北段!R6,4)</f>
        <v>R</v>
      </c>
      <c r="K16" s="20" t="str">
        <f>LEFT(北段!S6,4)</f>
        <v>01夜</v>
      </c>
      <c r="L16" s="20" t="str">
        <f>LEFT(北段!T6,4)</f>
        <v>01夜</v>
      </c>
      <c r="M16" s="20" t="str">
        <f>LEFT(北段!U6,4)</f>
        <v>01夜</v>
      </c>
      <c r="N16" s="20" t="str">
        <f>LEFT(北段!V6,4)</f>
        <v>01夜</v>
      </c>
      <c r="O16" s="20" t="str">
        <f>LEFT(北段!W6,4)</f>
        <v>r'</v>
      </c>
      <c r="P16" s="20" t="str">
        <f>LEFT(北段!X6,4)</f>
        <v>r'</v>
      </c>
      <c r="Q16" s="20" t="str">
        <f>LEFT(北段!Y6,4)</f>
        <v>R</v>
      </c>
      <c r="R16" s="20" t="str">
        <f>LEFT(北段!Z6,4)</f>
        <v>01午</v>
      </c>
      <c r="S16" s="20" t="str">
        <f>LEFT(北段!AA6,4)</f>
        <v>01午</v>
      </c>
      <c r="T16" s="20" t="str">
        <f>LEFT(北段!AB6,4)</f>
        <v>r'</v>
      </c>
      <c r="U16" s="20" t="str">
        <f>LEFT(北段!AC6,4)</f>
        <v>01早</v>
      </c>
      <c r="V16" s="20" t="str">
        <f>LEFT(北段!AD6,4)</f>
        <v>01早</v>
      </c>
      <c r="W16" s="20" t="str">
        <f>LEFT(北段!AE6,4)</f>
        <v>01早</v>
      </c>
      <c r="X16" s="20" t="str">
        <f>LEFT(北段!AF6,4)</f>
        <v>01早</v>
      </c>
      <c r="Y16" s="20" t="str">
        <f>LEFT(北段!AG6,4)</f>
        <v>01早</v>
      </c>
      <c r="Z16" s="20" t="str">
        <f>LEFT(北段!AH6,4)</f>
        <v>R</v>
      </c>
      <c r="AA16" s="20" t="str">
        <f>LEFT(北段!AI6,4)</f>
        <v>r'</v>
      </c>
      <c r="AB16" s="20" t="str">
        <f>LEFT(北段!AJ6,4)</f>
        <v>01早</v>
      </c>
      <c r="AC16" s="20" t="str">
        <f>LEFT(北段!AK6,4)</f>
        <v>01早</v>
      </c>
      <c r="AD16" s="20" t="str">
        <f>LEFT(北段!AL6,4)</f>
        <v>01早</v>
      </c>
      <c r="AE16" s="20" t="str">
        <f>LEFT(北段!AM6,4)</f>
        <v>01早</v>
      </c>
      <c r="AF16" s="20" t="str">
        <f>LEFT(北段!AN6,4)</f>
        <v>R</v>
      </c>
      <c r="AG16" s="20" t="str">
        <f>LEFT(北段!AO6,4)</f>
        <v>01早</v>
      </c>
      <c r="AH16" s="20" t="e">
        <f>LEFT(北段!#REF!,4)</f>
        <v>#REF!</v>
      </c>
      <c r="AI16" s="20" t="e">
        <f>LEFT(北段!#REF!,4)</f>
        <v>#REF!</v>
      </c>
      <c r="AJ16" s="20" t="e">
        <f>LEFT(北段!#REF!,4)</f>
        <v>#REF!</v>
      </c>
      <c r="AK16" s="20" t="e">
        <f>LEFT(北段!#REF!,4)</f>
        <v>#REF!</v>
      </c>
      <c r="AL16" s="20" t="e">
        <f>LEFT(北段!#REF!,4)</f>
        <v>#REF!</v>
      </c>
    </row>
    <row r="17" spans="1:38" ht="39.6" customHeight="1">
      <c r="A17" s="23"/>
      <c r="B17" s="10" t="str">
        <f>LEFT(北段!B8,6)</f>
        <v>T02359</v>
      </c>
      <c r="C17" s="10" t="str">
        <f>VLOOKUP(B17,北段!B:C,2,FALSE)</f>
        <v>陳佳婷</v>
      </c>
      <c r="D17" s="20" t="str">
        <f>LEFT(北段!Q7,4)</f>
        <v>01早M</v>
      </c>
      <c r="E17" s="20" t="str">
        <f>LEFT(北段!R7,4)</f>
        <v>R</v>
      </c>
      <c r="F17" s="20" t="str">
        <f>LEFT(北段!S7,4)</f>
        <v>01早</v>
      </c>
      <c r="G17" s="20" t="str">
        <f>LEFT(北段!T7,4)</f>
        <v>01早</v>
      </c>
      <c r="H17" s="20" t="str">
        <f>LEFT(北段!U7,4)</f>
        <v>01早</v>
      </c>
      <c r="I17" s="20" t="str">
        <f>LEFT(北段!Q7,4)</f>
        <v>01早M</v>
      </c>
      <c r="J17" s="20" t="str">
        <f>LEFT(北段!R7,4)</f>
        <v>R</v>
      </c>
      <c r="K17" s="20" t="str">
        <f>LEFT(北段!S7,4)</f>
        <v>01早</v>
      </c>
      <c r="L17" s="20" t="str">
        <f>LEFT(北段!T7,4)</f>
        <v>01早</v>
      </c>
      <c r="M17" s="20" t="str">
        <f>LEFT(北段!U7,4)</f>
        <v>01早</v>
      </c>
      <c r="N17" s="20" t="str">
        <f>LEFT(北段!V7,4)</f>
        <v>01早</v>
      </c>
      <c r="O17" s="20" t="str">
        <f>LEFT(北段!W7,4)</f>
        <v>r'</v>
      </c>
      <c r="P17" s="20" t="str">
        <f>LEFT(北段!X7,4)</f>
        <v>r'</v>
      </c>
      <c r="Q17" s="20" t="str">
        <f>LEFT(北段!Y7,4)</f>
        <v>01早</v>
      </c>
      <c r="R17" s="20" t="str">
        <f>LEFT(北段!Z7,4)</f>
        <v>01早</v>
      </c>
      <c r="S17" s="20" t="str">
        <f>LEFT(北段!AA7,4)</f>
        <v>01早</v>
      </c>
      <c r="T17" s="20" t="str">
        <f>LEFT(北段!AB7,4)</f>
        <v>01早</v>
      </c>
      <c r="U17" s="20" t="str">
        <f>LEFT(北段!AC7,4)</f>
        <v>01早</v>
      </c>
      <c r="V17" s="20" t="str">
        <f>LEFT(北段!AD7,4)</f>
        <v>R</v>
      </c>
      <c r="W17" s="20" t="str">
        <f>LEFT(北段!AE7,4)</f>
        <v>L</v>
      </c>
      <c r="X17" s="20" t="str">
        <f>LEFT(北段!AF7,4)</f>
        <v>R</v>
      </c>
      <c r="Y17" s="20" t="str">
        <f>LEFT(北段!AG7,4)</f>
        <v>r'</v>
      </c>
      <c r="Z17" s="20" t="str">
        <f>LEFT(北段!AH7,4)</f>
        <v>01夜</v>
      </c>
      <c r="AA17" s="20" t="str">
        <f>LEFT(北段!AI7,4)</f>
        <v>01夜</v>
      </c>
      <c r="AB17" s="20" t="str">
        <f>LEFT(北段!AJ7,4)</f>
        <v>01夜</v>
      </c>
      <c r="AC17" s="20" t="str">
        <f>LEFT(北段!AK7,4)</f>
        <v>01夜</v>
      </c>
      <c r="AD17" s="20" t="str">
        <f>LEFT(北段!AL7,4)</f>
        <v>01夜</v>
      </c>
      <c r="AE17" s="20" t="str">
        <f>LEFT(北段!AM7,4)</f>
        <v>R</v>
      </c>
      <c r="AF17" s="20" t="str">
        <f>LEFT(北段!AN7,4)</f>
        <v>P</v>
      </c>
      <c r="AG17" s="20" t="str">
        <f>LEFT(北段!AO7,4)</f>
        <v>01中A</v>
      </c>
      <c r="AH17" s="20" t="e">
        <f>LEFT(北段!#REF!,4)</f>
        <v>#REF!</v>
      </c>
      <c r="AI17" s="20" t="e">
        <f>LEFT(北段!#REF!,4)</f>
        <v>#REF!</v>
      </c>
      <c r="AJ17" s="20" t="e">
        <f>LEFT(北段!#REF!,4)</f>
        <v>#REF!</v>
      </c>
      <c r="AK17" s="20" t="e">
        <f>LEFT(北段!#REF!,4)</f>
        <v>#REF!</v>
      </c>
      <c r="AL17" s="20" t="e">
        <f>LEFT(北段!#REF!,4)</f>
        <v>#REF!</v>
      </c>
    </row>
    <row r="18" spans="1:38" ht="39" customHeight="1">
      <c r="A18" s="23"/>
      <c r="B18" s="10" t="str">
        <f>LEFT(北段!B9,6)</f>
        <v>T02363</v>
      </c>
      <c r="C18" s="10" t="str">
        <f>VLOOKUP(B18,北段!B:C,2,FALSE)</f>
        <v>林孟錡</v>
      </c>
      <c r="D18" s="20" t="str">
        <f>LEFT(北段!Q8,4)</f>
        <v>r'</v>
      </c>
      <c r="E18" s="20" t="str">
        <f>LEFT(北段!R8,4)</f>
        <v>01早</v>
      </c>
      <c r="F18" s="20" t="str">
        <f>LEFT(北段!S8,4)</f>
        <v>01早</v>
      </c>
      <c r="G18" s="20" t="str">
        <f>LEFT(北段!T8,4)</f>
        <v>01午</v>
      </c>
      <c r="H18" s="20" t="str">
        <f>LEFT(北段!U8,4)</f>
        <v>R</v>
      </c>
      <c r="I18" s="20" t="str">
        <f>LEFT(北段!Q8,4)</f>
        <v>r'</v>
      </c>
      <c r="J18" s="20" t="str">
        <f>LEFT(北段!R8,4)</f>
        <v>01早</v>
      </c>
      <c r="K18" s="20" t="str">
        <f>LEFT(北段!S8,4)</f>
        <v>01早</v>
      </c>
      <c r="L18" s="20" t="str">
        <f>LEFT(北段!T8,4)</f>
        <v>01午</v>
      </c>
      <c r="M18" s="20" t="str">
        <f>LEFT(北段!U8,4)</f>
        <v>R</v>
      </c>
      <c r="N18" s="20" t="str">
        <f>LEFT(北段!V8,4)</f>
        <v>r'</v>
      </c>
      <c r="O18" s="20" t="str">
        <f>LEFT(北段!W8,4)</f>
        <v>01午</v>
      </c>
      <c r="P18" s="20" t="str">
        <f>LEFT(北段!X8,4)</f>
        <v>01午</v>
      </c>
      <c r="Q18" s="20" t="str">
        <f>LEFT(北段!Y8,4)</f>
        <v>L</v>
      </c>
      <c r="R18" s="20" t="str">
        <f>LEFT(北段!Z8,4)</f>
        <v>L</v>
      </c>
      <c r="S18" s="20" t="str">
        <f>LEFT(北段!AA8,4)</f>
        <v>R</v>
      </c>
      <c r="T18" s="20" t="str">
        <f>LEFT(北段!AB8,4)</f>
        <v>01早</v>
      </c>
      <c r="U18" s="20" t="str">
        <f>LEFT(北段!AC8,4)</f>
        <v>01早</v>
      </c>
      <c r="V18" s="20" t="str">
        <f>LEFT(北段!AD8,4)</f>
        <v>01早</v>
      </c>
      <c r="W18" s="20" t="str">
        <f>LEFT(北段!AE8,4)</f>
        <v>01早</v>
      </c>
      <c r="X18" s="20" t="str">
        <f>LEFT(北段!AF8,4)</f>
        <v>01早</v>
      </c>
      <c r="Y18" s="20" t="str">
        <f>LEFT(北段!AG8,4)</f>
        <v>r'</v>
      </c>
      <c r="Z18" s="20" t="str">
        <f>LEFT(北段!AH8,4)</f>
        <v>01早</v>
      </c>
      <c r="AA18" s="20" t="str">
        <f>LEFT(北段!AI8,4)</f>
        <v>01早</v>
      </c>
      <c r="AB18" s="20" t="str">
        <f>LEFT(北段!AJ8,4)</f>
        <v>01夜</v>
      </c>
      <c r="AC18" s="20" t="str">
        <f>LEFT(北段!AK8,4)</f>
        <v>01夜</v>
      </c>
      <c r="AD18" s="20" t="str">
        <f>LEFT(北段!AL8,4)</f>
        <v>R</v>
      </c>
      <c r="AE18" s="20" t="str">
        <f>LEFT(北段!AM8,4)</f>
        <v>R</v>
      </c>
      <c r="AF18" s="20" t="str">
        <f>LEFT(北段!AN8,4)</f>
        <v>r'</v>
      </c>
      <c r="AG18" s="20" t="str">
        <f>LEFT(北段!AO8,4)</f>
        <v>01早</v>
      </c>
      <c r="AH18" s="20" t="e">
        <f>LEFT(北段!#REF!,4)</f>
        <v>#REF!</v>
      </c>
      <c r="AI18" s="20" t="e">
        <f>LEFT(北段!#REF!,4)</f>
        <v>#REF!</v>
      </c>
      <c r="AJ18" s="20" t="e">
        <f>LEFT(北段!#REF!,4)</f>
        <v>#REF!</v>
      </c>
      <c r="AK18" s="20" t="e">
        <f>LEFT(北段!#REF!,4)</f>
        <v>#REF!</v>
      </c>
      <c r="AL18" s="20" t="e">
        <f>LEFT(北段!#REF!,4)</f>
        <v>#REF!</v>
      </c>
    </row>
    <row r="19" spans="1:38" ht="39.6" customHeight="1">
      <c r="A19" s="23"/>
      <c r="B19" s="10" t="e">
        <f>LEFT(北段!#REF!,6)</f>
        <v>#REF!</v>
      </c>
      <c r="C19" s="10" t="e">
        <f>VLOOKUP(B19,北段!B:C,2,FALSE)</f>
        <v>#REF!</v>
      </c>
      <c r="D19" s="20" t="str">
        <f>LEFT(北段!Q9,4)</f>
        <v>01夜B</v>
      </c>
      <c r="E19" s="20" t="str">
        <f>LEFT(北段!R9,4)</f>
        <v>01夜</v>
      </c>
      <c r="F19" s="20" t="str">
        <f>LEFT(北段!S9,4)</f>
        <v>r'</v>
      </c>
      <c r="G19" s="20" t="str">
        <f>LEFT(北段!T9,4)</f>
        <v>R</v>
      </c>
      <c r="H19" s="20" t="str">
        <f>LEFT(北段!U9,4)</f>
        <v>01夜</v>
      </c>
      <c r="I19" s="20" t="str">
        <f>LEFT(北段!Q9,4)</f>
        <v>01夜B</v>
      </c>
      <c r="J19" s="20" t="str">
        <f>LEFT(北段!R9,4)</f>
        <v>01夜</v>
      </c>
      <c r="K19" s="20" t="str">
        <f>LEFT(北段!S9,4)</f>
        <v>r'</v>
      </c>
      <c r="L19" s="20" t="str">
        <f>LEFT(北段!T9,4)</f>
        <v>R</v>
      </c>
      <c r="M19" s="20" t="str">
        <f>LEFT(北段!U9,4)</f>
        <v>01夜</v>
      </c>
      <c r="N19" s="20" t="str">
        <f>LEFT(北段!V9,4)</f>
        <v>01夜</v>
      </c>
      <c r="O19" s="20" t="str">
        <f>LEFT(北段!W9,4)</f>
        <v>01夜</v>
      </c>
      <c r="P19" s="20" t="str">
        <f>LEFT(北段!X9,4)</f>
        <v>01夜</v>
      </c>
      <c r="Q19" s="20" t="str">
        <f>LEFT(北段!Y9,4)</f>
        <v>r'</v>
      </c>
      <c r="R19" s="20" t="str">
        <f>LEFT(北段!Z9,4)</f>
        <v>r'</v>
      </c>
      <c r="S19" s="20" t="str">
        <f>LEFT(北段!AA9,4)</f>
        <v>01夜</v>
      </c>
      <c r="T19" s="20" t="str">
        <f>LEFT(北段!AB9,4)</f>
        <v>01夜</v>
      </c>
      <c r="U19" s="20" t="str">
        <f>LEFT(北段!AC9,4)</f>
        <v>01夜</v>
      </c>
      <c r="V19" s="20" t="str">
        <f>LEFT(北段!AD9,4)</f>
        <v>R</v>
      </c>
      <c r="W19" s="20" t="str">
        <f>LEFT(北段!AE9,4)</f>
        <v>r'</v>
      </c>
      <c r="X19" s="20" t="str">
        <f>LEFT(北段!AF9,4)</f>
        <v>01夜</v>
      </c>
      <c r="Y19" s="20" t="str">
        <f>LEFT(北段!AG9,4)</f>
        <v>01夜</v>
      </c>
      <c r="Z19" s="20" t="str">
        <f>LEFT(北段!AH9,4)</f>
        <v>01夜</v>
      </c>
      <c r="AA19" s="20" t="str">
        <f>LEFT(北段!AI9,4)</f>
        <v>01夜</v>
      </c>
      <c r="AB19" s="20" t="str">
        <f>LEFT(北段!AJ9,4)</f>
        <v>R</v>
      </c>
      <c r="AC19" s="20" t="str">
        <f>LEFT(北段!AK9,4)</f>
        <v>P</v>
      </c>
      <c r="AD19" s="20" t="str">
        <f>LEFT(北段!AL9,4)</f>
        <v>01夜</v>
      </c>
      <c r="AE19" s="20" t="str">
        <f>LEFT(北段!AM9,4)</f>
        <v>01夜</v>
      </c>
      <c r="AF19" s="20" t="str">
        <f>LEFT(北段!AN9,4)</f>
        <v>01夜</v>
      </c>
      <c r="AG19" s="20" t="str">
        <f>LEFT(北段!AO9,4)</f>
        <v>01夜</v>
      </c>
      <c r="AH19" s="20" t="e">
        <f>LEFT(北段!#REF!,4)</f>
        <v>#REF!</v>
      </c>
      <c r="AI19" s="20" t="e">
        <f>LEFT(北段!#REF!,4)</f>
        <v>#REF!</v>
      </c>
      <c r="AJ19" s="20" t="e">
        <f>LEFT(北段!#REF!,4)</f>
        <v>#REF!</v>
      </c>
      <c r="AK19" s="20" t="e">
        <f>LEFT(北段!#REF!,4)</f>
        <v>#REF!</v>
      </c>
      <c r="AL19" s="20" t="e">
        <f>LEFT(北段!#REF!,4)</f>
        <v>#REF!</v>
      </c>
    </row>
    <row r="20" spans="1:38" ht="39.75" customHeight="1">
      <c r="A20" s="23"/>
      <c r="B20" s="10" t="str">
        <f>LEFT(北段!B10,6)</f>
        <v>T02504</v>
      </c>
      <c r="C20" s="10" t="str">
        <f>VLOOKUP(B20,北段!B:C,2,FALSE)</f>
        <v>潘元浩</v>
      </c>
      <c r="D20" s="20" t="e">
        <f>LEFT(北段!#REF!,4)</f>
        <v>#REF!</v>
      </c>
      <c r="E20" s="20" t="e">
        <f>LEFT(北段!#REF!,4)</f>
        <v>#REF!</v>
      </c>
      <c r="F20" s="20" t="e">
        <f>LEFT(北段!#REF!,4)</f>
        <v>#REF!</v>
      </c>
      <c r="G20" s="20" t="e">
        <f>LEFT(北段!#REF!,4)</f>
        <v>#REF!</v>
      </c>
      <c r="H20" s="20" t="e">
        <f>LEFT(北段!#REF!,4)</f>
        <v>#REF!</v>
      </c>
      <c r="I20" s="20" t="e">
        <f>LEFT(北段!#REF!,4)</f>
        <v>#REF!</v>
      </c>
      <c r="J20" s="20" t="e">
        <f>LEFT(北段!#REF!,4)</f>
        <v>#REF!</v>
      </c>
      <c r="K20" s="20" t="e">
        <f>LEFT(北段!#REF!,4)</f>
        <v>#REF!</v>
      </c>
      <c r="L20" s="20" t="e">
        <f>LEFT(北段!#REF!,4)</f>
        <v>#REF!</v>
      </c>
      <c r="M20" s="20" t="e">
        <f>LEFT(北段!#REF!,4)</f>
        <v>#REF!</v>
      </c>
      <c r="N20" s="20" t="e">
        <f>LEFT(北段!#REF!,4)</f>
        <v>#REF!</v>
      </c>
      <c r="O20" s="20" t="e">
        <f>LEFT(北段!#REF!,4)</f>
        <v>#REF!</v>
      </c>
      <c r="P20" s="20" t="e">
        <f>LEFT(北段!#REF!,4)</f>
        <v>#REF!</v>
      </c>
      <c r="Q20" s="20" t="e">
        <f>LEFT(北段!#REF!,4)</f>
        <v>#REF!</v>
      </c>
      <c r="R20" s="20" t="e">
        <f>LEFT(北段!#REF!,4)</f>
        <v>#REF!</v>
      </c>
      <c r="S20" s="20" t="e">
        <f>LEFT(北段!#REF!,4)</f>
        <v>#REF!</v>
      </c>
      <c r="T20" s="20" t="e">
        <f>LEFT(北段!#REF!,4)</f>
        <v>#REF!</v>
      </c>
      <c r="U20" s="20" t="e">
        <f>LEFT(北段!#REF!,4)</f>
        <v>#REF!</v>
      </c>
      <c r="V20" s="20" t="e">
        <f>LEFT(北段!#REF!,4)</f>
        <v>#REF!</v>
      </c>
      <c r="W20" s="20" t="e">
        <f>LEFT(北段!#REF!,4)</f>
        <v>#REF!</v>
      </c>
      <c r="X20" s="20" t="e">
        <f>LEFT(北段!#REF!,4)</f>
        <v>#REF!</v>
      </c>
      <c r="Y20" s="20" t="e">
        <f>LEFT(北段!#REF!,4)</f>
        <v>#REF!</v>
      </c>
      <c r="Z20" s="20" t="e">
        <f>LEFT(北段!#REF!,4)</f>
        <v>#REF!</v>
      </c>
      <c r="AA20" s="20" t="e">
        <f>LEFT(北段!#REF!,4)</f>
        <v>#REF!</v>
      </c>
      <c r="AB20" s="20" t="e">
        <f>LEFT(北段!#REF!,4)</f>
        <v>#REF!</v>
      </c>
      <c r="AC20" s="20" t="e">
        <f>LEFT(北段!#REF!,4)</f>
        <v>#REF!</v>
      </c>
      <c r="AD20" s="20" t="e">
        <f>LEFT(北段!#REF!,4)</f>
        <v>#REF!</v>
      </c>
      <c r="AE20" s="20" t="e">
        <f>LEFT(北段!#REF!,4)</f>
        <v>#REF!</v>
      </c>
      <c r="AF20" s="20" t="e">
        <f>LEFT(北段!#REF!,4)</f>
        <v>#REF!</v>
      </c>
      <c r="AG20" s="20" t="e">
        <f>LEFT(北段!#REF!,4)</f>
        <v>#REF!</v>
      </c>
      <c r="AH20" s="20" t="e">
        <f>LEFT(北段!#REF!,4)</f>
        <v>#REF!</v>
      </c>
      <c r="AI20" s="20" t="e">
        <f>LEFT(北段!#REF!,4)</f>
        <v>#REF!</v>
      </c>
      <c r="AJ20" s="20" t="e">
        <f>LEFT(北段!#REF!,4)</f>
        <v>#REF!</v>
      </c>
      <c r="AK20" s="20" t="e">
        <f>LEFT(北段!#REF!,4)</f>
        <v>#REF!</v>
      </c>
      <c r="AL20" s="20" t="e">
        <f>LEFT(北段!#REF!,4)</f>
        <v>#REF!</v>
      </c>
    </row>
    <row r="21" spans="1:38" ht="39.75" customHeight="1">
      <c r="A21" s="23"/>
      <c r="B21" s="10" t="str">
        <f>LEFT(北段!B11,6)</f>
        <v>T02505</v>
      </c>
      <c r="C21" s="10" t="str">
        <f>VLOOKUP(B21,北段!B:C,2,FALSE)</f>
        <v>李慧盺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39.6" customHeight="1">
      <c r="A22" s="23"/>
      <c r="B22" s="10" t="str">
        <f>LEFT(北段!B17,6)</f>
        <v>T02222</v>
      </c>
      <c r="C22" s="10" t="str">
        <f>VLOOKUP(B22,北段!B:C,2,FALSE)</f>
        <v>𡍼文妤</v>
      </c>
      <c r="D22" s="20" t="str">
        <f>LEFT(北段!Q10,4)</f>
        <v>01午M</v>
      </c>
      <c r="E22" s="20" t="str">
        <f>LEFT(北段!R10,4)</f>
        <v>01午</v>
      </c>
      <c r="F22" s="20" t="str">
        <f>LEFT(北段!S10,4)</f>
        <v>01午</v>
      </c>
      <c r="G22" s="20" t="str">
        <f>LEFT(北段!T10,4)</f>
        <v>R</v>
      </c>
      <c r="H22" s="20" t="str">
        <f>LEFT(北段!U10,4)</f>
        <v>r'</v>
      </c>
      <c r="I22" s="20" t="str">
        <f>LEFT(北段!Q11,4)</f>
        <v>R</v>
      </c>
      <c r="J22" s="20" t="str">
        <f>LEFT(北段!R11,4)</f>
        <v>01早</v>
      </c>
      <c r="K22" s="20" t="str">
        <f>LEFT(北段!S11,4)</f>
        <v>01午</v>
      </c>
      <c r="L22" s="20" t="str">
        <f>LEFT(北段!T11,4)</f>
        <v>R</v>
      </c>
      <c r="M22" s="20" t="str">
        <f>LEFT(北段!U11,4)</f>
        <v>r'</v>
      </c>
      <c r="N22" s="20" t="str">
        <f>LEFT(北段!V11,4)</f>
        <v>L</v>
      </c>
      <c r="O22" s="20" t="str">
        <f>LEFT(北段!W11,4)</f>
        <v>L</v>
      </c>
      <c r="P22" s="20" t="str">
        <f>LEFT(北段!X11,4)</f>
        <v>L</v>
      </c>
      <c r="Q22" s="20" t="str">
        <f>LEFT(北段!Y11,4)</f>
        <v>L</v>
      </c>
      <c r="R22" s="20" t="str">
        <f>LEFT(北段!Z11,4)</f>
        <v>P</v>
      </c>
      <c r="S22" s="20" t="str">
        <f>LEFT(北段!AA11,4)</f>
        <v>R</v>
      </c>
      <c r="T22" s="20" t="str">
        <f>LEFT(北段!AB11,4)</f>
        <v>01午</v>
      </c>
      <c r="U22" s="20" t="str">
        <f>LEFT(北段!AC11,4)</f>
        <v>01午</v>
      </c>
      <c r="V22" s="20" t="str">
        <f>LEFT(北段!AD11,4)</f>
        <v>01夜</v>
      </c>
      <c r="W22" s="20" t="str">
        <f>LEFT(北段!AE11,4)</f>
        <v>01夜</v>
      </c>
      <c r="X22" s="20" t="str">
        <f>LEFT(北段!AF11,4)</f>
        <v>R</v>
      </c>
      <c r="Y22" s="20" t="str">
        <f>LEFT(北段!AG11,4)</f>
        <v>r'</v>
      </c>
      <c r="Z22" s="20" t="str">
        <f>LEFT(北段!AH11,4)</f>
        <v>01午</v>
      </c>
      <c r="AA22" s="20" t="str">
        <f>LEFT(北段!AI11,4)</f>
        <v>01午</v>
      </c>
      <c r="AB22" s="20" t="str">
        <f>LEFT(北段!AJ11,4)</f>
        <v>01午</v>
      </c>
      <c r="AC22" s="20" t="str">
        <f>LEFT(北段!AK11,4)</f>
        <v>r'</v>
      </c>
      <c r="AD22" s="20" t="str">
        <f>LEFT(北段!AL11,4)</f>
        <v>01午</v>
      </c>
      <c r="AE22" s="20" t="str">
        <f>LEFT(北段!AM11,4)</f>
        <v>01夜</v>
      </c>
      <c r="AF22" s="20" t="str">
        <f>LEFT(北段!AN11,4)</f>
        <v>01夜</v>
      </c>
      <c r="AG22" s="20" t="str">
        <f>LEFT(北段!AO11,4)</f>
        <v>01夜</v>
      </c>
      <c r="AH22" s="20" t="e">
        <f>LEFT(北段!#REF!,4)</f>
        <v>#REF!</v>
      </c>
      <c r="AI22" s="20" t="e">
        <f>LEFT(北段!#REF!,4)</f>
        <v>#REF!</v>
      </c>
      <c r="AJ22" s="20" t="e">
        <f>LEFT(北段!#REF!,4)</f>
        <v>#REF!</v>
      </c>
      <c r="AK22" s="20" t="e">
        <f>LEFT(北段!#REF!,4)</f>
        <v>#REF!</v>
      </c>
      <c r="AL22" s="20" t="e">
        <f>LEFT(北段!#REF!,4)</f>
        <v>#REF!</v>
      </c>
    </row>
    <row r="23" spans="1:38" ht="39.75" customHeight="1">
      <c r="A23" s="23"/>
      <c r="B23" s="10" t="str">
        <f>LEFT(北段!B18,6)</f>
        <v>T02233</v>
      </c>
      <c r="C23" s="10" t="str">
        <f>VLOOKUP(B23,北段!B:C,2,FALSE)</f>
        <v>簡悅如</v>
      </c>
      <c r="D23" s="20" t="str">
        <f>LEFT(北段!Q11,4)</f>
        <v>R</v>
      </c>
      <c r="E23" s="20" t="str">
        <f>LEFT(北段!R11,4)</f>
        <v>01早</v>
      </c>
      <c r="F23" s="20" t="str">
        <f>LEFT(北段!S11,4)</f>
        <v>01午</v>
      </c>
      <c r="G23" s="20" t="str">
        <f>LEFT(北段!T11,4)</f>
        <v>R</v>
      </c>
      <c r="H23" s="20" t="str">
        <f>LEFT(北段!U11,4)</f>
        <v>r'</v>
      </c>
      <c r="I23" s="20" t="str">
        <f>LEFT(北段!Q17,4)</f>
        <v>R</v>
      </c>
      <c r="J23" s="20" t="str">
        <f>LEFT(北段!R17,4)</f>
        <v>01午</v>
      </c>
      <c r="K23" s="20" t="str">
        <f>LEFT(北段!S17,4)</f>
        <v>01午</v>
      </c>
      <c r="L23" s="20" t="str">
        <f>LEFT(北段!T17,4)</f>
        <v>01午</v>
      </c>
      <c r="M23" s="20" t="str">
        <f>LEFT(北段!U17,4)</f>
        <v>01午</v>
      </c>
      <c r="N23" s="20" t="str">
        <f>LEFT(北段!V17,4)</f>
        <v>R</v>
      </c>
      <c r="O23" s="20" t="str">
        <f>LEFT(北段!W17,4)</f>
        <v>01早</v>
      </c>
      <c r="P23" s="20" t="str">
        <f>LEFT(北段!X17,4)</f>
        <v>01早</v>
      </c>
      <c r="Q23" s="20" t="str">
        <f>LEFT(北段!Y17,4)</f>
        <v>01早</v>
      </c>
      <c r="R23" s="20" t="str">
        <f>LEFT(北段!Z17,4)</f>
        <v>01早</v>
      </c>
      <c r="S23" s="20" t="str">
        <f>LEFT(北段!AA17,4)</f>
        <v>R</v>
      </c>
      <c r="T23" s="20" t="str">
        <f>LEFT(北段!AB17,4)</f>
        <v>r'</v>
      </c>
      <c r="U23" s="20" t="str">
        <f>LEFT(北段!AC17,4)</f>
        <v>L</v>
      </c>
      <c r="V23" s="20" t="str">
        <f>LEFT(北段!AD17,4)</f>
        <v>L</v>
      </c>
      <c r="W23" s="20" t="str">
        <f>LEFT(北段!AE17,4)</f>
        <v>L</v>
      </c>
      <c r="X23" s="20" t="str">
        <f>LEFT(北段!AF17,4)</f>
        <v>R</v>
      </c>
      <c r="Y23" s="20" t="str">
        <f>LEFT(北段!AG17,4)</f>
        <v>01早</v>
      </c>
      <c r="Z23" s="20" t="str">
        <f>LEFT(北段!AH17,4)</f>
        <v>01早</v>
      </c>
      <c r="AA23" s="20" t="str">
        <f>LEFT(北段!AI17,4)</f>
        <v>01早</v>
      </c>
      <c r="AB23" s="20" t="str">
        <f>LEFT(北段!AJ17,4)</f>
        <v>01早</v>
      </c>
      <c r="AC23" s="20" t="str">
        <f>LEFT(北段!AK17,4)</f>
        <v>r'</v>
      </c>
      <c r="AD23" s="20" t="str">
        <f>LEFT(北段!AL17,4)</f>
        <v>r'</v>
      </c>
      <c r="AE23" s="20" t="str">
        <f>LEFT(北段!AM17,4)</f>
        <v>01早</v>
      </c>
      <c r="AF23" s="20" t="str">
        <f>LEFT(北段!AN17,4)</f>
        <v>01早</v>
      </c>
      <c r="AG23" s="20" t="str">
        <f>LEFT(北段!AO17,4)</f>
        <v>01早</v>
      </c>
      <c r="AH23" s="20" t="e">
        <f>LEFT(北段!#REF!,4)</f>
        <v>#REF!</v>
      </c>
      <c r="AI23" s="20" t="e">
        <f>LEFT(北段!#REF!,4)</f>
        <v>#REF!</v>
      </c>
      <c r="AJ23" s="20" t="e">
        <f>LEFT(北段!#REF!,4)</f>
        <v>#REF!</v>
      </c>
      <c r="AK23" s="20" t="e">
        <f>LEFT(北段!#REF!,4)</f>
        <v>#REF!</v>
      </c>
      <c r="AL23" s="20" t="e">
        <f>LEFT(北段!#REF!,4)</f>
        <v>#REF!</v>
      </c>
    </row>
    <row r="24" spans="1:38" ht="39.75" customHeight="1">
      <c r="A24" s="23"/>
      <c r="B24" s="10" t="str">
        <f>LEFT(北段!B19,6)</f>
        <v>T02498</v>
      </c>
      <c r="C24" s="10" t="str">
        <f>VLOOKUP(B24,北段!B:C,2,FALSE)</f>
        <v>張芯瑜</v>
      </c>
      <c r="D24" s="20" t="str">
        <f>LEFT(北段!Q18,4)</f>
        <v>R</v>
      </c>
      <c r="E24" s="20" t="str">
        <f>LEFT(北段!R18,4)</f>
        <v>R</v>
      </c>
      <c r="F24" s="20" t="str">
        <f>LEFT(北段!S18,4)</f>
        <v>01早</v>
      </c>
      <c r="G24" s="20" t="str">
        <f>LEFT(北段!T18,4)</f>
        <v>01午</v>
      </c>
      <c r="H24" s="20" t="str">
        <f>LEFT(北段!U18,4)</f>
        <v>01午</v>
      </c>
      <c r="I24" s="20" t="str">
        <f>LEFT(北段!Q18,4)</f>
        <v>R</v>
      </c>
      <c r="J24" s="20" t="str">
        <f>LEFT(北段!R18,4)</f>
        <v>R</v>
      </c>
      <c r="K24" s="20" t="str">
        <f>LEFT(北段!S18,4)</f>
        <v>01早</v>
      </c>
      <c r="L24" s="20" t="str">
        <f>LEFT(北段!T18,4)</f>
        <v>01午</v>
      </c>
      <c r="M24" s="20" t="str">
        <f>LEFT(北段!U18,4)</f>
        <v>01午</v>
      </c>
      <c r="N24" s="20" t="str">
        <f>LEFT(北段!V18,4)</f>
        <v>r'</v>
      </c>
      <c r="O24" s="20" t="str">
        <f>LEFT(北段!W18,4)</f>
        <v>01早</v>
      </c>
      <c r="P24" s="20" t="str">
        <f>LEFT(北段!X18,4)</f>
        <v>01早</v>
      </c>
      <c r="Q24" s="20" t="str">
        <f>LEFT(北段!Y18,4)</f>
        <v>L</v>
      </c>
      <c r="R24" s="20" t="str">
        <f>LEFT(北段!Z18,4)</f>
        <v>01午</v>
      </c>
      <c r="S24" s="20" t="str">
        <f>LEFT(北段!AA18,4)</f>
        <v>01午</v>
      </c>
      <c r="T24" s="20" t="str">
        <f>LEFT(北段!AB18,4)</f>
        <v>R</v>
      </c>
      <c r="U24" s="20" t="str">
        <f>LEFT(北段!AC18,4)</f>
        <v>r'</v>
      </c>
      <c r="V24" s="20" t="str">
        <f>LEFT(北段!AD18,4)</f>
        <v>01早</v>
      </c>
      <c r="W24" s="20" t="str">
        <f>LEFT(北段!AE18,4)</f>
        <v>01早</v>
      </c>
      <c r="X24" s="20" t="str">
        <f>LEFT(北段!AF18,4)</f>
        <v>01早</v>
      </c>
      <c r="Y24" s="20" t="str">
        <f>LEFT(北段!AG18,4)</f>
        <v>R</v>
      </c>
      <c r="Z24" s="20" t="str">
        <f>LEFT(北段!AH18,4)</f>
        <v>L</v>
      </c>
      <c r="AA24" s="20" t="str">
        <f>LEFT(北段!AI18,4)</f>
        <v>r'</v>
      </c>
      <c r="AB24" s="20" t="str">
        <f>LEFT(北段!AJ18,4)</f>
        <v>01早</v>
      </c>
      <c r="AC24" s="20" t="str">
        <f>LEFT(北段!AK18,4)</f>
        <v>01早</v>
      </c>
      <c r="AD24" s="20" t="str">
        <f>LEFT(北段!AL18,4)</f>
        <v>01早</v>
      </c>
      <c r="AE24" s="20" t="str">
        <f>LEFT(北段!AM18,4)</f>
        <v>P</v>
      </c>
      <c r="AF24" s="20" t="str">
        <f>LEFT(北段!AN18,4)</f>
        <v>01早</v>
      </c>
      <c r="AG24" s="20" t="str">
        <f>LEFT(北段!AO18,4)</f>
        <v>01早</v>
      </c>
      <c r="AH24" s="20" t="e">
        <f>LEFT(北段!#REF!,4)</f>
        <v>#REF!</v>
      </c>
      <c r="AI24" s="20" t="e">
        <f>LEFT(北段!#REF!,4)</f>
        <v>#REF!</v>
      </c>
      <c r="AJ24" s="20" t="e">
        <f>LEFT(北段!#REF!,4)</f>
        <v>#REF!</v>
      </c>
      <c r="AK24" s="20" t="e">
        <f>LEFT(北段!#REF!,4)</f>
        <v>#REF!</v>
      </c>
      <c r="AL24" s="20" t="e">
        <f>LEFT(北段!#REF!,4)</f>
        <v>#REF!</v>
      </c>
    </row>
    <row r="25" spans="1:38" ht="39.6" customHeight="1">
      <c r="A25" s="23"/>
      <c r="B25" s="10" t="str">
        <f>LEFT(北段!B20,6)</f>
        <v>T02612</v>
      </c>
      <c r="C25" s="10" t="str">
        <f>VLOOKUP(B25,北段!B:C,2,FALSE)</f>
        <v>蕭曉琦</v>
      </c>
      <c r="D25" s="20" t="str">
        <f>LEFT(北段!Q19,4)</f>
        <v>01午B</v>
      </c>
      <c r="E25" s="20" t="str">
        <f>LEFT(北段!R19,4)</f>
        <v>01午</v>
      </c>
      <c r="F25" s="20" t="str">
        <f>LEFT(北段!S19,4)</f>
        <v>01午</v>
      </c>
      <c r="G25" s="20" t="str">
        <f>LEFT(北段!T19,4)</f>
        <v>r'</v>
      </c>
      <c r="H25" s="20" t="str">
        <f>LEFT(北段!U19,4)</f>
        <v>P</v>
      </c>
      <c r="I25" s="20" t="str">
        <f>LEFT(北段!Q19,4)</f>
        <v>01午B</v>
      </c>
      <c r="J25" s="20" t="str">
        <f>LEFT(北段!R19,4)</f>
        <v>01午</v>
      </c>
      <c r="K25" s="20" t="str">
        <f>LEFT(北段!S19,4)</f>
        <v>01午</v>
      </c>
      <c r="L25" s="20" t="str">
        <f>LEFT(北段!T19,4)</f>
        <v>r'</v>
      </c>
      <c r="M25" s="20" t="str">
        <f>LEFT(北段!U19,4)</f>
        <v>P</v>
      </c>
      <c r="N25" s="20" t="str">
        <f>LEFT(北段!V19,4)</f>
        <v>01午</v>
      </c>
      <c r="O25" s="20" t="str">
        <f>LEFT(北段!W19,4)</f>
        <v>01午</v>
      </c>
      <c r="P25" s="20" t="str">
        <f>LEFT(北段!X19,4)</f>
        <v>R</v>
      </c>
      <c r="Q25" s="20" t="str">
        <f>LEFT(北段!Y19,4)</f>
        <v>01早</v>
      </c>
      <c r="R25" s="20" t="str">
        <f>LEFT(北段!Z19,4)</f>
        <v>01早</v>
      </c>
      <c r="S25" s="20" t="str">
        <f>LEFT(北段!AA19,4)</f>
        <v>01早</v>
      </c>
      <c r="T25" s="20" t="str">
        <f>LEFT(北段!AB19,4)</f>
        <v>01早</v>
      </c>
      <c r="U25" s="20" t="str">
        <f>LEFT(北段!AC19,4)</f>
        <v>r'</v>
      </c>
      <c r="V25" s="20" t="str">
        <f>LEFT(北段!AD19,4)</f>
        <v>R</v>
      </c>
      <c r="W25" s="20" t="str">
        <f>LEFT(北段!AE19,4)</f>
        <v>01午</v>
      </c>
      <c r="X25" s="20" t="str">
        <f>LEFT(北段!AF19,4)</f>
        <v>01午</v>
      </c>
      <c r="Y25" s="20" t="str">
        <f>LEFT(北段!AG19,4)</f>
        <v>01午</v>
      </c>
      <c r="Z25" s="20" t="str">
        <f>LEFT(北段!AH19,4)</f>
        <v>01午</v>
      </c>
      <c r="AA25" s="20" t="str">
        <f>LEFT(北段!AI19,4)</f>
        <v>01午</v>
      </c>
      <c r="AB25" s="20" t="str">
        <f>LEFT(北段!AJ19,4)</f>
        <v>r'</v>
      </c>
      <c r="AC25" s="20" t="str">
        <f>LEFT(北段!AK19,4)</f>
        <v>R</v>
      </c>
      <c r="AD25" s="20" t="str">
        <f>LEFT(北段!AL19,4)</f>
        <v>01午</v>
      </c>
      <c r="AE25" s="20" t="str">
        <f>LEFT(北段!AM19,4)</f>
        <v>01中A</v>
      </c>
      <c r="AF25" s="20" t="str">
        <f>LEFT(北段!AN19,4)</f>
        <v>01午</v>
      </c>
      <c r="AG25" s="20" t="str">
        <f>LEFT(北段!AO19,4)</f>
        <v>01午</v>
      </c>
      <c r="AH25" s="20" t="e">
        <f>LEFT(北段!#REF!,4)</f>
        <v>#REF!</v>
      </c>
      <c r="AI25" s="20" t="e">
        <f>LEFT(北段!#REF!,4)</f>
        <v>#REF!</v>
      </c>
      <c r="AJ25" s="20" t="e">
        <f>LEFT(北段!#REF!,4)</f>
        <v>#REF!</v>
      </c>
      <c r="AK25" s="20" t="e">
        <f>LEFT(北段!#REF!,4)</f>
        <v>#REF!</v>
      </c>
      <c r="AL25" s="20" t="e">
        <f>LEFT(北段!#REF!,4)</f>
        <v>#REF!</v>
      </c>
    </row>
    <row r="26" spans="1:38" ht="39.75" customHeight="1">
      <c r="A26" s="23"/>
      <c r="B26" s="10" t="str">
        <f>LEFT(北段!B21,6)</f>
        <v>T02613</v>
      </c>
      <c r="C26" s="10" t="str">
        <f>VLOOKUP(B26,北段!B:C,2,FALSE)</f>
        <v>張雅荃</v>
      </c>
      <c r="D26" s="20" t="str">
        <f>LEFT(北段!Q20,4)</f>
        <v>01午B</v>
      </c>
      <c r="E26" s="20" t="str">
        <f>LEFT(北段!R20,4)</f>
        <v>R</v>
      </c>
      <c r="F26" s="20" t="str">
        <f>LEFT(北段!S20,4)</f>
        <v>01早</v>
      </c>
      <c r="G26" s="20" t="str">
        <f>LEFT(北段!T20,4)</f>
        <v>01早</v>
      </c>
      <c r="H26" s="20" t="str">
        <f>LEFT(北段!U20,4)</f>
        <v>P</v>
      </c>
      <c r="I26" s="20" t="str">
        <f>LEFT(北段!Q20,4)</f>
        <v>01午B</v>
      </c>
      <c r="J26" s="20" t="str">
        <f>LEFT(北段!R20,4)</f>
        <v>R</v>
      </c>
      <c r="K26" s="20" t="str">
        <f>LEFT(北段!S20,4)</f>
        <v>01早</v>
      </c>
      <c r="L26" s="20" t="str">
        <f>LEFT(北段!T20,4)</f>
        <v>01早</v>
      </c>
      <c r="M26" s="20" t="str">
        <f>LEFT(北段!U20,4)</f>
        <v>P</v>
      </c>
      <c r="N26" s="20" t="str">
        <f>LEFT(北段!V20,4)</f>
        <v>01早</v>
      </c>
      <c r="O26" s="20" t="str">
        <f>LEFT(北段!W20,4)</f>
        <v>01早</v>
      </c>
      <c r="P26" s="20" t="str">
        <f>LEFT(北段!X20,4)</f>
        <v>01早</v>
      </c>
      <c r="Q26" s="20" t="str">
        <f>LEFT(北段!Y20,4)</f>
        <v>R</v>
      </c>
      <c r="R26" s="20" t="str">
        <f>LEFT(北段!Z20,4)</f>
        <v>01早</v>
      </c>
      <c r="S26" s="20" t="str">
        <f>LEFT(北段!AA20,4)</f>
        <v>01早</v>
      </c>
      <c r="T26" s="20" t="str">
        <f>LEFT(北段!AB20,4)</f>
        <v>r'</v>
      </c>
      <c r="U26" s="20" t="str">
        <f>LEFT(北段!AC20,4)</f>
        <v>01早</v>
      </c>
      <c r="V26" s="20" t="str">
        <f>LEFT(北段!AD20,4)</f>
        <v>01午</v>
      </c>
      <c r="W26" s="20" t="str">
        <f>LEFT(北段!AE20,4)</f>
        <v>r'</v>
      </c>
      <c r="X26" s="20" t="str">
        <f>LEFT(北段!AF20,4)</f>
        <v>01午</v>
      </c>
      <c r="Y26" s="20" t="str">
        <f>LEFT(北段!AG20,4)</f>
        <v>01午</v>
      </c>
      <c r="Z26" s="20" t="str">
        <f>LEFT(北段!AH20,4)</f>
        <v>R</v>
      </c>
      <c r="AA26" s="20" t="str">
        <f>LEFT(北段!AI20,4)</f>
        <v>01早</v>
      </c>
      <c r="AB26" s="20" t="str">
        <f>LEFT(北段!AJ20,4)</f>
        <v>01早</v>
      </c>
      <c r="AC26" s="20" t="str">
        <f>LEFT(北段!AK20,4)</f>
        <v>01早</v>
      </c>
      <c r="AD26" s="20" t="str">
        <f>LEFT(北段!AL20,4)</f>
        <v>01早</v>
      </c>
      <c r="AE26" s="20" t="str">
        <f>LEFT(北段!AM20,4)</f>
        <v>R</v>
      </c>
      <c r="AF26" s="20" t="str">
        <f>LEFT(北段!AN20,4)</f>
        <v>01早</v>
      </c>
      <c r="AG26" s="20" t="str">
        <f>LEFT(北段!AO20,4)</f>
        <v>01早</v>
      </c>
      <c r="AH26" s="20" t="e">
        <f>LEFT(北段!#REF!,4)</f>
        <v>#REF!</v>
      </c>
      <c r="AI26" s="20" t="e">
        <f>LEFT(北段!#REF!,4)</f>
        <v>#REF!</v>
      </c>
      <c r="AJ26" s="20" t="e">
        <f>LEFT(北段!#REF!,4)</f>
        <v>#REF!</v>
      </c>
      <c r="AK26" s="20" t="e">
        <f>LEFT(北段!#REF!,4)</f>
        <v>#REF!</v>
      </c>
      <c r="AL26" s="20" t="e">
        <f>LEFT(北段!#REF!,4)</f>
        <v>#REF!</v>
      </c>
    </row>
    <row r="27" spans="1:38" ht="39.75" customHeight="1" thickBot="1">
      <c r="A27" s="24"/>
      <c r="B27" s="10" t="e">
        <f>LEFT(北段!#REF!,6)</f>
        <v>#REF!</v>
      </c>
      <c r="C27" s="10" t="e">
        <f>VLOOKUP(B27,北段!B:C,2,FALSE)</f>
        <v>#REF!</v>
      </c>
      <c r="D27" s="20" t="str">
        <f>LEFT(北段!Q21,4)</f>
        <v>01午B</v>
      </c>
      <c r="E27" s="20" t="str">
        <f>LEFT(北段!R21,4)</f>
        <v>01午</v>
      </c>
      <c r="F27" s="20" t="str">
        <f>LEFT(北段!S21,4)</f>
        <v>01午</v>
      </c>
      <c r="G27" s="20" t="str">
        <f>LEFT(北段!T21,4)</f>
        <v>01午</v>
      </c>
      <c r="H27" s="20" t="str">
        <f>LEFT(北段!U21,4)</f>
        <v>r'</v>
      </c>
      <c r="I27" s="20" t="str">
        <f>LEFT(北段!Q21,4)</f>
        <v>01午B</v>
      </c>
      <c r="J27" s="20" t="str">
        <f>LEFT(北段!R21,4)</f>
        <v>01午</v>
      </c>
      <c r="K27" s="20" t="str">
        <f>LEFT(北段!S21,4)</f>
        <v>01午</v>
      </c>
      <c r="L27" s="20" t="str">
        <f>LEFT(北段!T21,4)</f>
        <v>01午</v>
      </c>
      <c r="M27" s="20" t="str">
        <f>LEFT(北段!U21,4)</f>
        <v>r'</v>
      </c>
      <c r="N27" s="20" t="str">
        <f>LEFT(北段!V21,4)</f>
        <v>01午</v>
      </c>
      <c r="O27" s="20" t="str">
        <f>LEFT(北段!W21,4)</f>
        <v>01午</v>
      </c>
      <c r="P27" s="20" t="str">
        <f>LEFT(北段!X21,4)</f>
        <v>R</v>
      </c>
      <c r="Q27" s="20" t="str">
        <f>LEFT(北段!Y21,4)</f>
        <v>P</v>
      </c>
      <c r="R27" s="20" t="str">
        <f>LEFT(北段!Z21,4)</f>
        <v>01午</v>
      </c>
      <c r="S27" s="20" t="str">
        <f>LEFT(北段!AA21,4)</f>
        <v>01午</v>
      </c>
      <c r="T27" s="20" t="str">
        <f>LEFT(北段!AB21,4)</f>
        <v>R</v>
      </c>
      <c r="U27" s="20" t="str">
        <f>LEFT(北段!AC21,4)</f>
        <v>01午</v>
      </c>
      <c r="V27" s="20" t="str">
        <f>LEFT(北段!AD21,4)</f>
        <v>01午</v>
      </c>
      <c r="W27" s="20" t="str">
        <f>LEFT(北段!AE21,4)</f>
        <v>01午</v>
      </c>
      <c r="X27" s="20" t="str">
        <f>LEFT(北段!AF21,4)</f>
        <v>01午</v>
      </c>
      <c r="Y27" s="20" t="str">
        <f>LEFT(北段!AG21,4)</f>
        <v>R</v>
      </c>
      <c r="Z27" s="20" t="str">
        <f>LEFT(北段!AH21,4)</f>
        <v>r'</v>
      </c>
      <c r="AA27" s="20" t="str">
        <f>LEFT(北段!AI21,4)</f>
        <v>01午</v>
      </c>
      <c r="AB27" s="20" t="str">
        <f>LEFT(北段!AJ21,4)</f>
        <v>01午</v>
      </c>
      <c r="AC27" s="20" t="str">
        <f>LEFT(北段!AK21,4)</f>
        <v>r'</v>
      </c>
      <c r="AD27" s="20" t="str">
        <f>LEFT(北段!AL21,4)</f>
        <v>01午</v>
      </c>
      <c r="AE27" s="20" t="str">
        <f>LEFT(北段!AM21,4)</f>
        <v>01午</v>
      </c>
      <c r="AF27" s="20" t="str">
        <f>LEFT(北段!AN21,4)</f>
        <v>01中A</v>
      </c>
      <c r="AG27" s="20" t="str">
        <f>LEFT(北段!AO21,4)</f>
        <v>R</v>
      </c>
      <c r="AH27" s="20" t="e">
        <f>LEFT(北段!#REF!,4)</f>
        <v>#REF!</v>
      </c>
      <c r="AI27" s="20" t="e">
        <f>LEFT(北段!#REF!,4)</f>
        <v>#REF!</v>
      </c>
      <c r="AJ27" s="20" t="e">
        <f>LEFT(北段!#REF!,4)</f>
        <v>#REF!</v>
      </c>
      <c r="AK27" s="20" t="e">
        <f>LEFT(北段!#REF!,4)</f>
        <v>#REF!</v>
      </c>
      <c r="AL27" s="20" t="e">
        <f>LEFT(北段!#REF!,4)</f>
        <v>#REF!</v>
      </c>
    </row>
    <row r="28" spans="1:38" ht="39.75" customHeight="1">
      <c r="A28" s="23"/>
      <c r="B28" s="10" t="e">
        <f>LEFT(北段!#REF!,6)</f>
        <v>#REF!</v>
      </c>
      <c r="C28" s="10" t="e">
        <f>VLOOKUP(B28,北段!B:C,2,FALSE)</f>
        <v>#REF!</v>
      </c>
      <c r="D28" s="20" t="e">
        <f>LEFT(北段!#REF!,4)</f>
        <v>#REF!</v>
      </c>
      <c r="E28" s="20" t="e">
        <f>LEFT(北段!#REF!,4)</f>
        <v>#REF!</v>
      </c>
      <c r="F28" s="20" t="e">
        <f>LEFT(北段!#REF!,4)</f>
        <v>#REF!</v>
      </c>
      <c r="G28" s="20" t="e">
        <f>LEFT(北段!#REF!,4)</f>
        <v>#REF!</v>
      </c>
      <c r="H28" s="20" t="e">
        <f>LEFT(北段!#REF!,4)</f>
        <v>#REF!</v>
      </c>
      <c r="I28" s="20" t="e">
        <f>LEFT(北段!#REF!,4)</f>
        <v>#REF!</v>
      </c>
      <c r="J28" s="20" t="e">
        <f>LEFT(北段!#REF!,4)</f>
        <v>#REF!</v>
      </c>
      <c r="K28" s="20" t="e">
        <f>LEFT(北段!#REF!,4)</f>
        <v>#REF!</v>
      </c>
      <c r="L28" s="20" t="e">
        <f>LEFT(北段!#REF!,4)</f>
        <v>#REF!</v>
      </c>
      <c r="M28" s="20" t="e">
        <f>LEFT(北段!#REF!,4)</f>
        <v>#REF!</v>
      </c>
      <c r="N28" s="20" t="e">
        <f>LEFT(北段!#REF!,4)</f>
        <v>#REF!</v>
      </c>
      <c r="O28" s="20" t="e">
        <f>LEFT(北段!#REF!,4)</f>
        <v>#REF!</v>
      </c>
      <c r="P28" s="20" t="e">
        <f>LEFT(北段!#REF!,4)</f>
        <v>#REF!</v>
      </c>
      <c r="Q28" s="20" t="e">
        <f>LEFT(北段!#REF!,4)</f>
        <v>#REF!</v>
      </c>
      <c r="R28" s="20" t="e">
        <f>LEFT(北段!#REF!,4)</f>
        <v>#REF!</v>
      </c>
      <c r="S28" s="20" t="e">
        <f>LEFT(北段!#REF!,4)</f>
        <v>#REF!</v>
      </c>
      <c r="T28" s="20" t="e">
        <f>LEFT(北段!#REF!,4)</f>
        <v>#REF!</v>
      </c>
      <c r="U28" s="20" t="e">
        <f>LEFT(北段!#REF!,4)</f>
        <v>#REF!</v>
      </c>
      <c r="V28" s="20" t="e">
        <f>LEFT(北段!#REF!,4)</f>
        <v>#REF!</v>
      </c>
      <c r="W28" s="20" t="e">
        <f>LEFT(北段!#REF!,4)</f>
        <v>#REF!</v>
      </c>
      <c r="X28" s="20" t="e">
        <f>LEFT(北段!#REF!,4)</f>
        <v>#REF!</v>
      </c>
      <c r="Y28" s="20" t="e">
        <f>LEFT(北段!#REF!,4)</f>
        <v>#REF!</v>
      </c>
      <c r="Z28" s="20" t="e">
        <f>LEFT(北段!#REF!,4)</f>
        <v>#REF!</v>
      </c>
      <c r="AA28" s="20" t="e">
        <f>LEFT(北段!#REF!,5)</f>
        <v>#REF!</v>
      </c>
      <c r="AB28" s="20" t="e">
        <f>LEFT(北段!#REF!,4)</f>
        <v>#REF!</v>
      </c>
      <c r="AC28" s="20" t="e">
        <f>LEFT(北段!#REF!,4)</f>
        <v>#REF!</v>
      </c>
      <c r="AD28" s="20" t="e">
        <f>LEFT(北段!#REF!,4)</f>
        <v>#REF!</v>
      </c>
      <c r="AE28" s="20" t="e">
        <f>LEFT(北段!#REF!,4)</f>
        <v>#REF!</v>
      </c>
      <c r="AF28" s="20" t="e">
        <f>LEFT(北段!#REF!,4)</f>
        <v>#REF!</v>
      </c>
      <c r="AG28" s="20" t="e">
        <f>LEFT(北段!#REF!,4)</f>
        <v>#REF!</v>
      </c>
      <c r="AH28" s="20" t="e">
        <f>LEFT(北段!#REF!,4)</f>
        <v>#REF!</v>
      </c>
      <c r="AI28" s="20" t="e">
        <f>LEFT(北段!#REF!,4)</f>
        <v>#REF!</v>
      </c>
      <c r="AJ28" s="20" t="e">
        <f>LEFT(北段!#REF!,4)</f>
        <v>#REF!</v>
      </c>
      <c r="AK28" s="20" t="e">
        <f>LEFT(北段!#REF!,4)</f>
        <v>#REF!</v>
      </c>
      <c r="AL28" s="20" t="e">
        <f>LEFT(北段!#REF!,4)</f>
        <v>#REF!</v>
      </c>
    </row>
    <row r="29" spans="1:38" ht="39.75" customHeight="1">
      <c r="A29" s="23"/>
      <c r="B29" s="10" t="e">
        <f>LEFT(北段!#REF!,6)</f>
        <v>#REF!</v>
      </c>
      <c r="C29" s="10" t="e">
        <f>VLOOKUP(B29,北段!B:C,2,FALSE)</f>
        <v>#REF!</v>
      </c>
      <c r="D29" s="20" t="e">
        <f>LEFT(北段!#REF!,4)</f>
        <v>#REF!</v>
      </c>
      <c r="E29" s="20" t="e">
        <f>LEFT(北段!#REF!,4)</f>
        <v>#REF!</v>
      </c>
      <c r="F29" s="20" t="e">
        <f>LEFT(北段!#REF!,4)</f>
        <v>#REF!</v>
      </c>
      <c r="G29" s="20" t="e">
        <f>LEFT(北段!#REF!,4)</f>
        <v>#REF!</v>
      </c>
      <c r="H29" s="20" t="e">
        <f>LEFT(北段!#REF!,4)</f>
        <v>#REF!</v>
      </c>
      <c r="I29" s="20" t="e">
        <f>LEFT(北段!#REF!,4)</f>
        <v>#REF!</v>
      </c>
      <c r="J29" s="20" t="e">
        <f>LEFT(北段!#REF!,4)</f>
        <v>#REF!</v>
      </c>
      <c r="K29" s="20" t="e">
        <f>LEFT(北段!#REF!,4)</f>
        <v>#REF!</v>
      </c>
      <c r="L29" s="20" t="e">
        <f>LEFT(北段!#REF!,4)</f>
        <v>#REF!</v>
      </c>
      <c r="M29" s="20" t="e">
        <f>LEFT(北段!#REF!,4)</f>
        <v>#REF!</v>
      </c>
      <c r="N29" s="20" t="e">
        <f>LEFT(北段!#REF!,4)</f>
        <v>#REF!</v>
      </c>
      <c r="O29" s="20" t="e">
        <f>LEFT(北段!#REF!,4)</f>
        <v>#REF!</v>
      </c>
      <c r="P29" s="20" t="e">
        <f>LEFT(北段!#REF!,4)</f>
        <v>#REF!</v>
      </c>
      <c r="Q29" s="20" t="e">
        <f>LEFT(北段!#REF!,4)</f>
        <v>#REF!</v>
      </c>
      <c r="R29" s="20" t="e">
        <f>LEFT(北段!#REF!,4)</f>
        <v>#REF!</v>
      </c>
      <c r="S29" s="20" t="e">
        <f>LEFT(北段!#REF!,4)</f>
        <v>#REF!</v>
      </c>
      <c r="T29" s="20" t="e">
        <f>LEFT(北段!#REF!,4)</f>
        <v>#REF!</v>
      </c>
      <c r="U29" s="20" t="e">
        <f>LEFT(北段!#REF!,4)</f>
        <v>#REF!</v>
      </c>
      <c r="V29" s="20" t="e">
        <f>LEFT(北段!#REF!,4)</f>
        <v>#REF!</v>
      </c>
      <c r="W29" s="20" t="e">
        <f>LEFT(北段!#REF!,4)</f>
        <v>#REF!</v>
      </c>
      <c r="X29" s="20" t="e">
        <f>LEFT(北段!#REF!,4)</f>
        <v>#REF!</v>
      </c>
      <c r="Y29" s="20" t="e">
        <f>LEFT(北段!#REF!,4)</f>
        <v>#REF!</v>
      </c>
      <c r="Z29" s="20" t="e">
        <f>LEFT(北段!#REF!,4)</f>
        <v>#REF!</v>
      </c>
      <c r="AA29" s="20" t="e">
        <f>LEFT(北段!#REF!,4)</f>
        <v>#REF!</v>
      </c>
      <c r="AB29" s="20" t="e">
        <f>LEFT(北段!#REF!,4)</f>
        <v>#REF!</v>
      </c>
      <c r="AC29" s="20" t="e">
        <f>LEFT(北段!#REF!,4)</f>
        <v>#REF!</v>
      </c>
      <c r="AD29" s="20" t="e">
        <f>LEFT(北段!#REF!,4)</f>
        <v>#REF!</v>
      </c>
      <c r="AE29" s="20" t="e">
        <f>LEFT(北段!#REF!,4)</f>
        <v>#REF!</v>
      </c>
      <c r="AF29" s="20" t="e">
        <f>LEFT(北段!#REF!,4)</f>
        <v>#REF!</v>
      </c>
      <c r="AG29" s="20" t="e">
        <f>LEFT(北段!#REF!,4)</f>
        <v>#REF!</v>
      </c>
      <c r="AH29" s="20" t="e">
        <f>LEFT(北段!#REF!,4)</f>
        <v>#REF!</v>
      </c>
      <c r="AI29" s="20" t="e">
        <f>LEFT(北段!#REF!,4)</f>
        <v>#REF!</v>
      </c>
      <c r="AJ29" s="20" t="e">
        <f>LEFT(北段!#REF!,4)</f>
        <v>#REF!</v>
      </c>
      <c r="AK29" s="20" t="e">
        <f>LEFT(北段!#REF!,4)</f>
        <v>#REF!</v>
      </c>
      <c r="AL29" s="20" t="e">
        <f>LEFT(北段!#REF!,4)</f>
        <v>#REF!</v>
      </c>
    </row>
    <row r="30" spans="1:38" ht="39.75" customHeight="1" thickBot="1">
      <c r="A30" s="23"/>
      <c r="B30" s="10" t="e">
        <f>LEFT(北段!#REF!,6)</f>
        <v>#REF!</v>
      </c>
      <c r="C30" s="10" t="e">
        <f>VLOOKUP(B30,北段!B:C,2,FALSE)</f>
        <v>#REF!</v>
      </c>
      <c r="D30" s="20" t="e">
        <f>LEFT(北段!#REF!,4)</f>
        <v>#REF!</v>
      </c>
      <c r="E30" s="20" t="e">
        <f>LEFT(北段!#REF!,4)</f>
        <v>#REF!</v>
      </c>
      <c r="F30" s="20" t="e">
        <f>LEFT(北段!#REF!,4)</f>
        <v>#REF!</v>
      </c>
      <c r="G30" s="20" t="e">
        <f>LEFT(北段!#REF!,4)</f>
        <v>#REF!</v>
      </c>
      <c r="H30" s="20" t="e">
        <f>LEFT(北段!#REF!,4)</f>
        <v>#REF!</v>
      </c>
      <c r="I30" s="20" t="e">
        <f>LEFT(北段!#REF!,4)</f>
        <v>#REF!</v>
      </c>
      <c r="J30" s="20" t="e">
        <f>LEFT(北段!#REF!,4)</f>
        <v>#REF!</v>
      </c>
      <c r="K30" s="20" t="e">
        <f>LEFT(北段!#REF!,4)</f>
        <v>#REF!</v>
      </c>
      <c r="L30" s="20" t="e">
        <f>LEFT(北段!#REF!,4)</f>
        <v>#REF!</v>
      </c>
      <c r="M30" s="20" t="e">
        <f>LEFT(北段!#REF!,4)</f>
        <v>#REF!</v>
      </c>
      <c r="N30" s="20" t="e">
        <f>LEFT(北段!#REF!,4)</f>
        <v>#REF!</v>
      </c>
      <c r="O30" s="20" t="e">
        <f>LEFT(北段!#REF!,4)</f>
        <v>#REF!</v>
      </c>
      <c r="P30" s="20" t="e">
        <f>LEFT(北段!#REF!,4)</f>
        <v>#REF!</v>
      </c>
      <c r="Q30" s="20" t="e">
        <f>LEFT(北段!#REF!,4)</f>
        <v>#REF!</v>
      </c>
      <c r="R30" s="20" t="e">
        <f>LEFT(北段!#REF!,4)</f>
        <v>#REF!</v>
      </c>
      <c r="S30" s="20" t="e">
        <f>LEFT(北段!#REF!,4)</f>
        <v>#REF!</v>
      </c>
      <c r="T30" s="20" t="e">
        <f>LEFT(北段!#REF!,4)</f>
        <v>#REF!</v>
      </c>
      <c r="U30" s="20" t="e">
        <f>LEFT(北段!#REF!,4)</f>
        <v>#REF!</v>
      </c>
      <c r="V30" s="20" t="e">
        <f>LEFT(北段!#REF!,4)</f>
        <v>#REF!</v>
      </c>
      <c r="W30" s="20" t="e">
        <f>LEFT(北段!#REF!,4)</f>
        <v>#REF!</v>
      </c>
      <c r="X30" s="20" t="e">
        <f>LEFT(北段!#REF!,4)</f>
        <v>#REF!</v>
      </c>
      <c r="Y30" s="20" t="e">
        <f>LEFT(北段!#REF!,4)</f>
        <v>#REF!</v>
      </c>
      <c r="Z30" s="20" t="e">
        <f>LEFT(北段!#REF!,4)</f>
        <v>#REF!</v>
      </c>
      <c r="AA30" s="20" t="e">
        <f>LEFT(北段!#REF!,4)</f>
        <v>#REF!</v>
      </c>
      <c r="AB30" s="20" t="e">
        <f>LEFT(北段!#REF!,4)</f>
        <v>#REF!</v>
      </c>
      <c r="AC30" s="20" t="e">
        <f>LEFT(北段!#REF!,4)</f>
        <v>#REF!</v>
      </c>
      <c r="AD30" s="20" t="e">
        <f>LEFT(北段!#REF!,4)</f>
        <v>#REF!</v>
      </c>
      <c r="AE30" s="20" t="e">
        <f>LEFT(北段!#REF!,4)</f>
        <v>#REF!</v>
      </c>
      <c r="AF30" s="20" t="e">
        <f>LEFT(北段!#REF!,4)</f>
        <v>#REF!</v>
      </c>
      <c r="AG30" s="20" t="e">
        <f>LEFT(北段!#REF!,4)</f>
        <v>#REF!</v>
      </c>
      <c r="AH30" s="20" t="e">
        <f>LEFT(北段!#REF!,4)</f>
        <v>#REF!</v>
      </c>
      <c r="AI30" s="20" t="e">
        <f>LEFT(北段!#REF!,4)</f>
        <v>#REF!</v>
      </c>
      <c r="AJ30" s="20" t="e">
        <f>LEFT(北段!#REF!,4)</f>
        <v>#REF!</v>
      </c>
      <c r="AK30" s="20" t="e">
        <f>LEFT(北段!#REF!,4)</f>
        <v>#REF!</v>
      </c>
      <c r="AL30" s="20" t="e">
        <f>LEFT(北段!#REF!,4)</f>
        <v>#REF!</v>
      </c>
    </row>
    <row r="31" spans="1:38" ht="39.75" customHeight="1">
      <c r="A31" s="25" t="s">
        <v>12</v>
      </c>
      <c r="B31" s="10" t="e">
        <f>LEFT(北段!#REF!,6)</f>
        <v>#REF!</v>
      </c>
      <c r="C31" s="10" t="e">
        <f>VLOOKUP(B31,北段!B:C,2,FALSE)</f>
        <v>#REF!</v>
      </c>
      <c r="D31" s="20" t="e">
        <f>LEFT(北段!#REF!,4)</f>
        <v>#REF!</v>
      </c>
      <c r="E31" s="20" t="e">
        <f>LEFT(北段!#REF!,4)</f>
        <v>#REF!</v>
      </c>
      <c r="F31" s="20" t="e">
        <f>LEFT(北段!#REF!,4)</f>
        <v>#REF!</v>
      </c>
      <c r="G31" s="20" t="e">
        <f>LEFT(北段!#REF!,4)</f>
        <v>#REF!</v>
      </c>
      <c r="H31" s="20" t="e">
        <f>LEFT(北段!#REF!,4)</f>
        <v>#REF!</v>
      </c>
      <c r="I31" s="20" t="e">
        <f>LEFT(北段!#REF!,4)</f>
        <v>#REF!</v>
      </c>
      <c r="J31" s="20" t="e">
        <f>LEFT(北段!#REF!,4)</f>
        <v>#REF!</v>
      </c>
      <c r="K31" s="20" t="e">
        <f>LEFT(北段!#REF!,4)</f>
        <v>#REF!</v>
      </c>
      <c r="L31" s="20" t="e">
        <f>LEFT(北段!#REF!,4)</f>
        <v>#REF!</v>
      </c>
      <c r="M31" s="20" t="e">
        <f>LEFT(北段!#REF!,4)</f>
        <v>#REF!</v>
      </c>
      <c r="N31" s="20" t="e">
        <f>LEFT(北段!#REF!,4)</f>
        <v>#REF!</v>
      </c>
      <c r="O31" s="20" t="e">
        <f>LEFT(北段!#REF!,4)</f>
        <v>#REF!</v>
      </c>
      <c r="P31" s="20" t="e">
        <f>LEFT(北段!#REF!,4)</f>
        <v>#REF!</v>
      </c>
      <c r="Q31" s="20" t="e">
        <f>LEFT(北段!#REF!,4)</f>
        <v>#REF!</v>
      </c>
      <c r="R31" s="20" t="e">
        <f>LEFT(北段!#REF!,4)</f>
        <v>#REF!</v>
      </c>
      <c r="S31" s="20" t="e">
        <f>LEFT(北段!#REF!,4)</f>
        <v>#REF!</v>
      </c>
      <c r="T31" s="20" t="e">
        <f>LEFT(北段!#REF!,4)</f>
        <v>#REF!</v>
      </c>
      <c r="U31" s="20" t="e">
        <f>LEFT(北段!#REF!,4)</f>
        <v>#REF!</v>
      </c>
      <c r="V31" s="20" t="e">
        <f>LEFT(北段!#REF!,4)</f>
        <v>#REF!</v>
      </c>
      <c r="W31" s="20" t="e">
        <f>LEFT(北段!#REF!,4)</f>
        <v>#REF!</v>
      </c>
      <c r="X31" s="20" t="e">
        <f>LEFT(北段!#REF!,4)</f>
        <v>#REF!</v>
      </c>
      <c r="Y31" s="20" t="e">
        <f>LEFT(北段!#REF!,4)</f>
        <v>#REF!</v>
      </c>
      <c r="Z31" s="20" t="e">
        <f>LEFT(北段!#REF!,4)</f>
        <v>#REF!</v>
      </c>
      <c r="AA31" s="20" t="e">
        <f>LEFT(北段!#REF!,4)</f>
        <v>#REF!</v>
      </c>
      <c r="AB31" s="20" t="e">
        <f>LEFT(北段!#REF!,4)</f>
        <v>#REF!</v>
      </c>
      <c r="AC31" s="20" t="e">
        <f>LEFT(北段!#REF!,4)</f>
        <v>#REF!</v>
      </c>
      <c r="AD31" s="20" t="e">
        <f>LEFT(北段!#REF!,4)</f>
        <v>#REF!</v>
      </c>
      <c r="AE31" s="20" t="e">
        <f>LEFT(北段!#REF!,4)</f>
        <v>#REF!</v>
      </c>
      <c r="AF31" s="20" t="e">
        <f>LEFT(北段!#REF!,4)</f>
        <v>#REF!</v>
      </c>
      <c r="AG31" s="20" t="e">
        <f>LEFT(北段!#REF!,4)</f>
        <v>#REF!</v>
      </c>
      <c r="AH31" s="20" t="e">
        <f>LEFT(北段!#REF!,4)</f>
        <v>#REF!</v>
      </c>
      <c r="AI31" s="20" t="e">
        <f>LEFT(北段!#REF!,4)</f>
        <v>#REF!</v>
      </c>
      <c r="AJ31" s="20" t="e">
        <f>LEFT(北段!#REF!,4)</f>
        <v>#REF!</v>
      </c>
      <c r="AK31" s="20" t="e">
        <f>LEFT(北段!#REF!,4)</f>
        <v>#REF!</v>
      </c>
      <c r="AL31" s="20" t="e">
        <f>LEFT(北段!#REF!,4)</f>
        <v>#REF!</v>
      </c>
    </row>
    <row r="32" spans="1:38" ht="39.75" customHeight="1">
      <c r="A32" s="23"/>
      <c r="B32" s="10" t="e">
        <f>LEFT(北段!#REF!,6)</f>
        <v>#REF!</v>
      </c>
      <c r="C32" s="10" t="e">
        <f>VLOOKUP(B32,北段!B:C,2,FALSE)</f>
        <v>#REF!</v>
      </c>
      <c r="D32" s="20" t="e">
        <f>LEFT(北段!#REF!,4)</f>
        <v>#REF!</v>
      </c>
      <c r="E32" s="20" t="e">
        <f>LEFT(北段!#REF!,4)</f>
        <v>#REF!</v>
      </c>
      <c r="F32" s="20" t="e">
        <f>LEFT(北段!#REF!,4)</f>
        <v>#REF!</v>
      </c>
      <c r="G32" s="20" t="e">
        <f>LEFT(北段!#REF!,4)</f>
        <v>#REF!</v>
      </c>
      <c r="H32" s="20" t="e">
        <f>LEFT(北段!#REF!,4)</f>
        <v>#REF!</v>
      </c>
      <c r="I32" s="20" t="e">
        <f>LEFT(北段!#REF!,4)</f>
        <v>#REF!</v>
      </c>
      <c r="J32" s="20" t="e">
        <f>LEFT(北段!#REF!,4)</f>
        <v>#REF!</v>
      </c>
      <c r="K32" s="20" t="e">
        <f>LEFT(北段!#REF!,4)</f>
        <v>#REF!</v>
      </c>
      <c r="L32" s="20" t="e">
        <f>LEFT(北段!#REF!,4)</f>
        <v>#REF!</v>
      </c>
      <c r="M32" s="20" t="e">
        <f>LEFT(北段!#REF!,4)</f>
        <v>#REF!</v>
      </c>
      <c r="N32" s="20" t="e">
        <f>LEFT(北段!#REF!,4)</f>
        <v>#REF!</v>
      </c>
      <c r="O32" s="20" t="e">
        <f>LEFT(北段!#REF!,4)</f>
        <v>#REF!</v>
      </c>
      <c r="P32" s="20" t="e">
        <f>LEFT(北段!#REF!,4)</f>
        <v>#REF!</v>
      </c>
      <c r="Q32" s="20" t="e">
        <f>LEFT(北段!#REF!,4)</f>
        <v>#REF!</v>
      </c>
      <c r="R32" s="20" t="e">
        <f>LEFT(北段!#REF!,4)</f>
        <v>#REF!</v>
      </c>
      <c r="S32" s="20" t="e">
        <f>LEFT(北段!#REF!,4)</f>
        <v>#REF!</v>
      </c>
      <c r="T32" s="20" t="e">
        <f>LEFT(北段!#REF!,4)</f>
        <v>#REF!</v>
      </c>
      <c r="U32" s="20" t="e">
        <f>LEFT(北段!#REF!,4)</f>
        <v>#REF!</v>
      </c>
      <c r="V32" s="20" t="e">
        <f>LEFT(北段!#REF!,4)</f>
        <v>#REF!</v>
      </c>
      <c r="W32" s="20" t="e">
        <f>LEFT(北段!#REF!,6)</f>
        <v>#REF!</v>
      </c>
      <c r="X32" s="20" t="e">
        <f>LEFT(北段!#REF!,4)</f>
        <v>#REF!</v>
      </c>
      <c r="Y32" s="20" t="e">
        <f>LEFT(北段!#REF!,4)</f>
        <v>#REF!</v>
      </c>
      <c r="Z32" s="20" t="e">
        <f>LEFT(北段!#REF!,4)</f>
        <v>#REF!</v>
      </c>
      <c r="AA32" s="20" t="e">
        <f>LEFT(北段!#REF!,4)</f>
        <v>#REF!</v>
      </c>
      <c r="AB32" s="20" t="e">
        <f>LEFT(北段!#REF!,4)</f>
        <v>#REF!</v>
      </c>
      <c r="AC32" s="20" t="e">
        <f>LEFT(北段!#REF!,4)</f>
        <v>#REF!</v>
      </c>
      <c r="AD32" s="20" t="e">
        <f>LEFT(北段!#REF!,4)</f>
        <v>#REF!</v>
      </c>
      <c r="AE32" s="20" t="e">
        <f>LEFT(北段!#REF!,4)</f>
        <v>#REF!</v>
      </c>
      <c r="AF32" s="20" t="e">
        <f>LEFT(北段!#REF!,4)</f>
        <v>#REF!</v>
      </c>
      <c r="AG32" s="20" t="e">
        <f>LEFT(北段!#REF!,4)</f>
        <v>#REF!</v>
      </c>
      <c r="AH32" s="20" t="e">
        <f>LEFT(北段!#REF!,4)</f>
        <v>#REF!</v>
      </c>
      <c r="AI32" s="20" t="e">
        <f>LEFT(北段!#REF!,4)</f>
        <v>#REF!</v>
      </c>
      <c r="AJ32" s="20" t="e">
        <f>LEFT(北段!#REF!,4)</f>
        <v>#REF!</v>
      </c>
      <c r="AK32" s="20" t="e">
        <f>LEFT(北段!#REF!,4)</f>
        <v>#REF!</v>
      </c>
      <c r="AL32" s="20" t="e">
        <f>LEFT(北段!#REF!,4)</f>
        <v>#REF!</v>
      </c>
    </row>
    <row r="33" spans="1:38" ht="39.75" customHeight="1">
      <c r="A33" s="23"/>
      <c r="B33" s="10" t="e">
        <f>LEFT(北段!#REF!,6)</f>
        <v>#REF!</v>
      </c>
      <c r="C33" s="10" t="e">
        <f>VLOOKUP(B33,北段!B:C,2,FALSE)</f>
        <v>#REF!</v>
      </c>
      <c r="D33" s="20" t="e">
        <f>LEFT(北段!#REF!,4)</f>
        <v>#REF!</v>
      </c>
      <c r="E33" s="20" t="e">
        <f>LEFT(北段!#REF!,4)</f>
        <v>#REF!</v>
      </c>
      <c r="F33" s="20" t="e">
        <f>LEFT(北段!#REF!,4)</f>
        <v>#REF!</v>
      </c>
      <c r="G33" s="20" t="e">
        <f>LEFT(北段!#REF!,4)</f>
        <v>#REF!</v>
      </c>
      <c r="H33" s="20" t="e">
        <f>LEFT(北段!#REF!,4)</f>
        <v>#REF!</v>
      </c>
      <c r="I33" s="20" t="e">
        <f>LEFT(北段!#REF!,4)</f>
        <v>#REF!</v>
      </c>
      <c r="J33" s="20" t="e">
        <f>LEFT(北段!#REF!,4)</f>
        <v>#REF!</v>
      </c>
      <c r="K33" s="20" t="e">
        <f>LEFT(北段!#REF!,4)</f>
        <v>#REF!</v>
      </c>
      <c r="L33" s="20" t="e">
        <f>LEFT(北段!#REF!,4)</f>
        <v>#REF!</v>
      </c>
      <c r="M33" s="20" t="e">
        <f>LEFT(北段!#REF!,4)</f>
        <v>#REF!</v>
      </c>
      <c r="N33" s="20" t="e">
        <f>LEFT(北段!#REF!,4)</f>
        <v>#REF!</v>
      </c>
      <c r="O33" s="20" t="e">
        <f>LEFT(北段!#REF!,4)</f>
        <v>#REF!</v>
      </c>
      <c r="P33" s="20" t="e">
        <f>LEFT(北段!#REF!,4)</f>
        <v>#REF!</v>
      </c>
      <c r="Q33" s="20" t="e">
        <f>LEFT(北段!#REF!,4)</f>
        <v>#REF!</v>
      </c>
      <c r="R33" s="20" t="e">
        <f>LEFT(北段!#REF!,4)</f>
        <v>#REF!</v>
      </c>
      <c r="S33" s="20" t="e">
        <f>LEFT(北段!#REF!,4)</f>
        <v>#REF!</v>
      </c>
      <c r="T33" s="20" t="e">
        <f>LEFT(北段!#REF!,4)</f>
        <v>#REF!</v>
      </c>
      <c r="U33" s="20" t="e">
        <f>LEFT(北段!#REF!,4)</f>
        <v>#REF!</v>
      </c>
      <c r="V33" s="20" t="e">
        <f>LEFT(北段!#REF!,4)</f>
        <v>#REF!</v>
      </c>
      <c r="W33" s="20" t="e">
        <f>LEFT(北段!#REF!,4)</f>
        <v>#REF!</v>
      </c>
      <c r="X33" s="20" t="e">
        <f>LEFT(北段!#REF!,4)</f>
        <v>#REF!</v>
      </c>
      <c r="Y33" s="20" t="e">
        <f>LEFT(北段!#REF!,4)</f>
        <v>#REF!</v>
      </c>
      <c r="Z33" s="20" t="e">
        <f>LEFT(北段!#REF!,4)</f>
        <v>#REF!</v>
      </c>
      <c r="AA33" s="20" t="e">
        <f>LEFT(北段!#REF!,5)</f>
        <v>#REF!</v>
      </c>
      <c r="AB33" s="20" t="e">
        <f>LEFT(北段!#REF!,4)</f>
        <v>#REF!</v>
      </c>
      <c r="AC33" s="20" t="e">
        <f>LEFT(北段!#REF!,4)</f>
        <v>#REF!</v>
      </c>
      <c r="AD33" s="20" t="e">
        <f>LEFT(北段!#REF!,4)</f>
        <v>#REF!</v>
      </c>
      <c r="AE33" s="20" t="e">
        <f>LEFT(北段!#REF!,4)</f>
        <v>#REF!</v>
      </c>
      <c r="AF33" s="20" t="e">
        <f>LEFT(北段!#REF!,4)</f>
        <v>#REF!</v>
      </c>
      <c r="AG33" s="20" t="e">
        <f>LEFT(北段!#REF!,4)</f>
        <v>#REF!</v>
      </c>
      <c r="AH33" s="20" t="e">
        <f>LEFT(北段!#REF!,4)</f>
        <v>#REF!</v>
      </c>
      <c r="AI33" s="20" t="e">
        <f>LEFT(北段!#REF!,4)</f>
        <v>#REF!</v>
      </c>
      <c r="AJ33" s="20" t="e">
        <f>LEFT(北段!#REF!,4)</f>
        <v>#REF!</v>
      </c>
      <c r="AK33" s="20" t="e">
        <f>LEFT(北段!#REF!,4)</f>
        <v>#REF!</v>
      </c>
      <c r="AL33" s="20" t="e">
        <f>LEFT(北段!#REF!,4)</f>
        <v>#REF!</v>
      </c>
    </row>
    <row r="34" spans="1:38" ht="39.75" customHeight="1">
      <c r="A34" s="23"/>
      <c r="B34" s="10" t="e">
        <f>LEFT(北段!#REF!,6)</f>
        <v>#REF!</v>
      </c>
      <c r="C34" s="10" t="e">
        <f>VLOOKUP(B34,北段!B:C,2,FALSE)</f>
        <v>#REF!</v>
      </c>
      <c r="D34" s="20" t="e">
        <f>LEFT(北段!#REF!,4)</f>
        <v>#REF!</v>
      </c>
      <c r="E34" s="20" t="e">
        <f>LEFT(北段!#REF!,4)</f>
        <v>#REF!</v>
      </c>
      <c r="F34" s="20" t="e">
        <f>LEFT(北段!#REF!,4)</f>
        <v>#REF!</v>
      </c>
      <c r="G34" s="20" t="e">
        <f>LEFT(北段!#REF!,4)</f>
        <v>#REF!</v>
      </c>
      <c r="H34" s="20" t="e">
        <f>LEFT(北段!#REF!,4)</f>
        <v>#REF!</v>
      </c>
      <c r="I34" s="20" t="e">
        <f>LEFT(北段!#REF!,4)</f>
        <v>#REF!</v>
      </c>
      <c r="J34" s="20" t="e">
        <f>LEFT(北段!#REF!,4)</f>
        <v>#REF!</v>
      </c>
      <c r="K34" s="20" t="e">
        <f>LEFT(北段!#REF!,4)</f>
        <v>#REF!</v>
      </c>
      <c r="L34" s="20" t="e">
        <f>LEFT(北段!#REF!,4)</f>
        <v>#REF!</v>
      </c>
      <c r="M34" s="20" t="e">
        <f>LEFT(北段!#REF!,4)</f>
        <v>#REF!</v>
      </c>
      <c r="N34" s="20" t="e">
        <f>LEFT(北段!#REF!,4)</f>
        <v>#REF!</v>
      </c>
      <c r="O34" s="20" t="e">
        <f>LEFT(北段!#REF!,4)</f>
        <v>#REF!</v>
      </c>
      <c r="P34" s="20" t="e">
        <f>LEFT(北段!#REF!,4)</f>
        <v>#REF!</v>
      </c>
      <c r="Q34" s="20" t="e">
        <f>LEFT(北段!#REF!,4)</f>
        <v>#REF!</v>
      </c>
      <c r="R34" s="20" t="e">
        <f>LEFT(北段!#REF!,4)</f>
        <v>#REF!</v>
      </c>
      <c r="S34" s="20" t="e">
        <f>LEFT(北段!#REF!,4)</f>
        <v>#REF!</v>
      </c>
      <c r="T34" s="20" t="e">
        <f>LEFT(北段!#REF!,4)</f>
        <v>#REF!</v>
      </c>
      <c r="U34" s="20" t="e">
        <f>LEFT(北段!#REF!,4)</f>
        <v>#REF!</v>
      </c>
      <c r="V34" s="20" t="e">
        <f>LEFT(北段!#REF!,4)</f>
        <v>#REF!</v>
      </c>
      <c r="W34" s="20" t="e">
        <f>LEFT(北段!#REF!,4)</f>
        <v>#REF!</v>
      </c>
      <c r="X34" s="20" t="e">
        <f>LEFT(北段!#REF!,4)</f>
        <v>#REF!</v>
      </c>
      <c r="Y34" s="20" t="e">
        <f>LEFT(北段!#REF!,4)</f>
        <v>#REF!</v>
      </c>
      <c r="Z34" s="20" t="e">
        <f>LEFT(北段!#REF!,4)</f>
        <v>#REF!</v>
      </c>
      <c r="AA34" s="20" t="e">
        <f>LEFT(北段!#REF!,4)</f>
        <v>#REF!</v>
      </c>
      <c r="AB34" s="20" t="e">
        <f>LEFT(北段!#REF!,4)</f>
        <v>#REF!</v>
      </c>
      <c r="AC34" s="20" t="e">
        <f>LEFT(北段!#REF!,4)</f>
        <v>#REF!</v>
      </c>
      <c r="AD34" s="20" t="e">
        <f>LEFT(北段!#REF!,4)</f>
        <v>#REF!</v>
      </c>
      <c r="AE34" s="20" t="e">
        <f>LEFT(北段!#REF!,4)</f>
        <v>#REF!</v>
      </c>
      <c r="AF34" s="20" t="e">
        <f>LEFT(北段!#REF!,4)</f>
        <v>#REF!</v>
      </c>
      <c r="AG34" s="20" t="e">
        <f>LEFT(北段!#REF!,4)</f>
        <v>#REF!</v>
      </c>
      <c r="AH34" s="20" t="e">
        <f>LEFT(北段!#REF!,4)</f>
        <v>#REF!</v>
      </c>
      <c r="AI34" s="20" t="e">
        <f>LEFT(北段!#REF!,4)</f>
        <v>#REF!</v>
      </c>
      <c r="AJ34" s="20" t="e">
        <f>LEFT(北段!#REF!,4)</f>
        <v>#REF!</v>
      </c>
      <c r="AK34" s="20" t="e">
        <f>LEFT(北段!#REF!,4)</f>
        <v>#REF!</v>
      </c>
      <c r="AL34" s="20" t="e">
        <f>LEFT(北段!#REF!,4)</f>
        <v>#REF!</v>
      </c>
    </row>
    <row r="35" spans="1:38" ht="39.75" customHeight="1">
      <c r="A35" s="23"/>
      <c r="B35" s="10" t="e">
        <f>LEFT(北段!#REF!,6)</f>
        <v>#REF!</v>
      </c>
      <c r="C35" s="10" t="e">
        <f>VLOOKUP(B35,北段!B:C,2,FALSE)</f>
        <v>#REF!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39.75" customHeight="1">
      <c r="A36" s="23"/>
      <c r="B36" s="10" t="e">
        <f>LEFT(北段!#REF!,6)</f>
        <v>#REF!</v>
      </c>
      <c r="C36" s="10" t="e">
        <f>VLOOKUP(B36,北段!B:C,2,FALSE)</f>
        <v>#REF!</v>
      </c>
      <c r="D36" s="20" t="e">
        <f>LEFT(北段!#REF!,4)</f>
        <v>#REF!</v>
      </c>
      <c r="E36" s="20" t="e">
        <f>LEFT(北段!#REF!,4)</f>
        <v>#REF!</v>
      </c>
      <c r="F36" s="20" t="e">
        <f>LEFT(北段!#REF!,4)</f>
        <v>#REF!</v>
      </c>
      <c r="G36" s="20" t="e">
        <f>LEFT(北段!#REF!,4)</f>
        <v>#REF!</v>
      </c>
      <c r="H36" s="20" t="e">
        <f>LEFT(北段!#REF!,4)</f>
        <v>#REF!</v>
      </c>
      <c r="I36" s="20" t="e">
        <f>LEFT(北段!#REF!,4)</f>
        <v>#REF!</v>
      </c>
      <c r="J36" s="20" t="e">
        <f>LEFT(北段!#REF!,4)</f>
        <v>#REF!</v>
      </c>
      <c r="K36" s="20" t="e">
        <f>LEFT(北段!#REF!,4)</f>
        <v>#REF!</v>
      </c>
      <c r="L36" s="20" t="e">
        <f>LEFT(北段!#REF!,4)</f>
        <v>#REF!</v>
      </c>
      <c r="M36" s="20" t="e">
        <f>LEFT(北段!#REF!,4)</f>
        <v>#REF!</v>
      </c>
      <c r="N36" s="20" t="e">
        <f>LEFT(北段!#REF!,4)</f>
        <v>#REF!</v>
      </c>
      <c r="O36" s="20" t="e">
        <f>LEFT(北段!#REF!,4)</f>
        <v>#REF!</v>
      </c>
      <c r="P36" s="20" t="e">
        <f>LEFT(北段!#REF!,4)</f>
        <v>#REF!</v>
      </c>
      <c r="Q36" s="20" t="e">
        <f>LEFT(北段!#REF!,4)</f>
        <v>#REF!</v>
      </c>
      <c r="R36" s="20" t="e">
        <f>LEFT(北段!#REF!,4)</f>
        <v>#REF!</v>
      </c>
      <c r="S36" s="20" t="e">
        <f>LEFT(北段!#REF!,4)</f>
        <v>#REF!</v>
      </c>
      <c r="T36" s="20" t="e">
        <f>LEFT(北段!#REF!,4)</f>
        <v>#REF!</v>
      </c>
      <c r="U36" s="20" t="e">
        <f>LEFT(北段!#REF!,4)</f>
        <v>#REF!</v>
      </c>
      <c r="V36" s="20" t="e">
        <f>LEFT(北段!#REF!,4)</f>
        <v>#REF!</v>
      </c>
      <c r="W36" s="20" t="e">
        <f>LEFT(北段!#REF!,4)</f>
        <v>#REF!</v>
      </c>
      <c r="X36" s="20" t="e">
        <f>LEFT(北段!#REF!,4)</f>
        <v>#REF!</v>
      </c>
      <c r="Y36" s="20" t="e">
        <f>LEFT(北段!#REF!,4)</f>
        <v>#REF!</v>
      </c>
      <c r="Z36" s="20" t="e">
        <f>LEFT(北段!#REF!,4)</f>
        <v>#REF!</v>
      </c>
      <c r="AA36" s="20" t="e">
        <f>LEFT(北段!#REF!,4)</f>
        <v>#REF!</v>
      </c>
      <c r="AB36" s="20" t="e">
        <f>LEFT(北段!#REF!,4)</f>
        <v>#REF!</v>
      </c>
      <c r="AC36" s="20" t="e">
        <f>LEFT(北段!#REF!,4)</f>
        <v>#REF!</v>
      </c>
      <c r="AD36" s="20" t="e">
        <f>LEFT(北段!#REF!,4)</f>
        <v>#REF!</v>
      </c>
      <c r="AE36" s="20" t="e">
        <f>LEFT(北段!#REF!,4)</f>
        <v>#REF!</v>
      </c>
      <c r="AF36" s="20" t="e">
        <f>LEFT(北段!#REF!,4)</f>
        <v>#REF!</v>
      </c>
      <c r="AG36" s="20" t="e">
        <f>LEFT(北段!#REF!,4)</f>
        <v>#REF!</v>
      </c>
      <c r="AH36" s="20" t="e">
        <f>LEFT(北段!#REF!,4)</f>
        <v>#REF!</v>
      </c>
      <c r="AI36" s="20" t="e">
        <f>LEFT(北段!#REF!,4)</f>
        <v>#REF!</v>
      </c>
      <c r="AJ36" s="20" t="e">
        <f>LEFT(北段!#REF!,4)</f>
        <v>#REF!</v>
      </c>
      <c r="AK36" s="20" t="e">
        <f>LEFT(北段!#REF!,4)</f>
        <v>#REF!</v>
      </c>
      <c r="AL36" s="20" t="e">
        <f>LEFT(北段!#REF!,4)</f>
        <v>#REF!</v>
      </c>
    </row>
    <row r="37" spans="1:38" ht="39" customHeight="1">
      <c r="A37" s="26"/>
      <c r="B37" s="10" t="e">
        <f>LEFT(北段!#REF!,6)</f>
        <v>#REF!</v>
      </c>
      <c r="C37" s="10" t="e">
        <f>VLOOKUP(B37,北段!B:C,2,FALSE)</f>
        <v>#REF!</v>
      </c>
      <c r="D37" s="20" t="e">
        <f>LEFT(北段!#REF!,4)</f>
        <v>#REF!</v>
      </c>
      <c r="E37" s="20" t="e">
        <f>LEFT(北段!#REF!,4)</f>
        <v>#REF!</v>
      </c>
      <c r="F37" s="20" t="e">
        <f>LEFT(北段!#REF!,4)</f>
        <v>#REF!</v>
      </c>
      <c r="G37" s="20" t="e">
        <f>LEFT(北段!#REF!,4)</f>
        <v>#REF!</v>
      </c>
      <c r="H37" s="20" t="e">
        <f>LEFT(北段!#REF!,4)</f>
        <v>#REF!</v>
      </c>
      <c r="I37" s="20" t="e">
        <f>LEFT(北段!#REF!,4)</f>
        <v>#REF!</v>
      </c>
      <c r="J37" s="20" t="e">
        <f>LEFT(北段!#REF!,4)</f>
        <v>#REF!</v>
      </c>
      <c r="K37" s="20" t="e">
        <f>LEFT(北段!#REF!,4)</f>
        <v>#REF!</v>
      </c>
      <c r="L37" s="20" t="e">
        <f>LEFT(北段!#REF!,4)</f>
        <v>#REF!</v>
      </c>
      <c r="M37" s="20" t="e">
        <f>LEFT(北段!#REF!,4)</f>
        <v>#REF!</v>
      </c>
      <c r="N37" s="20" t="e">
        <f>LEFT(北段!#REF!,4)</f>
        <v>#REF!</v>
      </c>
      <c r="O37" s="20" t="e">
        <f>LEFT(北段!#REF!,4)</f>
        <v>#REF!</v>
      </c>
      <c r="P37" s="20" t="e">
        <f>LEFT(北段!#REF!,4)</f>
        <v>#REF!</v>
      </c>
      <c r="Q37" s="20" t="e">
        <f>LEFT(北段!#REF!,4)</f>
        <v>#REF!</v>
      </c>
      <c r="R37" s="20" t="e">
        <f>LEFT(北段!#REF!,4)</f>
        <v>#REF!</v>
      </c>
      <c r="S37" s="20" t="e">
        <f>LEFT(北段!#REF!,4)</f>
        <v>#REF!</v>
      </c>
      <c r="T37" s="20" t="e">
        <f>LEFT(北段!#REF!,4)</f>
        <v>#REF!</v>
      </c>
      <c r="U37" s="20" t="e">
        <f>LEFT(北段!#REF!,4)</f>
        <v>#REF!</v>
      </c>
      <c r="V37" s="20" t="e">
        <f>LEFT(北段!#REF!,4)</f>
        <v>#REF!</v>
      </c>
      <c r="W37" s="20" t="e">
        <f>LEFT(北段!#REF!,4)</f>
        <v>#REF!</v>
      </c>
      <c r="X37" s="20" t="e">
        <f>LEFT(北段!#REF!,4)</f>
        <v>#REF!</v>
      </c>
      <c r="Y37" s="20" t="e">
        <f>LEFT(北段!#REF!,4)</f>
        <v>#REF!</v>
      </c>
      <c r="Z37" s="20" t="e">
        <f>LEFT(北段!#REF!,4)</f>
        <v>#REF!</v>
      </c>
      <c r="AA37" s="20" t="e">
        <f>LEFT(北段!#REF!,4)</f>
        <v>#REF!</v>
      </c>
      <c r="AB37" s="20" t="e">
        <f>LEFT(北段!#REF!,4)</f>
        <v>#REF!</v>
      </c>
      <c r="AC37" s="20" t="e">
        <f>LEFT(北段!#REF!,4)</f>
        <v>#REF!</v>
      </c>
      <c r="AD37" s="20" t="e">
        <f>LEFT(北段!#REF!,4)</f>
        <v>#REF!</v>
      </c>
      <c r="AE37" s="20" t="e">
        <f>LEFT(北段!#REF!,4)</f>
        <v>#REF!</v>
      </c>
      <c r="AF37" s="20" t="e">
        <f>LEFT(北段!#REF!,4)</f>
        <v>#REF!</v>
      </c>
      <c r="AG37" s="20" t="e">
        <f>LEFT(北段!#REF!,4)</f>
        <v>#REF!</v>
      </c>
      <c r="AH37" s="20" t="e">
        <f>LEFT(北段!#REF!,4)</f>
        <v>#REF!</v>
      </c>
      <c r="AI37" s="20" t="e">
        <f>LEFT(北段!#REF!,4)</f>
        <v>#REF!</v>
      </c>
      <c r="AJ37" s="20" t="e">
        <f>LEFT(北段!#REF!,4)</f>
        <v>#REF!</v>
      </c>
      <c r="AK37" s="20" t="e">
        <f>LEFT(北段!#REF!,4)</f>
        <v>#REF!</v>
      </c>
      <c r="AL37" s="20" t="e">
        <f>LEFT(北段!#REF!,4)</f>
        <v>#REF!</v>
      </c>
    </row>
    <row r="38" spans="1:38" ht="39.75" customHeight="1">
      <c r="A38" s="23"/>
      <c r="B38" s="10" t="e">
        <f>LEFT(北段!#REF!,6)</f>
        <v>#REF!</v>
      </c>
      <c r="C38" s="10" t="e">
        <f>VLOOKUP(B38,北段!B:C,2,FALSE)</f>
        <v>#REF!</v>
      </c>
      <c r="D38" s="20" t="e">
        <f>LEFT(北段!#REF!,4)</f>
        <v>#REF!</v>
      </c>
      <c r="E38" s="20" t="e">
        <f>LEFT(北段!#REF!,4)</f>
        <v>#REF!</v>
      </c>
      <c r="F38" s="20" t="e">
        <f>LEFT(北段!#REF!,4)</f>
        <v>#REF!</v>
      </c>
      <c r="G38" s="20" t="e">
        <f>LEFT(北段!#REF!,4)</f>
        <v>#REF!</v>
      </c>
      <c r="H38" s="20" t="e">
        <f>LEFT(北段!#REF!,4)</f>
        <v>#REF!</v>
      </c>
      <c r="I38" s="20" t="e">
        <f>LEFT(北段!#REF!,4)</f>
        <v>#REF!</v>
      </c>
      <c r="J38" s="20" t="e">
        <f>LEFT(北段!#REF!,4)</f>
        <v>#REF!</v>
      </c>
      <c r="K38" s="20" t="e">
        <f>LEFT(北段!#REF!,4)</f>
        <v>#REF!</v>
      </c>
      <c r="L38" s="20" t="e">
        <f>LEFT(北段!#REF!,4)</f>
        <v>#REF!</v>
      </c>
      <c r="M38" s="20" t="e">
        <f>LEFT(北段!#REF!,4)</f>
        <v>#REF!</v>
      </c>
      <c r="N38" s="20" t="e">
        <f>LEFT(北段!#REF!,4)</f>
        <v>#REF!</v>
      </c>
      <c r="O38" s="20" t="e">
        <f>LEFT(北段!#REF!,4)</f>
        <v>#REF!</v>
      </c>
      <c r="P38" s="20" t="e">
        <f>LEFT(北段!#REF!,4)</f>
        <v>#REF!</v>
      </c>
      <c r="Q38" s="20" t="e">
        <f>LEFT(北段!#REF!,4)</f>
        <v>#REF!</v>
      </c>
      <c r="R38" s="20" t="e">
        <f>LEFT(北段!#REF!,4)</f>
        <v>#REF!</v>
      </c>
      <c r="S38" s="20" t="e">
        <f>LEFT(北段!#REF!,4)</f>
        <v>#REF!</v>
      </c>
      <c r="T38" s="20" t="e">
        <f>LEFT(北段!#REF!,4)</f>
        <v>#REF!</v>
      </c>
      <c r="U38" s="20" t="e">
        <f>LEFT(北段!#REF!,4)</f>
        <v>#REF!</v>
      </c>
      <c r="V38" s="20" t="e">
        <f>LEFT(北段!#REF!,4)</f>
        <v>#REF!</v>
      </c>
      <c r="W38" s="20" t="e">
        <f>LEFT(北段!#REF!,4)</f>
        <v>#REF!</v>
      </c>
      <c r="X38" s="20" t="e">
        <f>LEFT(北段!#REF!,4)</f>
        <v>#REF!</v>
      </c>
      <c r="Y38" s="20" t="e">
        <f>LEFT(北段!#REF!,4)</f>
        <v>#REF!</v>
      </c>
      <c r="Z38" s="20" t="e">
        <f>LEFT(北段!#REF!,4)</f>
        <v>#REF!</v>
      </c>
      <c r="AA38" s="20" t="e">
        <f>LEFT(北段!#REF!,4)</f>
        <v>#REF!</v>
      </c>
      <c r="AB38" s="20" t="e">
        <f>LEFT(北段!#REF!,4)</f>
        <v>#REF!</v>
      </c>
      <c r="AC38" s="20" t="e">
        <f>LEFT(北段!#REF!,4)</f>
        <v>#REF!</v>
      </c>
      <c r="AD38" s="20" t="e">
        <f>LEFT(北段!#REF!,4)</f>
        <v>#REF!</v>
      </c>
      <c r="AE38" s="20" t="e">
        <f>LEFT(北段!#REF!,4)</f>
        <v>#REF!</v>
      </c>
      <c r="AF38" s="20" t="e">
        <f>LEFT(北段!#REF!,4)</f>
        <v>#REF!</v>
      </c>
      <c r="AG38" s="20" t="e">
        <f>LEFT(北段!#REF!,4)</f>
        <v>#REF!</v>
      </c>
      <c r="AH38" s="20" t="e">
        <f>LEFT(北段!#REF!,4)</f>
        <v>#REF!</v>
      </c>
      <c r="AI38" s="20" t="e">
        <f>LEFT(北段!#REF!,4)</f>
        <v>#REF!</v>
      </c>
      <c r="AJ38" s="20" t="e">
        <f>LEFT(北段!#REF!,4)</f>
        <v>#REF!</v>
      </c>
      <c r="AK38" s="20" t="e">
        <f>LEFT(北段!#REF!,4)</f>
        <v>#REF!</v>
      </c>
      <c r="AL38" s="20" t="e">
        <f>LEFT(北段!#REF!,4)</f>
        <v>#REF!</v>
      </c>
    </row>
    <row r="39" spans="1:38" ht="39.6" customHeight="1">
      <c r="A39" s="23"/>
      <c r="B39" s="10" t="e">
        <f>LEFT(北段!#REF!,6)</f>
        <v>#REF!</v>
      </c>
      <c r="C39" s="10" t="e">
        <f>VLOOKUP(B39,北段!B:C,2,FALSE)</f>
        <v>#REF!</v>
      </c>
      <c r="D39" s="20" t="e">
        <f>LEFT(北段!#REF!,4)</f>
        <v>#REF!</v>
      </c>
      <c r="E39" s="20" t="e">
        <f>LEFT(北段!#REF!,4)</f>
        <v>#REF!</v>
      </c>
      <c r="F39" s="20" t="e">
        <f>LEFT(北段!#REF!,4)</f>
        <v>#REF!</v>
      </c>
      <c r="G39" s="20" t="e">
        <f>LEFT(北段!#REF!,4)</f>
        <v>#REF!</v>
      </c>
      <c r="H39" s="20" t="e">
        <f>LEFT(北段!#REF!,4)</f>
        <v>#REF!</v>
      </c>
      <c r="I39" s="20" t="e">
        <f>LEFT(北段!#REF!,4)</f>
        <v>#REF!</v>
      </c>
      <c r="J39" s="20" t="e">
        <f>LEFT(北段!#REF!,4)</f>
        <v>#REF!</v>
      </c>
      <c r="K39" s="20" t="e">
        <f>LEFT(北段!#REF!,4)</f>
        <v>#REF!</v>
      </c>
      <c r="L39" s="20" t="e">
        <f>LEFT(北段!#REF!,4)</f>
        <v>#REF!</v>
      </c>
      <c r="M39" s="20" t="e">
        <f>LEFT(北段!#REF!,4)</f>
        <v>#REF!</v>
      </c>
      <c r="N39" s="20" t="e">
        <f>LEFT(北段!#REF!,4)</f>
        <v>#REF!</v>
      </c>
      <c r="O39" s="20" t="e">
        <f>LEFT(北段!#REF!,4)</f>
        <v>#REF!</v>
      </c>
      <c r="P39" s="20" t="e">
        <f>LEFT(北段!#REF!,4)</f>
        <v>#REF!</v>
      </c>
      <c r="Q39" s="20" t="e">
        <f>LEFT(北段!#REF!,4)</f>
        <v>#REF!</v>
      </c>
      <c r="R39" s="20" t="e">
        <f>LEFT(北段!#REF!,4)</f>
        <v>#REF!</v>
      </c>
      <c r="S39" s="20" t="e">
        <f>LEFT(北段!#REF!,4)</f>
        <v>#REF!</v>
      </c>
      <c r="T39" s="20" t="e">
        <f>LEFT(北段!#REF!,4)</f>
        <v>#REF!</v>
      </c>
      <c r="U39" s="20" t="e">
        <f>LEFT(北段!#REF!,4)</f>
        <v>#REF!</v>
      </c>
      <c r="V39" s="20" t="e">
        <f>LEFT(北段!#REF!,4)</f>
        <v>#REF!</v>
      </c>
      <c r="W39" s="20" t="e">
        <f>LEFT(北段!#REF!,4)</f>
        <v>#REF!</v>
      </c>
      <c r="X39" s="20" t="e">
        <f>LEFT(北段!#REF!,4)</f>
        <v>#REF!</v>
      </c>
      <c r="Y39" s="20" t="e">
        <f>LEFT(北段!#REF!,4)</f>
        <v>#REF!</v>
      </c>
      <c r="Z39" s="20" t="e">
        <f>LEFT(北段!#REF!,4)</f>
        <v>#REF!</v>
      </c>
      <c r="AA39" s="20" t="e">
        <f>LEFT(北段!#REF!,4)</f>
        <v>#REF!</v>
      </c>
      <c r="AB39" s="20" t="e">
        <f>LEFT(北段!#REF!,4)</f>
        <v>#REF!</v>
      </c>
      <c r="AC39" s="20" t="e">
        <f>LEFT(北段!#REF!,4)</f>
        <v>#REF!</v>
      </c>
      <c r="AD39" s="20" t="e">
        <f>LEFT(北段!#REF!,4)</f>
        <v>#REF!</v>
      </c>
      <c r="AE39" s="20" t="e">
        <f>LEFT(北段!#REF!,4)</f>
        <v>#REF!</v>
      </c>
      <c r="AF39" s="20" t="e">
        <f>LEFT(北段!#REF!,4)</f>
        <v>#REF!</v>
      </c>
      <c r="AG39" s="20" t="e">
        <f>LEFT(北段!#REF!,4)</f>
        <v>#REF!</v>
      </c>
      <c r="AH39" s="20" t="e">
        <f>LEFT(北段!#REF!,4)</f>
        <v>#REF!</v>
      </c>
      <c r="AI39" s="20" t="e">
        <f>LEFT(北段!#REF!,4)</f>
        <v>#REF!</v>
      </c>
      <c r="AJ39" s="20" t="e">
        <f>LEFT(北段!#REF!,4)</f>
        <v>#REF!</v>
      </c>
      <c r="AK39" s="20" t="e">
        <f>LEFT(北段!#REF!,4)</f>
        <v>#REF!</v>
      </c>
      <c r="AL39" s="20" t="e">
        <f>LEFT(北段!#REF!,4)</f>
        <v>#REF!</v>
      </c>
    </row>
    <row r="40" spans="1:38" ht="39.6" customHeight="1" thickBot="1">
      <c r="A40" s="24"/>
      <c r="B40" s="10" t="e">
        <f>LEFT(北段!#REF!,6)</f>
        <v>#REF!</v>
      </c>
      <c r="C40" s="10" t="e">
        <f>VLOOKUP(B40,北段!B:C,2,FALSE)</f>
        <v>#REF!</v>
      </c>
      <c r="D40" s="20" t="e">
        <f>LEFT(北段!#REF!,4)</f>
        <v>#REF!</v>
      </c>
      <c r="E40" s="20" t="e">
        <f>LEFT(北段!#REF!,4)</f>
        <v>#REF!</v>
      </c>
      <c r="F40" s="20" t="e">
        <f>LEFT(北段!#REF!,4)</f>
        <v>#REF!</v>
      </c>
      <c r="G40" s="20" t="e">
        <f>LEFT(北段!#REF!,4)</f>
        <v>#REF!</v>
      </c>
      <c r="H40" s="20" t="e">
        <f>LEFT(北段!#REF!,4)</f>
        <v>#REF!</v>
      </c>
      <c r="I40" s="20" t="e">
        <f>LEFT(北段!#REF!,4)</f>
        <v>#REF!</v>
      </c>
      <c r="J40" s="20" t="e">
        <f>LEFT(北段!#REF!,4)</f>
        <v>#REF!</v>
      </c>
      <c r="K40" s="20" t="e">
        <f>LEFT(北段!#REF!,4)</f>
        <v>#REF!</v>
      </c>
      <c r="L40" s="20" t="e">
        <f>LEFT(北段!#REF!,4)</f>
        <v>#REF!</v>
      </c>
      <c r="M40" s="20" t="e">
        <f>LEFT(北段!#REF!,4)</f>
        <v>#REF!</v>
      </c>
      <c r="N40" s="20" t="e">
        <f>LEFT(北段!#REF!,4)</f>
        <v>#REF!</v>
      </c>
      <c r="O40" s="20" t="e">
        <f>LEFT(北段!#REF!,4)</f>
        <v>#REF!</v>
      </c>
      <c r="P40" s="20" t="e">
        <f>LEFT(北段!#REF!,4)</f>
        <v>#REF!</v>
      </c>
      <c r="Q40" s="20" t="e">
        <f>LEFT(北段!#REF!,4)</f>
        <v>#REF!</v>
      </c>
      <c r="R40" s="20" t="e">
        <f>LEFT(北段!#REF!,4)</f>
        <v>#REF!</v>
      </c>
      <c r="S40" s="20" t="e">
        <f>LEFT(北段!#REF!,4)</f>
        <v>#REF!</v>
      </c>
      <c r="T40" s="20" t="e">
        <f>LEFT(北段!#REF!,4)</f>
        <v>#REF!</v>
      </c>
      <c r="U40" s="20" t="e">
        <f>LEFT(北段!#REF!,4)</f>
        <v>#REF!</v>
      </c>
      <c r="V40" s="20" t="e">
        <f>LEFT(北段!#REF!,4)</f>
        <v>#REF!</v>
      </c>
      <c r="W40" s="20" t="e">
        <f>LEFT(北段!#REF!,4)</f>
        <v>#REF!</v>
      </c>
      <c r="X40" s="20" t="e">
        <f>LEFT(北段!#REF!,4)</f>
        <v>#REF!</v>
      </c>
      <c r="Y40" s="20" t="e">
        <f>LEFT(北段!#REF!,4)</f>
        <v>#REF!</v>
      </c>
      <c r="Z40" s="20" t="e">
        <f>LEFT(北段!#REF!,4)</f>
        <v>#REF!</v>
      </c>
      <c r="AA40" s="20" t="e">
        <f>LEFT(北段!#REF!,4)</f>
        <v>#REF!</v>
      </c>
      <c r="AB40" s="20" t="e">
        <f>LEFT(北段!#REF!,4)</f>
        <v>#REF!</v>
      </c>
      <c r="AC40" s="20" t="e">
        <f>LEFT(北段!#REF!,4)</f>
        <v>#REF!</v>
      </c>
      <c r="AD40" s="20" t="e">
        <f>LEFT(北段!#REF!,4)</f>
        <v>#REF!</v>
      </c>
      <c r="AE40" s="20" t="e">
        <f>LEFT(北段!#REF!,4)</f>
        <v>#REF!</v>
      </c>
      <c r="AF40" s="20" t="e">
        <f>LEFT(北段!#REF!,4)</f>
        <v>#REF!</v>
      </c>
      <c r="AG40" s="20" t="e">
        <f>LEFT(北段!#REF!,4)</f>
        <v>#REF!</v>
      </c>
      <c r="AH40" s="20" t="e">
        <f>LEFT(北段!#REF!,4)</f>
        <v>#REF!</v>
      </c>
      <c r="AI40" s="20" t="e">
        <f>LEFT(北段!#REF!,4)</f>
        <v>#REF!</v>
      </c>
      <c r="AJ40" s="20" t="e">
        <f>LEFT(北段!#REF!,4)</f>
        <v>#REF!</v>
      </c>
      <c r="AK40" s="20" t="e">
        <f>LEFT(北段!#REF!,4)</f>
        <v>#REF!</v>
      </c>
      <c r="AL40" s="20" t="e">
        <f>LEFT(北段!#REF!,4)</f>
        <v>#REF!</v>
      </c>
    </row>
    <row r="41" spans="1:38" ht="39.6" customHeight="1" thickBot="1">
      <c r="A41" s="23"/>
      <c r="B41" s="10" t="e">
        <f>LEFT(北段!#REF!,6)</f>
        <v>#REF!</v>
      </c>
      <c r="C41" s="10" t="e">
        <f>VLOOKUP(B41,北段!B:C,2,FALSE)</f>
        <v>#REF!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39.75" customHeight="1">
      <c r="A42" s="21" t="s">
        <v>13</v>
      </c>
      <c r="B42" s="10" t="e">
        <f>LEFT(北段!#REF!,6)</f>
        <v>#REF!</v>
      </c>
      <c r="C42" s="10" t="e">
        <f>VLOOKUP(B42,北段!B:C,2,FALSE)</f>
        <v>#REF!</v>
      </c>
      <c r="D42" s="20" t="e">
        <f>LEFT(北段!#REF!,4)</f>
        <v>#REF!</v>
      </c>
      <c r="E42" s="20" t="e">
        <f>LEFT(北段!#REF!,4)</f>
        <v>#REF!</v>
      </c>
      <c r="F42" s="20" t="e">
        <f>LEFT(北段!#REF!,4)</f>
        <v>#REF!</v>
      </c>
      <c r="G42" s="20" t="e">
        <f>LEFT(北段!#REF!,4)</f>
        <v>#REF!</v>
      </c>
      <c r="H42" s="20" t="e">
        <f>LEFT(北段!#REF!,4)</f>
        <v>#REF!</v>
      </c>
      <c r="I42" s="20" t="e">
        <f>LEFT(北段!#REF!,4)</f>
        <v>#REF!</v>
      </c>
      <c r="J42" s="20" t="e">
        <f>LEFT(北段!#REF!,4)</f>
        <v>#REF!</v>
      </c>
      <c r="K42" s="20" t="e">
        <f>LEFT(北段!#REF!,4)</f>
        <v>#REF!</v>
      </c>
      <c r="L42" s="20" t="e">
        <f>LEFT(北段!#REF!,4)</f>
        <v>#REF!</v>
      </c>
      <c r="M42" s="20" t="e">
        <f>LEFT(北段!#REF!,4)</f>
        <v>#REF!</v>
      </c>
      <c r="N42" s="20" t="e">
        <f>LEFT(北段!#REF!,4)</f>
        <v>#REF!</v>
      </c>
      <c r="O42" s="20" t="e">
        <f>LEFT(北段!#REF!,4)</f>
        <v>#REF!</v>
      </c>
      <c r="P42" s="20" t="e">
        <f>LEFT(北段!#REF!,4)</f>
        <v>#REF!</v>
      </c>
      <c r="Q42" s="20" t="e">
        <f>LEFT(北段!#REF!,4)</f>
        <v>#REF!</v>
      </c>
      <c r="R42" s="20" t="e">
        <f>LEFT(北段!#REF!,4)</f>
        <v>#REF!</v>
      </c>
      <c r="S42" s="20" t="e">
        <f>LEFT(北段!#REF!,4)</f>
        <v>#REF!</v>
      </c>
      <c r="T42" s="20" t="e">
        <f>LEFT(北段!#REF!,4)</f>
        <v>#REF!</v>
      </c>
      <c r="U42" s="20" t="e">
        <f>LEFT(北段!#REF!,4)</f>
        <v>#REF!</v>
      </c>
      <c r="V42" s="20" t="e">
        <f>LEFT(北段!#REF!,4)</f>
        <v>#REF!</v>
      </c>
      <c r="W42" s="20" t="e">
        <f>LEFT(北段!#REF!,4)</f>
        <v>#REF!</v>
      </c>
      <c r="X42" s="20" t="e">
        <f>LEFT(北段!#REF!,4)</f>
        <v>#REF!</v>
      </c>
      <c r="Y42" s="20" t="e">
        <f>LEFT(北段!#REF!,4)</f>
        <v>#REF!</v>
      </c>
      <c r="Z42" s="20" t="e">
        <f>LEFT(北段!#REF!,4)</f>
        <v>#REF!</v>
      </c>
      <c r="AA42" s="20" t="e">
        <f>LEFT(北段!#REF!,5)</f>
        <v>#REF!</v>
      </c>
      <c r="AB42" s="20" t="e">
        <f>LEFT(北段!#REF!,4)</f>
        <v>#REF!</v>
      </c>
      <c r="AC42" s="20" t="e">
        <f>LEFT(北段!#REF!,4)</f>
        <v>#REF!</v>
      </c>
      <c r="AD42" s="20" t="e">
        <f>LEFT(北段!#REF!,4)</f>
        <v>#REF!</v>
      </c>
      <c r="AE42" s="20" t="e">
        <f>LEFT(北段!#REF!,4)</f>
        <v>#REF!</v>
      </c>
      <c r="AF42" s="20" t="e">
        <f>LEFT(北段!#REF!,4)</f>
        <v>#REF!</v>
      </c>
      <c r="AG42" s="20" t="e">
        <f>LEFT(北段!#REF!,4)</f>
        <v>#REF!</v>
      </c>
      <c r="AH42" s="20" t="e">
        <f>LEFT(北段!#REF!,4)</f>
        <v>#REF!</v>
      </c>
      <c r="AI42" s="20" t="e">
        <f>LEFT(北段!#REF!,4)</f>
        <v>#REF!</v>
      </c>
      <c r="AJ42" s="20" t="e">
        <f>LEFT(北段!#REF!,4)</f>
        <v>#REF!</v>
      </c>
      <c r="AK42" s="20" t="e">
        <f>LEFT(北段!#REF!,4)</f>
        <v>#REF!</v>
      </c>
      <c r="AL42" s="20" t="e">
        <f>LEFT(北段!#REF!,4)</f>
        <v>#REF!</v>
      </c>
    </row>
    <row r="43" spans="1:38" ht="39.75" customHeight="1">
      <c r="A43" s="22"/>
      <c r="B43" s="10" t="e">
        <f>LEFT(北段!#REF!,6)</f>
        <v>#REF!</v>
      </c>
      <c r="C43" s="10" t="e">
        <f>VLOOKUP(B43,北段!B:C,2,FALSE)</f>
        <v>#REF!</v>
      </c>
      <c r="D43" s="20" t="e">
        <f>LEFT(北段!#REF!,4)</f>
        <v>#REF!</v>
      </c>
      <c r="E43" s="20" t="e">
        <f>LEFT(北段!#REF!,4)</f>
        <v>#REF!</v>
      </c>
      <c r="F43" s="20" t="e">
        <f>LEFT(北段!#REF!,4)</f>
        <v>#REF!</v>
      </c>
      <c r="G43" s="20" t="e">
        <f>LEFT(北段!#REF!,4)</f>
        <v>#REF!</v>
      </c>
      <c r="H43" s="20" t="e">
        <f>LEFT(北段!#REF!,4)</f>
        <v>#REF!</v>
      </c>
      <c r="I43" s="20" t="e">
        <f>LEFT(北段!#REF!,4)</f>
        <v>#REF!</v>
      </c>
      <c r="J43" s="20" t="e">
        <f>LEFT(北段!#REF!,4)</f>
        <v>#REF!</v>
      </c>
      <c r="K43" s="20" t="e">
        <f>LEFT(北段!#REF!,4)</f>
        <v>#REF!</v>
      </c>
      <c r="L43" s="20" t="e">
        <f>LEFT(北段!#REF!,4)</f>
        <v>#REF!</v>
      </c>
      <c r="M43" s="20" t="e">
        <f>LEFT(北段!#REF!,4)</f>
        <v>#REF!</v>
      </c>
      <c r="N43" s="20" t="e">
        <f>LEFT(北段!#REF!,4)</f>
        <v>#REF!</v>
      </c>
      <c r="O43" s="20" t="e">
        <f>LEFT(北段!#REF!,4)</f>
        <v>#REF!</v>
      </c>
      <c r="P43" s="20" t="e">
        <f>LEFT(北段!#REF!,4)</f>
        <v>#REF!</v>
      </c>
      <c r="Q43" s="20" t="e">
        <f>LEFT(北段!#REF!,4)</f>
        <v>#REF!</v>
      </c>
      <c r="R43" s="20" t="e">
        <f>LEFT(北段!#REF!,4)</f>
        <v>#REF!</v>
      </c>
      <c r="S43" s="20" t="e">
        <f>LEFT(北段!#REF!,4)</f>
        <v>#REF!</v>
      </c>
      <c r="T43" s="20" t="e">
        <f>LEFT(北段!#REF!,4)</f>
        <v>#REF!</v>
      </c>
      <c r="U43" s="20" t="e">
        <f>LEFT(北段!#REF!,4)</f>
        <v>#REF!</v>
      </c>
      <c r="V43" s="20" t="e">
        <f>LEFT(北段!#REF!,4)</f>
        <v>#REF!</v>
      </c>
      <c r="W43" s="20" t="e">
        <f>LEFT(北段!#REF!,4)</f>
        <v>#REF!</v>
      </c>
      <c r="X43" s="20" t="e">
        <f>LEFT(北段!#REF!,4)</f>
        <v>#REF!</v>
      </c>
      <c r="Y43" s="20" t="e">
        <f>LEFT(北段!#REF!,4)</f>
        <v>#REF!</v>
      </c>
      <c r="Z43" s="20" t="e">
        <f>LEFT(北段!#REF!,4)</f>
        <v>#REF!</v>
      </c>
      <c r="AA43" s="20" t="e">
        <f>LEFT(北段!#REF!,4)</f>
        <v>#REF!</v>
      </c>
      <c r="AB43" s="20" t="e">
        <f>LEFT(北段!#REF!,4)</f>
        <v>#REF!</v>
      </c>
      <c r="AC43" s="20" t="e">
        <f>LEFT(北段!#REF!,4)</f>
        <v>#REF!</v>
      </c>
      <c r="AD43" s="20" t="e">
        <f>LEFT(北段!#REF!,4)</f>
        <v>#REF!</v>
      </c>
      <c r="AE43" s="20" t="e">
        <f>LEFT(北段!#REF!,4)</f>
        <v>#REF!</v>
      </c>
      <c r="AF43" s="20" t="e">
        <f>LEFT(北段!#REF!,4)</f>
        <v>#REF!</v>
      </c>
      <c r="AG43" s="20" t="e">
        <f>LEFT(北段!#REF!,4)</f>
        <v>#REF!</v>
      </c>
      <c r="AH43" s="20" t="e">
        <f>LEFT(北段!#REF!,4)</f>
        <v>#REF!</v>
      </c>
      <c r="AI43" s="20" t="e">
        <f>LEFT(北段!#REF!,4)</f>
        <v>#REF!</v>
      </c>
      <c r="AJ43" s="20" t="e">
        <f>LEFT(北段!#REF!,4)</f>
        <v>#REF!</v>
      </c>
      <c r="AK43" s="20" t="e">
        <f>LEFT(北段!#REF!,4)</f>
        <v>#REF!</v>
      </c>
      <c r="AL43" s="20" t="e">
        <f>LEFT(北段!#REF!,4)</f>
        <v>#REF!</v>
      </c>
    </row>
    <row r="44" spans="1:38" ht="39.6" customHeight="1">
      <c r="A44" s="22"/>
      <c r="B44" s="10" t="e">
        <f>LEFT(北段!#REF!,6)</f>
        <v>#REF!</v>
      </c>
      <c r="C44" s="10" t="e">
        <f>VLOOKUP(B44,北段!B:C,2,FALSE)</f>
        <v>#REF!</v>
      </c>
      <c r="D44" s="20" t="e">
        <f>LEFT(北段!#REF!,4)</f>
        <v>#REF!</v>
      </c>
      <c r="E44" s="20" t="e">
        <f>LEFT(北段!#REF!,4)</f>
        <v>#REF!</v>
      </c>
      <c r="F44" s="20" t="e">
        <f>LEFT(北段!#REF!,4)</f>
        <v>#REF!</v>
      </c>
      <c r="G44" s="20" t="e">
        <f>LEFT(北段!#REF!,4)</f>
        <v>#REF!</v>
      </c>
      <c r="H44" s="20" t="e">
        <f>LEFT(北段!#REF!,4)</f>
        <v>#REF!</v>
      </c>
      <c r="I44" s="20" t="e">
        <f>LEFT(北段!#REF!,4)</f>
        <v>#REF!</v>
      </c>
      <c r="J44" s="20" t="e">
        <f>LEFT(北段!#REF!,4)</f>
        <v>#REF!</v>
      </c>
      <c r="K44" s="20" t="e">
        <f>LEFT(北段!#REF!,4)</f>
        <v>#REF!</v>
      </c>
      <c r="L44" s="20" t="e">
        <f>LEFT(北段!#REF!,4)</f>
        <v>#REF!</v>
      </c>
      <c r="M44" s="20" t="e">
        <f>LEFT(北段!#REF!,4)</f>
        <v>#REF!</v>
      </c>
      <c r="N44" s="20" t="e">
        <f>LEFT(北段!#REF!,4)</f>
        <v>#REF!</v>
      </c>
      <c r="O44" s="20" t="e">
        <f>LEFT(北段!#REF!,4)</f>
        <v>#REF!</v>
      </c>
      <c r="P44" s="20" t="e">
        <f>LEFT(北段!#REF!,4)</f>
        <v>#REF!</v>
      </c>
      <c r="Q44" s="20" t="e">
        <f>LEFT(北段!#REF!,4)</f>
        <v>#REF!</v>
      </c>
      <c r="R44" s="20" t="e">
        <f>LEFT(北段!#REF!,4)</f>
        <v>#REF!</v>
      </c>
      <c r="S44" s="20" t="e">
        <f>LEFT(北段!#REF!,4)</f>
        <v>#REF!</v>
      </c>
      <c r="T44" s="20" t="e">
        <f>LEFT(北段!#REF!,4)</f>
        <v>#REF!</v>
      </c>
      <c r="U44" s="20" t="e">
        <f>LEFT(北段!#REF!,4)</f>
        <v>#REF!</v>
      </c>
      <c r="V44" s="20" t="e">
        <f>LEFT(北段!#REF!,4)</f>
        <v>#REF!</v>
      </c>
      <c r="W44" s="20" t="e">
        <f>LEFT(北段!#REF!,4)</f>
        <v>#REF!</v>
      </c>
      <c r="X44" s="20" t="e">
        <f>LEFT(北段!#REF!,4)</f>
        <v>#REF!</v>
      </c>
      <c r="Y44" s="20" t="e">
        <f>LEFT(北段!#REF!,4)</f>
        <v>#REF!</v>
      </c>
      <c r="Z44" s="20" t="e">
        <f>LEFT(北段!#REF!,4)</f>
        <v>#REF!</v>
      </c>
      <c r="AA44" s="20" t="e">
        <f>LEFT(北段!#REF!,4)</f>
        <v>#REF!</v>
      </c>
      <c r="AB44" s="20" t="e">
        <f>LEFT(北段!#REF!,4)</f>
        <v>#REF!</v>
      </c>
      <c r="AC44" s="20" t="e">
        <f>LEFT(北段!#REF!,4)</f>
        <v>#REF!</v>
      </c>
      <c r="AD44" s="20" t="e">
        <f>LEFT(北段!#REF!,4)</f>
        <v>#REF!</v>
      </c>
      <c r="AE44" s="20" t="e">
        <f>LEFT(北段!#REF!,4)</f>
        <v>#REF!</v>
      </c>
      <c r="AF44" s="20" t="e">
        <f>LEFT(北段!#REF!,4)</f>
        <v>#REF!</v>
      </c>
      <c r="AG44" s="20" t="e">
        <f>LEFT(北段!#REF!,4)</f>
        <v>#REF!</v>
      </c>
      <c r="AH44" s="20" t="e">
        <f>LEFT(北段!#REF!,4)</f>
        <v>#REF!</v>
      </c>
      <c r="AI44" s="20" t="e">
        <f>LEFT(北段!#REF!,4)</f>
        <v>#REF!</v>
      </c>
      <c r="AJ44" s="20" t="e">
        <f>LEFT(北段!#REF!,4)</f>
        <v>#REF!</v>
      </c>
      <c r="AK44" s="20" t="e">
        <f>LEFT(北段!#REF!,4)</f>
        <v>#REF!</v>
      </c>
      <c r="AL44" s="20" t="e">
        <f>LEFT(北段!#REF!,4)</f>
        <v>#REF!</v>
      </c>
    </row>
    <row r="45" spans="1:38" ht="39.6" customHeight="1">
      <c r="A45" s="22"/>
      <c r="B45" s="10" t="e">
        <f>LEFT(北段!#REF!,6)</f>
        <v>#REF!</v>
      </c>
      <c r="C45" s="10" t="e">
        <f>VLOOKUP(B45,北段!B:C,2,FALSE)</f>
        <v>#REF!</v>
      </c>
      <c r="D45" s="20" t="e">
        <f>LEFT(北段!#REF!,4)</f>
        <v>#REF!</v>
      </c>
      <c r="E45" s="20" t="e">
        <f>LEFT(北段!#REF!,4)</f>
        <v>#REF!</v>
      </c>
      <c r="F45" s="20" t="e">
        <f>LEFT(北段!#REF!,4)</f>
        <v>#REF!</v>
      </c>
      <c r="G45" s="20" t="e">
        <f>LEFT(北段!#REF!,4)</f>
        <v>#REF!</v>
      </c>
      <c r="H45" s="20" t="e">
        <f>LEFT(北段!#REF!,4)</f>
        <v>#REF!</v>
      </c>
      <c r="I45" s="20" t="e">
        <f>LEFT(北段!#REF!,4)</f>
        <v>#REF!</v>
      </c>
      <c r="J45" s="20" t="e">
        <f>LEFT(北段!#REF!,4)</f>
        <v>#REF!</v>
      </c>
      <c r="K45" s="20" t="e">
        <f>LEFT(北段!#REF!,4)</f>
        <v>#REF!</v>
      </c>
      <c r="L45" s="20" t="e">
        <f>LEFT(北段!#REF!,4)</f>
        <v>#REF!</v>
      </c>
      <c r="M45" s="20" t="e">
        <f>LEFT(北段!#REF!,4)</f>
        <v>#REF!</v>
      </c>
      <c r="N45" s="20" t="e">
        <f>LEFT(北段!#REF!,4)</f>
        <v>#REF!</v>
      </c>
      <c r="O45" s="20" t="e">
        <f>LEFT(北段!#REF!,4)</f>
        <v>#REF!</v>
      </c>
      <c r="P45" s="20" t="e">
        <f>LEFT(北段!#REF!,4)</f>
        <v>#REF!</v>
      </c>
      <c r="Q45" s="20" t="e">
        <f>LEFT(北段!#REF!,4)</f>
        <v>#REF!</v>
      </c>
      <c r="R45" s="20" t="e">
        <f>LEFT(北段!#REF!,4)</f>
        <v>#REF!</v>
      </c>
      <c r="S45" s="20" t="e">
        <f>LEFT(北段!#REF!,4)</f>
        <v>#REF!</v>
      </c>
      <c r="T45" s="20" t="e">
        <f>LEFT(北段!#REF!,4)</f>
        <v>#REF!</v>
      </c>
      <c r="U45" s="20" t="e">
        <f>LEFT(北段!#REF!,4)</f>
        <v>#REF!</v>
      </c>
      <c r="V45" s="20" t="e">
        <f>LEFT(北段!#REF!,4)</f>
        <v>#REF!</v>
      </c>
      <c r="W45" s="20" t="e">
        <f>LEFT(北段!#REF!,4)</f>
        <v>#REF!</v>
      </c>
      <c r="X45" s="20" t="e">
        <f>LEFT(北段!#REF!,4)</f>
        <v>#REF!</v>
      </c>
      <c r="Y45" s="20" t="e">
        <f>LEFT(北段!#REF!,4)</f>
        <v>#REF!</v>
      </c>
      <c r="Z45" s="20" t="e">
        <f>LEFT(北段!#REF!,4)</f>
        <v>#REF!</v>
      </c>
      <c r="AA45" s="20" t="e">
        <f>LEFT(北段!#REF!,4)</f>
        <v>#REF!</v>
      </c>
      <c r="AB45" s="20" t="e">
        <f>LEFT(北段!#REF!,4)</f>
        <v>#REF!</v>
      </c>
      <c r="AC45" s="20" t="e">
        <f>LEFT(北段!#REF!,4)</f>
        <v>#REF!</v>
      </c>
      <c r="AD45" s="20" t="e">
        <f>LEFT(北段!#REF!,4)</f>
        <v>#REF!</v>
      </c>
      <c r="AE45" s="20" t="e">
        <f>LEFT(北段!#REF!,4)</f>
        <v>#REF!</v>
      </c>
      <c r="AF45" s="20" t="e">
        <f>LEFT(北段!#REF!,4)</f>
        <v>#REF!</v>
      </c>
      <c r="AG45" s="20" t="e">
        <f>LEFT(北段!#REF!,4)</f>
        <v>#REF!</v>
      </c>
      <c r="AH45" s="20" t="e">
        <f>LEFT(北段!#REF!,4)</f>
        <v>#REF!</v>
      </c>
      <c r="AI45" s="20" t="e">
        <f>LEFT(北段!#REF!,4)</f>
        <v>#REF!</v>
      </c>
      <c r="AJ45" s="20" t="e">
        <f>LEFT(北段!#REF!,4)</f>
        <v>#REF!</v>
      </c>
      <c r="AK45" s="20" t="e">
        <f>LEFT(北段!#REF!,4)</f>
        <v>#REF!</v>
      </c>
      <c r="AL45" s="20" t="e">
        <f>LEFT(北段!#REF!,4)</f>
        <v>#REF!</v>
      </c>
    </row>
    <row r="46" spans="1:38" ht="39" customHeight="1">
      <c r="A46" s="22"/>
      <c r="B46" s="10" t="e">
        <f>LEFT(北段!#REF!,6)</f>
        <v>#REF!</v>
      </c>
      <c r="C46" s="10" t="e">
        <f>VLOOKUP(B46,北段!B:C,2,FALSE)</f>
        <v>#REF!</v>
      </c>
      <c r="D46" s="20" t="e">
        <f>LEFT(北段!#REF!,4)</f>
        <v>#REF!</v>
      </c>
      <c r="E46" s="20" t="e">
        <f>LEFT(北段!#REF!,4)</f>
        <v>#REF!</v>
      </c>
      <c r="F46" s="20" t="e">
        <f>LEFT(北段!#REF!,4)</f>
        <v>#REF!</v>
      </c>
      <c r="G46" s="20" t="e">
        <f>LEFT(北段!#REF!,4)</f>
        <v>#REF!</v>
      </c>
      <c r="H46" s="20" t="e">
        <f>LEFT(北段!#REF!,4)</f>
        <v>#REF!</v>
      </c>
      <c r="I46" s="20" t="e">
        <f>LEFT(北段!#REF!,4)</f>
        <v>#REF!</v>
      </c>
      <c r="J46" s="20" t="e">
        <f>LEFT(北段!#REF!,4)</f>
        <v>#REF!</v>
      </c>
      <c r="K46" s="20" t="e">
        <f>LEFT(北段!#REF!,4)</f>
        <v>#REF!</v>
      </c>
      <c r="L46" s="20" t="e">
        <f>LEFT(北段!#REF!,4)</f>
        <v>#REF!</v>
      </c>
      <c r="M46" s="20" t="e">
        <f>LEFT(北段!#REF!,4)</f>
        <v>#REF!</v>
      </c>
      <c r="N46" s="20" t="e">
        <f>LEFT(北段!#REF!,4)</f>
        <v>#REF!</v>
      </c>
      <c r="O46" s="20" t="e">
        <f>LEFT(北段!#REF!,4)</f>
        <v>#REF!</v>
      </c>
      <c r="P46" s="20" t="e">
        <f>LEFT(北段!#REF!,4)</f>
        <v>#REF!</v>
      </c>
      <c r="Q46" s="20" t="e">
        <f>LEFT(北段!#REF!,4)</f>
        <v>#REF!</v>
      </c>
      <c r="R46" s="20" t="e">
        <f>LEFT(北段!#REF!,4)</f>
        <v>#REF!</v>
      </c>
      <c r="S46" s="20" t="e">
        <f>LEFT(北段!#REF!,4)</f>
        <v>#REF!</v>
      </c>
      <c r="T46" s="20" t="e">
        <f>LEFT(北段!#REF!,4)</f>
        <v>#REF!</v>
      </c>
      <c r="U46" s="20" t="e">
        <f>LEFT(北段!#REF!,4)</f>
        <v>#REF!</v>
      </c>
      <c r="V46" s="20" t="e">
        <f>LEFT(北段!#REF!,4)</f>
        <v>#REF!</v>
      </c>
      <c r="W46" s="20" t="e">
        <f>LEFT(北段!#REF!,4)</f>
        <v>#REF!</v>
      </c>
      <c r="X46" s="20" t="e">
        <f>LEFT(北段!#REF!,4)</f>
        <v>#REF!</v>
      </c>
      <c r="Y46" s="20" t="e">
        <f>LEFT(北段!#REF!,4)</f>
        <v>#REF!</v>
      </c>
      <c r="Z46" s="20" t="e">
        <f>LEFT(北段!#REF!,4)</f>
        <v>#REF!</v>
      </c>
      <c r="AA46" s="20" t="e">
        <f>LEFT(北段!#REF!,4)</f>
        <v>#REF!</v>
      </c>
      <c r="AB46" s="20" t="e">
        <f>LEFT(北段!#REF!,4)</f>
        <v>#REF!</v>
      </c>
      <c r="AC46" s="20" t="e">
        <f>LEFT(北段!#REF!,4)</f>
        <v>#REF!</v>
      </c>
      <c r="AD46" s="20" t="e">
        <f>LEFT(北段!#REF!,4)</f>
        <v>#REF!</v>
      </c>
      <c r="AE46" s="20" t="e">
        <f>LEFT(北段!#REF!,4)</f>
        <v>#REF!</v>
      </c>
      <c r="AF46" s="20" t="e">
        <f>LEFT(北段!#REF!,4)</f>
        <v>#REF!</v>
      </c>
      <c r="AG46" s="20" t="e">
        <f>LEFT(北段!#REF!,4)</f>
        <v>#REF!</v>
      </c>
      <c r="AH46" s="20" t="e">
        <f>LEFT(北段!#REF!,4)</f>
        <v>#REF!</v>
      </c>
      <c r="AI46" s="20" t="e">
        <f>LEFT(北段!#REF!,4)</f>
        <v>#REF!</v>
      </c>
      <c r="AJ46" s="20" t="e">
        <f>LEFT(北段!#REF!,4)</f>
        <v>#REF!</v>
      </c>
      <c r="AK46" s="20" t="e">
        <f>LEFT(北段!#REF!,4)</f>
        <v>#REF!</v>
      </c>
      <c r="AL46" s="20" t="e">
        <f>LEFT(北段!#REF!,4)</f>
        <v>#REF!</v>
      </c>
    </row>
    <row r="47" spans="1:38" ht="39" customHeight="1">
      <c r="A47" s="22"/>
      <c r="B47" s="10" t="e">
        <f>LEFT(北段!#REF!,6)</f>
        <v>#REF!</v>
      </c>
      <c r="C47" s="10" t="e">
        <f>VLOOKUP(B47,北段!B:C,2,FALSE)</f>
        <v>#REF!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39.75" customHeight="1">
      <c r="A48" s="22"/>
      <c r="B48" s="10" t="e">
        <f>LEFT(北段!#REF!,6)</f>
        <v>#REF!</v>
      </c>
      <c r="C48" s="10" t="e">
        <f>VLOOKUP(B48,北段!B:C,2,FALSE)</f>
        <v>#REF!</v>
      </c>
      <c r="D48" s="20" t="e">
        <f>LEFT(北段!#REF!,4)</f>
        <v>#REF!</v>
      </c>
      <c r="E48" s="20" t="e">
        <f>LEFT(北段!#REF!,4)</f>
        <v>#REF!</v>
      </c>
      <c r="F48" s="20" t="e">
        <f>LEFT(北段!#REF!,4)</f>
        <v>#REF!</v>
      </c>
      <c r="G48" s="20" t="e">
        <f>LEFT(北段!#REF!,4)</f>
        <v>#REF!</v>
      </c>
      <c r="H48" s="20" t="e">
        <f>LEFT(北段!#REF!,4)</f>
        <v>#REF!</v>
      </c>
      <c r="I48" s="20" t="e">
        <f>LEFT(北段!#REF!,4)</f>
        <v>#REF!</v>
      </c>
      <c r="J48" s="20" t="e">
        <f>LEFT(北段!#REF!,4)</f>
        <v>#REF!</v>
      </c>
      <c r="K48" s="20" t="e">
        <f>LEFT(北段!#REF!,4)</f>
        <v>#REF!</v>
      </c>
      <c r="L48" s="20" t="e">
        <f>LEFT(北段!#REF!,4)</f>
        <v>#REF!</v>
      </c>
      <c r="M48" s="20" t="e">
        <f>LEFT(北段!#REF!,4)</f>
        <v>#REF!</v>
      </c>
      <c r="N48" s="20" t="e">
        <f>LEFT(北段!#REF!,4)</f>
        <v>#REF!</v>
      </c>
      <c r="O48" s="20" t="e">
        <f>LEFT(北段!#REF!,4)</f>
        <v>#REF!</v>
      </c>
      <c r="P48" s="20" t="e">
        <f>LEFT(北段!#REF!,4)</f>
        <v>#REF!</v>
      </c>
      <c r="Q48" s="20" t="e">
        <f>LEFT(北段!#REF!,4)</f>
        <v>#REF!</v>
      </c>
      <c r="R48" s="20" t="e">
        <f>LEFT(北段!#REF!,4)</f>
        <v>#REF!</v>
      </c>
      <c r="S48" s="20" t="e">
        <f>LEFT(北段!#REF!,4)</f>
        <v>#REF!</v>
      </c>
      <c r="T48" s="20" t="e">
        <f>LEFT(北段!#REF!,4)</f>
        <v>#REF!</v>
      </c>
      <c r="U48" s="20" t="e">
        <f>LEFT(北段!#REF!,4)</f>
        <v>#REF!</v>
      </c>
      <c r="V48" s="20" t="e">
        <f>LEFT(北段!#REF!,4)</f>
        <v>#REF!</v>
      </c>
      <c r="W48" s="20" t="e">
        <f>LEFT(北段!#REF!,4)</f>
        <v>#REF!</v>
      </c>
      <c r="X48" s="20" t="e">
        <f>LEFT(北段!#REF!,4)</f>
        <v>#REF!</v>
      </c>
      <c r="Y48" s="20" t="e">
        <f>LEFT(北段!#REF!,4)</f>
        <v>#REF!</v>
      </c>
      <c r="Z48" s="20" t="e">
        <f>LEFT(北段!#REF!,4)</f>
        <v>#REF!</v>
      </c>
      <c r="AA48" s="20" t="e">
        <f>LEFT(北段!#REF!,4)</f>
        <v>#REF!</v>
      </c>
      <c r="AB48" s="20" t="e">
        <f>LEFT(北段!#REF!,4)</f>
        <v>#REF!</v>
      </c>
      <c r="AC48" s="20" t="e">
        <f>LEFT(北段!#REF!,4)</f>
        <v>#REF!</v>
      </c>
      <c r="AD48" s="20" t="e">
        <f>LEFT(北段!#REF!,4)</f>
        <v>#REF!</v>
      </c>
      <c r="AE48" s="20" t="e">
        <f>LEFT(北段!#REF!,4)</f>
        <v>#REF!</v>
      </c>
      <c r="AF48" s="20" t="e">
        <f>LEFT(北段!#REF!,4)</f>
        <v>#REF!</v>
      </c>
      <c r="AG48" s="20" t="e">
        <f>LEFT(北段!#REF!,4)</f>
        <v>#REF!</v>
      </c>
      <c r="AH48" s="20" t="e">
        <f>LEFT(北段!#REF!,4)</f>
        <v>#REF!</v>
      </c>
      <c r="AI48" s="20" t="e">
        <f>LEFT(北段!#REF!,4)</f>
        <v>#REF!</v>
      </c>
      <c r="AJ48" s="20" t="e">
        <f>LEFT(北段!#REF!,4)</f>
        <v>#REF!</v>
      </c>
      <c r="AK48" s="20" t="e">
        <f>LEFT(北段!#REF!,4)</f>
        <v>#REF!</v>
      </c>
      <c r="AL48" s="20" t="e">
        <f>LEFT(北段!#REF!,4)</f>
        <v>#REF!</v>
      </c>
    </row>
    <row r="49" spans="1:38" ht="39.75" customHeight="1">
      <c r="A49" s="27"/>
      <c r="B49" s="10" t="e">
        <f>LEFT(北段!#REF!,6)</f>
        <v>#REF!</v>
      </c>
      <c r="C49" s="10" t="e">
        <f>VLOOKUP(B49,北段!B:C,2,FALSE)</f>
        <v>#REF!</v>
      </c>
      <c r="D49" s="20" t="e">
        <f>LEFT(北段!#REF!,4)</f>
        <v>#REF!</v>
      </c>
      <c r="E49" s="20" t="e">
        <f>LEFT(北段!#REF!,4)</f>
        <v>#REF!</v>
      </c>
      <c r="F49" s="20" t="e">
        <f>LEFT(北段!#REF!,4)</f>
        <v>#REF!</v>
      </c>
      <c r="G49" s="20" t="e">
        <f>LEFT(北段!#REF!,4)</f>
        <v>#REF!</v>
      </c>
      <c r="H49" s="20" t="e">
        <f>LEFT(北段!#REF!,4)</f>
        <v>#REF!</v>
      </c>
      <c r="I49" s="20" t="e">
        <f>LEFT(北段!#REF!,4)</f>
        <v>#REF!</v>
      </c>
      <c r="J49" s="20" t="e">
        <f>LEFT(北段!#REF!,4)</f>
        <v>#REF!</v>
      </c>
      <c r="K49" s="20" t="e">
        <f>LEFT(北段!#REF!,4)</f>
        <v>#REF!</v>
      </c>
      <c r="L49" s="20" t="e">
        <f>LEFT(北段!#REF!,4)</f>
        <v>#REF!</v>
      </c>
      <c r="M49" s="20" t="e">
        <f>LEFT(北段!#REF!,4)</f>
        <v>#REF!</v>
      </c>
      <c r="N49" s="20" t="e">
        <f>LEFT(北段!#REF!,4)</f>
        <v>#REF!</v>
      </c>
      <c r="O49" s="20" t="e">
        <f>LEFT(北段!#REF!,4)</f>
        <v>#REF!</v>
      </c>
      <c r="P49" s="20" t="e">
        <f>LEFT(北段!#REF!,4)</f>
        <v>#REF!</v>
      </c>
      <c r="Q49" s="20" t="e">
        <f>LEFT(北段!#REF!,4)</f>
        <v>#REF!</v>
      </c>
      <c r="R49" s="20" t="e">
        <f>LEFT(北段!#REF!,4)</f>
        <v>#REF!</v>
      </c>
      <c r="S49" s="20" t="e">
        <f>LEFT(北段!#REF!,4)</f>
        <v>#REF!</v>
      </c>
      <c r="T49" s="20" t="e">
        <f>LEFT(北段!#REF!,4)</f>
        <v>#REF!</v>
      </c>
      <c r="U49" s="20" t="e">
        <f>LEFT(北段!#REF!,4)</f>
        <v>#REF!</v>
      </c>
      <c r="V49" s="20" t="e">
        <f>LEFT(北段!#REF!,4)</f>
        <v>#REF!</v>
      </c>
      <c r="W49" s="20" t="e">
        <f>LEFT(北段!#REF!,4)</f>
        <v>#REF!</v>
      </c>
      <c r="X49" s="20" t="e">
        <f>LEFT(北段!#REF!,4)</f>
        <v>#REF!</v>
      </c>
      <c r="Y49" s="20" t="e">
        <f>LEFT(北段!#REF!,4)</f>
        <v>#REF!</v>
      </c>
      <c r="Z49" s="20" t="e">
        <f>LEFT(北段!#REF!,4)</f>
        <v>#REF!</v>
      </c>
      <c r="AA49" s="20" t="e">
        <f>LEFT(北段!#REF!,4)</f>
        <v>#REF!</v>
      </c>
      <c r="AB49" s="20" t="e">
        <f>LEFT(北段!#REF!,4)</f>
        <v>#REF!</v>
      </c>
      <c r="AC49" s="20" t="e">
        <f>LEFT(北段!#REF!,4)</f>
        <v>#REF!</v>
      </c>
      <c r="AD49" s="20" t="e">
        <f>LEFT(北段!#REF!,4)</f>
        <v>#REF!</v>
      </c>
      <c r="AE49" s="20" t="e">
        <f>LEFT(北段!#REF!,4)</f>
        <v>#REF!</v>
      </c>
      <c r="AF49" s="20" t="e">
        <f>LEFT(北段!#REF!,4)</f>
        <v>#REF!</v>
      </c>
      <c r="AG49" s="20" t="e">
        <f>LEFT(北段!#REF!,4)</f>
        <v>#REF!</v>
      </c>
      <c r="AH49" s="20" t="e">
        <f>LEFT(北段!#REF!,4)</f>
        <v>#REF!</v>
      </c>
      <c r="AI49" s="20" t="e">
        <f>LEFT(北段!#REF!,4)</f>
        <v>#REF!</v>
      </c>
      <c r="AJ49" s="20" t="e">
        <f>LEFT(北段!#REF!,4)</f>
        <v>#REF!</v>
      </c>
      <c r="AK49" s="20" t="e">
        <f>LEFT(北段!#REF!,4)</f>
        <v>#REF!</v>
      </c>
      <c r="AL49" s="20" t="e">
        <f>LEFT(北段!#REF!,4)</f>
        <v>#REF!</v>
      </c>
    </row>
    <row r="50" spans="1:38" ht="39" customHeight="1">
      <c r="A50" s="26"/>
      <c r="B50" s="10" t="e">
        <f>LEFT(北段!#REF!,6)</f>
        <v>#REF!</v>
      </c>
      <c r="C50" s="10" t="e">
        <f>VLOOKUP(B50,北段!B:C,2,FALSE)</f>
        <v>#REF!</v>
      </c>
      <c r="D50" s="20" t="e">
        <f>LEFT(北段!#REF!,4)</f>
        <v>#REF!</v>
      </c>
      <c r="E50" s="20" t="e">
        <f>LEFT(北段!#REF!,4)</f>
        <v>#REF!</v>
      </c>
      <c r="F50" s="20" t="e">
        <f>LEFT(北段!#REF!,4)</f>
        <v>#REF!</v>
      </c>
      <c r="G50" s="20" t="e">
        <f>LEFT(北段!#REF!,4)</f>
        <v>#REF!</v>
      </c>
      <c r="H50" s="20" t="e">
        <f>LEFT(北段!#REF!,4)</f>
        <v>#REF!</v>
      </c>
      <c r="I50" s="20" t="e">
        <f>LEFT(北段!#REF!,4)</f>
        <v>#REF!</v>
      </c>
      <c r="J50" s="20" t="e">
        <f>LEFT(北段!#REF!,4)</f>
        <v>#REF!</v>
      </c>
      <c r="K50" s="20" t="e">
        <f>LEFT(北段!#REF!,4)</f>
        <v>#REF!</v>
      </c>
      <c r="L50" s="20" t="e">
        <f>LEFT(北段!#REF!,4)</f>
        <v>#REF!</v>
      </c>
      <c r="M50" s="20" t="e">
        <f>LEFT(北段!#REF!,4)</f>
        <v>#REF!</v>
      </c>
      <c r="N50" s="20" t="e">
        <f>LEFT(北段!#REF!,4)</f>
        <v>#REF!</v>
      </c>
      <c r="O50" s="20" t="e">
        <f>LEFT(北段!#REF!,4)</f>
        <v>#REF!</v>
      </c>
      <c r="P50" s="20" t="e">
        <f>LEFT(北段!#REF!,4)</f>
        <v>#REF!</v>
      </c>
      <c r="Q50" s="20" t="e">
        <f>LEFT(北段!#REF!,4)</f>
        <v>#REF!</v>
      </c>
      <c r="R50" s="20" t="e">
        <f>LEFT(北段!#REF!,4)</f>
        <v>#REF!</v>
      </c>
      <c r="S50" s="20" t="e">
        <f>LEFT(北段!#REF!,4)</f>
        <v>#REF!</v>
      </c>
      <c r="T50" s="20" t="e">
        <f>LEFT(北段!#REF!,4)</f>
        <v>#REF!</v>
      </c>
      <c r="U50" s="20" t="e">
        <f>LEFT(北段!#REF!,4)</f>
        <v>#REF!</v>
      </c>
      <c r="V50" s="20" t="e">
        <f>LEFT(北段!#REF!,4)</f>
        <v>#REF!</v>
      </c>
      <c r="W50" s="20" t="e">
        <f>LEFT(北段!#REF!,4)</f>
        <v>#REF!</v>
      </c>
      <c r="X50" s="20" t="e">
        <f>LEFT(北段!#REF!,4)</f>
        <v>#REF!</v>
      </c>
      <c r="Y50" s="20" t="e">
        <f>LEFT(北段!#REF!,4)</f>
        <v>#REF!</v>
      </c>
      <c r="Z50" s="20" t="e">
        <f>LEFT(北段!#REF!,4)</f>
        <v>#REF!</v>
      </c>
      <c r="AA50" s="20" t="e">
        <f>LEFT(北段!#REF!,4)</f>
        <v>#REF!</v>
      </c>
      <c r="AB50" s="20" t="e">
        <f>LEFT(北段!#REF!,4)</f>
        <v>#REF!</v>
      </c>
      <c r="AC50" s="20" t="e">
        <f>LEFT(北段!#REF!,4)</f>
        <v>#REF!</v>
      </c>
      <c r="AD50" s="20" t="e">
        <f>LEFT(北段!#REF!,4)</f>
        <v>#REF!</v>
      </c>
      <c r="AE50" s="20" t="e">
        <f>LEFT(北段!#REF!,4)</f>
        <v>#REF!</v>
      </c>
      <c r="AF50" s="20" t="e">
        <f>LEFT(北段!#REF!,4)</f>
        <v>#REF!</v>
      </c>
      <c r="AG50" s="20" t="e">
        <f>LEFT(北段!#REF!,4)</f>
        <v>#REF!</v>
      </c>
      <c r="AH50" s="20" t="e">
        <f>LEFT(北段!#REF!,4)</f>
        <v>#REF!</v>
      </c>
      <c r="AI50" s="20" t="e">
        <f>LEFT(北段!#REF!,4)</f>
        <v>#REF!</v>
      </c>
      <c r="AJ50" s="20" t="e">
        <f>LEFT(北段!#REF!,4)</f>
        <v>#REF!</v>
      </c>
      <c r="AK50" s="20" t="e">
        <f>LEFT(北段!#REF!,4)</f>
        <v>#REF!</v>
      </c>
      <c r="AL50" s="20" t="e">
        <f>LEFT(北段!#REF!,4)</f>
        <v>#REF!</v>
      </c>
    </row>
    <row r="51" spans="1:38" ht="39.75" customHeight="1">
      <c r="A51" s="31"/>
      <c r="B51" s="10" t="e">
        <f>LEFT(北段!#REF!,6)</f>
        <v>#REF!</v>
      </c>
      <c r="C51" s="10" t="e">
        <f>VLOOKUP(B51,北段!B:C,2,FALSE)</f>
        <v>#REF!</v>
      </c>
      <c r="D51" s="20" t="e">
        <f>LEFT(北段!#REF!,4)</f>
        <v>#REF!</v>
      </c>
      <c r="E51" s="20" t="e">
        <f>LEFT(北段!#REF!,4)</f>
        <v>#REF!</v>
      </c>
      <c r="F51" s="20" t="e">
        <f>LEFT(北段!#REF!,4)</f>
        <v>#REF!</v>
      </c>
      <c r="G51" s="20" t="e">
        <f>LEFT(北段!#REF!,4)</f>
        <v>#REF!</v>
      </c>
      <c r="H51" s="20" t="e">
        <f>LEFT(北段!#REF!,4)</f>
        <v>#REF!</v>
      </c>
      <c r="I51" s="20" t="e">
        <f>LEFT(北段!#REF!,4)</f>
        <v>#REF!</v>
      </c>
      <c r="J51" s="20" t="e">
        <f>LEFT(北段!#REF!,4)</f>
        <v>#REF!</v>
      </c>
      <c r="K51" s="20" t="e">
        <f>LEFT(北段!#REF!,4)</f>
        <v>#REF!</v>
      </c>
      <c r="L51" s="20" t="e">
        <f>LEFT(北段!#REF!,4)</f>
        <v>#REF!</v>
      </c>
      <c r="M51" s="20" t="e">
        <f>LEFT(北段!#REF!,4)</f>
        <v>#REF!</v>
      </c>
      <c r="N51" s="20" t="e">
        <f>LEFT(北段!#REF!,4)</f>
        <v>#REF!</v>
      </c>
      <c r="O51" s="20" t="e">
        <f>LEFT(北段!#REF!,4)</f>
        <v>#REF!</v>
      </c>
      <c r="P51" s="20" t="e">
        <f>LEFT(北段!#REF!,4)</f>
        <v>#REF!</v>
      </c>
      <c r="Q51" s="20" t="e">
        <f>LEFT(北段!#REF!,4)</f>
        <v>#REF!</v>
      </c>
      <c r="R51" s="20" t="e">
        <f>LEFT(北段!#REF!,4)</f>
        <v>#REF!</v>
      </c>
      <c r="S51" s="20" t="e">
        <f>LEFT(北段!#REF!,4)</f>
        <v>#REF!</v>
      </c>
      <c r="T51" s="20" t="e">
        <f>LEFT(北段!#REF!,4)</f>
        <v>#REF!</v>
      </c>
      <c r="U51" s="20" t="e">
        <f>LEFT(北段!#REF!,4)</f>
        <v>#REF!</v>
      </c>
      <c r="V51" s="20" t="e">
        <f>LEFT(北段!#REF!,4)</f>
        <v>#REF!</v>
      </c>
      <c r="W51" s="20" t="e">
        <f>LEFT(北段!#REF!,4)</f>
        <v>#REF!</v>
      </c>
      <c r="X51" s="20" t="e">
        <f>LEFT(北段!#REF!,4)</f>
        <v>#REF!</v>
      </c>
      <c r="Y51" s="20" t="e">
        <f>LEFT(北段!#REF!,4)</f>
        <v>#REF!</v>
      </c>
      <c r="Z51" s="20" t="e">
        <f>LEFT(北段!#REF!,4)</f>
        <v>#REF!</v>
      </c>
      <c r="AA51" s="20" t="e">
        <f>LEFT(北段!#REF!,4)</f>
        <v>#REF!</v>
      </c>
      <c r="AB51" s="20" t="e">
        <f>LEFT(北段!#REF!,4)</f>
        <v>#REF!</v>
      </c>
      <c r="AC51" s="20" t="e">
        <f>LEFT(北段!#REF!,4)</f>
        <v>#REF!</v>
      </c>
      <c r="AD51" s="20" t="e">
        <f>LEFT(北段!#REF!,4)</f>
        <v>#REF!</v>
      </c>
      <c r="AE51" s="20" t="e">
        <f>LEFT(北段!#REF!,4)</f>
        <v>#REF!</v>
      </c>
      <c r="AF51" s="20" t="e">
        <f>LEFT(北段!#REF!,4)</f>
        <v>#REF!</v>
      </c>
      <c r="AG51" s="20" t="e">
        <f>LEFT(北段!#REF!,4)</f>
        <v>#REF!</v>
      </c>
      <c r="AH51" s="20" t="e">
        <f>LEFT(北段!#REF!,4)</f>
        <v>#REF!</v>
      </c>
      <c r="AI51" s="20" t="e">
        <f>LEFT(北段!#REF!,4)</f>
        <v>#REF!</v>
      </c>
      <c r="AJ51" s="20" t="e">
        <f>LEFT(北段!#REF!,4)</f>
        <v>#REF!</v>
      </c>
      <c r="AK51" s="20" t="e">
        <f>LEFT(北段!#REF!,4)</f>
        <v>#REF!</v>
      </c>
      <c r="AL51" s="20" t="e">
        <f>LEFT(北段!#REF!,4)</f>
        <v>#REF!</v>
      </c>
    </row>
    <row r="52" spans="1:38" ht="39.6" customHeight="1">
      <c r="A52" s="26" t="s">
        <v>14</v>
      </c>
      <c r="B52" s="10" t="e">
        <f>LEFT(北段!#REF!,6)</f>
        <v>#REF!</v>
      </c>
      <c r="C52" s="10" t="e">
        <f>VLOOKUP(B52,北段!B:C,2,FALSE)</f>
        <v>#REF!</v>
      </c>
      <c r="D52" s="20" t="e">
        <f>LEFT(北段!#REF!,4)</f>
        <v>#REF!</v>
      </c>
      <c r="E52" s="20" t="e">
        <f>LEFT(北段!#REF!,4)</f>
        <v>#REF!</v>
      </c>
      <c r="F52" s="20" t="e">
        <f>LEFT(北段!#REF!,4)</f>
        <v>#REF!</v>
      </c>
      <c r="G52" s="20" t="e">
        <f>LEFT(北段!#REF!,4)</f>
        <v>#REF!</v>
      </c>
      <c r="H52" s="20" t="e">
        <f>LEFT(北段!#REF!,4)</f>
        <v>#REF!</v>
      </c>
      <c r="I52" s="20" t="e">
        <f>LEFT(北段!#REF!,4)</f>
        <v>#REF!</v>
      </c>
      <c r="J52" s="20" t="e">
        <f>LEFT(北段!#REF!,4)</f>
        <v>#REF!</v>
      </c>
      <c r="K52" s="20" t="e">
        <f>LEFT(北段!#REF!,4)</f>
        <v>#REF!</v>
      </c>
      <c r="L52" s="20" t="e">
        <f>LEFT(北段!#REF!,4)</f>
        <v>#REF!</v>
      </c>
      <c r="M52" s="20" t="e">
        <f>LEFT(北段!#REF!,4)</f>
        <v>#REF!</v>
      </c>
      <c r="N52" s="20" t="e">
        <f>LEFT(北段!#REF!,4)</f>
        <v>#REF!</v>
      </c>
      <c r="O52" s="20" t="e">
        <f>LEFT(北段!#REF!,4)</f>
        <v>#REF!</v>
      </c>
      <c r="P52" s="20" t="e">
        <f>LEFT(北段!#REF!,4)</f>
        <v>#REF!</v>
      </c>
      <c r="Q52" s="20" t="e">
        <f>LEFT(北段!#REF!,4)</f>
        <v>#REF!</v>
      </c>
      <c r="R52" s="20" t="e">
        <f>LEFT(北段!#REF!,4)</f>
        <v>#REF!</v>
      </c>
      <c r="S52" s="20" t="e">
        <f>LEFT(北段!#REF!,4)</f>
        <v>#REF!</v>
      </c>
      <c r="T52" s="20" t="e">
        <f>LEFT(北段!#REF!,4)</f>
        <v>#REF!</v>
      </c>
      <c r="U52" s="20" t="e">
        <f>LEFT(北段!#REF!,4)</f>
        <v>#REF!</v>
      </c>
      <c r="V52" s="20" t="e">
        <f>LEFT(北段!#REF!,4)</f>
        <v>#REF!</v>
      </c>
      <c r="W52" s="20" t="e">
        <f>LEFT(北段!#REF!,4)</f>
        <v>#REF!</v>
      </c>
      <c r="X52" s="20" t="e">
        <f>LEFT(北段!#REF!,4)</f>
        <v>#REF!</v>
      </c>
      <c r="Y52" s="20" t="e">
        <f>LEFT(北段!#REF!,4)</f>
        <v>#REF!</v>
      </c>
      <c r="Z52" s="20" t="e">
        <f>LEFT(北段!#REF!,4)</f>
        <v>#REF!</v>
      </c>
      <c r="AA52" s="20" t="e">
        <f>LEFT(北段!#REF!,5)</f>
        <v>#REF!</v>
      </c>
      <c r="AB52" s="20" t="e">
        <f>LEFT(北段!#REF!,4)</f>
        <v>#REF!</v>
      </c>
      <c r="AC52" s="20" t="e">
        <f>LEFT(北段!#REF!,4)</f>
        <v>#REF!</v>
      </c>
      <c r="AD52" s="20" t="e">
        <f>LEFT(北段!#REF!,4)</f>
        <v>#REF!</v>
      </c>
      <c r="AE52" s="20" t="e">
        <f>LEFT(北段!#REF!,4)</f>
        <v>#REF!</v>
      </c>
      <c r="AF52" s="20" t="e">
        <f>LEFT(北段!#REF!,4)</f>
        <v>#REF!</v>
      </c>
      <c r="AG52" s="20" t="e">
        <f>LEFT(北段!#REF!,4)</f>
        <v>#REF!</v>
      </c>
      <c r="AH52" s="20" t="e">
        <f>LEFT(北段!#REF!,4)</f>
        <v>#REF!</v>
      </c>
      <c r="AI52" s="20" t="e">
        <f>LEFT(北段!#REF!,4)</f>
        <v>#REF!</v>
      </c>
      <c r="AJ52" s="20" t="e">
        <f>LEFT(北段!#REF!,4)</f>
        <v>#REF!</v>
      </c>
      <c r="AK52" s="20" t="e">
        <f>LEFT(北段!#REF!,4)</f>
        <v>#REF!</v>
      </c>
      <c r="AL52" s="20" t="e">
        <f>LEFT(北段!#REF!,4)</f>
        <v>#REF!</v>
      </c>
    </row>
    <row r="53" spans="1:38" ht="39.75" customHeight="1">
      <c r="A53" s="26"/>
      <c r="B53" s="10" t="e">
        <f>LEFT(北段!#REF!,6)</f>
        <v>#REF!</v>
      </c>
      <c r="C53" s="10" t="e">
        <f>VLOOKUP(B53,北段!B:C,2,FALSE)</f>
        <v>#REF!</v>
      </c>
      <c r="D53" s="20" t="e">
        <f>LEFT(北段!#REF!,4)</f>
        <v>#REF!</v>
      </c>
      <c r="E53" s="20" t="e">
        <f>LEFT(北段!#REF!,4)</f>
        <v>#REF!</v>
      </c>
      <c r="F53" s="20" t="e">
        <f>LEFT(北段!#REF!,4)</f>
        <v>#REF!</v>
      </c>
      <c r="G53" s="20" t="e">
        <f>LEFT(北段!#REF!,4)</f>
        <v>#REF!</v>
      </c>
      <c r="H53" s="20" t="e">
        <f>LEFT(北段!#REF!,4)</f>
        <v>#REF!</v>
      </c>
      <c r="I53" s="20" t="e">
        <f>LEFT(北段!#REF!,4)</f>
        <v>#REF!</v>
      </c>
      <c r="J53" s="20" t="e">
        <f>LEFT(北段!#REF!,4)</f>
        <v>#REF!</v>
      </c>
      <c r="K53" s="20" t="e">
        <f>LEFT(北段!#REF!,4)</f>
        <v>#REF!</v>
      </c>
      <c r="L53" s="20" t="e">
        <f>LEFT(北段!#REF!,4)</f>
        <v>#REF!</v>
      </c>
      <c r="M53" s="20" t="e">
        <f>LEFT(北段!#REF!,4)</f>
        <v>#REF!</v>
      </c>
      <c r="N53" s="20" t="e">
        <f>LEFT(北段!#REF!,4)</f>
        <v>#REF!</v>
      </c>
      <c r="O53" s="20" t="e">
        <f>LEFT(北段!#REF!,4)</f>
        <v>#REF!</v>
      </c>
      <c r="P53" s="20" t="e">
        <f>LEFT(北段!#REF!,4)</f>
        <v>#REF!</v>
      </c>
      <c r="Q53" s="20" t="e">
        <f>LEFT(北段!#REF!,4)</f>
        <v>#REF!</v>
      </c>
      <c r="R53" s="20" t="e">
        <f>LEFT(北段!#REF!,4)</f>
        <v>#REF!</v>
      </c>
      <c r="S53" s="20" t="e">
        <f>LEFT(北段!#REF!,4)</f>
        <v>#REF!</v>
      </c>
      <c r="T53" s="20" t="e">
        <f>LEFT(北段!#REF!,4)</f>
        <v>#REF!</v>
      </c>
      <c r="U53" s="20" t="e">
        <f>LEFT(北段!#REF!,4)</f>
        <v>#REF!</v>
      </c>
      <c r="V53" s="20" t="e">
        <f>LEFT(北段!#REF!,4)</f>
        <v>#REF!</v>
      </c>
      <c r="W53" s="20" t="e">
        <f>LEFT(北段!#REF!,6)</f>
        <v>#REF!</v>
      </c>
      <c r="X53" s="20" t="e">
        <f>LEFT(北段!#REF!,4)</f>
        <v>#REF!</v>
      </c>
      <c r="Y53" s="20" t="e">
        <f>LEFT(北段!#REF!,4)</f>
        <v>#REF!</v>
      </c>
      <c r="Z53" s="20" t="e">
        <f>LEFT(北段!#REF!,4)</f>
        <v>#REF!</v>
      </c>
      <c r="AA53" s="20" t="e">
        <f>LEFT(北段!#REF!,4)</f>
        <v>#REF!</v>
      </c>
      <c r="AB53" s="20" t="e">
        <f>LEFT(北段!#REF!,4)</f>
        <v>#REF!</v>
      </c>
      <c r="AC53" s="20" t="e">
        <f>LEFT(北段!#REF!,4)</f>
        <v>#REF!</v>
      </c>
      <c r="AD53" s="20" t="e">
        <f>LEFT(北段!#REF!,4)</f>
        <v>#REF!</v>
      </c>
      <c r="AE53" s="20" t="e">
        <f>LEFT(北段!#REF!,4)</f>
        <v>#REF!</v>
      </c>
      <c r="AF53" s="20" t="e">
        <f>LEFT(北段!#REF!,4)</f>
        <v>#REF!</v>
      </c>
      <c r="AG53" s="20" t="e">
        <f>LEFT(北段!#REF!,4)</f>
        <v>#REF!</v>
      </c>
      <c r="AH53" s="20" t="e">
        <f>LEFT(北段!#REF!,4)</f>
        <v>#REF!</v>
      </c>
      <c r="AI53" s="20" t="e">
        <f>LEFT(北段!#REF!,4)</f>
        <v>#REF!</v>
      </c>
      <c r="AJ53" s="20" t="e">
        <f>LEFT(北段!#REF!,4)</f>
        <v>#REF!</v>
      </c>
      <c r="AK53" s="20" t="e">
        <f>LEFT(北段!#REF!,4)</f>
        <v>#REF!</v>
      </c>
      <c r="AL53" s="20" t="e">
        <f>LEFT(北段!#REF!,4)</f>
        <v>#REF!</v>
      </c>
    </row>
    <row r="54" spans="1:38" ht="39" customHeight="1">
      <c r="A54" s="26"/>
      <c r="B54" s="10" t="e">
        <f>LEFT(北段!#REF!,6)</f>
        <v>#REF!</v>
      </c>
      <c r="C54" s="10" t="e">
        <f>VLOOKUP(B54,北段!B:C,2,FALSE)</f>
        <v>#REF!</v>
      </c>
      <c r="D54" s="20" t="e">
        <f>LEFT(北段!#REF!,4)</f>
        <v>#REF!</v>
      </c>
      <c r="E54" s="20" t="e">
        <f>LEFT(北段!#REF!,4)</f>
        <v>#REF!</v>
      </c>
      <c r="F54" s="20" t="e">
        <f>LEFT(北段!#REF!,4)</f>
        <v>#REF!</v>
      </c>
      <c r="G54" s="20" t="e">
        <f>LEFT(北段!#REF!,4)</f>
        <v>#REF!</v>
      </c>
      <c r="H54" s="20" t="e">
        <f>LEFT(北段!#REF!,4)</f>
        <v>#REF!</v>
      </c>
      <c r="I54" s="20" t="e">
        <f>LEFT(北段!#REF!,4)</f>
        <v>#REF!</v>
      </c>
      <c r="J54" s="20" t="e">
        <f>LEFT(北段!#REF!,4)</f>
        <v>#REF!</v>
      </c>
      <c r="K54" s="20" t="e">
        <f>LEFT(北段!#REF!,4)</f>
        <v>#REF!</v>
      </c>
      <c r="L54" s="20" t="e">
        <f>LEFT(北段!#REF!,4)</f>
        <v>#REF!</v>
      </c>
      <c r="M54" s="20" t="e">
        <f>LEFT(北段!#REF!,4)</f>
        <v>#REF!</v>
      </c>
      <c r="N54" s="20" t="e">
        <f>LEFT(北段!#REF!,4)</f>
        <v>#REF!</v>
      </c>
      <c r="O54" s="20" t="e">
        <f>LEFT(北段!#REF!,4)</f>
        <v>#REF!</v>
      </c>
      <c r="P54" s="20" t="e">
        <f>LEFT(北段!#REF!,4)</f>
        <v>#REF!</v>
      </c>
      <c r="Q54" s="20" t="e">
        <f>LEFT(北段!#REF!,4)</f>
        <v>#REF!</v>
      </c>
      <c r="R54" s="20" t="e">
        <f>LEFT(北段!#REF!,4)</f>
        <v>#REF!</v>
      </c>
      <c r="S54" s="20" t="e">
        <f>LEFT(北段!#REF!,4)</f>
        <v>#REF!</v>
      </c>
      <c r="T54" s="20" t="e">
        <f>LEFT(北段!#REF!,4)</f>
        <v>#REF!</v>
      </c>
      <c r="U54" s="20" t="e">
        <f>LEFT(北段!#REF!,4)</f>
        <v>#REF!</v>
      </c>
      <c r="V54" s="20" t="e">
        <f>LEFT(北段!#REF!,4)</f>
        <v>#REF!</v>
      </c>
      <c r="W54" s="20" t="e">
        <f>LEFT(北段!#REF!,4)</f>
        <v>#REF!</v>
      </c>
      <c r="X54" s="20" t="e">
        <f>LEFT(北段!#REF!,4)</f>
        <v>#REF!</v>
      </c>
      <c r="Y54" s="20" t="e">
        <f>LEFT(北段!#REF!,4)</f>
        <v>#REF!</v>
      </c>
      <c r="Z54" s="20" t="e">
        <f>LEFT(北段!#REF!,4)</f>
        <v>#REF!</v>
      </c>
      <c r="AA54" s="20" t="e">
        <f>LEFT(北段!#REF!,4)</f>
        <v>#REF!</v>
      </c>
      <c r="AB54" s="20" t="e">
        <f>LEFT(北段!#REF!,4)</f>
        <v>#REF!</v>
      </c>
      <c r="AC54" s="20" t="e">
        <f>LEFT(北段!#REF!,4)</f>
        <v>#REF!</v>
      </c>
      <c r="AD54" s="20" t="e">
        <f>LEFT(北段!#REF!,4)</f>
        <v>#REF!</v>
      </c>
      <c r="AE54" s="20" t="e">
        <f>LEFT(北段!#REF!,4)</f>
        <v>#REF!</v>
      </c>
      <c r="AF54" s="20" t="e">
        <f>LEFT(北段!#REF!,4)</f>
        <v>#REF!</v>
      </c>
      <c r="AG54" s="20" t="e">
        <f>LEFT(北段!#REF!,4)</f>
        <v>#REF!</v>
      </c>
      <c r="AH54" s="20" t="e">
        <f>LEFT(北段!#REF!,4)</f>
        <v>#REF!</v>
      </c>
      <c r="AI54" s="20" t="e">
        <f>LEFT(北段!#REF!,4)</f>
        <v>#REF!</v>
      </c>
      <c r="AJ54" s="20" t="e">
        <f>LEFT(北段!#REF!,4)</f>
        <v>#REF!</v>
      </c>
      <c r="AK54" s="20" t="e">
        <f>LEFT(北段!#REF!,4)</f>
        <v>#REF!</v>
      </c>
      <c r="AL54" s="20" t="e">
        <f>LEFT(北段!#REF!,4)</f>
        <v>#REF!</v>
      </c>
    </row>
    <row r="55" spans="1:38" ht="39.75" customHeight="1">
      <c r="A55" s="26"/>
      <c r="B55" s="10" t="e">
        <f>LEFT(北段!#REF!,6)</f>
        <v>#REF!</v>
      </c>
      <c r="C55" s="10" t="e">
        <f>VLOOKUP(B55,北段!B:C,2,FALSE)</f>
        <v>#REF!</v>
      </c>
      <c r="D55" s="20" t="e">
        <f>LEFT(北段!#REF!,4)</f>
        <v>#REF!</v>
      </c>
      <c r="E55" s="20" t="e">
        <f>LEFT(北段!#REF!,4)</f>
        <v>#REF!</v>
      </c>
      <c r="F55" s="20" t="e">
        <f>LEFT(北段!#REF!,4)</f>
        <v>#REF!</v>
      </c>
      <c r="G55" s="20" t="e">
        <f>LEFT(北段!#REF!,4)</f>
        <v>#REF!</v>
      </c>
      <c r="H55" s="20" t="e">
        <f>LEFT(北段!#REF!,4)</f>
        <v>#REF!</v>
      </c>
      <c r="I55" s="20" t="e">
        <f>LEFT(北段!#REF!,4)</f>
        <v>#REF!</v>
      </c>
      <c r="J55" s="20" t="e">
        <f>LEFT(北段!#REF!,4)</f>
        <v>#REF!</v>
      </c>
      <c r="K55" s="20" t="e">
        <f>LEFT(北段!#REF!,4)</f>
        <v>#REF!</v>
      </c>
      <c r="L55" s="20" t="e">
        <f>LEFT(北段!#REF!,4)</f>
        <v>#REF!</v>
      </c>
      <c r="M55" s="20" t="e">
        <f>LEFT(北段!#REF!,4)</f>
        <v>#REF!</v>
      </c>
      <c r="N55" s="20" t="e">
        <f>LEFT(北段!#REF!,4)</f>
        <v>#REF!</v>
      </c>
      <c r="O55" s="20" t="e">
        <f>LEFT(北段!#REF!,4)</f>
        <v>#REF!</v>
      </c>
      <c r="P55" s="20" t="e">
        <f>LEFT(北段!#REF!,4)</f>
        <v>#REF!</v>
      </c>
      <c r="Q55" s="20" t="e">
        <f>LEFT(北段!#REF!,4)</f>
        <v>#REF!</v>
      </c>
      <c r="R55" s="20" t="e">
        <f>LEFT(北段!#REF!,4)</f>
        <v>#REF!</v>
      </c>
      <c r="S55" s="20" t="e">
        <f>LEFT(北段!#REF!,4)</f>
        <v>#REF!</v>
      </c>
      <c r="T55" s="20" t="e">
        <f>LEFT(北段!#REF!,4)</f>
        <v>#REF!</v>
      </c>
      <c r="U55" s="20" t="e">
        <f>LEFT(北段!#REF!,4)</f>
        <v>#REF!</v>
      </c>
      <c r="V55" s="20" t="e">
        <f>LEFT(北段!#REF!,4)</f>
        <v>#REF!</v>
      </c>
      <c r="W55" s="20" t="e">
        <f>LEFT(北段!#REF!,4)</f>
        <v>#REF!</v>
      </c>
      <c r="X55" s="20" t="e">
        <f>LEFT(北段!#REF!,4)</f>
        <v>#REF!</v>
      </c>
      <c r="Y55" s="20" t="e">
        <f>LEFT(北段!#REF!,4)</f>
        <v>#REF!</v>
      </c>
      <c r="Z55" s="20" t="e">
        <f>LEFT(北段!#REF!,4)</f>
        <v>#REF!</v>
      </c>
      <c r="AA55" s="20" t="e">
        <f>LEFT(北段!#REF!,4)</f>
        <v>#REF!</v>
      </c>
      <c r="AB55" s="20" t="e">
        <f>LEFT(北段!#REF!,4)</f>
        <v>#REF!</v>
      </c>
      <c r="AC55" s="20" t="e">
        <f>LEFT(北段!#REF!,4)</f>
        <v>#REF!</v>
      </c>
      <c r="AD55" s="20" t="e">
        <f>LEFT(北段!#REF!,4)</f>
        <v>#REF!</v>
      </c>
      <c r="AE55" s="20" t="e">
        <f>LEFT(北段!#REF!,4)</f>
        <v>#REF!</v>
      </c>
      <c r="AF55" s="20" t="e">
        <f>LEFT(北段!#REF!,4)</f>
        <v>#REF!</v>
      </c>
      <c r="AG55" s="20" t="e">
        <f>LEFT(北段!#REF!,4)</f>
        <v>#REF!</v>
      </c>
      <c r="AH55" s="20" t="e">
        <f>LEFT(北段!#REF!,4)</f>
        <v>#REF!</v>
      </c>
      <c r="AI55" s="20" t="e">
        <f>LEFT(北段!#REF!,4)</f>
        <v>#REF!</v>
      </c>
      <c r="AJ55" s="20" t="e">
        <f>LEFT(北段!#REF!,4)</f>
        <v>#REF!</v>
      </c>
      <c r="AK55" s="20" t="e">
        <f>LEFT(北段!#REF!,4)</f>
        <v>#REF!</v>
      </c>
      <c r="AL55" s="20" t="e">
        <f>LEFT(北段!#REF!,4)</f>
        <v>#REF!</v>
      </c>
    </row>
    <row r="56" spans="1:38" ht="39.75" customHeight="1">
      <c r="A56" s="26"/>
      <c r="B56" s="10" t="e">
        <f>LEFT(北段!#REF!,6)</f>
        <v>#REF!</v>
      </c>
      <c r="C56" s="10" t="e">
        <f>VLOOKUP(B56,北段!B:C,2,FALSE)</f>
        <v>#REF!</v>
      </c>
      <c r="D56" s="20" t="e">
        <f>LEFT(北段!#REF!,4)</f>
        <v>#REF!</v>
      </c>
      <c r="E56" s="20" t="e">
        <f>LEFT(北段!#REF!,4)</f>
        <v>#REF!</v>
      </c>
      <c r="F56" s="20" t="e">
        <f>LEFT(北段!#REF!,4)</f>
        <v>#REF!</v>
      </c>
      <c r="G56" s="20" t="e">
        <f>LEFT(北段!#REF!,4)</f>
        <v>#REF!</v>
      </c>
      <c r="H56" s="20" t="e">
        <f>LEFT(北段!#REF!,4)</f>
        <v>#REF!</v>
      </c>
      <c r="I56" s="20" t="e">
        <f>LEFT(北段!#REF!,4)</f>
        <v>#REF!</v>
      </c>
      <c r="J56" s="20" t="e">
        <f>LEFT(北段!#REF!,4)</f>
        <v>#REF!</v>
      </c>
      <c r="K56" s="20" t="e">
        <f>LEFT(北段!#REF!,4)</f>
        <v>#REF!</v>
      </c>
      <c r="L56" s="20" t="e">
        <f>LEFT(北段!#REF!,4)</f>
        <v>#REF!</v>
      </c>
      <c r="M56" s="20" t="e">
        <f>LEFT(北段!#REF!,4)</f>
        <v>#REF!</v>
      </c>
      <c r="N56" s="20" t="e">
        <f>LEFT(北段!#REF!,4)</f>
        <v>#REF!</v>
      </c>
      <c r="O56" s="20" t="e">
        <f>LEFT(北段!#REF!,4)</f>
        <v>#REF!</v>
      </c>
      <c r="P56" s="20" t="e">
        <f>LEFT(北段!#REF!,4)</f>
        <v>#REF!</v>
      </c>
      <c r="Q56" s="20" t="e">
        <f>LEFT(北段!#REF!,4)</f>
        <v>#REF!</v>
      </c>
      <c r="R56" s="20" t="e">
        <f>LEFT(北段!#REF!,4)</f>
        <v>#REF!</v>
      </c>
      <c r="S56" s="20" t="e">
        <f>LEFT(北段!#REF!,4)</f>
        <v>#REF!</v>
      </c>
      <c r="T56" s="20" t="e">
        <f>LEFT(北段!#REF!,4)</f>
        <v>#REF!</v>
      </c>
      <c r="U56" s="20" t="e">
        <f>LEFT(北段!#REF!,4)</f>
        <v>#REF!</v>
      </c>
      <c r="V56" s="20" t="e">
        <f>LEFT(北段!#REF!,4)</f>
        <v>#REF!</v>
      </c>
      <c r="W56" s="20" t="e">
        <f>LEFT(北段!#REF!,4)</f>
        <v>#REF!</v>
      </c>
      <c r="X56" s="20" t="e">
        <f>LEFT(北段!#REF!,4)</f>
        <v>#REF!</v>
      </c>
      <c r="Y56" s="20" t="e">
        <f>LEFT(北段!#REF!,4)</f>
        <v>#REF!</v>
      </c>
      <c r="Z56" s="20" t="e">
        <f>LEFT(北段!#REF!,4)</f>
        <v>#REF!</v>
      </c>
      <c r="AA56" s="20" t="e">
        <f>LEFT(北段!#REF!,5)</f>
        <v>#REF!</v>
      </c>
      <c r="AB56" s="20" t="e">
        <f>LEFT(北段!#REF!,4)</f>
        <v>#REF!</v>
      </c>
      <c r="AC56" s="20" t="e">
        <f>LEFT(北段!#REF!,4)</f>
        <v>#REF!</v>
      </c>
      <c r="AD56" s="20" t="e">
        <f>LEFT(北段!#REF!,4)</f>
        <v>#REF!</v>
      </c>
      <c r="AE56" s="20" t="e">
        <f>LEFT(北段!#REF!,4)</f>
        <v>#REF!</v>
      </c>
      <c r="AF56" s="20" t="e">
        <f>LEFT(北段!#REF!,4)</f>
        <v>#REF!</v>
      </c>
      <c r="AG56" s="20" t="e">
        <f>LEFT(北段!#REF!,4)</f>
        <v>#REF!</v>
      </c>
      <c r="AH56" s="20" t="e">
        <f>LEFT(北段!#REF!,4)</f>
        <v>#REF!</v>
      </c>
      <c r="AI56" s="20" t="e">
        <f>LEFT(北段!#REF!,4)</f>
        <v>#REF!</v>
      </c>
      <c r="AJ56" s="20" t="e">
        <f>LEFT(北段!#REF!,4)</f>
        <v>#REF!</v>
      </c>
      <c r="AK56" s="20" t="e">
        <f>LEFT(北段!#REF!,4)</f>
        <v>#REF!</v>
      </c>
      <c r="AL56" s="20" t="e">
        <f>LEFT(北段!#REF!,4)</f>
        <v>#REF!</v>
      </c>
    </row>
    <row r="57" spans="1:38" ht="39.75" customHeight="1">
      <c r="A57" s="26"/>
      <c r="B57" s="10" t="e">
        <f>LEFT(北段!#REF!,6)</f>
        <v>#REF!</v>
      </c>
      <c r="C57" s="10" t="e">
        <f>VLOOKUP(B57,北段!B:C,2,FALSE)</f>
        <v>#REF!</v>
      </c>
      <c r="D57" s="20" t="e">
        <f>LEFT(北段!#REF!,4)</f>
        <v>#REF!</v>
      </c>
      <c r="E57" s="20" t="e">
        <f>LEFT(北段!#REF!,4)</f>
        <v>#REF!</v>
      </c>
      <c r="F57" s="20" t="e">
        <f>LEFT(北段!#REF!,4)</f>
        <v>#REF!</v>
      </c>
      <c r="G57" s="20" t="e">
        <f>LEFT(北段!#REF!,4)</f>
        <v>#REF!</v>
      </c>
      <c r="H57" s="20" t="e">
        <f>LEFT(北段!#REF!,4)</f>
        <v>#REF!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39" customHeight="1">
      <c r="A58" s="26"/>
      <c r="B58" s="10" t="e">
        <f>LEFT(北段!#REF!,6)</f>
        <v>#REF!</v>
      </c>
      <c r="C58" s="10" t="e">
        <f>VLOOKUP(B58,北段!B:C,2,FALSE)</f>
        <v>#REF!</v>
      </c>
      <c r="D58" s="20" t="e">
        <f>LEFT(北段!#REF!,4)</f>
        <v>#REF!</v>
      </c>
      <c r="E58" s="20" t="e">
        <f>LEFT(北段!#REF!,4)</f>
        <v>#REF!</v>
      </c>
      <c r="F58" s="20" t="e">
        <f>LEFT(北段!#REF!,4)</f>
        <v>#REF!</v>
      </c>
      <c r="G58" s="20" t="e">
        <f>LEFT(北段!#REF!,4)</f>
        <v>#REF!</v>
      </c>
      <c r="H58" s="20" t="e">
        <f>LEFT(北段!#REF!,4)</f>
        <v>#REF!</v>
      </c>
      <c r="I58" s="20" t="e">
        <f>LEFT(北段!#REF!,4)</f>
        <v>#REF!</v>
      </c>
      <c r="J58" s="20" t="e">
        <f>LEFT(北段!#REF!,4)</f>
        <v>#REF!</v>
      </c>
      <c r="K58" s="20" t="e">
        <f>LEFT(北段!#REF!,4)</f>
        <v>#REF!</v>
      </c>
      <c r="L58" s="20" t="e">
        <f>LEFT(北段!#REF!,4)</f>
        <v>#REF!</v>
      </c>
      <c r="M58" s="20" t="e">
        <f>LEFT(北段!#REF!,4)</f>
        <v>#REF!</v>
      </c>
      <c r="N58" s="20" t="e">
        <f>LEFT(北段!#REF!,4)</f>
        <v>#REF!</v>
      </c>
      <c r="O58" s="20" t="e">
        <f>LEFT(北段!#REF!,4)</f>
        <v>#REF!</v>
      </c>
      <c r="P58" s="20" t="e">
        <f>LEFT(北段!#REF!,4)</f>
        <v>#REF!</v>
      </c>
      <c r="Q58" s="20" t="e">
        <f>LEFT(北段!#REF!,4)</f>
        <v>#REF!</v>
      </c>
      <c r="R58" s="20" t="e">
        <f>LEFT(北段!#REF!,4)</f>
        <v>#REF!</v>
      </c>
      <c r="S58" s="20" t="e">
        <f>LEFT(北段!#REF!,4)</f>
        <v>#REF!</v>
      </c>
      <c r="T58" s="20" t="e">
        <f>LEFT(北段!#REF!,4)</f>
        <v>#REF!</v>
      </c>
      <c r="U58" s="20" t="e">
        <f>LEFT(北段!#REF!,4)</f>
        <v>#REF!</v>
      </c>
      <c r="V58" s="20" t="e">
        <f>LEFT(北段!#REF!,4)</f>
        <v>#REF!</v>
      </c>
      <c r="W58" s="20" t="e">
        <f>LEFT(北段!#REF!,4)</f>
        <v>#REF!</v>
      </c>
      <c r="X58" s="20" t="e">
        <f>LEFT(北段!#REF!,4)</f>
        <v>#REF!</v>
      </c>
      <c r="Y58" s="20" t="e">
        <f>LEFT(北段!#REF!,4)</f>
        <v>#REF!</v>
      </c>
      <c r="Z58" s="20" t="e">
        <f>LEFT(北段!#REF!,4)</f>
        <v>#REF!</v>
      </c>
      <c r="AA58" s="20" t="e">
        <f>LEFT(北段!#REF!,4)</f>
        <v>#REF!</v>
      </c>
      <c r="AB58" s="20" t="e">
        <f>LEFT(北段!#REF!,4)</f>
        <v>#REF!</v>
      </c>
      <c r="AC58" s="20" t="e">
        <f>LEFT(北段!#REF!,4)</f>
        <v>#REF!</v>
      </c>
      <c r="AD58" s="20" t="e">
        <f>LEFT(北段!#REF!,4)</f>
        <v>#REF!</v>
      </c>
      <c r="AE58" s="20" t="e">
        <f>LEFT(北段!#REF!,4)</f>
        <v>#REF!</v>
      </c>
      <c r="AF58" s="20" t="e">
        <f>LEFT(北段!#REF!,4)</f>
        <v>#REF!</v>
      </c>
      <c r="AG58" s="20" t="e">
        <f>LEFT(北段!#REF!,4)</f>
        <v>#REF!</v>
      </c>
      <c r="AH58" s="20" t="e">
        <f>LEFT(北段!#REF!,4)</f>
        <v>#REF!</v>
      </c>
      <c r="AI58" s="20" t="e">
        <f>LEFT(北段!#REF!,4)</f>
        <v>#REF!</v>
      </c>
      <c r="AJ58" s="20" t="e">
        <f>LEFT(北段!#REF!,4)</f>
        <v>#REF!</v>
      </c>
      <c r="AK58" s="20" t="e">
        <f>LEFT(北段!#REF!,4)</f>
        <v>#REF!</v>
      </c>
      <c r="AL58" s="20" t="e">
        <f>LEFT(北段!#REF!,4)</f>
        <v>#REF!</v>
      </c>
    </row>
    <row r="59" spans="1:38" ht="39.75" customHeight="1">
      <c r="A59" s="26" t="s">
        <v>15</v>
      </c>
      <c r="B59" s="10" t="e">
        <f>LEFT(北段!#REF!,6)</f>
        <v>#REF!</v>
      </c>
      <c r="C59" s="10" t="e">
        <f>VLOOKUP(B59,北段!B:C,2,FALSE)</f>
        <v>#REF!</v>
      </c>
      <c r="D59" s="20" t="e">
        <f>LEFT(北段!#REF!,4)</f>
        <v>#REF!</v>
      </c>
      <c r="E59" s="20" t="e">
        <f>LEFT(北段!#REF!,4)</f>
        <v>#REF!</v>
      </c>
      <c r="F59" s="20" t="e">
        <f>LEFT(北段!#REF!,4)</f>
        <v>#REF!</v>
      </c>
      <c r="G59" s="20" t="e">
        <f>LEFT(北段!#REF!,4)</f>
        <v>#REF!</v>
      </c>
      <c r="H59" s="20" t="e">
        <f>LEFT(北段!#REF!,4)</f>
        <v>#REF!</v>
      </c>
      <c r="I59" s="20" t="e">
        <f>LEFT(北段!#REF!,4)</f>
        <v>#REF!</v>
      </c>
      <c r="J59" s="20" t="e">
        <f>LEFT(北段!#REF!,4)</f>
        <v>#REF!</v>
      </c>
      <c r="K59" s="20" t="e">
        <f>LEFT(北段!#REF!,4)</f>
        <v>#REF!</v>
      </c>
      <c r="L59" s="20" t="e">
        <f>LEFT(北段!#REF!,4)</f>
        <v>#REF!</v>
      </c>
      <c r="M59" s="20" t="e">
        <f>LEFT(北段!#REF!,4)</f>
        <v>#REF!</v>
      </c>
      <c r="N59" s="20" t="e">
        <f>LEFT(北段!#REF!,4)</f>
        <v>#REF!</v>
      </c>
      <c r="O59" s="20" t="e">
        <f>LEFT(北段!#REF!,4)</f>
        <v>#REF!</v>
      </c>
      <c r="P59" s="20" t="e">
        <f>LEFT(北段!#REF!,4)</f>
        <v>#REF!</v>
      </c>
      <c r="Q59" s="20" t="e">
        <f>LEFT(北段!#REF!,4)</f>
        <v>#REF!</v>
      </c>
      <c r="R59" s="20" t="e">
        <f>LEFT(北段!#REF!,4)</f>
        <v>#REF!</v>
      </c>
      <c r="S59" s="20" t="e">
        <f>LEFT(北段!#REF!,4)</f>
        <v>#REF!</v>
      </c>
      <c r="T59" s="20" t="e">
        <f>LEFT(北段!#REF!,4)</f>
        <v>#REF!</v>
      </c>
      <c r="U59" s="20" t="e">
        <f>LEFT(北段!#REF!,4)</f>
        <v>#REF!</v>
      </c>
      <c r="V59" s="20" t="e">
        <f>LEFT(北段!#REF!,4)</f>
        <v>#REF!</v>
      </c>
      <c r="W59" s="20" t="e">
        <f>LEFT(北段!#REF!,4)</f>
        <v>#REF!</v>
      </c>
      <c r="X59" s="20" t="e">
        <f>LEFT(北段!#REF!,4)</f>
        <v>#REF!</v>
      </c>
      <c r="Y59" s="20" t="e">
        <f>LEFT(北段!#REF!,4)</f>
        <v>#REF!</v>
      </c>
      <c r="Z59" s="20" t="e">
        <f>LEFT(北段!#REF!,4)</f>
        <v>#REF!</v>
      </c>
      <c r="AA59" s="20" t="e">
        <f>LEFT(北段!#REF!,5)</f>
        <v>#REF!</v>
      </c>
      <c r="AB59" s="20" t="e">
        <f>LEFT(北段!#REF!,4)</f>
        <v>#REF!</v>
      </c>
      <c r="AC59" s="20" t="e">
        <f>LEFT(北段!#REF!,4)</f>
        <v>#REF!</v>
      </c>
      <c r="AD59" s="20" t="e">
        <f>LEFT(北段!#REF!,4)</f>
        <v>#REF!</v>
      </c>
      <c r="AE59" s="20" t="e">
        <f>LEFT(北段!#REF!,4)</f>
        <v>#REF!</v>
      </c>
      <c r="AF59" s="20" t="e">
        <f>LEFT(北段!#REF!,4)</f>
        <v>#REF!</v>
      </c>
      <c r="AG59" s="20" t="e">
        <f>LEFT(北段!#REF!,4)</f>
        <v>#REF!</v>
      </c>
      <c r="AH59" s="20" t="e">
        <f>LEFT(北段!#REF!,4)</f>
        <v>#REF!</v>
      </c>
      <c r="AI59" s="20" t="e">
        <f>LEFT(北段!#REF!,4)</f>
        <v>#REF!</v>
      </c>
      <c r="AJ59" s="20" t="e">
        <f>LEFT(北段!#REF!,4)</f>
        <v>#REF!</v>
      </c>
      <c r="AK59" s="20" t="e">
        <f>LEFT(北段!#REF!,4)</f>
        <v>#REF!</v>
      </c>
      <c r="AL59" s="20" t="e">
        <f>LEFT(北段!#REF!,4)</f>
        <v>#REF!</v>
      </c>
    </row>
    <row r="60" spans="1:38" ht="39.6" customHeight="1">
      <c r="A60" s="26"/>
      <c r="B60" s="10" t="e">
        <f>LEFT(北段!#REF!,6)</f>
        <v>#REF!</v>
      </c>
      <c r="C60" s="10" t="e">
        <f>VLOOKUP(B60,北段!B:C,2,FALSE)</f>
        <v>#REF!</v>
      </c>
      <c r="D60" s="20" t="e">
        <f>LEFT(北段!#REF!,4)</f>
        <v>#REF!</v>
      </c>
      <c r="E60" s="20" t="e">
        <f>LEFT(北段!#REF!,4)</f>
        <v>#REF!</v>
      </c>
      <c r="F60" s="20" t="e">
        <f>LEFT(北段!#REF!,4)</f>
        <v>#REF!</v>
      </c>
      <c r="G60" s="20" t="e">
        <f>LEFT(北段!#REF!,4)</f>
        <v>#REF!</v>
      </c>
      <c r="H60" s="20" t="e">
        <f>LEFT(北段!#REF!,4)</f>
        <v>#REF!</v>
      </c>
      <c r="I60" s="20" t="e">
        <f>LEFT(北段!#REF!,4)</f>
        <v>#REF!</v>
      </c>
      <c r="J60" s="20" t="e">
        <f>LEFT(北段!#REF!,4)</f>
        <v>#REF!</v>
      </c>
      <c r="K60" s="20" t="e">
        <f>LEFT(北段!#REF!,4)</f>
        <v>#REF!</v>
      </c>
      <c r="L60" s="20" t="e">
        <f>LEFT(北段!#REF!,4)</f>
        <v>#REF!</v>
      </c>
      <c r="M60" s="20" t="e">
        <f>LEFT(北段!#REF!,4)</f>
        <v>#REF!</v>
      </c>
      <c r="N60" s="20" t="e">
        <f>LEFT(北段!#REF!,4)</f>
        <v>#REF!</v>
      </c>
      <c r="O60" s="20" t="e">
        <f>LEFT(北段!#REF!,4)</f>
        <v>#REF!</v>
      </c>
      <c r="P60" s="20" t="e">
        <f>LEFT(北段!#REF!,4)</f>
        <v>#REF!</v>
      </c>
      <c r="Q60" s="20" t="e">
        <f>LEFT(北段!#REF!,4)</f>
        <v>#REF!</v>
      </c>
      <c r="R60" s="20" t="e">
        <f>LEFT(北段!#REF!,4)</f>
        <v>#REF!</v>
      </c>
      <c r="S60" s="20" t="e">
        <f>LEFT(北段!#REF!,4)</f>
        <v>#REF!</v>
      </c>
      <c r="T60" s="20" t="e">
        <f>LEFT(北段!#REF!,4)</f>
        <v>#REF!</v>
      </c>
      <c r="U60" s="20" t="e">
        <f>LEFT(北段!#REF!,4)</f>
        <v>#REF!</v>
      </c>
      <c r="V60" s="20" t="e">
        <f>LEFT(北段!#REF!,4)</f>
        <v>#REF!</v>
      </c>
      <c r="W60" s="20" t="e">
        <f>LEFT(北段!#REF!,6)</f>
        <v>#REF!</v>
      </c>
      <c r="X60" s="20" t="e">
        <f>LEFT(北段!#REF!,4)</f>
        <v>#REF!</v>
      </c>
      <c r="Y60" s="20" t="e">
        <f>LEFT(北段!#REF!,4)</f>
        <v>#REF!</v>
      </c>
      <c r="Z60" s="20" t="e">
        <f>LEFT(北段!#REF!,4)</f>
        <v>#REF!</v>
      </c>
      <c r="AA60" s="20" t="e">
        <f>LEFT(北段!#REF!,4)</f>
        <v>#REF!</v>
      </c>
      <c r="AB60" s="20" t="e">
        <f>LEFT(北段!#REF!,4)</f>
        <v>#REF!</v>
      </c>
      <c r="AC60" s="20" t="e">
        <f>LEFT(北段!#REF!,4)</f>
        <v>#REF!</v>
      </c>
      <c r="AD60" s="20" t="e">
        <f>LEFT(北段!#REF!,4)</f>
        <v>#REF!</v>
      </c>
      <c r="AE60" s="20" t="e">
        <f>LEFT(北段!#REF!,4)</f>
        <v>#REF!</v>
      </c>
      <c r="AF60" s="20" t="e">
        <f>LEFT(北段!#REF!,4)</f>
        <v>#REF!</v>
      </c>
      <c r="AG60" s="20" t="e">
        <f>LEFT(北段!#REF!,4)</f>
        <v>#REF!</v>
      </c>
      <c r="AH60" s="20" t="e">
        <f>LEFT(北段!#REF!,4)</f>
        <v>#REF!</v>
      </c>
      <c r="AI60" s="20" t="e">
        <f>LEFT(北段!#REF!,4)</f>
        <v>#REF!</v>
      </c>
      <c r="AJ60" s="20" t="e">
        <f>LEFT(北段!#REF!,4)</f>
        <v>#REF!</v>
      </c>
      <c r="AK60" s="20" t="e">
        <f>LEFT(北段!#REF!,4)</f>
        <v>#REF!</v>
      </c>
      <c r="AL60" s="20" t="e">
        <f>LEFT(北段!#REF!,4)</f>
        <v>#REF!</v>
      </c>
    </row>
    <row r="61" spans="1:38" ht="39.75" customHeight="1">
      <c r="A61" s="26"/>
      <c r="B61" s="10" t="e">
        <f>LEFT(北段!#REF!,6)</f>
        <v>#REF!</v>
      </c>
      <c r="C61" s="10" t="e">
        <f>VLOOKUP(B61,北段!B:C,2,FALSE)</f>
        <v>#REF!</v>
      </c>
      <c r="D61" s="20" t="e">
        <f>LEFT(北段!#REF!,4)</f>
        <v>#REF!</v>
      </c>
      <c r="E61" s="20" t="e">
        <f>LEFT(北段!#REF!,4)</f>
        <v>#REF!</v>
      </c>
      <c r="F61" s="20" t="e">
        <f>LEFT(北段!#REF!,4)</f>
        <v>#REF!</v>
      </c>
      <c r="G61" s="20" t="e">
        <f>LEFT(北段!#REF!,4)</f>
        <v>#REF!</v>
      </c>
      <c r="H61" s="20" t="e">
        <f>LEFT(北段!#REF!,4)</f>
        <v>#REF!</v>
      </c>
      <c r="I61" s="20" t="e">
        <f>LEFT(北段!#REF!,4)</f>
        <v>#REF!</v>
      </c>
      <c r="J61" s="20" t="e">
        <f>LEFT(北段!#REF!,4)</f>
        <v>#REF!</v>
      </c>
      <c r="K61" s="20" t="e">
        <f>LEFT(北段!#REF!,4)</f>
        <v>#REF!</v>
      </c>
      <c r="L61" s="20" t="e">
        <f>LEFT(北段!#REF!,4)</f>
        <v>#REF!</v>
      </c>
      <c r="M61" s="20" t="e">
        <f>LEFT(北段!#REF!,4)</f>
        <v>#REF!</v>
      </c>
      <c r="N61" s="20" t="e">
        <f>LEFT(北段!#REF!,4)</f>
        <v>#REF!</v>
      </c>
      <c r="O61" s="20" t="e">
        <f>LEFT(北段!#REF!,4)</f>
        <v>#REF!</v>
      </c>
      <c r="P61" s="20" t="e">
        <f>LEFT(北段!#REF!,4)</f>
        <v>#REF!</v>
      </c>
      <c r="Q61" s="20" t="e">
        <f>LEFT(北段!#REF!,4)</f>
        <v>#REF!</v>
      </c>
      <c r="R61" s="20" t="e">
        <f>LEFT(北段!#REF!,4)</f>
        <v>#REF!</v>
      </c>
      <c r="S61" s="20" t="e">
        <f>LEFT(北段!#REF!,4)</f>
        <v>#REF!</v>
      </c>
      <c r="T61" s="20" t="e">
        <f>LEFT(北段!#REF!,4)</f>
        <v>#REF!</v>
      </c>
      <c r="U61" s="20" t="e">
        <f>LEFT(北段!#REF!,4)</f>
        <v>#REF!</v>
      </c>
      <c r="V61" s="20" t="e">
        <f>LEFT(北段!#REF!,4)</f>
        <v>#REF!</v>
      </c>
      <c r="W61" s="20" t="e">
        <f>LEFT(北段!#REF!,4)</f>
        <v>#REF!</v>
      </c>
      <c r="X61" s="20" t="e">
        <f>LEFT(北段!#REF!,4)</f>
        <v>#REF!</v>
      </c>
      <c r="Y61" s="20" t="e">
        <f>LEFT(北段!#REF!,4)</f>
        <v>#REF!</v>
      </c>
      <c r="Z61" s="20" t="e">
        <f>LEFT(北段!#REF!,4)</f>
        <v>#REF!</v>
      </c>
      <c r="AA61" s="20" t="e">
        <f>LEFT(北段!#REF!,4)</f>
        <v>#REF!</v>
      </c>
      <c r="AB61" s="20" t="e">
        <f>LEFT(北段!#REF!,4)</f>
        <v>#REF!</v>
      </c>
      <c r="AC61" s="20" t="e">
        <f>LEFT(北段!#REF!,4)</f>
        <v>#REF!</v>
      </c>
      <c r="AD61" s="20" t="e">
        <f>LEFT(北段!#REF!,4)</f>
        <v>#REF!</v>
      </c>
      <c r="AE61" s="20" t="e">
        <f>LEFT(北段!#REF!,4)</f>
        <v>#REF!</v>
      </c>
      <c r="AF61" s="20" t="e">
        <f>LEFT(北段!#REF!,4)</f>
        <v>#REF!</v>
      </c>
      <c r="AG61" s="20" t="e">
        <f>LEFT(北段!#REF!,4)</f>
        <v>#REF!</v>
      </c>
      <c r="AH61" s="20" t="e">
        <f>LEFT(北段!#REF!,4)</f>
        <v>#REF!</v>
      </c>
      <c r="AI61" s="20" t="e">
        <f>LEFT(北段!#REF!,4)</f>
        <v>#REF!</v>
      </c>
      <c r="AJ61" s="20" t="e">
        <f>LEFT(北段!#REF!,4)</f>
        <v>#REF!</v>
      </c>
      <c r="AK61" s="20" t="e">
        <f>LEFT(北段!#REF!,4)</f>
        <v>#REF!</v>
      </c>
      <c r="AL61" s="20" t="e">
        <f>LEFT(北段!#REF!,4)</f>
        <v>#REF!</v>
      </c>
    </row>
    <row r="62" spans="1:38" ht="39.6" customHeight="1">
      <c r="A62" s="26"/>
      <c r="B62" s="10" t="e">
        <f>LEFT(北段!#REF!,6)</f>
        <v>#REF!</v>
      </c>
      <c r="C62" s="10" t="e">
        <f>VLOOKUP(B62,北段!B:C,2,FALSE)</f>
        <v>#REF!</v>
      </c>
      <c r="D62" s="20" t="e">
        <f>LEFT(北段!#REF!,4)</f>
        <v>#REF!</v>
      </c>
      <c r="E62" s="20" t="e">
        <f>LEFT(北段!#REF!,4)</f>
        <v>#REF!</v>
      </c>
      <c r="F62" s="20" t="e">
        <f>LEFT(北段!#REF!,4)</f>
        <v>#REF!</v>
      </c>
      <c r="G62" s="20" t="e">
        <f>LEFT(北段!#REF!,4)</f>
        <v>#REF!</v>
      </c>
      <c r="H62" s="20" t="e">
        <f>LEFT(北段!#REF!,4)</f>
        <v>#REF!</v>
      </c>
      <c r="I62" s="20" t="e">
        <f>LEFT(北段!#REF!,4)</f>
        <v>#REF!</v>
      </c>
      <c r="J62" s="20" t="e">
        <f>LEFT(北段!#REF!,4)</f>
        <v>#REF!</v>
      </c>
      <c r="K62" s="20" t="e">
        <f>LEFT(北段!#REF!,4)</f>
        <v>#REF!</v>
      </c>
      <c r="L62" s="20" t="e">
        <f>LEFT(北段!#REF!,4)</f>
        <v>#REF!</v>
      </c>
      <c r="M62" s="20" t="e">
        <f>LEFT(北段!#REF!,4)</f>
        <v>#REF!</v>
      </c>
      <c r="N62" s="20" t="e">
        <f>LEFT(北段!#REF!,4)</f>
        <v>#REF!</v>
      </c>
      <c r="O62" s="20" t="e">
        <f>LEFT(北段!#REF!,4)</f>
        <v>#REF!</v>
      </c>
      <c r="P62" s="20" t="e">
        <f>LEFT(北段!#REF!,4)</f>
        <v>#REF!</v>
      </c>
      <c r="Q62" s="20" t="e">
        <f>LEFT(北段!#REF!,4)</f>
        <v>#REF!</v>
      </c>
      <c r="R62" s="20" t="e">
        <f>LEFT(北段!#REF!,4)</f>
        <v>#REF!</v>
      </c>
      <c r="S62" s="20" t="e">
        <f>LEFT(北段!#REF!,4)</f>
        <v>#REF!</v>
      </c>
      <c r="T62" s="20" t="e">
        <f>LEFT(北段!#REF!,4)</f>
        <v>#REF!</v>
      </c>
      <c r="U62" s="20" t="e">
        <f>LEFT(北段!#REF!,4)</f>
        <v>#REF!</v>
      </c>
      <c r="V62" s="20" t="e">
        <f>LEFT(北段!#REF!,4)</f>
        <v>#REF!</v>
      </c>
      <c r="W62" s="20" t="e">
        <f>LEFT(北段!#REF!,4)</f>
        <v>#REF!</v>
      </c>
      <c r="X62" s="20" t="e">
        <f>LEFT(北段!#REF!,4)</f>
        <v>#REF!</v>
      </c>
      <c r="Y62" s="20" t="e">
        <f>LEFT(北段!#REF!,4)</f>
        <v>#REF!</v>
      </c>
      <c r="Z62" s="20" t="e">
        <f>LEFT(北段!#REF!,4)</f>
        <v>#REF!</v>
      </c>
      <c r="AA62" s="20" t="e">
        <f>LEFT(北段!#REF!,4)</f>
        <v>#REF!</v>
      </c>
      <c r="AB62" s="20" t="e">
        <f>LEFT(北段!#REF!,4)</f>
        <v>#REF!</v>
      </c>
      <c r="AC62" s="20" t="e">
        <f>LEFT(北段!#REF!,4)</f>
        <v>#REF!</v>
      </c>
      <c r="AD62" s="20" t="e">
        <f>LEFT(北段!#REF!,4)</f>
        <v>#REF!</v>
      </c>
      <c r="AE62" s="20" t="e">
        <f>LEFT(北段!#REF!,4)</f>
        <v>#REF!</v>
      </c>
      <c r="AF62" s="20" t="e">
        <f>LEFT(北段!#REF!,4)</f>
        <v>#REF!</v>
      </c>
      <c r="AG62" s="20" t="e">
        <f>LEFT(北段!#REF!,4)</f>
        <v>#REF!</v>
      </c>
      <c r="AH62" s="20" t="e">
        <f>LEFT(北段!#REF!,4)</f>
        <v>#REF!</v>
      </c>
      <c r="AI62" s="20" t="e">
        <f>LEFT(北段!#REF!,4)</f>
        <v>#REF!</v>
      </c>
      <c r="AJ62" s="20" t="e">
        <f>LEFT(北段!#REF!,4)</f>
        <v>#REF!</v>
      </c>
      <c r="AK62" s="20" t="e">
        <f>LEFT(北段!#REF!,4)</f>
        <v>#REF!</v>
      </c>
      <c r="AL62" s="20" t="e">
        <f>LEFT(北段!#REF!,4)</f>
        <v>#REF!</v>
      </c>
    </row>
    <row r="63" spans="1:38" ht="39" customHeight="1">
      <c r="A63" s="26"/>
      <c r="B63" s="10" t="e">
        <f>LEFT(北段!#REF!,6)</f>
        <v>#REF!</v>
      </c>
      <c r="C63" s="10" t="e">
        <f>VLOOKUP(B63,北段!B:C,2,FALSE)</f>
        <v>#REF!</v>
      </c>
      <c r="D63" s="20" t="e">
        <f>LEFT(北段!#REF!,4)</f>
        <v>#REF!</v>
      </c>
      <c r="E63" s="20" t="e">
        <f>LEFT(北段!#REF!,4)</f>
        <v>#REF!</v>
      </c>
      <c r="F63" s="20" t="e">
        <f>LEFT(北段!#REF!,4)</f>
        <v>#REF!</v>
      </c>
      <c r="G63" s="20" t="e">
        <f>LEFT(北段!#REF!,4)</f>
        <v>#REF!</v>
      </c>
      <c r="H63" s="20" t="e">
        <f>LEFT(北段!#REF!,4)</f>
        <v>#REF!</v>
      </c>
      <c r="I63" s="20" t="e">
        <f>LEFT(北段!#REF!,4)</f>
        <v>#REF!</v>
      </c>
      <c r="J63" s="20" t="e">
        <f>LEFT(北段!#REF!,4)</f>
        <v>#REF!</v>
      </c>
      <c r="K63" s="20" t="e">
        <f>LEFT(北段!#REF!,4)</f>
        <v>#REF!</v>
      </c>
      <c r="L63" s="20" t="e">
        <f>LEFT(北段!#REF!,4)</f>
        <v>#REF!</v>
      </c>
      <c r="M63" s="20" t="e">
        <f>LEFT(北段!#REF!,4)</f>
        <v>#REF!</v>
      </c>
      <c r="N63" s="20" t="e">
        <f>LEFT(北段!#REF!,4)</f>
        <v>#REF!</v>
      </c>
      <c r="O63" s="20" t="e">
        <f>LEFT(北段!#REF!,4)</f>
        <v>#REF!</v>
      </c>
      <c r="P63" s="20" t="e">
        <f>LEFT(北段!#REF!,4)</f>
        <v>#REF!</v>
      </c>
      <c r="Q63" s="20" t="e">
        <f>LEFT(北段!#REF!,4)</f>
        <v>#REF!</v>
      </c>
      <c r="R63" s="20" t="e">
        <f>LEFT(北段!#REF!,4)</f>
        <v>#REF!</v>
      </c>
      <c r="S63" s="20" t="e">
        <f>LEFT(北段!#REF!,4)</f>
        <v>#REF!</v>
      </c>
      <c r="T63" s="20" t="e">
        <f>LEFT(北段!#REF!,4)</f>
        <v>#REF!</v>
      </c>
      <c r="U63" s="20" t="e">
        <f>LEFT(北段!#REF!,4)</f>
        <v>#REF!</v>
      </c>
      <c r="V63" s="20" t="e">
        <f>LEFT(北段!#REF!,4)</f>
        <v>#REF!</v>
      </c>
      <c r="W63" s="20" t="e">
        <f>LEFT(北段!#REF!,4)</f>
        <v>#REF!</v>
      </c>
      <c r="X63" s="20" t="e">
        <f>LEFT(北段!#REF!,4)</f>
        <v>#REF!</v>
      </c>
      <c r="Y63" s="20" t="e">
        <f>LEFT(北段!#REF!,4)</f>
        <v>#REF!</v>
      </c>
      <c r="Z63" s="20" t="e">
        <f>LEFT(北段!#REF!,4)</f>
        <v>#REF!</v>
      </c>
      <c r="AA63" s="20" t="e">
        <f>LEFT(北段!#REF!,4)</f>
        <v>#REF!</v>
      </c>
      <c r="AB63" s="20" t="e">
        <f>LEFT(北段!#REF!,4)</f>
        <v>#REF!</v>
      </c>
      <c r="AC63" s="20" t="e">
        <f>LEFT(北段!#REF!,4)</f>
        <v>#REF!</v>
      </c>
      <c r="AD63" s="20" t="e">
        <f>LEFT(北段!#REF!,4)</f>
        <v>#REF!</v>
      </c>
      <c r="AE63" s="20" t="e">
        <f>LEFT(北段!#REF!,4)</f>
        <v>#REF!</v>
      </c>
      <c r="AF63" s="20" t="e">
        <f>LEFT(北段!#REF!,4)</f>
        <v>#REF!</v>
      </c>
      <c r="AG63" s="20" t="e">
        <f>LEFT(北段!#REF!,4)</f>
        <v>#REF!</v>
      </c>
      <c r="AH63" s="20" t="e">
        <f>LEFT(北段!#REF!,4)</f>
        <v>#REF!</v>
      </c>
      <c r="AI63" s="20" t="e">
        <f>LEFT(北段!#REF!,4)</f>
        <v>#REF!</v>
      </c>
      <c r="AJ63" s="20" t="e">
        <f>LEFT(北段!#REF!,4)</f>
        <v>#REF!</v>
      </c>
      <c r="AK63" s="20" t="e">
        <f>LEFT(北段!#REF!,4)</f>
        <v>#REF!</v>
      </c>
      <c r="AL63" s="20" t="e">
        <f>LEFT(北段!#REF!,4)</f>
        <v>#REF!</v>
      </c>
    </row>
    <row r="64" spans="1:38" ht="47.25" customHeight="1">
      <c r="A64" s="26"/>
      <c r="B64" s="10" t="e">
        <f>LEFT(北段!#REF!,6)</f>
        <v>#REF!</v>
      </c>
      <c r="C64" s="10" t="e">
        <f>VLOOKUP(B64,北段!B:C,2,FALSE)</f>
        <v>#REF!</v>
      </c>
      <c r="D64" s="20" t="e">
        <f>LEFT(北段!#REF!,4)</f>
        <v>#REF!</v>
      </c>
      <c r="E64" s="20" t="e">
        <f>LEFT(北段!#REF!,4)</f>
        <v>#REF!</v>
      </c>
      <c r="F64" s="20" t="e">
        <f>LEFT(北段!#REF!,4)</f>
        <v>#REF!</v>
      </c>
      <c r="G64" s="20" t="e">
        <f>LEFT(北段!#REF!,4)</f>
        <v>#REF!</v>
      </c>
      <c r="H64" s="20" t="e">
        <f>LEFT(北段!#REF!,4)</f>
        <v>#REF!</v>
      </c>
      <c r="I64" s="20" t="e">
        <f>LEFT(北段!#REF!,4)</f>
        <v>#REF!</v>
      </c>
      <c r="J64" s="20" t="e">
        <f>LEFT(北段!#REF!,4)</f>
        <v>#REF!</v>
      </c>
      <c r="K64" s="20" t="e">
        <f>LEFT(北段!#REF!,4)</f>
        <v>#REF!</v>
      </c>
      <c r="L64" s="20" t="e">
        <f>LEFT(北段!#REF!,4)</f>
        <v>#REF!</v>
      </c>
      <c r="M64" s="20" t="e">
        <f>LEFT(北段!#REF!,4)</f>
        <v>#REF!</v>
      </c>
      <c r="N64" s="20" t="e">
        <f>LEFT(北段!#REF!,4)</f>
        <v>#REF!</v>
      </c>
      <c r="O64" s="20" t="e">
        <f>LEFT(北段!#REF!,4)</f>
        <v>#REF!</v>
      </c>
      <c r="P64" s="20" t="e">
        <f>LEFT(北段!#REF!,4)</f>
        <v>#REF!</v>
      </c>
      <c r="Q64" s="20" t="e">
        <f>LEFT(北段!#REF!,4)</f>
        <v>#REF!</v>
      </c>
      <c r="R64" s="20" t="e">
        <f>LEFT(北段!#REF!,4)</f>
        <v>#REF!</v>
      </c>
      <c r="S64" s="20" t="e">
        <f>LEFT(北段!#REF!,4)</f>
        <v>#REF!</v>
      </c>
      <c r="T64" s="20" t="e">
        <f>LEFT(北段!#REF!,4)</f>
        <v>#REF!</v>
      </c>
      <c r="U64" s="20" t="e">
        <f>LEFT(北段!#REF!,4)</f>
        <v>#REF!</v>
      </c>
      <c r="V64" s="20" t="e">
        <f>LEFT(北段!#REF!,4)</f>
        <v>#REF!</v>
      </c>
      <c r="W64" s="20" t="e">
        <f>LEFT(北段!#REF!,4)</f>
        <v>#REF!</v>
      </c>
      <c r="X64" s="20" t="e">
        <f>LEFT(北段!#REF!,4)</f>
        <v>#REF!</v>
      </c>
      <c r="Y64" s="20" t="e">
        <f>LEFT(北段!#REF!,4)</f>
        <v>#REF!</v>
      </c>
      <c r="Z64" s="20" t="e">
        <f>LEFT(北段!#REF!,4)</f>
        <v>#REF!</v>
      </c>
      <c r="AA64" s="20" t="e">
        <f>LEFT(北段!#REF!,4)</f>
        <v>#REF!</v>
      </c>
      <c r="AB64" s="20" t="e">
        <f>LEFT(北段!#REF!,4)</f>
        <v>#REF!</v>
      </c>
      <c r="AC64" s="20" t="e">
        <f>LEFT(北段!#REF!,4)</f>
        <v>#REF!</v>
      </c>
      <c r="AD64" s="20" t="e">
        <f>LEFT(北段!#REF!,4)</f>
        <v>#REF!</v>
      </c>
      <c r="AE64" s="20" t="e">
        <f>LEFT(北段!#REF!,4)</f>
        <v>#REF!</v>
      </c>
      <c r="AF64" s="20" t="e">
        <f>LEFT(北段!#REF!,4)</f>
        <v>#REF!</v>
      </c>
      <c r="AG64" s="20" t="e">
        <f>LEFT(北段!#REF!,4)</f>
        <v>#REF!</v>
      </c>
      <c r="AH64" s="20" t="e">
        <f>LEFT(北段!#REF!,4)</f>
        <v>#REF!</v>
      </c>
      <c r="AI64" s="20" t="e">
        <f>LEFT(北段!#REF!,4)</f>
        <v>#REF!</v>
      </c>
      <c r="AJ64" s="20" t="e">
        <f>LEFT(北段!#REF!,4)</f>
        <v>#REF!</v>
      </c>
      <c r="AK64" s="20" t="e">
        <f>LEFT(北段!#REF!,4)</f>
        <v>#REF!</v>
      </c>
      <c r="AL64" s="20" t="e">
        <f>LEFT(北段!#REF!,4)</f>
        <v>#REF!</v>
      </c>
    </row>
    <row r="65" spans="1:38" ht="39.75" customHeight="1">
      <c r="A65" s="26" t="s">
        <v>16</v>
      </c>
      <c r="B65" s="10" t="e">
        <f>LEFT(北段!#REF!,6)</f>
        <v>#REF!</v>
      </c>
      <c r="C65" s="10" t="e">
        <f>VLOOKUP(B65,北段!B:C,2,FALSE)</f>
        <v>#REF!</v>
      </c>
      <c r="D65" s="20" t="e">
        <f>LEFT(北段!#REF!,4)</f>
        <v>#REF!</v>
      </c>
      <c r="E65" s="20" t="e">
        <f>LEFT(北段!#REF!,4)</f>
        <v>#REF!</v>
      </c>
      <c r="F65" s="20" t="e">
        <f>LEFT(北段!#REF!,4)</f>
        <v>#REF!</v>
      </c>
      <c r="G65" s="20" t="e">
        <f>LEFT(北段!#REF!,4)</f>
        <v>#REF!</v>
      </c>
      <c r="H65" s="20" t="e">
        <f>LEFT(北段!#REF!,4)</f>
        <v>#REF!</v>
      </c>
      <c r="I65" s="20" t="e">
        <f>LEFT(北段!#REF!,4)</f>
        <v>#REF!</v>
      </c>
      <c r="J65" s="20" t="e">
        <f>LEFT(北段!#REF!,4)</f>
        <v>#REF!</v>
      </c>
      <c r="K65" s="20" t="e">
        <f>LEFT(北段!#REF!,4)</f>
        <v>#REF!</v>
      </c>
      <c r="L65" s="20" t="e">
        <f>LEFT(北段!#REF!,4)</f>
        <v>#REF!</v>
      </c>
      <c r="M65" s="20" t="e">
        <f>LEFT(北段!#REF!,4)</f>
        <v>#REF!</v>
      </c>
      <c r="N65" s="20" t="e">
        <f>LEFT(北段!#REF!,4)</f>
        <v>#REF!</v>
      </c>
      <c r="O65" s="20" t="e">
        <f>LEFT(北段!#REF!,4)</f>
        <v>#REF!</v>
      </c>
      <c r="P65" s="20" t="e">
        <f>LEFT(北段!#REF!,4)</f>
        <v>#REF!</v>
      </c>
      <c r="Q65" s="20" t="e">
        <f>LEFT(北段!#REF!,4)</f>
        <v>#REF!</v>
      </c>
      <c r="R65" s="20" t="e">
        <f>LEFT(北段!#REF!,4)</f>
        <v>#REF!</v>
      </c>
      <c r="S65" s="20" t="e">
        <f>LEFT(北段!#REF!,4)</f>
        <v>#REF!</v>
      </c>
      <c r="T65" s="20" t="e">
        <f>LEFT(北段!#REF!,4)</f>
        <v>#REF!</v>
      </c>
      <c r="U65" s="20" t="e">
        <f>LEFT(北段!#REF!,4)</f>
        <v>#REF!</v>
      </c>
      <c r="V65" s="20" t="e">
        <f>LEFT(北段!#REF!,4)</f>
        <v>#REF!</v>
      </c>
      <c r="W65" s="20" t="e">
        <f>LEFT(北段!#REF!,4)</f>
        <v>#REF!</v>
      </c>
      <c r="X65" s="20" t="e">
        <f>LEFT(北段!#REF!,4)</f>
        <v>#REF!</v>
      </c>
      <c r="Y65" s="20" t="e">
        <f>LEFT(北段!#REF!,4)</f>
        <v>#REF!</v>
      </c>
      <c r="Z65" s="20" t="e">
        <f>LEFT(北段!#REF!,4)</f>
        <v>#REF!</v>
      </c>
      <c r="AA65" s="20" t="e">
        <f>LEFT(北段!#REF!,5)</f>
        <v>#REF!</v>
      </c>
      <c r="AB65" s="20" t="e">
        <f>LEFT(北段!#REF!,4)</f>
        <v>#REF!</v>
      </c>
      <c r="AC65" s="20" t="e">
        <f>LEFT(北段!#REF!,4)</f>
        <v>#REF!</v>
      </c>
      <c r="AD65" s="20" t="e">
        <f>LEFT(北段!#REF!,4)</f>
        <v>#REF!</v>
      </c>
      <c r="AE65" s="20" t="e">
        <f>LEFT(北段!#REF!,4)</f>
        <v>#REF!</v>
      </c>
      <c r="AF65" s="20" t="e">
        <f>LEFT(北段!#REF!,4)</f>
        <v>#REF!</v>
      </c>
      <c r="AG65" s="20" t="e">
        <f>LEFT(北段!#REF!,4)</f>
        <v>#REF!</v>
      </c>
      <c r="AH65" s="20" t="e">
        <f>LEFT(北段!#REF!,4)</f>
        <v>#REF!</v>
      </c>
      <c r="AI65" s="20" t="e">
        <f>LEFT(北段!#REF!,4)</f>
        <v>#REF!</v>
      </c>
      <c r="AJ65" s="20" t="e">
        <f>LEFT(北段!#REF!,4)</f>
        <v>#REF!</v>
      </c>
      <c r="AK65" s="20" t="e">
        <f>LEFT(北段!#REF!,4)</f>
        <v>#REF!</v>
      </c>
      <c r="AL65" s="20" t="e">
        <f>LEFT(北段!#REF!,4)</f>
        <v>#REF!</v>
      </c>
    </row>
    <row r="66" spans="1:38" ht="39.6" customHeight="1">
      <c r="A66" s="26"/>
      <c r="B66" s="10" t="e">
        <f>LEFT(北段!#REF!,6)</f>
        <v>#REF!</v>
      </c>
      <c r="C66" s="10" t="e">
        <f>VLOOKUP(B66,北段!B:C,2,FALSE)</f>
        <v>#REF!</v>
      </c>
      <c r="D66" s="20" t="e">
        <f>LEFT(北段!#REF!,4)</f>
        <v>#REF!</v>
      </c>
      <c r="E66" s="20" t="e">
        <f>LEFT(北段!#REF!,4)</f>
        <v>#REF!</v>
      </c>
      <c r="F66" s="20" t="e">
        <f>LEFT(北段!#REF!,4)</f>
        <v>#REF!</v>
      </c>
      <c r="G66" s="20" t="e">
        <f>LEFT(北段!#REF!,4)</f>
        <v>#REF!</v>
      </c>
      <c r="H66" s="20" t="e">
        <f>LEFT(北段!#REF!,4)</f>
        <v>#REF!</v>
      </c>
      <c r="I66" s="20" t="e">
        <f>LEFT(北段!#REF!,4)</f>
        <v>#REF!</v>
      </c>
      <c r="J66" s="20" t="e">
        <f>LEFT(北段!#REF!,4)</f>
        <v>#REF!</v>
      </c>
      <c r="K66" s="20" t="e">
        <f>LEFT(北段!#REF!,4)</f>
        <v>#REF!</v>
      </c>
      <c r="L66" s="20" t="e">
        <f>LEFT(北段!#REF!,4)</f>
        <v>#REF!</v>
      </c>
      <c r="M66" s="20" t="e">
        <f>LEFT(北段!#REF!,4)</f>
        <v>#REF!</v>
      </c>
      <c r="N66" s="20" t="e">
        <f>LEFT(北段!#REF!,4)</f>
        <v>#REF!</v>
      </c>
      <c r="O66" s="20" t="e">
        <f>LEFT(北段!#REF!,4)</f>
        <v>#REF!</v>
      </c>
      <c r="P66" s="20" t="e">
        <f>LEFT(北段!#REF!,4)</f>
        <v>#REF!</v>
      </c>
      <c r="Q66" s="20" t="e">
        <f>LEFT(北段!#REF!,4)</f>
        <v>#REF!</v>
      </c>
      <c r="R66" s="20" t="e">
        <f>LEFT(北段!#REF!,4)</f>
        <v>#REF!</v>
      </c>
      <c r="S66" s="20" t="e">
        <f>LEFT(北段!#REF!,4)</f>
        <v>#REF!</v>
      </c>
      <c r="T66" s="20" t="e">
        <f>LEFT(北段!#REF!,4)</f>
        <v>#REF!</v>
      </c>
      <c r="U66" s="20" t="e">
        <f>LEFT(北段!#REF!,4)</f>
        <v>#REF!</v>
      </c>
      <c r="V66" s="20" t="e">
        <f>LEFT(北段!#REF!,4)</f>
        <v>#REF!</v>
      </c>
      <c r="W66" s="20" t="e">
        <f>LEFT(北段!#REF!,4)</f>
        <v>#REF!</v>
      </c>
      <c r="X66" s="20" t="e">
        <f>LEFT(北段!#REF!,4)</f>
        <v>#REF!</v>
      </c>
      <c r="Y66" s="20" t="e">
        <f>LEFT(北段!#REF!,4)</f>
        <v>#REF!</v>
      </c>
      <c r="Z66" s="20" t="e">
        <f>LEFT(北段!#REF!,4)</f>
        <v>#REF!</v>
      </c>
      <c r="AA66" s="20" t="e">
        <f>LEFT(北段!#REF!,4)</f>
        <v>#REF!</v>
      </c>
      <c r="AB66" s="20" t="e">
        <f>LEFT(北段!#REF!,4)</f>
        <v>#REF!</v>
      </c>
      <c r="AC66" s="20" t="e">
        <f>LEFT(北段!#REF!,4)</f>
        <v>#REF!</v>
      </c>
      <c r="AD66" s="20" t="e">
        <f>LEFT(北段!#REF!,4)</f>
        <v>#REF!</v>
      </c>
      <c r="AE66" s="20" t="e">
        <f>LEFT(北段!#REF!,4)</f>
        <v>#REF!</v>
      </c>
      <c r="AF66" s="20" t="e">
        <f>LEFT(北段!#REF!,4)</f>
        <v>#REF!</v>
      </c>
      <c r="AG66" s="20" t="e">
        <f>LEFT(北段!#REF!,4)</f>
        <v>#REF!</v>
      </c>
      <c r="AH66" s="20" t="e">
        <f>LEFT(北段!#REF!,4)</f>
        <v>#REF!</v>
      </c>
      <c r="AI66" s="20" t="e">
        <f>LEFT(北段!#REF!,4)</f>
        <v>#REF!</v>
      </c>
      <c r="AJ66" s="20" t="e">
        <f>LEFT(北段!#REF!,4)</f>
        <v>#REF!</v>
      </c>
      <c r="AK66" s="20" t="e">
        <f>LEFT(北段!#REF!,4)</f>
        <v>#REF!</v>
      </c>
      <c r="AL66" s="20" t="e">
        <f>LEFT(北段!#REF!,4)</f>
        <v>#REF!</v>
      </c>
    </row>
    <row r="67" spans="1:38" ht="39.75" customHeight="1">
      <c r="A67" s="26"/>
      <c r="B67" s="10" t="e">
        <f>LEFT(北段!#REF!,6)</f>
        <v>#REF!</v>
      </c>
      <c r="C67" s="10" t="e">
        <f>VLOOKUP(B67,北段!B:C,2,FALSE)</f>
        <v>#REF!</v>
      </c>
      <c r="D67" s="20" t="e">
        <f>LEFT(北段!#REF!,4)</f>
        <v>#REF!</v>
      </c>
      <c r="E67" s="20" t="e">
        <f>LEFT(北段!#REF!,4)</f>
        <v>#REF!</v>
      </c>
      <c r="F67" s="20" t="e">
        <f>LEFT(北段!#REF!,4)</f>
        <v>#REF!</v>
      </c>
      <c r="G67" s="20" t="e">
        <f>LEFT(北段!#REF!,4)</f>
        <v>#REF!</v>
      </c>
      <c r="H67" s="20" t="e">
        <f>LEFT(北段!#REF!,4)</f>
        <v>#REF!</v>
      </c>
      <c r="I67" s="20" t="e">
        <f>LEFT(北段!#REF!,4)</f>
        <v>#REF!</v>
      </c>
      <c r="J67" s="20" t="e">
        <f>LEFT(北段!#REF!,4)</f>
        <v>#REF!</v>
      </c>
      <c r="K67" s="20" t="e">
        <f>LEFT(北段!#REF!,4)</f>
        <v>#REF!</v>
      </c>
      <c r="L67" s="20" t="e">
        <f>LEFT(北段!#REF!,4)</f>
        <v>#REF!</v>
      </c>
      <c r="M67" s="20" t="e">
        <f>LEFT(北段!#REF!,4)</f>
        <v>#REF!</v>
      </c>
      <c r="N67" s="20" t="e">
        <f>LEFT(北段!#REF!,4)</f>
        <v>#REF!</v>
      </c>
      <c r="O67" s="20" t="e">
        <f>LEFT(北段!#REF!,4)</f>
        <v>#REF!</v>
      </c>
      <c r="P67" s="20" t="e">
        <f>LEFT(北段!#REF!,4)</f>
        <v>#REF!</v>
      </c>
      <c r="Q67" s="20" t="e">
        <f>LEFT(北段!#REF!,4)</f>
        <v>#REF!</v>
      </c>
      <c r="R67" s="20" t="e">
        <f>LEFT(北段!#REF!,4)</f>
        <v>#REF!</v>
      </c>
      <c r="S67" s="20" t="e">
        <f>LEFT(北段!#REF!,4)</f>
        <v>#REF!</v>
      </c>
      <c r="T67" s="20" t="e">
        <f>LEFT(北段!#REF!,4)</f>
        <v>#REF!</v>
      </c>
      <c r="U67" s="20" t="e">
        <f>LEFT(北段!#REF!,4)</f>
        <v>#REF!</v>
      </c>
      <c r="V67" s="20" t="e">
        <f>LEFT(北段!#REF!,4)</f>
        <v>#REF!</v>
      </c>
      <c r="W67" s="20" t="e">
        <f>LEFT(北段!#REF!,4)</f>
        <v>#REF!</v>
      </c>
      <c r="X67" s="20" t="e">
        <f>LEFT(北段!#REF!,4)</f>
        <v>#REF!</v>
      </c>
      <c r="Y67" s="20" t="e">
        <f>LEFT(北段!#REF!,4)</f>
        <v>#REF!</v>
      </c>
      <c r="Z67" s="20" t="e">
        <f>LEFT(北段!#REF!,4)</f>
        <v>#REF!</v>
      </c>
      <c r="AA67" s="20" t="e">
        <f>LEFT(北段!#REF!,4)</f>
        <v>#REF!</v>
      </c>
      <c r="AB67" s="20" t="e">
        <f>LEFT(北段!#REF!,4)</f>
        <v>#REF!</v>
      </c>
      <c r="AC67" s="20" t="e">
        <f>LEFT(北段!#REF!,4)</f>
        <v>#REF!</v>
      </c>
      <c r="AD67" s="20" t="e">
        <f>LEFT(北段!#REF!,4)</f>
        <v>#REF!</v>
      </c>
      <c r="AE67" s="20" t="e">
        <f>LEFT(北段!#REF!,4)</f>
        <v>#REF!</v>
      </c>
      <c r="AF67" s="20" t="e">
        <f>LEFT(北段!#REF!,4)</f>
        <v>#REF!</v>
      </c>
      <c r="AG67" s="20" t="e">
        <f>LEFT(北段!#REF!,4)</f>
        <v>#REF!</v>
      </c>
      <c r="AH67" s="20" t="e">
        <f>LEFT(北段!#REF!,4)</f>
        <v>#REF!</v>
      </c>
      <c r="AI67" s="20" t="e">
        <f>LEFT(北段!#REF!,4)</f>
        <v>#REF!</v>
      </c>
      <c r="AJ67" s="20" t="e">
        <f>LEFT(北段!#REF!,4)</f>
        <v>#REF!</v>
      </c>
      <c r="AK67" s="20" t="e">
        <f>LEFT(北段!#REF!,4)</f>
        <v>#REF!</v>
      </c>
      <c r="AL67" s="20" t="e">
        <f>LEFT(北段!#REF!,4)</f>
        <v>#REF!</v>
      </c>
    </row>
    <row r="68" spans="1:38" ht="42.75" customHeight="1">
      <c r="A68" s="23"/>
      <c r="B68" s="10" t="e">
        <f>LEFT(北段!#REF!,6)</f>
        <v>#REF!</v>
      </c>
      <c r="C68" s="10" t="e">
        <f>VLOOKUP(B68,北段!B:C,2,FALSE)</f>
        <v>#REF!</v>
      </c>
      <c r="D68" s="20" t="e">
        <f>LEFT(北段!#REF!,4)</f>
        <v>#REF!</v>
      </c>
      <c r="E68" s="20" t="e">
        <f>LEFT(北段!#REF!,4)</f>
        <v>#REF!</v>
      </c>
      <c r="F68" s="20" t="e">
        <f>LEFT(北段!#REF!,4)</f>
        <v>#REF!</v>
      </c>
      <c r="G68" s="20" t="e">
        <f>LEFT(北段!#REF!,4)</f>
        <v>#REF!</v>
      </c>
      <c r="H68" s="20" t="e">
        <f>LEFT(北段!#REF!,4)</f>
        <v>#REF!</v>
      </c>
      <c r="I68" s="20" t="e">
        <f>LEFT(北段!#REF!,4)</f>
        <v>#REF!</v>
      </c>
      <c r="J68" s="20" t="e">
        <f>LEFT(北段!#REF!,4)</f>
        <v>#REF!</v>
      </c>
      <c r="K68" s="20" t="e">
        <f>LEFT(北段!#REF!,4)</f>
        <v>#REF!</v>
      </c>
      <c r="L68" s="20" t="e">
        <f>LEFT(北段!#REF!,4)</f>
        <v>#REF!</v>
      </c>
      <c r="M68" s="20" t="e">
        <f>LEFT(北段!#REF!,4)</f>
        <v>#REF!</v>
      </c>
      <c r="N68" s="20" t="e">
        <f>LEFT(北段!#REF!,4)</f>
        <v>#REF!</v>
      </c>
      <c r="O68" s="20" t="e">
        <f>LEFT(北段!#REF!,4)</f>
        <v>#REF!</v>
      </c>
      <c r="P68" s="20" t="e">
        <f>LEFT(北段!#REF!,4)</f>
        <v>#REF!</v>
      </c>
      <c r="Q68" s="20" t="e">
        <f>LEFT(北段!#REF!,4)</f>
        <v>#REF!</v>
      </c>
      <c r="R68" s="20" t="e">
        <f>LEFT(北段!#REF!,4)</f>
        <v>#REF!</v>
      </c>
      <c r="S68" s="20" t="e">
        <f>LEFT(北段!#REF!,4)</f>
        <v>#REF!</v>
      </c>
      <c r="T68" s="20" t="e">
        <f>LEFT(北段!#REF!,4)</f>
        <v>#REF!</v>
      </c>
      <c r="U68" s="20" t="e">
        <f>LEFT(北段!#REF!,4)</f>
        <v>#REF!</v>
      </c>
      <c r="V68" s="20" t="e">
        <f>LEFT(北段!#REF!,4)</f>
        <v>#REF!</v>
      </c>
      <c r="W68" s="20" t="e">
        <f>LEFT(北段!#REF!,4)</f>
        <v>#REF!</v>
      </c>
      <c r="X68" s="20" t="e">
        <f>LEFT(北段!#REF!,4)</f>
        <v>#REF!</v>
      </c>
      <c r="Y68" s="20" t="e">
        <f>LEFT(北段!#REF!,4)</f>
        <v>#REF!</v>
      </c>
      <c r="Z68" s="20" t="e">
        <f>LEFT(北段!#REF!,4)</f>
        <v>#REF!</v>
      </c>
      <c r="AA68" s="20" t="e">
        <f>LEFT(北段!#REF!,4)</f>
        <v>#REF!</v>
      </c>
      <c r="AB68" s="20" t="e">
        <f>LEFT(北段!#REF!,4)</f>
        <v>#REF!</v>
      </c>
      <c r="AC68" s="20" t="e">
        <f>LEFT(北段!#REF!,4)</f>
        <v>#REF!</v>
      </c>
      <c r="AD68" s="20" t="e">
        <f>LEFT(北段!#REF!,4)</f>
        <v>#REF!</v>
      </c>
      <c r="AE68" s="20" t="e">
        <f>LEFT(北段!#REF!,4)</f>
        <v>#REF!</v>
      </c>
      <c r="AF68" s="20" t="e">
        <f>LEFT(北段!#REF!,4)</f>
        <v>#REF!</v>
      </c>
      <c r="AG68" s="20" t="e">
        <f>LEFT(北段!#REF!,4)</f>
        <v>#REF!</v>
      </c>
      <c r="AH68" s="20" t="e">
        <f>LEFT(北段!#REF!,4)</f>
        <v>#REF!</v>
      </c>
      <c r="AI68" s="20" t="e">
        <f>LEFT(北段!#REF!,4)</f>
        <v>#REF!</v>
      </c>
      <c r="AJ68" s="20" t="e">
        <f>LEFT(北段!#REF!,4)</f>
        <v>#REF!</v>
      </c>
      <c r="AK68" s="20" t="e">
        <f>LEFT(北段!#REF!,4)</f>
        <v>#REF!</v>
      </c>
      <c r="AL68" s="20" t="e">
        <f>LEFT(北段!#REF!,4)</f>
        <v>#REF!</v>
      </c>
    </row>
    <row r="69" spans="1:38" ht="47.25" customHeight="1">
      <c r="A69" s="26"/>
      <c r="B69" s="10" t="e">
        <f>LEFT(北段!#REF!,6)</f>
        <v>#REF!</v>
      </c>
      <c r="C69" s="10" t="e">
        <f>VLOOKUP(B69,北段!B:C,2,FALSE)</f>
        <v>#REF!</v>
      </c>
      <c r="D69" s="20" t="e">
        <f>LEFT(北段!#REF!,4)</f>
        <v>#REF!</v>
      </c>
      <c r="E69" s="20" t="e">
        <f>LEFT(北段!#REF!,4)</f>
        <v>#REF!</v>
      </c>
      <c r="F69" s="20" t="e">
        <f>LEFT(北段!#REF!,4)</f>
        <v>#REF!</v>
      </c>
      <c r="G69" s="20" t="e">
        <f>LEFT(北段!#REF!,4)</f>
        <v>#REF!</v>
      </c>
      <c r="H69" s="20" t="e">
        <f>LEFT(北段!#REF!,4)</f>
        <v>#REF!</v>
      </c>
      <c r="I69" s="20" t="e">
        <f>LEFT(北段!#REF!,4)</f>
        <v>#REF!</v>
      </c>
      <c r="J69" s="20" t="e">
        <f>LEFT(北段!#REF!,4)</f>
        <v>#REF!</v>
      </c>
      <c r="K69" s="20" t="e">
        <f>LEFT(北段!#REF!,4)</f>
        <v>#REF!</v>
      </c>
      <c r="L69" s="20" t="e">
        <f>LEFT(北段!#REF!,4)</f>
        <v>#REF!</v>
      </c>
      <c r="M69" s="20" t="e">
        <f>LEFT(北段!#REF!,4)</f>
        <v>#REF!</v>
      </c>
      <c r="N69" s="20" t="e">
        <f>LEFT(北段!#REF!,4)</f>
        <v>#REF!</v>
      </c>
      <c r="O69" s="20" t="e">
        <f>LEFT(北段!#REF!,4)</f>
        <v>#REF!</v>
      </c>
      <c r="P69" s="20" t="e">
        <f>LEFT(北段!#REF!,4)</f>
        <v>#REF!</v>
      </c>
      <c r="Q69" s="20" t="e">
        <f>LEFT(北段!#REF!,4)</f>
        <v>#REF!</v>
      </c>
      <c r="R69" s="20" t="e">
        <f>LEFT(北段!#REF!,4)</f>
        <v>#REF!</v>
      </c>
      <c r="S69" s="20" t="e">
        <f>LEFT(北段!#REF!,4)</f>
        <v>#REF!</v>
      </c>
      <c r="T69" s="20" t="e">
        <f>LEFT(北段!#REF!,4)</f>
        <v>#REF!</v>
      </c>
      <c r="U69" s="20" t="e">
        <f>LEFT(北段!#REF!,4)</f>
        <v>#REF!</v>
      </c>
      <c r="V69" s="20" t="e">
        <f>LEFT(北段!#REF!,4)</f>
        <v>#REF!</v>
      </c>
      <c r="W69" s="20" t="e">
        <f>LEFT(北段!#REF!,4)</f>
        <v>#REF!</v>
      </c>
      <c r="X69" s="20" t="e">
        <f>LEFT(北段!#REF!,4)</f>
        <v>#REF!</v>
      </c>
      <c r="Y69" s="20" t="e">
        <f>LEFT(北段!#REF!,4)</f>
        <v>#REF!</v>
      </c>
      <c r="Z69" s="20" t="e">
        <f>LEFT(北段!#REF!,4)</f>
        <v>#REF!</v>
      </c>
      <c r="AA69" s="20" t="e">
        <f>LEFT(北段!#REF!,4)</f>
        <v>#REF!</v>
      </c>
      <c r="AB69" s="20" t="e">
        <f>LEFT(北段!#REF!,4)</f>
        <v>#REF!</v>
      </c>
      <c r="AC69" s="20" t="e">
        <f>LEFT(北段!#REF!,4)</f>
        <v>#REF!</v>
      </c>
      <c r="AD69" s="20" t="e">
        <f>LEFT(北段!#REF!,4)</f>
        <v>#REF!</v>
      </c>
      <c r="AE69" s="20" t="e">
        <f>LEFT(北段!#REF!,4)</f>
        <v>#REF!</v>
      </c>
      <c r="AF69" s="20" t="e">
        <f>LEFT(北段!#REF!,4)</f>
        <v>#REF!</v>
      </c>
      <c r="AG69" s="20" t="e">
        <f>LEFT(北段!#REF!,4)</f>
        <v>#REF!</v>
      </c>
      <c r="AH69" s="20" t="e">
        <f>LEFT(北段!#REF!,4)</f>
        <v>#REF!</v>
      </c>
      <c r="AI69" s="20" t="e">
        <f>LEFT(北段!#REF!,4)</f>
        <v>#REF!</v>
      </c>
      <c r="AJ69" s="20" t="e">
        <f>LEFT(北段!#REF!,4)</f>
        <v>#REF!</v>
      </c>
      <c r="AK69" s="20" t="e">
        <f>LEFT(北段!#REF!,4)</f>
        <v>#REF!</v>
      </c>
      <c r="AL69" s="20" t="e">
        <f>LEFT(北段!#REF!,4)</f>
        <v>#REF!</v>
      </c>
    </row>
    <row r="70" spans="1:38" ht="39.75" customHeight="1">
      <c r="A70" s="26"/>
      <c r="B70" s="10" t="e">
        <f>LEFT(北段!#REF!,6)</f>
        <v>#REF!</v>
      </c>
      <c r="C70" s="10" t="e">
        <f>VLOOKUP(B70,北段!B:C,2,FALSE)</f>
        <v>#REF!</v>
      </c>
      <c r="D70" s="20" t="e">
        <f>LEFT(北段!#REF!,4)</f>
        <v>#REF!</v>
      </c>
      <c r="E70" s="20" t="e">
        <f>LEFT(北段!#REF!,4)</f>
        <v>#REF!</v>
      </c>
      <c r="F70" s="20" t="e">
        <f>LEFT(北段!#REF!,4)</f>
        <v>#REF!</v>
      </c>
      <c r="G70" s="20" t="e">
        <f>LEFT(北段!#REF!,4)</f>
        <v>#REF!</v>
      </c>
      <c r="H70" s="20" t="e">
        <f>LEFT(北段!#REF!,4)</f>
        <v>#REF!</v>
      </c>
      <c r="I70" s="20" t="e">
        <f>LEFT(北段!#REF!,4)</f>
        <v>#REF!</v>
      </c>
      <c r="J70" s="20" t="e">
        <f>LEFT(北段!#REF!,4)</f>
        <v>#REF!</v>
      </c>
      <c r="K70" s="20" t="e">
        <f>LEFT(北段!#REF!,4)</f>
        <v>#REF!</v>
      </c>
      <c r="L70" s="20" t="e">
        <f>LEFT(北段!#REF!,4)</f>
        <v>#REF!</v>
      </c>
      <c r="M70" s="20" t="e">
        <f>LEFT(北段!#REF!,4)</f>
        <v>#REF!</v>
      </c>
      <c r="N70" s="20" t="e">
        <f>LEFT(北段!#REF!,4)</f>
        <v>#REF!</v>
      </c>
      <c r="O70" s="20" t="e">
        <f>LEFT(北段!#REF!,4)</f>
        <v>#REF!</v>
      </c>
      <c r="P70" s="20" t="e">
        <f>LEFT(北段!#REF!,4)</f>
        <v>#REF!</v>
      </c>
      <c r="Q70" s="20" t="e">
        <f>LEFT(北段!#REF!,4)</f>
        <v>#REF!</v>
      </c>
      <c r="R70" s="20" t="e">
        <f>LEFT(北段!#REF!,4)</f>
        <v>#REF!</v>
      </c>
      <c r="S70" s="20" t="e">
        <f>LEFT(北段!#REF!,4)</f>
        <v>#REF!</v>
      </c>
      <c r="T70" s="20" t="e">
        <f>LEFT(北段!#REF!,4)</f>
        <v>#REF!</v>
      </c>
      <c r="U70" s="20" t="e">
        <f>LEFT(北段!#REF!,4)</f>
        <v>#REF!</v>
      </c>
      <c r="V70" s="20" t="e">
        <f>LEFT(北段!#REF!,4)</f>
        <v>#REF!</v>
      </c>
      <c r="W70" s="20" t="e">
        <f>LEFT(北段!#REF!,4)</f>
        <v>#REF!</v>
      </c>
      <c r="X70" s="20" t="e">
        <f>LEFT(北段!#REF!,4)</f>
        <v>#REF!</v>
      </c>
      <c r="Y70" s="20" t="e">
        <f>LEFT(北段!#REF!,4)</f>
        <v>#REF!</v>
      </c>
      <c r="Z70" s="20" t="e">
        <f>LEFT(北段!#REF!,4)</f>
        <v>#REF!</v>
      </c>
      <c r="AA70" s="20" t="e">
        <f>LEFT(北段!#REF!,4)</f>
        <v>#REF!</v>
      </c>
      <c r="AB70" s="20" t="e">
        <f>LEFT(北段!#REF!,4)</f>
        <v>#REF!</v>
      </c>
      <c r="AC70" s="20" t="e">
        <f>LEFT(北段!#REF!,4)</f>
        <v>#REF!</v>
      </c>
      <c r="AD70" s="20" t="e">
        <f>LEFT(北段!#REF!,4)</f>
        <v>#REF!</v>
      </c>
      <c r="AE70" s="20" t="e">
        <f>LEFT(北段!#REF!,4)</f>
        <v>#REF!</v>
      </c>
      <c r="AF70" s="20" t="e">
        <f>LEFT(北段!#REF!,4)</f>
        <v>#REF!</v>
      </c>
      <c r="AG70" s="20" t="e">
        <f>LEFT(北段!#REF!,4)</f>
        <v>#REF!</v>
      </c>
      <c r="AH70" s="20" t="e">
        <f>LEFT(北段!#REF!,4)</f>
        <v>#REF!</v>
      </c>
      <c r="AI70" s="20" t="e">
        <f>LEFT(北段!#REF!,4)</f>
        <v>#REF!</v>
      </c>
      <c r="AJ70" s="20" t="e">
        <f>LEFT(北段!#REF!,4)</f>
        <v>#REF!</v>
      </c>
      <c r="AK70" s="20" t="e">
        <f>LEFT(北段!#REF!,4)</f>
        <v>#REF!</v>
      </c>
      <c r="AL70" s="20" t="e">
        <f>LEFT(北段!#REF!,4)</f>
        <v>#REF!</v>
      </c>
    </row>
    <row r="71" spans="1:38" ht="39.75" customHeight="1">
      <c r="A71" s="43"/>
      <c r="B71" s="10" t="e">
        <f>LEFT(北段!#REF!,6)</f>
        <v>#REF!</v>
      </c>
      <c r="C71" s="10" t="e">
        <f>VLOOKUP(B71,北段!B:C,2,FALSE)</f>
        <v>#REF!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47.25" customHeight="1">
      <c r="A72" s="18"/>
      <c r="B72" s="10" t="e">
        <f>LEFT(北段!#REF!,6)</f>
        <v>#REF!</v>
      </c>
      <c r="C72" s="10" t="e">
        <f>VLOOKUP(B72,北段!B:C,2,FALSE)</f>
        <v>#REF!</v>
      </c>
      <c r="D72" s="20" t="e">
        <f>LEFT(北段!#REF!,4)</f>
        <v>#REF!</v>
      </c>
      <c r="E72" s="20" t="e">
        <f>LEFT(北段!#REF!,4)</f>
        <v>#REF!</v>
      </c>
      <c r="F72" s="20" t="e">
        <f>LEFT(北段!#REF!,4)</f>
        <v>#REF!</v>
      </c>
      <c r="G72" s="20" t="e">
        <f>LEFT(北段!#REF!,4)</f>
        <v>#REF!</v>
      </c>
      <c r="H72" s="20" t="e">
        <f>LEFT(北段!#REF!,4)</f>
        <v>#REF!</v>
      </c>
      <c r="I72" s="20" t="e">
        <f>LEFT(北段!#REF!,4)</f>
        <v>#REF!</v>
      </c>
      <c r="J72" s="20" t="e">
        <f>LEFT(北段!#REF!,4)</f>
        <v>#REF!</v>
      </c>
      <c r="K72" s="20" t="e">
        <f>LEFT(北段!#REF!,4)</f>
        <v>#REF!</v>
      </c>
      <c r="L72" s="20" t="e">
        <f>LEFT(北段!#REF!,4)</f>
        <v>#REF!</v>
      </c>
      <c r="M72" s="20" t="e">
        <f>LEFT(北段!#REF!,4)</f>
        <v>#REF!</v>
      </c>
      <c r="N72" s="20" t="e">
        <f>LEFT(北段!#REF!,4)</f>
        <v>#REF!</v>
      </c>
      <c r="O72" s="20" t="e">
        <f>LEFT(北段!#REF!,4)</f>
        <v>#REF!</v>
      </c>
      <c r="P72" s="20" t="e">
        <f>LEFT(北段!#REF!,4)</f>
        <v>#REF!</v>
      </c>
      <c r="Q72" s="20" t="e">
        <f>LEFT(北段!#REF!,4)</f>
        <v>#REF!</v>
      </c>
      <c r="R72" s="20" t="e">
        <f>LEFT(北段!#REF!,4)</f>
        <v>#REF!</v>
      </c>
      <c r="S72" s="20" t="e">
        <f>LEFT(北段!#REF!,4)</f>
        <v>#REF!</v>
      </c>
      <c r="T72" s="20" t="e">
        <f>LEFT(北段!#REF!,4)</f>
        <v>#REF!</v>
      </c>
      <c r="U72" s="20" t="e">
        <f>LEFT(北段!#REF!,4)</f>
        <v>#REF!</v>
      </c>
      <c r="V72" s="20" t="e">
        <f>LEFT(北段!#REF!,4)</f>
        <v>#REF!</v>
      </c>
      <c r="W72" s="20" t="e">
        <f>LEFT(北段!#REF!,4)</f>
        <v>#REF!</v>
      </c>
      <c r="X72" s="20" t="e">
        <f>LEFT(北段!#REF!,4)</f>
        <v>#REF!</v>
      </c>
      <c r="Y72" s="20" t="e">
        <f>LEFT(北段!#REF!,4)</f>
        <v>#REF!</v>
      </c>
      <c r="Z72" s="20" t="e">
        <f>LEFT(北段!#REF!,4)</f>
        <v>#REF!</v>
      </c>
      <c r="AA72" s="20" t="e">
        <f>LEFT(北段!#REF!,4)</f>
        <v>#REF!</v>
      </c>
      <c r="AB72" s="20" t="e">
        <f>LEFT(北段!#REF!,4)</f>
        <v>#REF!</v>
      </c>
      <c r="AC72" s="20" t="e">
        <f>LEFT(北段!#REF!,4)</f>
        <v>#REF!</v>
      </c>
      <c r="AD72" s="20" t="e">
        <f>LEFT(北段!#REF!,4)</f>
        <v>#REF!</v>
      </c>
      <c r="AE72" s="20" t="e">
        <f>LEFT(北段!#REF!,4)</f>
        <v>#REF!</v>
      </c>
      <c r="AF72" s="20" t="e">
        <f>LEFT(北段!#REF!,4)</f>
        <v>#REF!</v>
      </c>
      <c r="AG72" s="20" t="e">
        <f>LEFT(北段!#REF!,4)</f>
        <v>#REF!</v>
      </c>
      <c r="AH72" s="20" t="e">
        <f>LEFT(北段!#REF!,4)</f>
        <v>#REF!</v>
      </c>
      <c r="AI72" s="20" t="e">
        <f>LEFT(北段!#REF!,4)</f>
        <v>#REF!</v>
      </c>
      <c r="AJ72" s="20" t="e">
        <f>LEFT(北段!#REF!,4)</f>
        <v>#REF!</v>
      </c>
      <c r="AK72" s="20" t="e">
        <f>LEFT(北段!#REF!,4)</f>
        <v>#REF!</v>
      </c>
      <c r="AL72" s="20" t="e">
        <f>LEFT(北段!#REF!,4)</f>
        <v>#REF!</v>
      </c>
    </row>
    <row r="73" spans="1:38" ht="17.25" thickBot="1"/>
    <row r="74" spans="1:38" s="9" customFormat="1" ht="32.450000000000003" customHeight="1">
      <c r="A74" s="6"/>
      <c r="B74" s="6"/>
      <c r="C74" s="7" t="s">
        <v>71</v>
      </c>
      <c r="D74" s="8">
        <f t="shared" ref="D74:AL74" si="4">COUNTIF(D$3:D$72,"41早")</f>
        <v>0</v>
      </c>
      <c r="E74" s="8">
        <f t="shared" si="4"/>
        <v>0</v>
      </c>
      <c r="F74" s="8">
        <f t="shared" si="4"/>
        <v>0</v>
      </c>
      <c r="G74" s="8">
        <f t="shared" si="4"/>
        <v>0</v>
      </c>
      <c r="H74" s="8">
        <f t="shared" si="4"/>
        <v>0</v>
      </c>
      <c r="I74" s="8">
        <f t="shared" si="4"/>
        <v>0</v>
      </c>
      <c r="J74" s="8">
        <f t="shared" si="4"/>
        <v>0</v>
      </c>
      <c r="K74" s="8">
        <f t="shared" si="4"/>
        <v>0</v>
      </c>
      <c r="L74" s="8">
        <f t="shared" si="4"/>
        <v>0</v>
      </c>
      <c r="M74" s="8">
        <f t="shared" si="4"/>
        <v>0</v>
      </c>
      <c r="N74" s="8">
        <f t="shared" si="4"/>
        <v>0</v>
      </c>
      <c r="O74" s="8">
        <f t="shared" si="4"/>
        <v>0</v>
      </c>
      <c r="P74" s="8">
        <f t="shared" si="4"/>
        <v>0</v>
      </c>
      <c r="Q74" s="8">
        <f t="shared" si="4"/>
        <v>0</v>
      </c>
      <c r="R74" s="8">
        <f t="shared" si="4"/>
        <v>0</v>
      </c>
      <c r="S74" s="8">
        <f t="shared" si="4"/>
        <v>0</v>
      </c>
      <c r="T74" s="8">
        <f t="shared" si="4"/>
        <v>0</v>
      </c>
      <c r="U74" s="8">
        <f t="shared" si="4"/>
        <v>0</v>
      </c>
      <c r="V74" s="8">
        <f t="shared" si="4"/>
        <v>0</v>
      </c>
      <c r="W74" s="8">
        <f t="shared" si="4"/>
        <v>0</v>
      </c>
      <c r="X74" s="8">
        <f t="shared" si="4"/>
        <v>0</v>
      </c>
      <c r="Y74" s="8">
        <f t="shared" si="4"/>
        <v>0</v>
      </c>
      <c r="Z74" s="8">
        <f t="shared" si="4"/>
        <v>0</v>
      </c>
      <c r="AA74" s="8">
        <f t="shared" si="4"/>
        <v>0</v>
      </c>
      <c r="AB74" s="8">
        <f t="shared" si="4"/>
        <v>0</v>
      </c>
      <c r="AC74" s="8">
        <f t="shared" si="4"/>
        <v>0</v>
      </c>
      <c r="AD74" s="8">
        <f t="shared" si="4"/>
        <v>0</v>
      </c>
      <c r="AE74" s="8">
        <f t="shared" si="4"/>
        <v>0</v>
      </c>
      <c r="AF74" s="8">
        <f t="shared" si="4"/>
        <v>0</v>
      </c>
      <c r="AG74" s="8">
        <f t="shared" si="4"/>
        <v>0</v>
      </c>
      <c r="AH74" s="8">
        <f t="shared" si="4"/>
        <v>0</v>
      </c>
      <c r="AI74" s="8">
        <f t="shared" si="4"/>
        <v>0</v>
      </c>
      <c r="AJ74" s="8">
        <f t="shared" si="4"/>
        <v>0</v>
      </c>
      <c r="AK74" s="8">
        <f t="shared" si="4"/>
        <v>0</v>
      </c>
      <c r="AL74" s="8">
        <f t="shared" si="4"/>
        <v>0</v>
      </c>
    </row>
    <row r="75" spans="1:38" s="9" customFormat="1" ht="32.450000000000003" customHeight="1">
      <c r="A75" s="6"/>
      <c r="B75" s="6"/>
      <c r="C75" s="7" t="s">
        <v>73</v>
      </c>
      <c r="D75" s="10">
        <f t="shared" ref="D75:AL75" si="5">COUNTIF(D$3:D$72,"41午")</f>
        <v>0</v>
      </c>
      <c r="E75" s="10">
        <f t="shared" si="5"/>
        <v>0</v>
      </c>
      <c r="F75" s="10">
        <f t="shared" si="5"/>
        <v>0</v>
      </c>
      <c r="G75" s="10">
        <f t="shared" si="5"/>
        <v>0</v>
      </c>
      <c r="H75" s="10">
        <f t="shared" si="5"/>
        <v>0</v>
      </c>
      <c r="I75" s="10">
        <f t="shared" si="5"/>
        <v>0</v>
      </c>
      <c r="J75" s="10">
        <f t="shared" si="5"/>
        <v>0</v>
      </c>
      <c r="K75" s="10">
        <f t="shared" si="5"/>
        <v>0</v>
      </c>
      <c r="L75" s="10">
        <f t="shared" si="5"/>
        <v>0</v>
      </c>
      <c r="M75" s="10">
        <f t="shared" si="5"/>
        <v>0</v>
      </c>
      <c r="N75" s="10">
        <f t="shared" si="5"/>
        <v>0</v>
      </c>
      <c r="O75" s="10">
        <f t="shared" si="5"/>
        <v>0</v>
      </c>
      <c r="P75" s="10">
        <f t="shared" si="5"/>
        <v>0</v>
      </c>
      <c r="Q75" s="10">
        <f t="shared" si="5"/>
        <v>0</v>
      </c>
      <c r="R75" s="10">
        <f t="shared" si="5"/>
        <v>0</v>
      </c>
      <c r="S75" s="10">
        <f t="shared" si="5"/>
        <v>0</v>
      </c>
      <c r="T75" s="10">
        <f t="shared" si="5"/>
        <v>0</v>
      </c>
      <c r="U75" s="10">
        <f t="shared" si="5"/>
        <v>0</v>
      </c>
      <c r="V75" s="10">
        <f t="shared" si="5"/>
        <v>0</v>
      </c>
      <c r="W75" s="10">
        <f t="shared" si="5"/>
        <v>0</v>
      </c>
      <c r="X75" s="10">
        <f t="shared" si="5"/>
        <v>0</v>
      </c>
      <c r="Y75" s="10">
        <f t="shared" si="5"/>
        <v>0</v>
      </c>
      <c r="Z75" s="10">
        <f t="shared" si="5"/>
        <v>0</v>
      </c>
      <c r="AA75" s="10">
        <f t="shared" si="5"/>
        <v>0</v>
      </c>
      <c r="AB75" s="10">
        <f t="shared" si="5"/>
        <v>0</v>
      </c>
      <c r="AC75" s="10">
        <f t="shared" si="5"/>
        <v>0</v>
      </c>
      <c r="AD75" s="10">
        <f t="shared" si="5"/>
        <v>0</v>
      </c>
      <c r="AE75" s="10">
        <f t="shared" si="5"/>
        <v>0</v>
      </c>
      <c r="AF75" s="10">
        <f t="shared" si="5"/>
        <v>0</v>
      </c>
      <c r="AG75" s="10">
        <f t="shared" si="5"/>
        <v>0</v>
      </c>
      <c r="AH75" s="10">
        <f t="shared" si="5"/>
        <v>0</v>
      </c>
      <c r="AI75" s="10">
        <f t="shared" si="5"/>
        <v>0</v>
      </c>
      <c r="AJ75" s="10">
        <f t="shared" si="5"/>
        <v>0</v>
      </c>
      <c r="AK75" s="10">
        <f t="shared" si="5"/>
        <v>0</v>
      </c>
      <c r="AL75" s="10">
        <f t="shared" si="5"/>
        <v>0</v>
      </c>
    </row>
    <row r="76" spans="1:38" s="9" customFormat="1" ht="32.450000000000003" customHeight="1" thickBot="1">
      <c r="A76" s="6"/>
      <c r="B76" s="6"/>
      <c r="C76" s="11" t="s">
        <v>74</v>
      </c>
      <c r="D76" s="3">
        <f t="shared" ref="D76:AL76" si="6">COUNTIF(D$3:D$72,"41夜*")</f>
        <v>0</v>
      </c>
      <c r="E76" s="3">
        <f t="shared" si="6"/>
        <v>0</v>
      </c>
      <c r="F76" s="3">
        <f t="shared" si="6"/>
        <v>0</v>
      </c>
      <c r="G76" s="3">
        <f t="shared" si="6"/>
        <v>0</v>
      </c>
      <c r="H76" s="3">
        <f t="shared" si="6"/>
        <v>0</v>
      </c>
      <c r="I76" s="3">
        <f t="shared" si="6"/>
        <v>0</v>
      </c>
      <c r="J76" s="3">
        <f t="shared" si="6"/>
        <v>0</v>
      </c>
      <c r="K76" s="3">
        <f t="shared" si="6"/>
        <v>0</v>
      </c>
      <c r="L76" s="3">
        <f t="shared" si="6"/>
        <v>0</v>
      </c>
      <c r="M76" s="3">
        <f t="shared" si="6"/>
        <v>0</v>
      </c>
      <c r="N76" s="3">
        <f t="shared" si="6"/>
        <v>0</v>
      </c>
      <c r="O76" s="3">
        <f t="shared" si="6"/>
        <v>0</v>
      </c>
      <c r="P76" s="3">
        <f t="shared" si="6"/>
        <v>0</v>
      </c>
      <c r="Q76" s="3">
        <f t="shared" si="6"/>
        <v>0</v>
      </c>
      <c r="R76" s="3">
        <f t="shared" si="6"/>
        <v>0</v>
      </c>
      <c r="S76" s="3">
        <f t="shared" si="6"/>
        <v>0</v>
      </c>
      <c r="T76" s="3">
        <f t="shared" si="6"/>
        <v>0</v>
      </c>
      <c r="U76" s="3">
        <f t="shared" si="6"/>
        <v>0</v>
      </c>
      <c r="V76" s="3">
        <f t="shared" si="6"/>
        <v>0</v>
      </c>
      <c r="W76" s="3">
        <f t="shared" si="6"/>
        <v>0</v>
      </c>
      <c r="X76" s="3">
        <f t="shared" si="6"/>
        <v>0</v>
      </c>
      <c r="Y76" s="3">
        <f t="shared" si="6"/>
        <v>0</v>
      </c>
      <c r="Z76" s="3">
        <f t="shared" si="6"/>
        <v>0</v>
      </c>
      <c r="AA76" s="3">
        <f t="shared" si="6"/>
        <v>0</v>
      </c>
      <c r="AB76" s="3">
        <f t="shared" si="6"/>
        <v>0</v>
      </c>
      <c r="AC76" s="3">
        <f t="shared" si="6"/>
        <v>0</v>
      </c>
      <c r="AD76" s="3">
        <f t="shared" si="6"/>
        <v>0</v>
      </c>
      <c r="AE76" s="3">
        <f t="shared" si="6"/>
        <v>0</v>
      </c>
      <c r="AF76" s="3">
        <f t="shared" si="6"/>
        <v>0</v>
      </c>
      <c r="AG76" s="3">
        <f t="shared" si="6"/>
        <v>0</v>
      </c>
      <c r="AH76" s="3">
        <f t="shared" si="6"/>
        <v>0</v>
      </c>
      <c r="AI76" s="3">
        <f t="shared" si="6"/>
        <v>0</v>
      </c>
      <c r="AJ76" s="3">
        <f t="shared" si="6"/>
        <v>0</v>
      </c>
      <c r="AK76" s="3">
        <f t="shared" si="6"/>
        <v>0</v>
      </c>
      <c r="AL76" s="3">
        <f t="shared" si="6"/>
        <v>0</v>
      </c>
    </row>
    <row r="77" spans="1:38" s="9" customFormat="1" ht="32.450000000000003" customHeight="1">
      <c r="A77" s="6"/>
      <c r="B77" s="151"/>
      <c r="C77" s="7" t="s">
        <v>17</v>
      </c>
      <c r="D77" s="39">
        <f t="shared" ref="D77:AL77" si="7">COUNTIF(D$3:D$72,"01早*")</f>
        <v>2</v>
      </c>
      <c r="E77" s="8">
        <f t="shared" si="7"/>
        <v>2</v>
      </c>
      <c r="F77" s="8">
        <f t="shared" si="7"/>
        <v>4</v>
      </c>
      <c r="G77" s="8">
        <f t="shared" si="7"/>
        <v>2</v>
      </c>
      <c r="H77" s="8">
        <f t="shared" si="7"/>
        <v>1</v>
      </c>
      <c r="I77" s="8">
        <f t="shared" si="7"/>
        <v>2</v>
      </c>
      <c r="J77" s="8">
        <f t="shared" si="7"/>
        <v>2</v>
      </c>
      <c r="K77" s="8">
        <f t="shared" si="7"/>
        <v>4</v>
      </c>
      <c r="L77" s="8">
        <f t="shared" si="7"/>
        <v>2</v>
      </c>
      <c r="M77" s="8">
        <f t="shared" si="7"/>
        <v>1</v>
      </c>
      <c r="N77" s="8">
        <f t="shared" si="7"/>
        <v>2</v>
      </c>
      <c r="O77" s="8">
        <f t="shared" si="7"/>
        <v>4</v>
      </c>
      <c r="P77" s="8">
        <f t="shared" si="7"/>
        <v>4</v>
      </c>
      <c r="Q77" s="8">
        <f t="shared" si="7"/>
        <v>3</v>
      </c>
      <c r="R77" s="8">
        <f t="shared" si="7"/>
        <v>4</v>
      </c>
      <c r="S77" s="8">
        <f t="shared" si="7"/>
        <v>3</v>
      </c>
      <c r="T77" s="8">
        <f t="shared" si="7"/>
        <v>3</v>
      </c>
      <c r="U77" s="8">
        <f t="shared" si="7"/>
        <v>4</v>
      </c>
      <c r="V77" s="8">
        <f t="shared" si="7"/>
        <v>3</v>
      </c>
      <c r="W77" s="8">
        <f t="shared" si="7"/>
        <v>4</v>
      </c>
      <c r="X77" s="8">
        <f t="shared" si="7"/>
        <v>4</v>
      </c>
      <c r="Y77" s="8">
        <f t="shared" si="7"/>
        <v>3</v>
      </c>
      <c r="Z77" s="8">
        <f t="shared" si="7"/>
        <v>2</v>
      </c>
      <c r="AA77" s="8">
        <f t="shared" si="7"/>
        <v>3</v>
      </c>
      <c r="AB77" s="8">
        <f t="shared" si="7"/>
        <v>4</v>
      </c>
      <c r="AC77" s="8">
        <f t="shared" si="7"/>
        <v>3</v>
      </c>
      <c r="AD77" s="8">
        <f t="shared" si="7"/>
        <v>3</v>
      </c>
      <c r="AE77" s="8">
        <f t="shared" si="7"/>
        <v>3</v>
      </c>
      <c r="AF77" s="8">
        <f t="shared" si="7"/>
        <v>4</v>
      </c>
      <c r="AG77" s="8">
        <f t="shared" si="7"/>
        <v>5</v>
      </c>
      <c r="AH77" s="8">
        <f t="shared" si="7"/>
        <v>0</v>
      </c>
      <c r="AI77" s="8">
        <f t="shared" si="7"/>
        <v>0</v>
      </c>
      <c r="AJ77" s="8">
        <f t="shared" si="7"/>
        <v>0</v>
      </c>
      <c r="AK77" s="8">
        <f t="shared" si="7"/>
        <v>0</v>
      </c>
      <c r="AL77" s="8">
        <f t="shared" si="7"/>
        <v>0</v>
      </c>
    </row>
    <row r="78" spans="1:38" s="9" customFormat="1" ht="32.450000000000003" customHeight="1">
      <c r="A78" s="6"/>
      <c r="B78" s="151"/>
      <c r="C78" s="7" t="s">
        <v>18</v>
      </c>
      <c r="D78" s="40">
        <f t="shared" ref="D78:AL78" si="8">COUNTIF(D$3:D$72,"01中A*")</f>
        <v>0</v>
      </c>
      <c r="E78" s="10">
        <f t="shared" si="8"/>
        <v>0</v>
      </c>
      <c r="F78" s="10">
        <f t="shared" si="8"/>
        <v>0</v>
      </c>
      <c r="G78" s="10">
        <f t="shared" si="8"/>
        <v>0</v>
      </c>
      <c r="H78" s="10">
        <f t="shared" si="8"/>
        <v>0</v>
      </c>
      <c r="I78" s="10">
        <f t="shared" si="8"/>
        <v>0</v>
      </c>
      <c r="J78" s="10">
        <f t="shared" si="8"/>
        <v>0</v>
      </c>
      <c r="K78" s="10">
        <f t="shared" si="8"/>
        <v>0</v>
      </c>
      <c r="L78" s="10">
        <f t="shared" si="8"/>
        <v>0</v>
      </c>
      <c r="M78" s="10">
        <f t="shared" si="8"/>
        <v>0</v>
      </c>
      <c r="N78" s="10">
        <f t="shared" si="8"/>
        <v>0</v>
      </c>
      <c r="O78" s="10">
        <f t="shared" si="8"/>
        <v>0</v>
      </c>
      <c r="P78" s="10">
        <f t="shared" si="8"/>
        <v>0</v>
      </c>
      <c r="Q78" s="10">
        <f t="shared" si="8"/>
        <v>0</v>
      </c>
      <c r="R78" s="10">
        <f t="shared" si="8"/>
        <v>0</v>
      </c>
      <c r="S78" s="10">
        <f t="shared" si="8"/>
        <v>0</v>
      </c>
      <c r="T78" s="10">
        <f t="shared" si="8"/>
        <v>0</v>
      </c>
      <c r="U78" s="10">
        <f t="shared" si="8"/>
        <v>0</v>
      </c>
      <c r="V78" s="10">
        <f t="shared" si="8"/>
        <v>0</v>
      </c>
      <c r="W78" s="10">
        <f t="shared" si="8"/>
        <v>0</v>
      </c>
      <c r="X78" s="10">
        <f t="shared" si="8"/>
        <v>0</v>
      </c>
      <c r="Y78" s="10">
        <f t="shared" si="8"/>
        <v>0</v>
      </c>
      <c r="Z78" s="10">
        <f t="shared" si="8"/>
        <v>0</v>
      </c>
      <c r="AA78" s="10">
        <f t="shared" si="8"/>
        <v>0</v>
      </c>
      <c r="AB78" s="10">
        <f t="shared" si="8"/>
        <v>0</v>
      </c>
      <c r="AC78" s="10">
        <f t="shared" si="8"/>
        <v>0</v>
      </c>
      <c r="AD78" s="10">
        <f t="shared" si="8"/>
        <v>0</v>
      </c>
      <c r="AE78" s="10">
        <f t="shared" si="8"/>
        <v>1</v>
      </c>
      <c r="AF78" s="10">
        <f t="shared" si="8"/>
        <v>1</v>
      </c>
      <c r="AG78" s="10">
        <f t="shared" si="8"/>
        <v>1</v>
      </c>
      <c r="AH78" s="10">
        <f t="shared" si="8"/>
        <v>0</v>
      </c>
      <c r="AI78" s="10">
        <f t="shared" si="8"/>
        <v>0</v>
      </c>
      <c r="AJ78" s="10">
        <f t="shared" si="8"/>
        <v>0</v>
      </c>
      <c r="AK78" s="10">
        <f t="shared" si="8"/>
        <v>0</v>
      </c>
      <c r="AL78" s="10">
        <f t="shared" si="8"/>
        <v>0</v>
      </c>
    </row>
    <row r="79" spans="1:38" s="9" customFormat="1" ht="32.450000000000003" customHeight="1">
      <c r="A79" s="6"/>
      <c r="B79" s="151"/>
      <c r="C79" s="7" t="s">
        <v>19</v>
      </c>
      <c r="D79" s="40">
        <f t="shared" ref="D79:AL79" si="9">COUNTIF(D$3:D$67,"01午*")</f>
        <v>4</v>
      </c>
      <c r="E79" s="10">
        <f t="shared" si="9"/>
        <v>3</v>
      </c>
      <c r="F79" s="10">
        <f t="shared" si="9"/>
        <v>4</v>
      </c>
      <c r="G79" s="10">
        <f t="shared" si="9"/>
        <v>3</v>
      </c>
      <c r="H79" s="10">
        <f t="shared" si="9"/>
        <v>2</v>
      </c>
      <c r="I79" s="10">
        <f t="shared" si="9"/>
        <v>3</v>
      </c>
      <c r="J79" s="10">
        <f t="shared" si="9"/>
        <v>3</v>
      </c>
      <c r="K79" s="10">
        <f t="shared" si="9"/>
        <v>4</v>
      </c>
      <c r="L79" s="10">
        <f t="shared" si="9"/>
        <v>4</v>
      </c>
      <c r="M79" s="10">
        <f t="shared" si="9"/>
        <v>3</v>
      </c>
      <c r="N79" s="10">
        <f t="shared" si="9"/>
        <v>3</v>
      </c>
      <c r="O79" s="10">
        <f t="shared" si="9"/>
        <v>3</v>
      </c>
      <c r="P79" s="10">
        <f t="shared" si="9"/>
        <v>1</v>
      </c>
      <c r="Q79" s="10">
        <f t="shared" si="9"/>
        <v>0</v>
      </c>
      <c r="R79" s="10">
        <f t="shared" si="9"/>
        <v>3</v>
      </c>
      <c r="S79" s="10">
        <f t="shared" si="9"/>
        <v>3</v>
      </c>
      <c r="T79" s="10">
        <f t="shared" si="9"/>
        <v>2</v>
      </c>
      <c r="U79" s="10">
        <f t="shared" si="9"/>
        <v>3</v>
      </c>
      <c r="V79" s="10">
        <f t="shared" si="9"/>
        <v>3</v>
      </c>
      <c r="W79" s="10">
        <f t="shared" si="9"/>
        <v>3</v>
      </c>
      <c r="X79" s="10">
        <f t="shared" si="9"/>
        <v>3</v>
      </c>
      <c r="Y79" s="10">
        <f t="shared" si="9"/>
        <v>3</v>
      </c>
      <c r="Z79" s="10">
        <f t="shared" si="9"/>
        <v>4</v>
      </c>
      <c r="AA79" s="10">
        <f t="shared" si="9"/>
        <v>3</v>
      </c>
      <c r="AB79" s="10">
        <f t="shared" si="9"/>
        <v>3</v>
      </c>
      <c r="AC79" s="10">
        <f t="shared" si="9"/>
        <v>1</v>
      </c>
      <c r="AD79" s="10">
        <f t="shared" si="9"/>
        <v>3</v>
      </c>
      <c r="AE79" s="10">
        <f t="shared" si="9"/>
        <v>2</v>
      </c>
      <c r="AF79" s="10">
        <f t="shared" si="9"/>
        <v>2</v>
      </c>
      <c r="AG79" s="10">
        <f t="shared" si="9"/>
        <v>2</v>
      </c>
      <c r="AH79" s="10">
        <f t="shared" si="9"/>
        <v>0</v>
      </c>
      <c r="AI79" s="10">
        <f t="shared" si="9"/>
        <v>0</v>
      </c>
      <c r="AJ79" s="10">
        <f t="shared" si="9"/>
        <v>0</v>
      </c>
      <c r="AK79" s="10">
        <f t="shared" si="9"/>
        <v>0</v>
      </c>
      <c r="AL79" s="10">
        <f t="shared" si="9"/>
        <v>0</v>
      </c>
    </row>
    <row r="80" spans="1:38" s="9" customFormat="1" ht="32.25" customHeight="1" thickBot="1">
      <c r="A80" s="6"/>
      <c r="B80" s="151"/>
      <c r="C80" s="11" t="s">
        <v>20</v>
      </c>
      <c r="D80" s="4">
        <f t="shared" ref="D80:AL80" si="10">COUNTIF(D$3:D$72,"01夜*")</f>
        <v>2</v>
      </c>
      <c r="E80" s="3">
        <f t="shared" si="10"/>
        <v>2</v>
      </c>
      <c r="F80" s="3">
        <f t="shared" si="10"/>
        <v>2</v>
      </c>
      <c r="G80" s="3">
        <f t="shared" si="10"/>
        <v>2</v>
      </c>
      <c r="H80" s="3">
        <f t="shared" si="10"/>
        <v>2</v>
      </c>
      <c r="I80" s="3">
        <f t="shared" si="10"/>
        <v>2</v>
      </c>
      <c r="J80" s="3">
        <f t="shared" si="10"/>
        <v>2</v>
      </c>
      <c r="K80" s="3">
        <f t="shared" si="10"/>
        <v>2</v>
      </c>
      <c r="L80" s="3">
        <f t="shared" si="10"/>
        <v>2</v>
      </c>
      <c r="M80" s="3">
        <f t="shared" si="10"/>
        <v>2</v>
      </c>
      <c r="N80" s="3">
        <f t="shared" si="10"/>
        <v>2</v>
      </c>
      <c r="O80" s="3">
        <f t="shared" si="10"/>
        <v>2</v>
      </c>
      <c r="P80" s="3">
        <f t="shared" si="10"/>
        <v>2</v>
      </c>
      <c r="Q80" s="3">
        <f t="shared" si="10"/>
        <v>2</v>
      </c>
      <c r="R80" s="3">
        <f t="shared" si="10"/>
        <v>1</v>
      </c>
      <c r="S80" s="3">
        <f t="shared" si="10"/>
        <v>1</v>
      </c>
      <c r="T80" s="3">
        <f t="shared" si="10"/>
        <v>1</v>
      </c>
      <c r="U80" s="3">
        <f t="shared" si="10"/>
        <v>1</v>
      </c>
      <c r="V80" s="3">
        <f t="shared" si="10"/>
        <v>1</v>
      </c>
      <c r="W80" s="3">
        <f t="shared" si="10"/>
        <v>1</v>
      </c>
      <c r="X80" s="3">
        <f t="shared" si="10"/>
        <v>1</v>
      </c>
      <c r="Y80" s="3">
        <f t="shared" si="10"/>
        <v>1</v>
      </c>
      <c r="Z80" s="3">
        <f t="shared" si="10"/>
        <v>2</v>
      </c>
      <c r="AA80" s="3">
        <f t="shared" si="10"/>
        <v>2</v>
      </c>
      <c r="AB80" s="3">
        <f t="shared" si="10"/>
        <v>2</v>
      </c>
      <c r="AC80" s="3">
        <f t="shared" si="10"/>
        <v>2</v>
      </c>
      <c r="AD80" s="3">
        <f t="shared" si="10"/>
        <v>2</v>
      </c>
      <c r="AE80" s="3">
        <f t="shared" si="10"/>
        <v>2</v>
      </c>
      <c r="AF80" s="3">
        <f t="shared" si="10"/>
        <v>2</v>
      </c>
      <c r="AG80" s="3">
        <f t="shared" si="10"/>
        <v>2</v>
      </c>
      <c r="AH80" s="3">
        <f t="shared" si="10"/>
        <v>0</v>
      </c>
      <c r="AI80" s="3">
        <f t="shared" si="10"/>
        <v>0</v>
      </c>
      <c r="AJ80" s="3">
        <f t="shared" si="10"/>
        <v>0</v>
      </c>
      <c r="AK80" s="3">
        <f t="shared" si="10"/>
        <v>0</v>
      </c>
      <c r="AL80" s="3">
        <f t="shared" si="10"/>
        <v>0</v>
      </c>
    </row>
    <row r="81" spans="1:38" s="9" customFormat="1" ht="32.450000000000003" customHeight="1">
      <c r="A81" s="6"/>
      <c r="B81" s="6"/>
      <c r="C81" s="38" t="s">
        <v>21</v>
      </c>
      <c r="D81" s="39">
        <f t="shared" ref="D81:AL81" si="11">COUNTIF(D$3:D$72,"**02早*")</f>
        <v>0</v>
      </c>
      <c r="E81" s="8">
        <f t="shared" si="11"/>
        <v>0</v>
      </c>
      <c r="F81" s="8">
        <f t="shared" si="11"/>
        <v>0</v>
      </c>
      <c r="G81" s="8">
        <f t="shared" si="11"/>
        <v>0</v>
      </c>
      <c r="H81" s="8">
        <f t="shared" si="11"/>
        <v>0</v>
      </c>
      <c r="I81" s="8">
        <f t="shared" si="11"/>
        <v>0</v>
      </c>
      <c r="J81" s="8">
        <f t="shared" si="11"/>
        <v>0</v>
      </c>
      <c r="K81" s="8">
        <f t="shared" si="11"/>
        <v>0</v>
      </c>
      <c r="L81" s="8">
        <f t="shared" si="11"/>
        <v>0</v>
      </c>
      <c r="M81" s="8">
        <f t="shared" si="11"/>
        <v>0</v>
      </c>
      <c r="N81" s="8">
        <f t="shared" si="11"/>
        <v>0</v>
      </c>
      <c r="O81" s="8">
        <f t="shared" si="11"/>
        <v>0</v>
      </c>
      <c r="P81" s="8">
        <f t="shared" si="11"/>
        <v>0</v>
      </c>
      <c r="Q81" s="8">
        <f t="shared" si="11"/>
        <v>0</v>
      </c>
      <c r="R81" s="8">
        <f t="shared" si="11"/>
        <v>0</v>
      </c>
      <c r="S81" s="8">
        <f t="shared" si="11"/>
        <v>0</v>
      </c>
      <c r="T81" s="8">
        <f t="shared" si="11"/>
        <v>0</v>
      </c>
      <c r="U81" s="8">
        <f t="shared" si="11"/>
        <v>0</v>
      </c>
      <c r="V81" s="8">
        <f t="shared" si="11"/>
        <v>0</v>
      </c>
      <c r="W81" s="8">
        <f t="shared" si="11"/>
        <v>0</v>
      </c>
      <c r="X81" s="8">
        <f t="shared" si="11"/>
        <v>0</v>
      </c>
      <c r="Y81" s="8">
        <f t="shared" si="11"/>
        <v>0</v>
      </c>
      <c r="Z81" s="8">
        <f t="shared" si="11"/>
        <v>0</v>
      </c>
      <c r="AA81" s="8">
        <f t="shared" si="11"/>
        <v>0</v>
      </c>
      <c r="AB81" s="8">
        <f t="shared" si="11"/>
        <v>0</v>
      </c>
      <c r="AC81" s="8">
        <f t="shared" si="11"/>
        <v>0</v>
      </c>
      <c r="AD81" s="8">
        <f t="shared" si="11"/>
        <v>0</v>
      </c>
      <c r="AE81" s="8">
        <f t="shared" si="11"/>
        <v>0</v>
      </c>
      <c r="AF81" s="8">
        <f t="shared" si="11"/>
        <v>0</v>
      </c>
      <c r="AG81" s="8">
        <f t="shared" si="11"/>
        <v>0</v>
      </c>
      <c r="AH81" s="8">
        <f t="shared" si="11"/>
        <v>0</v>
      </c>
      <c r="AI81" s="8">
        <f t="shared" si="11"/>
        <v>0</v>
      </c>
      <c r="AJ81" s="8">
        <f t="shared" si="11"/>
        <v>0</v>
      </c>
      <c r="AK81" s="8">
        <f t="shared" si="11"/>
        <v>0</v>
      </c>
      <c r="AL81" s="8">
        <f t="shared" si="11"/>
        <v>0</v>
      </c>
    </row>
    <row r="82" spans="1:38" s="9" customFormat="1" ht="32.450000000000003" customHeight="1">
      <c r="A82" s="6"/>
      <c r="B82" s="6"/>
      <c r="C82" s="7" t="s">
        <v>22</v>
      </c>
      <c r="D82" s="40">
        <f t="shared" ref="D82:AL82" si="12">COUNTIF(D$3:D$72,"02中A*")</f>
        <v>0</v>
      </c>
      <c r="E82" s="10">
        <f t="shared" si="12"/>
        <v>0</v>
      </c>
      <c r="F82" s="10">
        <f t="shared" si="12"/>
        <v>0</v>
      </c>
      <c r="G82" s="10">
        <f t="shared" si="12"/>
        <v>0</v>
      </c>
      <c r="H82" s="10">
        <f t="shared" si="12"/>
        <v>0</v>
      </c>
      <c r="I82" s="10">
        <f t="shared" si="12"/>
        <v>0</v>
      </c>
      <c r="J82" s="10">
        <f t="shared" si="12"/>
        <v>0</v>
      </c>
      <c r="K82" s="10">
        <f t="shared" si="12"/>
        <v>0</v>
      </c>
      <c r="L82" s="10">
        <f t="shared" si="12"/>
        <v>0</v>
      </c>
      <c r="M82" s="10">
        <f t="shared" si="12"/>
        <v>0</v>
      </c>
      <c r="N82" s="10">
        <f t="shared" si="12"/>
        <v>0</v>
      </c>
      <c r="O82" s="10">
        <f t="shared" si="12"/>
        <v>0</v>
      </c>
      <c r="P82" s="10">
        <f t="shared" si="12"/>
        <v>0</v>
      </c>
      <c r="Q82" s="10">
        <f t="shared" si="12"/>
        <v>0</v>
      </c>
      <c r="R82" s="10">
        <f t="shared" si="12"/>
        <v>0</v>
      </c>
      <c r="S82" s="10">
        <f t="shared" si="12"/>
        <v>0</v>
      </c>
      <c r="T82" s="10">
        <f t="shared" si="12"/>
        <v>0</v>
      </c>
      <c r="U82" s="10">
        <f t="shared" si="12"/>
        <v>0</v>
      </c>
      <c r="V82" s="10">
        <f t="shared" si="12"/>
        <v>0</v>
      </c>
      <c r="W82" s="10">
        <f t="shared" si="12"/>
        <v>0</v>
      </c>
      <c r="X82" s="10">
        <f t="shared" si="12"/>
        <v>0</v>
      </c>
      <c r="Y82" s="10">
        <f t="shared" si="12"/>
        <v>0</v>
      </c>
      <c r="Z82" s="10">
        <f t="shared" si="12"/>
        <v>0</v>
      </c>
      <c r="AA82" s="10">
        <f t="shared" si="12"/>
        <v>0</v>
      </c>
      <c r="AB82" s="10">
        <f t="shared" si="12"/>
        <v>0</v>
      </c>
      <c r="AC82" s="10">
        <f t="shared" si="12"/>
        <v>0</v>
      </c>
      <c r="AD82" s="10">
        <f t="shared" si="12"/>
        <v>0</v>
      </c>
      <c r="AE82" s="10">
        <f t="shared" si="12"/>
        <v>0</v>
      </c>
      <c r="AF82" s="10">
        <f t="shared" si="12"/>
        <v>0</v>
      </c>
      <c r="AG82" s="10">
        <f t="shared" si="12"/>
        <v>0</v>
      </c>
      <c r="AH82" s="10">
        <f t="shared" si="12"/>
        <v>0</v>
      </c>
      <c r="AI82" s="10">
        <f t="shared" si="12"/>
        <v>0</v>
      </c>
      <c r="AJ82" s="10">
        <f t="shared" si="12"/>
        <v>0</v>
      </c>
      <c r="AK82" s="10">
        <f t="shared" si="12"/>
        <v>0</v>
      </c>
      <c r="AL82" s="10">
        <f t="shared" si="12"/>
        <v>0</v>
      </c>
    </row>
    <row r="83" spans="1:38" s="9" customFormat="1" ht="32.450000000000003" customHeight="1">
      <c r="A83" s="6"/>
      <c r="B83" s="6"/>
      <c r="C83" s="7" t="s">
        <v>23</v>
      </c>
      <c r="D83" s="40">
        <f t="shared" ref="D83:AL83" si="13">COUNTIF(D$3:D$72,"*02午*")</f>
        <v>0</v>
      </c>
      <c r="E83" s="10">
        <f t="shared" si="13"/>
        <v>0</v>
      </c>
      <c r="F83" s="10">
        <f t="shared" si="13"/>
        <v>0</v>
      </c>
      <c r="G83" s="10">
        <f t="shared" si="13"/>
        <v>0</v>
      </c>
      <c r="H83" s="10">
        <f t="shared" si="13"/>
        <v>0</v>
      </c>
      <c r="I83" s="10">
        <f t="shared" si="13"/>
        <v>0</v>
      </c>
      <c r="J83" s="10">
        <f t="shared" si="13"/>
        <v>0</v>
      </c>
      <c r="K83" s="10">
        <f t="shared" si="13"/>
        <v>0</v>
      </c>
      <c r="L83" s="10">
        <f t="shared" si="13"/>
        <v>0</v>
      </c>
      <c r="M83" s="10">
        <f t="shared" si="13"/>
        <v>0</v>
      </c>
      <c r="N83" s="10">
        <f t="shared" si="13"/>
        <v>0</v>
      </c>
      <c r="O83" s="10">
        <f t="shared" si="13"/>
        <v>0</v>
      </c>
      <c r="P83" s="10">
        <f t="shared" si="13"/>
        <v>0</v>
      </c>
      <c r="Q83" s="10">
        <f t="shared" si="13"/>
        <v>0</v>
      </c>
      <c r="R83" s="10">
        <f t="shared" si="13"/>
        <v>0</v>
      </c>
      <c r="S83" s="10">
        <f t="shared" si="13"/>
        <v>0</v>
      </c>
      <c r="T83" s="10">
        <f t="shared" si="13"/>
        <v>0</v>
      </c>
      <c r="U83" s="10">
        <f t="shared" si="13"/>
        <v>0</v>
      </c>
      <c r="V83" s="10">
        <f t="shared" si="13"/>
        <v>0</v>
      </c>
      <c r="W83" s="10">
        <f t="shared" si="13"/>
        <v>0</v>
      </c>
      <c r="X83" s="10">
        <f t="shared" si="13"/>
        <v>0</v>
      </c>
      <c r="Y83" s="10">
        <f t="shared" si="13"/>
        <v>0</v>
      </c>
      <c r="Z83" s="10">
        <f t="shared" si="13"/>
        <v>0</v>
      </c>
      <c r="AA83" s="10">
        <f t="shared" si="13"/>
        <v>0</v>
      </c>
      <c r="AB83" s="10">
        <f t="shared" si="13"/>
        <v>0</v>
      </c>
      <c r="AC83" s="10">
        <f t="shared" si="13"/>
        <v>0</v>
      </c>
      <c r="AD83" s="10">
        <f t="shared" si="13"/>
        <v>0</v>
      </c>
      <c r="AE83" s="10">
        <f t="shared" si="13"/>
        <v>0</v>
      </c>
      <c r="AF83" s="10">
        <f t="shared" si="13"/>
        <v>0</v>
      </c>
      <c r="AG83" s="10">
        <f t="shared" si="13"/>
        <v>0</v>
      </c>
      <c r="AH83" s="10">
        <f t="shared" si="13"/>
        <v>0</v>
      </c>
      <c r="AI83" s="10">
        <f t="shared" si="13"/>
        <v>0</v>
      </c>
      <c r="AJ83" s="10">
        <f t="shared" si="13"/>
        <v>0</v>
      </c>
      <c r="AK83" s="10">
        <f t="shared" si="13"/>
        <v>0</v>
      </c>
      <c r="AL83" s="10">
        <f t="shared" si="13"/>
        <v>0</v>
      </c>
    </row>
    <row r="84" spans="1:38" s="9" customFormat="1" ht="32.450000000000003" customHeight="1" thickBot="1">
      <c r="A84" s="6"/>
      <c r="B84" s="6"/>
      <c r="C84" s="11" t="s">
        <v>24</v>
      </c>
      <c r="D84" s="4">
        <f t="shared" ref="D84:AL84" si="14">COUNTIF(D$3:D$72,"02夜*")</f>
        <v>0</v>
      </c>
      <c r="E84" s="3">
        <f t="shared" si="14"/>
        <v>0</v>
      </c>
      <c r="F84" s="3">
        <f t="shared" si="14"/>
        <v>0</v>
      </c>
      <c r="G84" s="3">
        <f t="shared" si="14"/>
        <v>0</v>
      </c>
      <c r="H84" s="3">
        <f t="shared" si="14"/>
        <v>0</v>
      </c>
      <c r="I84" s="3">
        <f t="shared" si="14"/>
        <v>0</v>
      </c>
      <c r="J84" s="3">
        <f t="shared" si="14"/>
        <v>0</v>
      </c>
      <c r="K84" s="3">
        <f t="shared" si="14"/>
        <v>0</v>
      </c>
      <c r="L84" s="3">
        <f t="shared" si="14"/>
        <v>0</v>
      </c>
      <c r="M84" s="3">
        <f t="shared" si="14"/>
        <v>0</v>
      </c>
      <c r="N84" s="3">
        <f t="shared" si="14"/>
        <v>0</v>
      </c>
      <c r="O84" s="3">
        <f t="shared" si="14"/>
        <v>0</v>
      </c>
      <c r="P84" s="3">
        <f t="shared" si="14"/>
        <v>0</v>
      </c>
      <c r="Q84" s="3">
        <f t="shared" si="14"/>
        <v>0</v>
      </c>
      <c r="R84" s="3">
        <f t="shared" si="14"/>
        <v>0</v>
      </c>
      <c r="S84" s="3">
        <f t="shared" si="14"/>
        <v>0</v>
      </c>
      <c r="T84" s="3">
        <f t="shared" si="14"/>
        <v>0</v>
      </c>
      <c r="U84" s="3">
        <f t="shared" si="14"/>
        <v>0</v>
      </c>
      <c r="V84" s="3">
        <f t="shared" si="14"/>
        <v>0</v>
      </c>
      <c r="W84" s="3">
        <f t="shared" si="14"/>
        <v>0</v>
      </c>
      <c r="X84" s="3">
        <f t="shared" si="14"/>
        <v>0</v>
      </c>
      <c r="Y84" s="3">
        <f t="shared" si="14"/>
        <v>0</v>
      </c>
      <c r="Z84" s="3">
        <f t="shared" si="14"/>
        <v>0</v>
      </c>
      <c r="AA84" s="3">
        <f t="shared" si="14"/>
        <v>0</v>
      </c>
      <c r="AB84" s="3">
        <f t="shared" si="14"/>
        <v>0</v>
      </c>
      <c r="AC84" s="3">
        <f t="shared" si="14"/>
        <v>0</v>
      </c>
      <c r="AD84" s="3">
        <f t="shared" si="14"/>
        <v>0</v>
      </c>
      <c r="AE84" s="3">
        <f t="shared" si="14"/>
        <v>0</v>
      </c>
      <c r="AF84" s="3">
        <f t="shared" si="14"/>
        <v>0</v>
      </c>
      <c r="AG84" s="3">
        <f t="shared" si="14"/>
        <v>0</v>
      </c>
      <c r="AH84" s="3">
        <f t="shared" si="14"/>
        <v>0</v>
      </c>
      <c r="AI84" s="3">
        <f t="shared" si="14"/>
        <v>0</v>
      </c>
      <c r="AJ84" s="3">
        <f t="shared" si="14"/>
        <v>0</v>
      </c>
      <c r="AK84" s="3">
        <f t="shared" si="14"/>
        <v>0</v>
      </c>
      <c r="AL84" s="3">
        <f t="shared" si="14"/>
        <v>0</v>
      </c>
    </row>
    <row r="85" spans="1:38" s="9" customFormat="1" ht="32.450000000000003" customHeight="1">
      <c r="A85" s="6"/>
      <c r="B85" s="6"/>
      <c r="C85" s="7" t="s">
        <v>25</v>
      </c>
      <c r="D85" s="39">
        <f t="shared" ref="D85:AL85" si="15">COUNTIF(D$3:D$72,"*03早*")-D86</f>
        <v>0</v>
      </c>
      <c r="E85" s="8">
        <f t="shared" si="15"/>
        <v>0</v>
      </c>
      <c r="F85" s="8">
        <f t="shared" si="15"/>
        <v>0</v>
      </c>
      <c r="G85" s="8">
        <f t="shared" si="15"/>
        <v>0</v>
      </c>
      <c r="H85" s="8">
        <f t="shared" si="15"/>
        <v>0</v>
      </c>
      <c r="I85" s="8">
        <f t="shared" si="15"/>
        <v>0</v>
      </c>
      <c r="J85" s="8">
        <f t="shared" si="15"/>
        <v>0</v>
      </c>
      <c r="K85" s="8">
        <f t="shared" si="15"/>
        <v>0</v>
      </c>
      <c r="L85" s="8">
        <f t="shared" si="15"/>
        <v>0</v>
      </c>
      <c r="M85" s="8">
        <f t="shared" si="15"/>
        <v>0</v>
      </c>
      <c r="N85" s="8">
        <f t="shared" si="15"/>
        <v>0</v>
      </c>
      <c r="O85" s="8">
        <f t="shared" si="15"/>
        <v>0</v>
      </c>
      <c r="P85" s="8">
        <f t="shared" si="15"/>
        <v>0</v>
      </c>
      <c r="Q85" s="8">
        <f t="shared" si="15"/>
        <v>0</v>
      </c>
      <c r="R85" s="8">
        <f t="shared" si="15"/>
        <v>0</v>
      </c>
      <c r="S85" s="8">
        <f t="shared" si="15"/>
        <v>0</v>
      </c>
      <c r="T85" s="8">
        <f t="shared" si="15"/>
        <v>0</v>
      </c>
      <c r="U85" s="8">
        <f t="shared" si="15"/>
        <v>0</v>
      </c>
      <c r="V85" s="8">
        <f t="shared" si="15"/>
        <v>0</v>
      </c>
      <c r="W85" s="8">
        <f t="shared" si="15"/>
        <v>0</v>
      </c>
      <c r="X85" s="8">
        <f t="shared" si="15"/>
        <v>0</v>
      </c>
      <c r="Y85" s="8">
        <f t="shared" si="15"/>
        <v>0</v>
      </c>
      <c r="Z85" s="8">
        <f t="shared" si="15"/>
        <v>0</v>
      </c>
      <c r="AA85" s="8">
        <f t="shared" si="15"/>
        <v>0</v>
      </c>
      <c r="AB85" s="8">
        <f t="shared" si="15"/>
        <v>0</v>
      </c>
      <c r="AC85" s="8">
        <f t="shared" si="15"/>
        <v>0</v>
      </c>
      <c r="AD85" s="8">
        <f t="shared" si="15"/>
        <v>0</v>
      </c>
      <c r="AE85" s="8">
        <f t="shared" si="15"/>
        <v>0</v>
      </c>
      <c r="AF85" s="8">
        <f t="shared" si="15"/>
        <v>0</v>
      </c>
      <c r="AG85" s="8">
        <f t="shared" si="15"/>
        <v>0</v>
      </c>
      <c r="AH85" s="8">
        <f t="shared" si="15"/>
        <v>0</v>
      </c>
      <c r="AI85" s="8">
        <f t="shared" si="15"/>
        <v>0</v>
      </c>
      <c r="AJ85" s="8">
        <f t="shared" si="15"/>
        <v>0</v>
      </c>
      <c r="AK85" s="8">
        <f t="shared" si="15"/>
        <v>0</v>
      </c>
      <c r="AL85" s="8">
        <f t="shared" si="15"/>
        <v>0</v>
      </c>
    </row>
    <row r="86" spans="1:38" s="9" customFormat="1" ht="32.450000000000003" customHeight="1">
      <c r="A86" s="6"/>
      <c r="B86" s="6"/>
      <c r="C86" s="7" t="s">
        <v>75</v>
      </c>
      <c r="D86" s="41">
        <f t="shared" ref="D86:AL86" si="16">COUNTIF(D$3:D$72,"*03早A*")</f>
        <v>0</v>
      </c>
      <c r="E86" s="12">
        <f t="shared" si="16"/>
        <v>0</v>
      </c>
      <c r="F86" s="12">
        <f t="shared" si="16"/>
        <v>0</v>
      </c>
      <c r="G86" s="12">
        <f t="shared" si="16"/>
        <v>0</v>
      </c>
      <c r="H86" s="12">
        <f t="shared" si="16"/>
        <v>0</v>
      </c>
      <c r="I86" s="12">
        <f t="shared" si="16"/>
        <v>0</v>
      </c>
      <c r="J86" s="12">
        <f t="shared" si="16"/>
        <v>0</v>
      </c>
      <c r="K86" s="12">
        <f t="shared" si="16"/>
        <v>0</v>
      </c>
      <c r="L86" s="12">
        <f t="shared" si="16"/>
        <v>0</v>
      </c>
      <c r="M86" s="12">
        <f t="shared" si="16"/>
        <v>0</v>
      </c>
      <c r="N86" s="12">
        <f t="shared" si="16"/>
        <v>0</v>
      </c>
      <c r="O86" s="12">
        <f t="shared" si="16"/>
        <v>0</v>
      </c>
      <c r="P86" s="12">
        <f t="shared" si="16"/>
        <v>0</v>
      </c>
      <c r="Q86" s="12">
        <f t="shared" si="16"/>
        <v>0</v>
      </c>
      <c r="R86" s="12">
        <f t="shared" si="16"/>
        <v>0</v>
      </c>
      <c r="S86" s="12">
        <f t="shared" si="16"/>
        <v>0</v>
      </c>
      <c r="T86" s="12">
        <f t="shared" si="16"/>
        <v>0</v>
      </c>
      <c r="U86" s="12">
        <f t="shared" si="16"/>
        <v>0</v>
      </c>
      <c r="V86" s="12">
        <f t="shared" si="16"/>
        <v>0</v>
      </c>
      <c r="W86" s="12">
        <f t="shared" si="16"/>
        <v>0</v>
      </c>
      <c r="X86" s="12">
        <f t="shared" si="16"/>
        <v>0</v>
      </c>
      <c r="Y86" s="12">
        <f t="shared" si="16"/>
        <v>0</v>
      </c>
      <c r="Z86" s="12">
        <f t="shared" si="16"/>
        <v>0</v>
      </c>
      <c r="AA86" s="12">
        <f t="shared" si="16"/>
        <v>0</v>
      </c>
      <c r="AB86" s="12">
        <f t="shared" si="16"/>
        <v>0</v>
      </c>
      <c r="AC86" s="12">
        <f t="shared" si="16"/>
        <v>0</v>
      </c>
      <c r="AD86" s="12">
        <f t="shared" si="16"/>
        <v>0</v>
      </c>
      <c r="AE86" s="12">
        <f t="shared" si="16"/>
        <v>0</v>
      </c>
      <c r="AF86" s="12">
        <f t="shared" si="16"/>
        <v>0</v>
      </c>
      <c r="AG86" s="12">
        <f t="shared" si="16"/>
        <v>0</v>
      </c>
      <c r="AH86" s="12">
        <f t="shared" si="16"/>
        <v>0</v>
      </c>
      <c r="AI86" s="12">
        <f t="shared" si="16"/>
        <v>0</v>
      </c>
      <c r="AJ86" s="12">
        <f t="shared" si="16"/>
        <v>0</v>
      </c>
      <c r="AK86" s="12">
        <f t="shared" si="16"/>
        <v>0</v>
      </c>
      <c r="AL86" s="12">
        <f t="shared" si="16"/>
        <v>0</v>
      </c>
    </row>
    <row r="87" spans="1:38" s="9" customFormat="1" ht="32.450000000000003" customHeight="1">
      <c r="A87" s="6"/>
      <c r="B87" s="6"/>
      <c r="C87" s="7" t="s">
        <v>26</v>
      </c>
      <c r="D87" s="40">
        <f t="shared" ref="D87:AL87" si="17">COUNTIF(D$3:D$67,"03中A*")</f>
        <v>0</v>
      </c>
      <c r="E87" s="10">
        <f t="shared" si="17"/>
        <v>0</v>
      </c>
      <c r="F87" s="10">
        <f t="shared" si="17"/>
        <v>0</v>
      </c>
      <c r="G87" s="10">
        <f t="shared" si="17"/>
        <v>0</v>
      </c>
      <c r="H87" s="10">
        <f t="shared" si="17"/>
        <v>0</v>
      </c>
      <c r="I87" s="10">
        <f t="shared" si="17"/>
        <v>0</v>
      </c>
      <c r="J87" s="10">
        <f t="shared" si="17"/>
        <v>0</v>
      </c>
      <c r="K87" s="10">
        <f t="shared" si="17"/>
        <v>0</v>
      </c>
      <c r="L87" s="10">
        <f t="shared" si="17"/>
        <v>0</v>
      </c>
      <c r="M87" s="10">
        <f t="shared" si="17"/>
        <v>0</v>
      </c>
      <c r="N87" s="10">
        <f t="shared" si="17"/>
        <v>0</v>
      </c>
      <c r="O87" s="10">
        <f t="shared" si="17"/>
        <v>0</v>
      </c>
      <c r="P87" s="10">
        <f t="shared" si="17"/>
        <v>0</v>
      </c>
      <c r="Q87" s="10">
        <f t="shared" si="17"/>
        <v>0</v>
      </c>
      <c r="R87" s="10">
        <f t="shared" si="17"/>
        <v>0</v>
      </c>
      <c r="S87" s="10">
        <f t="shared" si="17"/>
        <v>0</v>
      </c>
      <c r="T87" s="10">
        <f t="shared" si="17"/>
        <v>0</v>
      </c>
      <c r="U87" s="10">
        <f t="shared" si="17"/>
        <v>0</v>
      </c>
      <c r="V87" s="10">
        <f t="shared" si="17"/>
        <v>0</v>
      </c>
      <c r="W87" s="10">
        <f t="shared" si="17"/>
        <v>0</v>
      </c>
      <c r="X87" s="10">
        <f t="shared" si="17"/>
        <v>0</v>
      </c>
      <c r="Y87" s="10">
        <f t="shared" si="17"/>
        <v>0</v>
      </c>
      <c r="Z87" s="10">
        <f t="shared" si="17"/>
        <v>0</v>
      </c>
      <c r="AA87" s="10">
        <f t="shared" si="17"/>
        <v>0</v>
      </c>
      <c r="AB87" s="10">
        <f t="shared" si="17"/>
        <v>0</v>
      </c>
      <c r="AC87" s="10">
        <f t="shared" si="17"/>
        <v>0</v>
      </c>
      <c r="AD87" s="10">
        <f t="shared" si="17"/>
        <v>0</v>
      </c>
      <c r="AE87" s="10">
        <f t="shared" si="17"/>
        <v>0</v>
      </c>
      <c r="AF87" s="10">
        <f t="shared" si="17"/>
        <v>0</v>
      </c>
      <c r="AG87" s="10">
        <f t="shared" si="17"/>
        <v>0</v>
      </c>
      <c r="AH87" s="10">
        <f t="shared" si="17"/>
        <v>0</v>
      </c>
      <c r="AI87" s="10">
        <f t="shared" si="17"/>
        <v>0</v>
      </c>
      <c r="AJ87" s="10">
        <f t="shared" si="17"/>
        <v>0</v>
      </c>
      <c r="AK87" s="10">
        <f t="shared" si="17"/>
        <v>0</v>
      </c>
      <c r="AL87" s="10">
        <f t="shared" si="17"/>
        <v>0</v>
      </c>
    </row>
    <row r="88" spans="1:38" s="9" customFormat="1" ht="32.450000000000003" customHeight="1">
      <c r="A88" s="6"/>
      <c r="B88" s="6"/>
      <c r="C88" s="7" t="s">
        <v>27</v>
      </c>
      <c r="D88" s="40">
        <f t="shared" ref="D88:AL88" si="18">COUNTIF(D$3:D$72,"*03午*")-D89</f>
        <v>0</v>
      </c>
      <c r="E88" s="10">
        <f t="shared" si="18"/>
        <v>0</v>
      </c>
      <c r="F88" s="10">
        <f t="shared" si="18"/>
        <v>0</v>
      </c>
      <c r="G88" s="10">
        <f t="shared" si="18"/>
        <v>0</v>
      </c>
      <c r="H88" s="10">
        <f t="shared" si="18"/>
        <v>0</v>
      </c>
      <c r="I88" s="10">
        <f t="shared" si="18"/>
        <v>0</v>
      </c>
      <c r="J88" s="10">
        <f t="shared" si="18"/>
        <v>0</v>
      </c>
      <c r="K88" s="10">
        <f t="shared" si="18"/>
        <v>0</v>
      </c>
      <c r="L88" s="10">
        <f t="shared" si="18"/>
        <v>0</v>
      </c>
      <c r="M88" s="10">
        <f t="shared" si="18"/>
        <v>0</v>
      </c>
      <c r="N88" s="10">
        <f t="shared" si="18"/>
        <v>0</v>
      </c>
      <c r="O88" s="10">
        <f t="shared" si="18"/>
        <v>0</v>
      </c>
      <c r="P88" s="10">
        <f t="shared" si="18"/>
        <v>0</v>
      </c>
      <c r="Q88" s="10">
        <f t="shared" si="18"/>
        <v>0</v>
      </c>
      <c r="R88" s="10">
        <f t="shared" si="18"/>
        <v>0</v>
      </c>
      <c r="S88" s="10">
        <f t="shared" si="18"/>
        <v>0</v>
      </c>
      <c r="T88" s="10">
        <f t="shared" si="18"/>
        <v>0</v>
      </c>
      <c r="U88" s="10">
        <f t="shared" si="18"/>
        <v>0</v>
      </c>
      <c r="V88" s="10">
        <f t="shared" si="18"/>
        <v>0</v>
      </c>
      <c r="W88" s="10">
        <f t="shared" si="18"/>
        <v>0</v>
      </c>
      <c r="X88" s="10">
        <f t="shared" si="18"/>
        <v>0</v>
      </c>
      <c r="Y88" s="10">
        <f t="shared" si="18"/>
        <v>0</v>
      </c>
      <c r="Z88" s="10">
        <f t="shared" si="18"/>
        <v>0</v>
      </c>
      <c r="AA88" s="10">
        <f t="shared" si="18"/>
        <v>0</v>
      </c>
      <c r="AB88" s="10">
        <f t="shared" si="18"/>
        <v>0</v>
      </c>
      <c r="AC88" s="10">
        <f t="shared" si="18"/>
        <v>0</v>
      </c>
      <c r="AD88" s="10">
        <f t="shared" si="18"/>
        <v>0</v>
      </c>
      <c r="AE88" s="10">
        <f t="shared" si="18"/>
        <v>0</v>
      </c>
      <c r="AF88" s="10">
        <f t="shared" si="18"/>
        <v>0</v>
      </c>
      <c r="AG88" s="10">
        <f t="shared" si="18"/>
        <v>0</v>
      </c>
      <c r="AH88" s="10">
        <f t="shared" si="18"/>
        <v>0</v>
      </c>
      <c r="AI88" s="10">
        <f t="shared" si="18"/>
        <v>0</v>
      </c>
      <c r="AJ88" s="10">
        <f t="shared" si="18"/>
        <v>0</v>
      </c>
      <c r="AK88" s="10">
        <f t="shared" si="18"/>
        <v>0</v>
      </c>
      <c r="AL88" s="10">
        <f t="shared" si="18"/>
        <v>0</v>
      </c>
    </row>
    <row r="89" spans="1:38" s="9" customFormat="1" ht="32.450000000000003" customHeight="1">
      <c r="A89" s="6"/>
      <c r="B89" s="6"/>
      <c r="C89" s="7" t="s">
        <v>76</v>
      </c>
      <c r="D89" s="40">
        <f t="shared" ref="D89:AL89" si="19">COUNTIF(D$3:D$72,"*03午F*")</f>
        <v>0</v>
      </c>
      <c r="E89" s="10">
        <f t="shared" si="19"/>
        <v>0</v>
      </c>
      <c r="F89" s="10">
        <f t="shared" si="19"/>
        <v>0</v>
      </c>
      <c r="G89" s="10">
        <f t="shared" si="19"/>
        <v>0</v>
      </c>
      <c r="H89" s="10">
        <f t="shared" si="19"/>
        <v>0</v>
      </c>
      <c r="I89" s="10">
        <f t="shared" si="19"/>
        <v>0</v>
      </c>
      <c r="J89" s="10">
        <f t="shared" si="19"/>
        <v>0</v>
      </c>
      <c r="K89" s="10">
        <f t="shared" si="19"/>
        <v>0</v>
      </c>
      <c r="L89" s="10">
        <f t="shared" si="19"/>
        <v>0</v>
      </c>
      <c r="M89" s="10">
        <f t="shared" si="19"/>
        <v>0</v>
      </c>
      <c r="N89" s="10">
        <f t="shared" si="19"/>
        <v>0</v>
      </c>
      <c r="O89" s="10">
        <f t="shared" si="19"/>
        <v>0</v>
      </c>
      <c r="P89" s="10">
        <f t="shared" si="19"/>
        <v>0</v>
      </c>
      <c r="Q89" s="10">
        <f t="shared" si="19"/>
        <v>0</v>
      </c>
      <c r="R89" s="10">
        <f t="shared" si="19"/>
        <v>0</v>
      </c>
      <c r="S89" s="10">
        <f t="shared" si="19"/>
        <v>0</v>
      </c>
      <c r="T89" s="10">
        <f t="shared" si="19"/>
        <v>0</v>
      </c>
      <c r="U89" s="10">
        <f t="shared" si="19"/>
        <v>0</v>
      </c>
      <c r="V89" s="10">
        <f t="shared" si="19"/>
        <v>0</v>
      </c>
      <c r="W89" s="10">
        <f t="shared" si="19"/>
        <v>0</v>
      </c>
      <c r="X89" s="10">
        <f t="shared" si="19"/>
        <v>0</v>
      </c>
      <c r="Y89" s="10">
        <f t="shared" si="19"/>
        <v>0</v>
      </c>
      <c r="Z89" s="10">
        <f t="shared" si="19"/>
        <v>0</v>
      </c>
      <c r="AA89" s="10">
        <f t="shared" si="19"/>
        <v>0</v>
      </c>
      <c r="AB89" s="10">
        <f t="shared" si="19"/>
        <v>0</v>
      </c>
      <c r="AC89" s="10">
        <f t="shared" si="19"/>
        <v>0</v>
      </c>
      <c r="AD89" s="10">
        <f t="shared" si="19"/>
        <v>0</v>
      </c>
      <c r="AE89" s="10">
        <f t="shared" si="19"/>
        <v>0</v>
      </c>
      <c r="AF89" s="10">
        <f t="shared" si="19"/>
        <v>0</v>
      </c>
      <c r="AG89" s="10">
        <f t="shared" si="19"/>
        <v>0</v>
      </c>
      <c r="AH89" s="10">
        <f t="shared" si="19"/>
        <v>0</v>
      </c>
      <c r="AI89" s="10">
        <f t="shared" si="19"/>
        <v>0</v>
      </c>
      <c r="AJ89" s="10">
        <f t="shared" si="19"/>
        <v>0</v>
      </c>
      <c r="AK89" s="10">
        <f t="shared" si="19"/>
        <v>0</v>
      </c>
      <c r="AL89" s="10">
        <f t="shared" si="19"/>
        <v>0</v>
      </c>
    </row>
    <row r="90" spans="1:38" s="9" customFormat="1" ht="32.450000000000003" customHeight="1" thickBot="1">
      <c r="A90" s="6"/>
      <c r="B90" s="6"/>
      <c r="C90" s="11" t="s">
        <v>28</v>
      </c>
      <c r="D90" s="4">
        <f t="shared" ref="D90:AL90" si="20">COUNTIF(D$3:D$72,"03夜")</f>
        <v>0</v>
      </c>
      <c r="E90" s="3">
        <f t="shared" si="20"/>
        <v>0</v>
      </c>
      <c r="F90" s="3">
        <f t="shared" si="20"/>
        <v>0</v>
      </c>
      <c r="G90" s="3">
        <f t="shared" si="20"/>
        <v>0</v>
      </c>
      <c r="H90" s="3">
        <f t="shared" si="20"/>
        <v>0</v>
      </c>
      <c r="I90" s="3">
        <f t="shared" si="20"/>
        <v>0</v>
      </c>
      <c r="J90" s="3">
        <f t="shared" si="20"/>
        <v>0</v>
      </c>
      <c r="K90" s="3">
        <f t="shared" si="20"/>
        <v>0</v>
      </c>
      <c r="L90" s="3">
        <f t="shared" si="20"/>
        <v>0</v>
      </c>
      <c r="M90" s="3">
        <f t="shared" si="20"/>
        <v>0</v>
      </c>
      <c r="N90" s="3">
        <f t="shared" si="20"/>
        <v>0</v>
      </c>
      <c r="O90" s="3">
        <f t="shared" si="20"/>
        <v>0</v>
      </c>
      <c r="P90" s="3">
        <f t="shared" si="20"/>
        <v>0</v>
      </c>
      <c r="Q90" s="3">
        <f t="shared" si="20"/>
        <v>0</v>
      </c>
      <c r="R90" s="3">
        <f t="shared" si="20"/>
        <v>0</v>
      </c>
      <c r="S90" s="3">
        <f t="shared" si="20"/>
        <v>0</v>
      </c>
      <c r="T90" s="3">
        <f t="shared" si="20"/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3">
        <f t="shared" si="20"/>
        <v>0</v>
      </c>
      <c r="Y90" s="3">
        <f t="shared" si="20"/>
        <v>0</v>
      </c>
      <c r="Z90" s="3">
        <f t="shared" si="20"/>
        <v>0</v>
      </c>
      <c r="AA90" s="3">
        <f t="shared" si="20"/>
        <v>0</v>
      </c>
      <c r="AB90" s="3">
        <f t="shared" si="20"/>
        <v>0</v>
      </c>
      <c r="AC90" s="3">
        <f t="shared" si="20"/>
        <v>0</v>
      </c>
      <c r="AD90" s="3">
        <f t="shared" si="20"/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3">
        <f t="shared" si="20"/>
        <v>0</v>
      </c>
      <c r="AI90" s="3">
        <f t="shared" si="20"/>
        <v>0</v>
      </c>
      <c r="AJ90" s="3">
        <f t="shared" si="20"/>
        <v>0</v>
      </c>
      <c r="AK90" s="3">
        <f t="shared" si="20"/>
        <v>0</v>
      </c>
      <c r="AL90" s="3">
        <f t="shared" si="20"/>
        <v>0</v>
      </c>
    </row>
    <row r="91" spans="1:38" s="9" customFormat="1" ht="32.450000000000003" customHeight="1">
      <c r="A91" s="6"/>
      <c r="B91" s="6"/>
      <c r="C91" s="7" t="s">
        <v>29</v>
      </c>
      <c r="D91" s="39">
        <f t="shared" ref="D91:AL91" si="21">COUNTIF(D$3:D$72,"*04早*")</f>
        <v>0</v>
      </c>
      <c r="E91" s="8">
        <f t="shared" si="21"/>
        <v>0</v>
      </c>
      <c r="F91" s="8">
        <f t="shared" si="21"/>
        <v>0</v>
      </c>
      <c r="G91" s="8">
        <f t="shared" si="21"/>
        <v>0</v>
      </c>
      <c r="H91" s="8">
        <f t="shared" si="21"/>
        <v>0</v>
      </c>
      <c r="I91" s="8">
        <f t="shared" si="21"/>
        <v>0</v>
      </c>
      <c r="J91" s="8">
        <f t="shared" si="21"/>
        <v>0</v>
      </c>
      <c r="K91" s="8">
        <f t="shared" si="21"/>
        <v>0</v>
      </c>
      <c r="L91" s="8">
        <f t="shared" si="21"/>
        <v>0</v>
      </c>
      <c r="M91" s="8">
        <f t="shared" si="21"/>
        <v>0</v>
      </c>
      <c r="N91" s="8">
        <f t="shared" si="21"/>
        <v>0</v>
      </c>
      <c r="O91" s="8">
        <f t="shared" si="21"/>
        <v>0</v>
      </c>
      <c r="P91" s="8">
        <f t="shared" si="21"/>
        <v>0</v>
      </c>
      <c r="Q91" s="8">
        <f t="shared" si="21"/>
        <v>0</v>
      </c>
      <c r="R91" s="8">
        <f t="shared" si="21"/>
        <v>0</v>
      </c>
      <c r="S91" s="8">
        <f t="shared" si="21"/>
        <v>0</v>
      </c>
      <c r="T91" s="8">
        <f t="shared" si="21"/>
        <v>0</v>
      </c>
      <c r="U91" s="8">
        <f t="shared" si="21"/>
        <v>0</v>
      </c>
      <c r="V91" s="8">
        <f t="shared" si="21"/>
        <v>0</v>
      </c>
      <c r="W91" s="8">
        <f t="shared" si="21"/>
        <v>0</v>
      </c>
      <c r="X91" s="8">
        <f t="shared" si="21"/>
        <v>0</v>
      </c>
      <c r="Y91" s="8">
        <f t="shared" si="21"/>
        <v>0</v>
      </c>
      <c r="Z91" s="8">
        <f t="shared" si="21"/>
        <v>0</v>
      </c>
      <c r="AA91" s="8">
        <f t="shared" si="21"/>
        <v>0</v>
      </c>
      <c r="AB91" s="8">
        <f t="shared" si="21"/>
        <v>0</v>
      </c>
      <c r="AC91" s="8">
        <f t="shared" si="21"/>
        <v>0</v>
      </c>
      <c r="AD91" s="8">
        <f t="shared" si="21"/>
        <v>0</v>
      </c>
      <c r="AE91" s="8">
        <f t="shared" si="21"/>
        <v>0</v>
      </c>
      <c r="AF91" s="8">
        <f t="shared" si="21"/>
        <v>0</v>
      </c>
      <c r="AG91" s="8">
        <f t="shared" si="21"/>
        <v>0</v>
      </c>
      <c r="AH91" s="8">
        <f t="shared" si="21"/>
        <v>0</v>
      </c>
      <c r="AI91" s="8">
        <f t="shared" si="21"/>
        <v>0</v>
      </c>
      <c r="AJ91" s="8">
        <f t="shared" si="21"/>
        <v>0</v>
      </c>
      <c r="AK91" s="8">
        <f t="shared" si="21"/>
        <v>0</v>
      </c>
      <c r="AL91" s="8">
        <f t="shared" si="21"/>
        <v>0</v>
      </c>
    </row>
    <row r="92" spans="1:38" s="9" customFormat="1" ht="32.450000000000003" customHeight="1">
      <c r="A92" s="6"/>
      <c r="B92" s="6"/>
      <c r="C92" s="7" t="s">
        <v>30</v>
      </c>
      <c r="D92" s="40">
        <f t="shared" ref="D92:AL92" si="22">COUNTIF(D$3:D$72,"*04中A*")</f>
        <v>0</v>
      </c>
      <c r="E92" s="10">
        <f t="shared" si="22"/>
        <v>0</v>
      </c>
      <c r="F92" s="10">
        <f t="shared" si="22"/>
        <v>0</v>
      </c>
      <c r="G92" s="10">
        <f t="shared" si="22"/>
        <v>0</v>
      </c>
      <c r="H92" s="10">
        <f t="shared" si="22"/>
        <v>0</v>
      </c>
      <c r="I92" s="10">
        <f t="shared" si="22"/>
        <v>0</v>
      </c>
      <c r="J92" s="10">
        <f t="shared" si="22"/>
        <v>0</v>
      </c>
      <c r="K92" s="10">
        <f t="shared" si="22"/>
        <v>0</v>
      </c>
      <c r="L92" s="10">
        <f t="shared" si="22"/>
        <v>0</v>
      </c>
      <c r="M92" s="10">
        <f t="shared" si="22"/>
        <v>0</v>
      </c>
      <c r="N92" s="10">
        <f t="shared" si="22"/>
        <v>0</v>
      </c>
      <c r="O92" s="10">
        <f t="shared" si="22"/>
        <v>0</v>
      </c>
      <c r="P92" s="10">
        <f t="shared" si="22"/>
        <v>0</v>
      </c>
      <c r="Q92" s="10">
        <f t="shared" si="22"/>
        <v>0</v>
      </c>
      <c r="R92" s="10">
        <f t="shared" si="22"/>
        <v>0</v>
      </c>
      <c r="S92" s="10">
        <f t="shared" si="22"/>
        <v>0</v>
      </c>
      <c r="T92" s="10">
        <f t="shared" si="22"/>
        <v>0</v>
      </c>
      <c r="U92" s="10">
        <f t="shared" si="22"/>
        <v>0</v>
      </c>
      <c r="V92" s="10">
        <f t="shared" si="22"/>
        <v>0</v>
      </c>
      <c r="W92" s="10">
        <f t="shared" si="22"/>
        <v>0</v>
      </c>
      <c r="X92" s="10">
        <f t="shared" si="22"/>
        <v>0</v>
      </c>
      <c r="Y92" s="10">
        <f t="shared" si="22"/>
        <v>0</v>
      </c>
      <c r="Z92" s="10">
        <f t="shared" si="22"/>
        <v>0</v>
      </c>
      <c r="AA92" s="10">
        <f t="shared" si="22"/>
        <v>0</v>
      </c>
      <c r="AB92" s="10">
        <f t="shared" si="22"/>
        <v>0</v>
      </c>
      <c r="AC92" s="10">
        <f t="shared" si="22"/>
        <v>0</v>
      </c>
      <c r="AD92" s="10">
        <f t="shared" si="22"/>
        <v>0</v>
      </c>
      <c r="AE92" s="10">
        <f t="shared" si="22"/>
        <v>0</v>
      </c>
      <c r="AF92" s="10">
        <f t="shared" si="22"/>
        <v>0</v>
      </c>
      <c r="AG92" s="10">
        <f t="shared" si="22"/>
        <v>0</v>
      </c>
      <c r="AH92" s="10">
        <f t="shared" si="22"/>
        <v>0</v>
      </c>
      <c r="AI92" s="10">
        <f t="shared" si="22"/>
        <v>0</v>
      </c>
      <c r="AJ92" s="10">
        <f t="shared" si="22"/>
        <v>0</v>
      </c>
      <c r="AK92" s="10">
        <f t="shared" si="22"/>
        <v>0</v>
      </c>
      <c r="AL92" s="10">
        <f t="shared" si="22"/>
        <v>0</v>
      </c>
    </row>
    <row r="93" spans="1:38" s="9" customFormat="1" ht="32.450000000000003" customHeight="1">
      <c r="A93" s="6"/>
      <c r="B93" s="6"/>
      <c r="C93" s="7" t="s">
        <v>31</v>
      </c>
      <c r="D93" s="40">
        <f t="shared" ref="D93:AL93" si="23">COUNTIF(D$3:D$67,"*04午*")</f>
        <v>0</v>
      </c>
      <c r="E93" s="10">
        <f t="shared" si="23"/>
        <v>0</v>
      </c>
      <c r="F93" s="10">
        <f t="shared" si="23"/>
        <v>0</v>
      </c>
      <c r="G93" s="10">
        <f t="shared" si="23"/>
        <v>0</v>
      </c>
      <c r="H93" s="10">
        <f t="shared" si="23"/>
        <v>0</v>
      </c>
      <c r="I93" s="10">
        <f t="shared" si="23"/>
        <v>0</v>
      </c>
      <c r="J93" s="10">
        <f t="shared" si="23"/>
        <v>0</v>
      </c>
      <c r="K93" s="10">
        <f t="shared" si="23"/>
        <v>0</v>
      </c>
      <c r="L93" s="10">
        <f t="shared" si="23"/>
        <v>0</v>
      </c>
      <c r="M93" s="10">
        <f t="shared" si="23"/>
        <v>0</v>
      </c>
      <c r="N93" s="10">
        <f t="shared" si="23"/>
        <v>0</v>
      </c>
      <c r="O93" s="10">
        <f t="shared" si="23"/>
        <v>0</v>
      </c>
      <c r="P93" s="10">
        <f t="shared" si="23"/>
        <v>0</v>
      </c>
      <c r="Q93" s="10">
        <f t="shared" si="23"/>
        <v>0</v>
      </c>
      <c r="R93" s="10">
        <f t="shared" si="23"/>
        <v>0</v>
      </c>
      <c r="S93" s="10">
        <f t="shared" si="23"/>
        <v>0</v>
      </c>
      <c r="T93" s="10">
        <f t="shared" si="23"/>
        <v>0</v>
      </c>
      <c r="U93" s="10">
        <f t="shared" si="23"/>
        <v>0</v>
      </c>
      <c r="V93" s="10">
        <f t="shared" si="23"/>
        <v>0</v>
      </c>
      <c r="W93" s="10">
        <f t="shared" si="23"/>
        <v>0</v>
      </c>
      <c r="X93" s="10">
        <f t="shared" si="23"/>
        <v>0</v>
      </c>
      <c r="Y93" s="10">
        <f t="shared" si="23"/>
        <v>0</v>
      </c>
      <c r="Z93" s="10">
        <f t="shared" si="23"/>
        <v>0</v>
      </c>
      <c r="AA93" s="10">
        <f t="shared" si="23"/>
        <v>0</v>
      </c>
      <c r="AB93" s="10">
        <f t="shared" si="23"/>
        <v>0</v>
      </c>
      <c r="AC93" s="10">
        <f t="shared" si="23"/>
        <v>0</v>
      </c>
      <c r="AD93" s="10">
        <f t="shared" si="23"/>
        <v>0</v>
      </c>
      <c r="AE93" s="10">
        <f t="shared" si="23"/>
        <v>0</v>
      </c>
      <c r="AF93" s="10">
        <f t="shared" si="23"/>
        <v>0</v>
      </c>
      <c r="AG93" s="10">
        <f t="shared" si="23"/>
        <v>0</v>
      </c>
      <c r="AH93" s="10">
        <f t="shared" si="23"/>
        <v>0</v>
      </c>
      <c r="AI93" s="10">
        <f t="shared" si="23"/>
        <v>0</v>
      </c>
      <c r="AJ93" s="10">
        <f t="shared" si="23"/>
        <v>0</v>
      </c>
      <c r="AK93" s="10">
        <f t="shared" si="23"/>
        <v>0</v>
      </c>
      <c r="AL93" s="10">
        <f t="shared" si="23"/>
        <v>0</v>
      </c>
    </row>
    <row r="94" spans="1:38" s="9" customFormat="1" ht="32.450000000000003" customHeight="1" thickBot="1">
      <c r="A94" s="6"/>
      <c r="B94" s="6"/>
      <c r="C94" s="11" t="s">
        <v>32</v>
      </c>
      <c r="D94" s="4">
        <f t="shared" ref="D94:AL94" si="24">COUNTIF(D$3:D$72,"*04夜*")</f>
        <v>0</v>
      </c>
      <c r="E94" s="3">
        <f t="shared" si="24"/>
        <v>0</v>
      </c>
      <c r="F94" s="3">
        <f t="shared" si="24"/>
        <v>0</v>
      </c>
      <c r="G94" s="3">
        <f t="shared" si="24"/>
        <v>0</v>
      </c>
      <c r="H94" s="3">
        <f t="shared" si="24"/>
        <v>0</v>
      </c>
      <c r="I94" s="3">
        <f t="shared" si="24"/>
        <v>0</v>
      </c>
      <c r="J94" s="3">
        <f t="shared" si="24"/>
        <v>0</v>
      </c>
      <c r="K94" s="3">
        <f t="shared" si="24"/>
        <v>0</v>
      </c>
      <c r="L94" s="3">
        <f t="shared" si="24"/>
        <v>0</v>
      </c>
      <c r="M94" s="3">
        <f t="shared" si="24"/>
        <v>0</v>
      </c>
      <c r="N94" s="3">
        <f t="shared" si="24"/>
        <v>0</v>
      </c>
      <c r="O94" s="3">
        <f t="shared" si="24"/>
        <v>0</v>
      </c>
      <c r="P94" s="3">
        <f t="shared" si="24"/>
        <v>0</v>
      </c>
      <c r="Q94" s="3">
        <f t="shared" si="24"/>
        <v>0</v>
      </c>
      <c r="R94" s="3">
        <f t="shared" si="24"/>
        <v>0</v>
      </c>
      <c r="S94" s="3">
        <f t="shared" si="24"/>
        <v>0</v>
      </c>
      <c r="T94" s="3">
        <f t="shared" si="24"/>
        <v>0</v>
      </c>
      <c r="U94" s="3">
        <f t="shared" si="24"/>
        <v>0</v>
      </c>
      <c r="V94" s="3">
        <f t="shared" si="24"/>
        <v>0</v>
      </c>
      <c r="W94" s="3">
        <f t="shared" si="24"/>
        <v>0</v>
      </c>
      <c r="X94" s="3">
        <f t="shared" si="24"/>
        <v>0</v>
      </c>
      <c r="Y94" s="3">
        <f t="shared" si="24"/>
        <v>0</v>
      </c>
      <c r="Z94" s="3">
        <f t="shared" si="24"/>
        <v>0</v>
      </c>
      <c r="AA94" s="3">
        <f t="shared" si="24"/>
        <v>0</v>
      </c>
      <c r="AB94" s="3">
        <f t="shared" si="24"/>
        <v>0</v>
      </c>
      <c r="AC94" s="3">
        <f t="shared" si="24"/>
        <v>0</v>
      </c>
      <c r="AD94" s="3">
        <f t="shared" si="24"/>
        <v>0</v>
      </c>
      <c r="AE94" s="3">
        <f t="shared" si="24"/>
        <v>0</v>
      </c>
      <c r="AF94" s="3">
        <f t="shared" si="24"/>
        <v>0</v>
      </c>
      <c r="AG94" s="3">
        <f t="shared" si="24"/>
        <v>0</v>
      </c>
      <c r="AH94" s="3">
        <f t="shared" si="24"/>
        <v>0</v>
      </c>
      <c r="AI94" s="3">
        <f t="shared" si="24"/>
        <v>0</v>
      </c>
      <c r="AJ94" s="3">
        <f t="shared" si="24"/>
        <v>0</v>
      </c>
      <c r="AK94" s="3">
        <f t="shared" si="24"/>
        <v>0</v>
      </c>
      <c r="AL94" s="3">
        <f t="shared" si="24"/>
        <v>0</v>
      </c>
    </row>
    <row r="95" spans="1:38" s="9" customFormat="1" ht="32.450000000000003" customHeight="1">
      <c r="A95" s="6"/>
      <c r="B95" s="6"/>
      <c r="C95" s="7" t="s">
        <v>33</v>
      </c>
      <c r="D95" s="39">
        <f t="shared" ref="D95:AL95" si="25">COUNTIF(D$3:D$72,"05早*")</f>
        <v>0</v>
      </c>
      <c r="E95" s="8">
        <f t="shared" si="25"/>
        <v>0</v>
      </c>
      <c r="F95" s="8">
        <f t="shared" si="25"/>
        <v>0</v>
      </c>
      <c r="G95" s="8">
        <f t="shared" si="25"/>
        <v>0</v>
      </c>
      <c r="H95" s="8">
        <f t="shared" si="25"/>
        <v>0</v>
      </c>
      <c r="I95" s="8">
        <f t="shared" si="25"/>
        <v>0</v>
      </c>
      <c r="J95" s="8">
        <f t="shared" si="25"/>
        <v>0</v>
      </c>
      <c r="K95" s="8">
        <f t="shared" si="25"/>
        <v>0</v>
      </c>
      <c r="L95" s="8">
        <f t="shared" si="25"/>
        <v>0</v>
      </c>
      <c r="M95" s="8">
        <f t="shared" si="25"/>
        <v>0</v>
      </c>
      <c r="N95" s="8">
        <f t="shared" si="25"/>
        <v>0</v>
      </c>
      <c r="O95" s="8">
        <f t="shared" si="25"/>
        <v>0</v>
      </c>
      <c r="P95" s="8">
        <f t="shared" si="25"/>
        <v>0</v>
      </c>
      <c r="Q95" s="8">
        <f t="shared" si="25"/>
        <v>0</v>
      </c>
      <c r="R95" s="8">
        <f t="shared" si="25"/>
        <v>0</v>
      </c>
      <c r="S95" s="8">
        <f t="shared" si="25"/>
        <v>0</v>
      </c>
      <c r="T95" s="8">
        <f t="shared" si="25"/>
        <v>0</v>
      </c>
      <c r="U95" s="8">
        <f t="shared" si="25"/>
        <v>0</v>
      </c>
      <c r="V95" s="8">
        <f t="shared" si="25"/>
        <v>0</v>
      </c>
      <c r="W95" s="8">
        <f t="shared" si="25"/>
        <v>0</v>
      </c>
      <c r="X95" s="8">
        <f t="shared" si="25"/>
        <v>0</v>
      </c>
      <c r="Y95" s="8">
        <f t="shared" si="25"/>
        <v>0</v>
      </c>
      <c r="Z95" s="8">
        <f t="shared" si="25"/>
        <v>0</v>
      </c>
      <c r="AA95" s="8">
        <f t="shared" si="25"/>
        <v>0</v>
      </c>
      <c r="AB95" s="8">
        <f t="shared" si="25"/>
        <v>0</v>
      </c>
      <c r="AC95" s="8">
        <f t="shared" si="25"/>
        <v>0</v>
      </c>
      <c r="AD95" s="8">
        <f t="shared" si="25"/>
        <v>0</v>
      </c>
      <c r="AE95" s="8">
        <f t="shared" si="25"/>
        <v>0</v>
      </c>
      <c r="AF95" s="8">
        <f t="shared" si="25"/>
        <v>0</v>
      </c>
      <c r="AG95" s="8">
        <f t="shared" si="25"/>
        <v>0</v>
      </c>
      <c r="AH95" s="8">
        <f t="shared" si="25"/>
        <v>0</v>
      </c>
      <c r="AI95" s="8">
        <f t="shared" si="25"/>
        <v>0</v>
      </c>
      <c r="AJ95" s="8">
        <f t="shared" si="25"/>
        <v>0</v>
      </c>
      <c r="AK95" s="8">
        <f t="shared" si="25"/>
        <v>0</v>
      </c>
      <c r="AL95" s="8">
        <f t="shared" si="25"/>
        <v>0</v>
      </c>
    </row>
    <row r="96" spans="1:38" s="9" customFormat="1" ht="32.450000000000003" customHeight="1">
      <c r="A96" s="6"/>
      <c r="B96" s="6"/>
      <c r="C96" s="7" t="s">
        <v>34</v>
      </c>
      <c r="D96" s="40">
        <f t="shared" ref="D96:AL96" si="26">COUNTIF(D$3:D$72,"05中A*")</f>
        <v>0</v>
      </c>
      <c r="E96" s="10">
        <f t="shared" si="26"/>
        <v>0</v>
      </c>
      <c r="F96" s="10">
        <f t="shared" si="26"/>
        <v>0</v>
      </c>
      <c r="G96" s="10">
        <f t="shared" si="26"/>
        <v>0</v>
      </c>
      <c r="H96" s="10">
        <f t="shared" si="26"/>
        <v>0</v>
      </c>
      <c r="I96" s="10">
        <f t="shared" si="26"/>
        <v>0</v>
      </c>
      <c r="J96" s="10">
        <f t="shared" si="26"/>
        <v>0</v>
      </c>
      <c r="K96" s="10">
        <f t="shared" si="26"/>
        <v>0</v>
      </c>
      <c r="L96" s="10">
        <f t="shared" si="26"/>
        <v>0</v>
      </c>
      <c r="M96" s="10">
        <f t="shared" si="26"/>
        <v>0</v>
      </c>
      <c r="N96" s="10">
        <f t="shared" si="26"/>
        <v>0</v>
      </c>
      <c r="O96" s="10">
        <f t="shared" si="26"/>
        <v>0</v>
      </c>
      <c r="P96" s="10">
        <f t="shared" si="26"/>
        <v>0</v>
      </c>
      <c r="Q96" s="10">
        <f t="shared" si="26"/>
        <v>0</v>
      </c>
      <c r="R96" s="10">
        <f t="shared" si="26"/>
        <v>0</v>
      </c>
      <c r="S96" s="10">
        <f t="shared" si="26"/>
        <v>0</v>
      </c>
      <c r="T96" s="10">
        <f t="shared" si="26"/>
        <v>0</v>
      </c>
      <c r="U96" s="10">
        <f t="shared" si="26"/>
        <v>0</v>
      </c>
      <c r="V96" s="10">
        <f t="shared" si="26"/>
        <v>0</v>
      </c>
      <c r="W96" s="10">
        <f t="shared" si="26"/>
        <v>0</v>
      </c>
      <c r="X96" s="10">
        <f t="shared" si="26"/>
        <v>0</v>
      </c>
      <c r="Y96" s="10">
        <f t="shared" si="26"/>
        <v>0</v>
      </c>
      <c r="Z96" s="10">
        <f t="shared" si="26"/>
        <v>0</v>
      </c>
      <c r="AA96" s="10">
        <f t="shared" si="26"/>
        <v>0</v>
      </c>
      <c r="AB96" s="10">
        <f t="shared" si="26"/>
        <v>0</v>
      </c>
      <c r="AC96" s="10">
        <f t="shared" si="26"/>
        <v>0</v>
      </c>
      <c r="AD96" s="10">
        <f t="shared" si="26"/>
        <v>0</v>
      </c>
      <c r="AE96" s="10">
        <f t="shared" si="26"/>
        <v>0</v>
      </c>
      <c r="AF96" s="10">
        <f t="shared" si="26"/>
        <v>0</v>
      </c>
      <c r="AG96" s="10">
        <f t="shared" si="26"/>
        <v>0</v>
      </c>
      <c r="AH96" s="10">
        <f t="shared" si="26"/>
        <v>0</v>
      </c>
      <c r="AI96" s="10">
        <f t="shared" si="26"/>
        <v>0</v>
      </c>
      <c r="AJ96" s="10">
        <f t="shared" si="26"/>
        <v>0</v>
      </c>
      <c r="AK96" s="10">
        <f t="shared" si="26"/>
        <v>0</v>
      </c>
      <c r="AL96" s="10">
        <f t="shared" si="26"/>
        <v>0</v>
      </c>
    </row>
    <row r="97" spans="1:38" s="9" customFormat="1" ht="32.450000000000003" customHeight="1">
      <c r="A97" s="6"/>
      <c r="B97" s="6"/>
      <c r="C97" s="7" t="s">
        <v>35</v>
      </c>
      <c r="D97" s="40">
        <f t="shared" ref="D97:AL97" si="27">COUNTIF(D$3:D$72,"05午*")</f>
        <v>0</v>
      </c>
      <c r="E97" s="10">
        <f t="shared" si="27"/>
        <v>0</v>
      </c>
      <c r="F97" s="10">
        <f t="shared" si="27"/>
        <v>0</v>
      </c>
      <c r="G97" s="10">
        <f t="shared" si="27"/>
        <v>0</v>
      </c>
      <c r="H97" s="10">
        <f t="shared" si="27"/>
        <v>0</v>
      </c>
      <c r="I97" s="10">
        <f t="shared" si="27"/>
        <v>0</v>
      </c>
      <c r="J97" s="10">
        <f t="shared" si="27"/>
        <v>0</v>
      </c>
      <c r="K97" s="10">
        <f t="shared" si="27"/>
        <v>0</v>
      </c>
      <c r="L97" s="10">
        <f t="shared" si="27"/>
        <v>0</v>
      </c>
      <c r="M97" s="10">
        <f t="shared" si="27"/>
        <v>0</v>
      </c>
      <c r="N97" s="10">
        <f t="shared" si="27"/>
        <v>0</v>
      </c>
      <c r="O97" s="10">
        <f t="shared" si="27"/>
        <v>0</v>
      </c>
      <c r="P97" s="10">
        <f t="shared" si="27"/>
        <v>0</v>
      </c>
      <c r="Q97" s="10">
        <f t="shared" si="27"/>
        <v>0</v>
      </c>
      <c r="R97" s="10">
        <f t="shared" si="27"/>
        <v>0</v>
      </c>
      <c r="S97" s="10">
        <f t="shared" si="27"/>
        <v>0</v>
      </c>
      <c r="T97" s="10">
        <f t="shared" si="27"/>
        <v>0</v>
      </c>
      <c r="U97" s="10">
        <f t="shared" si="27"/>
        <v>0</v>
      </c>
      <c r="V97" s="10">
        <f t="shared" si="27"/>
        <v>0</v>
      </c>
      <c r="W97" s="10">
        <f t="shared" si="27"/>
        <v>0</v>
      </c>
      <c r="X97" s="10">
        <f t="shared" si="27"/>
        <v>0</v>
      </c>
      <c r="Y97" s="10">
        <f t="shared" si="27"/>
        <v>0</v>
      </c>
      <c r="Z97" s="10">
        <f t="shared" si="27"/>
        <v>0</v>
      </c>
      <c r="AA97" s="10">
        <f t="shared" si="27"/>
        <v>0</v>
      </c>
      <c r="AB97" s="10">
        <f t="shared" si="27"/>
        <v>0</v>
      </c>
      <c r="AC97" s="10">
        <f t="shared" si="27"/>
        <v>0</v>
      </c>
      <c r="AD97" s="10">
        <f t="shared" si="27"/>
        <v>0</v>
      </c>
      <c r="AE97" s="10">
        <f t="shared" si="27"/>
        <v>0</v>
      </c>
      <c r="AF97" s="10">
        <f t="shared" si="27"/>
        <v>0</v>
      </c>
      <c r="AG97" s="10">
        <f t="shared" si="27"/>
        <v>0</v>
      </c>
      <c r="AH97" s="10">
        <f t="shared" si="27"/>
        <v>0</v>
      </c>
      <c r="AI97" s="10">
        <f t="shared" si="27"/>
        <v>0</v>
      </c>
      <c r="AJ97" s="10">
        <f t="shared" si="27"/>
        <v>0</v>
      </c>
      <c r="AK97" s="10">
        <f t="shared" si="27"/>
        <v>0</v>
      </c>
      <c r="AL97" s="10">
        <f t="shared" si="27"/>
        <v>0</v>
      </c>
    </row>
    <row r="98" spans="1:38" s="9" customFormat="1" ht="32.450000000000003" customHeight="1" thickBot="1">
      <c r="A98" s="6"/>
      <c r="B98" s="6"/>
      <c r="C98" s="11" t="s">
        <v>36</v>
      </c>
      <c r="D98" s="4">
        <f t="shared" ref="D98:AL98" si="28">COUNTIF(D$3:D$72,"05夜*")</f>
        <v>0</v>
      </c>
      <c r="E98" s="3">
        <f t="shared" si="28"/>
        <v>0</v>
      </c>
      <c r="F98" s="3">
        <f t="shared" si="28"/>
        <v>0</v>
      </c>
      <c r="G98" s="3">
        <f t="shared" si="28"/>
        <v>0</v>
      </c>
      <c r="H98" s="3">
        <f t="shared" si="28"/>
        <v>0</v>
      </c>
      <c r="I98" s="3">
        <f t="shared" si="28"/>
        <v>0</v>
      </c>
      <c r="J98" s="3">
        <f t="shared" si="28"/>
        <v>0</v>
      </c>
      <c r="K98" s="3">
        <f t="shared" si="28"/>
        <v>0</v>
      </c>
      <c r="L98" s="3">
        <f t="shared" si="28"/>
        <v>0</v>
      </c>
      <c r="M98" s="3">
        <f t="shared" si="28"/>
        <v>0</v>
      </c>
      <c r="N98" s="3">
        <f t="shared" si="28"/>
        <v>0</v>
      </c>
      <c r="O98" s="3">
        <f t="shared" si="28"/>
        <v>0</v>
      </c>
      <c r="P98" s="3">
        <f t="shared" si="28"/>
        <v>0</v>
      </c>
      <c r="Q98" s="3">
        <f t="shared" si="28"/>
        <v>0</v>
      </c>
      <c r="R98" s="3">
        <f t="shared" si="28"/>
        <v>0</v>
      </c>
      <c r="S98" s="3">
        <f t="shared" si="28"/>
        <v>0</v>
      </c>
      <c r="T98" s="3">
        <f t="shared" si="28"/>
        <v>0</v>
      </c>
      <c r="U98" s="3">
        <f t="shared" si="28"/>
        <v>0</v>
      </c>
      <c r="V98" s="3">
        <f t="shared" si="28"/>
        <v>0</v>
      </c>
      <c r="W98" s="3">
        <f t="shared" si="28"/>
        <v>0</v>
      </c>
      <c r="X98" s="3">
        <f t="shared" si="28"/>
        <v>0</v>
      </c>
      <c r="Y98" s="3">
        <f t="shared" si="28"/>
        <v>0</v>
      </c>
      <c r="Z98" s="3">
        <f t="shared" si="28"/>
        <v>0</v>
      </c>
      <c r="AA98" s="3">
        <f t="shared" si="28"/>
        <v>0</v>
      </c>
      <c r="AB98" s="3">
        <f t="shared" si="28"/>
        <v>0</v>
      </c>
      <c r="AC98" s="3">
        <f t="shared" si="28"/>
        <v>0</v>
      </c>
      <c r="AD98" s="3">
        <f t="shared" si="28"/>
        <v>0</v>
      </c>
      <c r="AE98" s="3">
        <f t="shared" si="28"/>
        <v>0</v>
      </c>
      <c r="AF98" s="3">
        <f t="shared" si="28"/>
        <v>0</v>
      </c>
      <c r="AG98" s="3">
        <f t="shared" si="28"/>
        <v>0</v>
      </c>
      <c r="AH98" s="3">
        <f t="shared" si="28"/>
        <v>0</v>
      </c>
      <c r="AI98" s="3">
        <f t="shared" si="28"/>
        <v>0</v>
      </c>
      <c r="AJ98" s="3">
        <f t="shared" si="28"/>
        <v>0</v>
      </c>
      <c r="AK98" s="3">
        <f t="shared" si="28"/>
        <v>0</v>
      </c>
      <c r="AL98" s="3">
        <f t="shared" si="28"/>
        <v>0</v>
      </c>
    </row>
    <row r="99" spans="1:38" s="9" customFormat="1" ht="32.450000000000003" customHeight="1">
      <c r="A99" s="6"/>
      <c r="B99" s="6"/>
      <c r="C99" s="7" t="s">
        <v>37</v>
      </c>
      <c r="D99" s="39">
        <f t="shared" ref="D99:Z99" si="29">COUNTIF(D$3:D$72,"06早*")</f>
        <v>0</v>
      </c>
      <c r="E99" s="8">
        <f t="shared" si="29"/>
        <v>0</v>
      </c>
      <c r="F99" s="8">
        <f t="shared" si="29"/>
        <v>0</v>
      </c>
      <c r="G99" s="8">
        <f t="shared" si="29"/>
        <v>0</v>
      </c>
      <c r="H99" s="8">
        <f t="shared" si="29"/>
        <v>0</v>
      </c>
      <c r="I99" s="8">
        <f t="shared" si="29"/>
        <v>0</v>
      </c>
      <c r="J99" s="8">
        <f t="shared" si="29"/>
        <v>0</v>
      </c>
      <c r="K99" s="8">
        <f t="shared" si="29"/>
        <v>0</v>
      </c>
      <c r="L99" s="8">
        <f t="shared" si="29"/>
        <v>0</v>
      </c>
      <c r="M99" s="8">
        <f t="shared" si="29"/>
        <v>0</v>
      </c>
      <c r="N99" s="8">
        <f t="shared" si="29"/>
        <v>0</v>
      </c>
      <c r="O99" s="8">
        <f t="shared" si="29"/>
        <v>0</v>
      </c>
      <c r="P99" s="8">
        <f t="shared" si="29"/>
        <v>0</v>
      </c>
      <c r="Q99" s="8">
        <f t="shared" si="29"/>
        <v>0</v>
      </c>
      <c r="R99" s="8">
        <f t="shared" si="29"/>
        <v>0</v>
      </c>
      <c r="S99" s="8">
        <f t="shared" si="29"/>
        <v>0</v>
      </c>
      <c r="T99" s="8">
        <f t="shared" si="29"/>
        <v>0</v>
      </c>
      <c r="U99" s="8">
        <f t="shared" si="29"/>
        <v>0</v>
      </c>
      <c r="V99" s="8">
        <f t="shared" si="29"/>
        <v>0</v>
      </c>
      <c r="W99" s="8">
        <f t="shared" si="29"/>
        <v>0</v>
      </c>
      <c r="X99" s="8">
        <f t="shared" si="29"/>
        <v>0</v>
      </c>
      <c r="Y99" s="8">
        <f t="shared" si="29"/>
        <v>0</v>
      </c>
      <c r="Z99" s="8">
        <f t="shared" si="29"/>
        <v>0</v>
      </c>
      <c r="AA99" s="8">
        <f t="shared" ref="AA99:AL99" si="30">COUNTIF(AA$3:AA$72,"*06早*")</f>
        <v>0</v>
      </c>
      <c r="AB99" s="8">
        <f t="shared" si="30"/>
        <v>0</v>
      </c>
      <c r="AC99" s="8">
        <f t="shared" si="30"/>
        <v>0</v>
      </c>
      <c r="AD99" s="8">
        <f t="shared" si="30"/>
        <v>0</v>
      </c>
      <c r="AE99" s="8">
        <f t="shared" si="30"/>
        <v>0</v>
      </c>
      <c r="AF99" s="8">
        <f t="shared" si="30"/>
        <v>0</v>
      </c>
      <c r="AG99" s="8">
        <f t="shared" si="30"/>
        <v>0</v>
      </c>
      <c r="AH99" s="8">
        <f t="shared" si="30"/>
        <v>0</v>
      </c>
      <c r="AI99" s="8">
        <f t="shared" si="30"/>
        <v>0</v>
      </c>
      <c r="AJ99" s="8">
        <f t="shared" si="30"/>
        <v>0</v>
      </c>
      <c r="AK99" s="8">
        <f t="shared" si="30"/>
        <v>0</v>
      </c>
      <c r="AL99" s="8">
        <f t="shared" si="30"/>
        <v>0</v>
      </c>
    </row>
    <row r="100" spans="1:38" s="9" customFormat="1" ht="32.450000000000003" customHeight="1">
      <c r="A100" s="6"/>
      <c r="B100" s="6"/>
      <c r="C100" s="7" t="s">
        <v>38</v>
      </c>
      <c r="D100" s="40">
        <f t="shared" ref="D100:Z100" si="31">COUNTIF(D$3:D$72,"06中A*")</f>
        <v>0</v>
      </c>
      <c r="E100" s="10">
        <f t="shared" si="31"/>
        <v>0</v>
      </c>
      <c r="F100" s="10">
        <f t="shared" si="31"/>
        <v>0</v>
      </c>
      <c r="G100" s="10">
        <f t="shared" si="31"/>
        <v>0</v>
      </c>
      <c r="H100" s="10">
        <f t="shared" si="31"/>
        <v>0</v>
      </c>
      <c r="I100" s="10">
        <f t="shared" si="31"/>
        <v>0</v>
      </c>
      <c r="J100" s="10">
        <f t="shared" si="31"/>
        <v>0</v>
      </c>
      <c r="K100" s="10">
        <f t="shared" si="31"/>
        <v>0</v>
      </c>
      <c r="L100" s="10">
        <f t="shared" si="31"/>
        <v>0</v>
      </c>
      <c r="M100" s="10">
        <f t="shared" si="31"/>
        <v>0</v>
      </c>
      <c r="N100" s="10">
        <f t="shared" si="31"/>
        <v>0</v>
      </c>
      <c r="O100" s="10">
        <f t="shared" si="31"/>
        <v>0</v>
      </c>
      <c r="P100" s="10">
        <f t="shared" si="31"/>
        <v>0</v>
      </c>
      <c r="Q100" s="10">
        <f t="shared" si="31"/>
        <v>0</v>
      </c>
      <c r="R100" s="10">
        <f t="shared" si="31"/>
        <v>0</v>
      </c>
      <c r="S100" s="10">
        <f t="shared" si="31"/>
        <v>0</v>
      </c>
      <c r="T100" s="10">
        <f t="shared" si="31"/>
        <v>0</v>
      </c>
      <c r="U100" s="10">
        <f t="shared" si="31"/>
        <v>0</v>
      </c>
      <c r="V100" s="10">
        <f t="shared" si="31"/>
        <v>0</v>
      </c>
      <c r="W100" s="10">
        <f t="shared" si="31"/>
        <v>0</v>
      </c>
      <c r="X100" s="10">
        <f t="shared" si="31"/>
        <v>0</v>
      </c>
      <c r="Y100" s="10">
        <f t="shared" si="31"/>
        <v>0</v>
      </c>
      <c r="Z100" s="10">
        <f t="shared" si="31"/>
        <v>0</v>
      </c>
      <c r="AA100" s="10">
        <f t="shared" ref="AA100:AL100" si="32">COUNTIF(AA$3:AA$72,"*06中A*")</f>
        <v>0</v>
      </c>
      <c r="AB100" s="10">
        <f t="shared" si="32"/>
        <v>0</v>
      </c>
      <c r="AC100" s="10">
        <f t="shared" si="32"/>
        <v>0</v>
      </c>
      <c r="AD100" s="10">
        <f t="shared" si="32"/>
        <v>0</v>
      </c>
      <c r="AE100" s="10">
        <f t="shared" si="32"/>
        <v>0</v>
      </c>
      <c r="AF100" s="10">
        <f t="shared" si="32"/>
        <v>0</v>
      </c>
      <c r="AG100" s="10">
        <f t="shared" si="32"/>
        <v>0</v>
      </c>
      <c r="AH100" s="10">
        <f t="shared" si="32"/>
        <v>0</v>
      </c>
      <c r="AI100" s="10">
        <f t="shared" si="32"/>
        <v>0</v>
      </c>
      <c r="AJ100" s="10">
        <f t="shared" si="32"/>
        <v>0</v>
      </c>
      <c r="AK100" s="10">
        <f t="shared" si="32"/>
        <v>0</v>
      </c>
      <c r="AL100" s="10">
        <f t="shared" si="32"/>
        <v>0</v>
      </c>
    </row>
    <row r="101" spans="1:38" s="9" customFormat="1" ht="32.450000000000003" customHeight="1">
      <c r="A101" s="6"/>
      <c r="B101" s="6"/>
      <c r="C101" s="7" t="s">
        <v>39</v>
      </c>
      <c r="D101" s="40">
        <f t="shared" ref="D101:Z101" si="33">COUNTIF(D$3:D$72,"06午*")</f>
        <v>0</v>
      </c>
      <c r="E101" s="10">
        <f t="shared" si="33"/>
        <v>0</v>
      </c>
      <c r="F101" s="10">
        <f t="shared" si="33"/>
        <v>0</v>
      </c>
      <c r="G101" s="10">
        <f t="shared" si="33"/>
        <v>0</v>
      </c>
      <c r="H101" s="10">
        <f t="shared" si="33"/>
        <v>0</v>
      </c>
      <c r="I101" s="10">
        <f t="shared" si="33"/>
        <v>0</v>
      </c>
      <c r="J101" s="10">
        <f t="shared" si="33"/>
        <v>0</v>
      </c>
      <c r="K101" s="10">
        <f t="shared" si="33"/>
        <v>0</v>
      </c>
      <c r="L101" s="10">
        <f t="shared" si="33"/>
        <v>0</v>
      </c>
      <c r="M101" s="10">
        <f t="shared" si="33"/>
        <v>0</v>
      </c>
      <c r="N101" s="10">
        <f t="shared" si="33"/>
        <v>0</v>
      </c>
      <c r="O101" s="10">
        <f t="shared" si="33"/>
        <v>0</v>
      </c>
      <c r="P101" s="10">
        <f t="shared" si="33"/>
        <v>0</v>
      </c>
      <c r="Q101" s="10">
        <f t="shared" si="33"/>
        <v>0</v>
      </c>
      <c r="R101" s="10">
        <f t="shared" si="33"/>
        <v>0</v>
      </c>
      <c r="S101" s="10">
        <f t="shared" si="33"/>
        <v>0</v>
      </c>
      <c r="T101" s="10">
        <f t="shared" si="33"/>
        <v>0</v>
      </c>
      <c r="U101" s="10">
        <f t="shared" si="33"/>
        <v>0</v>
      </c>
      <c r="V101" s="10">
        <f t="shared" si="33"/>
        <v>0</v>
      </c>
      <c r="W101" s="10">
        <f t="shared" si="33"/>
        <v>0</v>
      </c>
      <c r="X101" s="10">
        <f t="shared" si="33"/>
        <v>0</v>
      </c>
      <c r="Y101" s="10">
        <f t="shared" si="33"/>
        <v>0</v>
      </c>
      <c r="Z101" s="10">
        <f t="shared" si="33"/>
        <v>0</v>
      </c>
      <c r="AA101" s="10">
        <f t="shared" ref="AA101:AL101" si="34">COUNTIF(AA$3:AA$72,"*06午*")</f>
        <v>0</v>
      </c>
      <c r="AB101" s="10">
        <f t="shared" si="34"/>
        <v>0</v>
      </c>
      <c r="AC101" s="10">
        <f t="shared" si="34"/>
        <v>0</v>
      </c>
      <c r="AD101" s="10">
        <f t="shared" si="34"/>
        <v>0</v>
      </c>
      <c r="AE101" s="10">
        <f t="shared" si="34"/>
        <v>0</v>
      </c>
      <c r="AF101" s="10">
        <f t="shared" si="34"/>
        <v>0</v>
      </c>
      <c r="AG101" s="10">
        <f t="shared" si="34"/>
        <v>0</v>
      </c>
      <c r="AH101" s="10">
        <f t="shared" si="34"/>
        <v>0</v>
      </c>
      <c r="AI101" s="10">
        <f t="shared" si="34"/>
        <v>0</v>
      </c>
      <c r="AJ101" s="10">
        <f t="shared" si="34"/>
        <v>0</v>
      </c>
      <c r="AK101" s="10">
        <f t="shared" si="34"/>
        <v>0</v>
      </c>
      <c r="AL101" s="10">
        <f t="shared" si="34"/>
        <v>0</v>
      </c>
    </row>
    <row r="102" spans="1:38" s="9" customFormat="1" ht="36" customHeight="1" thickBot="1">
      <c r="A102" s="6"/>
      <c r="B102" s="6"/>
      <c r="C102" s="11" t="s">
        <v>40</v>
      </c>
      <c r="D102" s="4">
        <f t="shared" ref="D102:Z102" si="35">COUNTIF(D$3:D$72,"06夜*")</f>
        <v>0</v>
      </c>
      <c r="E102" s="3">
        <f t="shared" si="35"/>
        <v>0</v>
      </c>
      <c r="F102" s="3">
        <f t="shared" si="35"/>
        <v>0</v>
      </c>
      <c r="G102" s="3">
        <f t="shared" si="35"/>
        <v>0</v>
      </c>
      <c r="H102" s="3">
        <f t="shared" si="35"/>
        <v>0</v>
      </c>
      <c r="I102" s="3">
        <f t="shared" si="35"/>
        <v>0</v>
      </c>
      <c r="J102" s="3">
        <f t="shared" si="35"/>
        <v>0</v>
      </c>
      <c r="K102" s="3">
        <f t="shared" si="35"/>
        <v>0</v>
      </c>
      <c r="L102" s="3">
        <f t="shared" si="35"/>
        <v>0</v>
      </c>
      <c r="M102" s="3">
        <f t="shared" si="35"/>
        <v>0</v>
      </c>
      <c r="N102" s="3">
        <f t="shared" si="35"/>
        <v>0</v>
      </c>
      <c r="O102" s="3">
        <f t="shared" si="35"/>
        <v>0</v>
      </c>
      <c r="P102" s="3">
        <f t="shared" si="35"/>
        <v>0</v>
      </c>
      <c r="Q102" s="3">
        <f t="shared" si="35"/>
        <v>0</v>
      </c>
      <c r="R102" s="3">
        <f t="shared" si="35"/>
        <v>0</v>
      </c>
      <c r="S102" s="3">
        <f t="shared" si="35"/>
        <v>0</v>
      </c>
      <c r="T102" s="3">
        <f t="shared" si="35"/>
        <v>0</v>
      </c>
      <c r="U102" s="3">
        <f t="shared" si="35"/>
        <v>0</v>
      </c>
      <c r="V102" s="3">
        <f t="shared" si="35"/>
        <v>0</v>
      </c>
      <c r="W102" s="3">
        <f t="shared" si="35"/>
        <v>0</v>
      </c>
      <c r="X102" s="3">
        <f t="shared" si="35"/>
        <v>0</v>
      </c>
      <c r="Y102" s="3">
        <f t="shared" si="35"/>
        <v>0</v>
      </c>
      <c r="Z102" s="3">
        <f t="shared" si="35"/>
        <v>0</v>
      </c>
      <c r="AA102" s="3">
        <f t="shared" ref="AA102:AL102" si="36">COUNTIF(AA$3:AA$72,"*06夜*")</f>
        <v>0</v>
      </c>
      <c r="AB102" s="3">
        <f t="shared" si="36"/>
        <v>0</v>
      </c>
      <c r="AC102" s="3">
        <f t="shared" si="36"/>
        <v>0</v>
      </c>
      <c r="AD102" s="3">
        <f t="shared" si="36"/>
        <v>0</v>
      </c>
      <c r="AE102" s="3">
        <f t="shared" si="36"/>
        <v>0</v>
      </c>
      <c r="AF102" s="3">
        <f t="shared" si="36"/>
        <v>0</v>
      </c>
      <c r="AG102" s="3">
        <f t="shared" si="36"/>
        <v>0</v>
      </c>
      <c r="AH102" s="3">
        <f t="shared" si="36"/>
        <v>0</v>
      </c>
      <c r="AI102" s="3">
        <f t="shared" si="36"/>
        <v>0</v>
      </c>
      <c r="AJ102" s="3">
        <f t="shared" si="36"/>
        <v>0</v>
      </c>
      <c r="AK102" s="3">
        <f t="shared" si="36"/>
        <v>0</v>
      </c>
      <c r="AL102" s="3">
        <f t="shared" si="36"/>
        <v>0</v>
      </c>
    </row>
  </sheetData>
  <sheetProtection autoFilter="0"/>
  <autoFilter ref="A2:AL72"/>
  <mergeCells count="3">
    <mergeCell ref="B77:B80"/>
    <mergeCell ref="B1:B2"/>
    <mergeCell ref="C1:C2"/>
  </mergeCells>
  <phoneticPr fontId="1" type="noConversion"/>
  <conditionalFormatting sqref="D74:AL75 D86:AL86 D89:AL89">
    <cfRule type="cellIs" dxfId="8" priority="9" operator="notEqual">
      <formula>1</formula>
    </cfRule>
  </conditionalFormatting>
  <conditionalFormatting sqref="D76:AL76 D84:AL84 D90:AL90 D94:AL94 D98:AL98 D102:AL102">
    <cfRule type="cellIs" dxfId="7" priority="6" operator="notEqual">
      <formula>1</formula>
    </cfRule>
  </conditionalFormatting>
  <conditionalFormatting sqref="D77:AL77 D79:AL79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78:AL78 D82:AL82 D87:AL87 D92:AL92 D96:AL96 D100:AL100">
    <cfRule type="cellIs" dxfId="3" priority="7" operator="notEqual">
      <formula>0</formula>
    </cfRule>
  </conditionalFormatting>
  <conditionalFormatting sqref="D81:AL81 D83:AL83 D85:AL85 D88:AL88 D91:AL91 D93:AL93 D95:AL95 D97:AL97 D99:AL99 D101:AL101">
    <cfRule type="cellIs" dxfId="2" priority="8" operator="lessThan">
      <formula>1</formula>
    </cfRule>
  </conditionalFormatting>
  <conditionalFormatting sqref="D81:XFD81 D83:XFD83 D85:XFD85 D88:XFD88 D91:XFD91 D93:XFD93 D95:XFD95 D97:XFD97 D99:XFD99 D101:XFD101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4"/>
  <sheetViews>
    <sheetView view="pageBreakPreview" zoomScale="42" zoomScaleNormal="25" zoomScaleSheetLayoutView="42" zoomScalePageLayoutView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3" sqref="B3:AL71"/>
    </sheetView>
  </sheetViews>
  <sheetFormatPr defaultColWidth="8.875" defaultRowHeight="16.5"/>
  <cols>
    <col min="1" max="1" width="11.875" customWidth="1"/>
    <col min="2" max="3" width="20.625" customWidth="1"/>
    <col min="4" max="33" width="13.5" customWidth="1"/>
    <col min="34" max="34" width="14.25" customWidth="1"/>
    <col min="35" max="38" width="15.5" customWidth="1"/>
  </cols>
  <sheetData>
    <row r="1" spans="1:38" ht="63.75" customHeight="1">
      <c r="A1" s="157"/>
      <c r="B1" s="152" t="s">
        <v>0</v>
      </c>
      <c r="C1" s="152" t="s">
        <v>41</v>
      </c>
      <c r="D1" s="5">
        <f>DATE(工作表1!C1,工作表1!H1,1)</f>
        <v>45870</v>
      </c>
      <c r="E1" s="5">
        <f>IFERROR(IF(MONTH(D1+1)=工作表1!$H$1,D1+1,""),"")</f>
        <v>45871</v>
      </c>
      <c r="F1" s="5">
        <f>IFERROR(IF(MONTH(E1+1)=工作表1!$H$1,E1+1,""),"")</f>
        <v>45872</v>
      </c>
      <c r="G1" s="5">
        <f>IFERROR(IF(MONTH(F1+1)=工作表1!$H$1,F1+1,""),"")</f>
        <v>45873</v>
      </c>
      <c r="H1" s="5">
        <f>IFERROR(IF(MONTH(G1+1)=工作表1!$H$1,G1+1,""),"")</f>
        <v>45874</v>
      </c>
      <c r="I1" s="5">
        <f>IFERROR(IF(MONTH(H1+1)=工作表1!$H$1,H1+1,""),"")</f>
        <v>45875</v>
      </c>
      <c r="J1" s="5">
        <f>IFERROR(IF(MONTH(I1+1)=工作表1!$H$1,I1+1,""),"")</f>
        <v>45876</v>
      </c>
      <c r="K1" s="5">
        <f>IFERROR(IF(MONTH(J1+1)=工作表1!$H$1,J1+1,""),"")</f>
        <v>45877</v>
      </c>
      <c r="L1" s="5">
        <f>IFERROR(IF(MONTH(K1+1)=工作表1!$H$1,K1+1,""),"")</f>
        <v>45878</v>
      </c>
      <c r="M1" s="5">
        <f>IFERROR(IF(MONTH(L1+1)=工作表1!$H$1,L1+1,""),"")</f>
        <v>45879</v>
      </c>
      <c r="N1" s="5">
        <f>IFERROR(IF(MONTH(M1+1)=工作表1!$H$1,M1+1,""),"")</f>
        <v>45880</v>
      </c>
      <c r="O1" s="5">
        <f>IFERROR(IF(MONTH(N1+1)=工作表1!$H$1,N1+1,""),"")</f>
        <v>45881</v>
      </c>
      <c r="P1" s="5">
        <f>IFERROR(IF(MONTH(O1+1)=工作表1!$H$1,O1+1,""),"")</f>
        <v>45882</v>
      </c>
      <c r="Q1" s="5">
        <f>IFERROR(IF(MONTH(P1+1)=工作表1!$H$1,P1+1,""),"")</f>
        <v>45883</v>
      </c>
      <c r="R1" s="5">
        <f>IFERROR(IF(MONTH(Q1+1)=工作表1!$H$1,Q1+1,""),"")</f>
        <v>45884</v>
      </c>
      <c r="S1" s="5">
        <f>IFERROR(IF(MONTH(R1+1)=工作表1!$H$1,R1+1,""),"")</f>
        <v>45885</v>
      </c>
      <c r="T1" s="5">
        <f>IFERROR(IF(MONTH(S1+1)=工作表1!$H$1,S1+1,""),"")</f>
        <v>45886</v>
      </c>
      <c r="U1" s="5">
        <f>IFERROR(IF(MONTH(T1+1)=工作表1!$H$1,T1+1,""),"")</f>
        <v>45887</v>
      </c>
      <c r="V1" s="5">
        <f>IFERROR(IF(MONTH(U1+1)=工作表1!$H$1,U1+1,""),"")</f>
        <v>45888</v>
      </c>
      <c r="W1" s="5">
        <f>IFERROR(IF(MONTH(V1+1)=工作表1!$H$1,V1+1,""),"")</f>
        <v>45889</v>
      </c>
      <c r="X1" s="5">
        <f>IFERROR(IF(MONTH(W1+1)=工作表1!$H$1,W1+1,""),"")</f>
        <v>45890</v>
      </c>
      <c r="Y1" s="5">
        <f>IFERROR(IF(MONTH(X1+1)=工作表1!$H$1,X1+1,""),"")</f>
        <v>45891</v>
      </c>
      <c r="Z1" s="5">
        <f>IFERROR(IF(MONTH(Y1+1)=工作表1!$H$1,Y1+1,""),"")</f>
        <v>45892</v>
      </c>
      <c r="AA1" s="5">
        <f>IFERROR(IF(MONTH(Z1+1)=工作表1!$H$1,Z1+1,""),"")</f>
        <v>45893</v>
      </c>
      <c r="AB1" s="5">
        <f>IFERROR(IF(MONTH(AA1+1)=工作表1!$H$1,AA1+1,""),"")</f>
        <v>45894</v>
      </c>
      <c r="AC1" s="5">
        <f>IFERROR(IF(MONTH(AB1+1)=工作表1!$H$1,AB1+1,""),"")</f>
        <v>45895</v>
      </c>
      <c r="AD1" s="5">
        <f>IFERROR(IF(MONTH(AC1+1)=工作表1!$H$1,AC1+1,""),"")</f>
        <v>45896</v>
      </c>
      <c r="AE1" s="5">
        <f>IFERROR(IF(MONTH(AD1+1)=工作表1!$H$1,AD1+1,""),"")</f>
        <v>45897</v>
      </c>
      <c r="AF1" s="5">
        <f>IFERROR(IF(MONTH(AE1+1)=工作表1!$H$1,AE1+1,""),"")</f>
        <v>45898</v>
      </c>
      <c r="AG1" s="5">
        <f>IFERROR(IF(MONTH(AF1+1)=工作表1!$H$1,AF1+1,""),"")</f>
        <v>45899</v>
      </c>
      <c r="AH1" s="5">
        <v>45566</v>
      </c>
      <c r="AI1" s="5">
        <v>45567</v>
      </c>
      <c r="AJ1" s="5">
        <v>45568</v>
      </c>
      <c r="AK1" s="5">
        <v>45569</v>
      </c>
      <c r="AL1" s="5">
        <v>45570</v>
      </c>
    </row>
    <row r="2" spans="1:38" ht="43.5" customHeight="1" thickBot="1">
      <c r="A2" s="158"/>
      <c r="B2" s="153"/>
      <c r="C2" s="153"/>
      <c r="D2" s="14">
        <f t="shared" ref="D2:J2" si="0">IFERROR(IF(WEEKDAY(D1,2)=7,"日",WEEKDAY(D1,2)),"")</f>
        <v>5</v>
      </c>
      <c r="E2" s="14">
        <f t="shared" si="0"/>
        <v>6</v>
      </c>
      <c r="F2" s="14" t="str">
        <f t="shared" si="0"/>
        <v>日</v>
      </c>
      <c r="G2" s="14">
        <f t="shared" si="0"/>
        <v>1</v>
      </c>
      <c r="H2" s="14">
        <f t="shared" si="0"/>
        <v>2</v>
      </c>
      <c r="I2" s="14">
        <f t="shared" si="0"/>
        <v>3</v>
      </c>
      <c r="J2" s="14">
        <f t="shared" si="0"/>
        <v>4</v>
      </c>
      <c r="K2" s="14">
        <f t="shared" ref="K2:AL2" si="1">IFERROR(IF(WEEKDAY(K1,2)=7,"日",WEEKDAY(K1,2)),"")</f>
        <v>5</v>
      </c>
      <c r="L2" s="14">
        <f t="shared" si="1"/>
        <v>6</v>
      </c>
      <c r="M2" s="14" t="str">
        <f t="shared" si="1"/>
        <v>日</v>
      </c>
      <c r="N2" s="14">
        <f t="shared" si="1"/>
        <v>1</v>
      </c>
      <c r="O2" s="14">
        <f t="shared" si="1"/>
        <v>2</v>
      </c>
      <c r="P2" s="14">
        <f t="shared" si="1"/>
        <v>3</v>
      </c>
      <c r="Q2" s="14">
        <f t="shared" si="1"/>
        <v>4</v>
      </c>
      <c r="R2" s="14">
        <f t="shared" si="1"/>
        <v>5</v>
      </c>
      <c r="S2" s="14">
        <f t="shared" si="1"/>
        <v>6</v>
      </c>
      <c r="T2" s="14" t="str">
        <f t="shared" si="1"/>
        <v>日</v>
      </c>
      <c r="U2" s="14">
        <f t="shared" si="1"/>
        <v>1</v>
      </c>
      <c r="V2" s="14">
        <f t="shared" si="1"/>
        <v>2</v>
      </c>
      <c r="W2" s="14">
        <f t="shared" si="1"/>
        <v>3</v>
      </c>
      <c r="X2" s="14">
        <f t="shared" si="1"/>
        <v>4</v>
      </c>
      <c r="Y2" s="14">
        <f t="shared" si="1"/>
        <v>5</v>
      </c>
      <c r="Z2" s="14">
        <f t="shared" si="1"/>
        <v>6</v>
      </c>
      <c r="AA2" s="14" t="str">
        <f t="shared" si="1"/>
        <v>日</v>
      </c>
      <c r="AB2" s="14">
        <f t="shared" si="1"/>
        <v>1</v>
      </c>
      <c r="AC2" s="14">
        <f t="shared" si="1"/>
        <v>2</v>
      </c>
      <c r="AD2" s="14">
        <f t="shared" si="1"/>
        <v>3</v>
      </c>
      <c r="AE2" s="14">
        <f t="shared" si="1"/>
        <v>4</v>
      </c>
      <c r="AF2" s="14">
        <f t="shared" si="1"/>
        <v>5</v>
      </c>
      <c r="AG2" s="14">
        <f t="shared" si="1"/>
        <v>6</v>
      </c>
      <c r="AH2" s="14">
        <f t="shared" si="1"/>
        <v>2</v>
      </c>
      <c r="AI2" s="14">
        <f t="shared" si="1"/>
        <v>3</v>
      </c>
      <c r="AJ2" s="14">
        <f t="shared" si="1"/>
        <v>4</v>
      </c>
      <c r="AK2" s="14">
        <f t="shared" si="1"/>
        <v>5</v>
      </c>
      <c r="AL2" s="14">
        <f t="shared" si="1"/>
        <v>6</v>
      </c>
    </row>
    <row r="3" spans="1:38" ht="39.75" customHeight="1">
      <c r="A3" s="147" t="s">
        <v>42</v>
      </c>
      <c r="B3" s="10" t="e">
        <f>北段!#REF!</f>
        <v>#REF!</v>
      </c>
      <c r="C3" s="10" t="e">
        <f>VLOOKUP(B3,北段!B:C,2,FALSE)</f>
        <v>#REF!</v>
      </c>
      <c r="D3" s="15" t="e">
        <f>VLOOKUP('北段 (人資版)'!D3,工作表1!$A$3:$B$74,2,FALSE)</f>
        <v>#REF!</v>
      </c>
      <c r="E3" s="15" t="e">
        <f>VLOOKUP('北段 (人資版)'!E3,工作表1!$A$3:$B$74,2,FALSE)</f>
        <v>#REF!</v>
      </c>
      <c r="F3" s="15" t="e">
        <f>VLOOKUP('北段 (人資版)'!F3,工作表1!$A$3:$B$74,2,FALSE)</f>
        <v>#REF!</v>
      </c>
      <c r="G3" s="15" t="e">
        <f>VLOOKUP('北段 (人資版)'!G3,工作表1!$A$3:$B$74,2,FALSE)</f>
        <v>#REF!</v>
      </c>
      <c r="H3" s="15" t="e">
        <f>VLOOKUP('北段 (人資版)'!H3,工作表1!$A$3:$B$74,2,FALSE)</f>
        <v>#REF!</v>
      </c>
      <c r="I3" s="15" t="e">
        <f>VLOOKUP('北段 (人資版)'!I3,工作表1!$A$3:$B$74,2,FALSE)</f>
        <v>#REF!</v>
      </c>
      <c r="J3" s="15" t="e">
        <f>VLOOKUP('北段 (人資版)'!J3,工作表1!$A$3:$B$74,2,FALSE)</f>
        <v>#REF!</v>
      </c>
      <c r="K3" s="15" t="e">
        <f>VLOOKUP('北段 (人資版)'!K3,工作表1!$A$3:$B$74,2,FALSE)</f>
        <v>#REF!</v>
      </c>
      <c r="L3" s="15" t="e">
        <f>VLOOKUP('北段 (人資版)'!L3,工作表1!$A$3:$B$74,2,FALSE)</f>
        <v>#REF!</v>
      </c>
      <c r="M3" s="15" t="e">
        <f>VLOOKUP('北段 (人資版)'!M3,工作表1!$A$3:$B$74,2,FALSE)</f>
        <v>#REF!</v>
      </c>
      <c r="N3" s="15" t="e">
        <f>VLOOKUP('北段 (人資版)'!N3,工作表1!$A$3:$B$74,2,FALSE)</f>
        <v>#REF!</v>
      </c>
      <c r="O3" s="15" t="e">
        <f>VLOOKUP('北段 (人資版)'!O3,工作表1!$A$3:$B$74,2,FALSE)</f>
        <v>#REF!</v>
      </c>
      <c r="P3" s="15" t="e">
        <f>VLOOKUP('北段 (人資版)'!P3,工作表1!$A$3:$B$74,2,FALSE)</f>
        <v>#REF!</v>
      </c>
      <c r="Q3" s="15" t="e">
        <f>VLOOKUP('北段 (人資版)'!Q3,工作表1!$A$3:$B$74,2,FALSE)</f>
        <v>#REF!</v>
      </c>
      <c r="R3" s="15" t="e">
        <f>VLOOKUP('北段 (人資版)'!R3,工作表1!$A$3:$B$74,2,FALSE)</f>
        <v>#REF!</v>
      </c>
      <c r="S3" s="15" t="e">
        <f>VLOOKUP('北段 (人資版)'!S3,工作表1!$A$3:$B$74,2,FALSE)</f>
        <v>#REF!</v>
      </c>
      <c r="T3" s="15" t="e">
        <f>VLOOKUP('北段 (人資版)'!T3,工作表1!$A$3:$B$74,2,FALSE)</f>
        <v>#REF!</v>
      </c>
      <c r="U3" s="15" t="e">
        <f>VLOOKUP('北段 (人資版)'!U3,工作表1!$A$3:$B$74,2,FALSE)</f>
        <v>#REF!</v>
      </c>
      <c r="V3" s="15" t="e">
        <f>VLOOKUP('北段 (人資版)'!V3,工作表1!$A$3:$B$74,2,FALSE)</f>
        <v>#REF!</v>
      </c>
      <c r="W3" s="15" t="e">
        <f>VLOOKUP('北段 (人資版)'!W3,工作表1!$A$3:$B$74,2,FALSE)</f>
        <v>#REF!</v>
      </c>
      <c r="X3" s="15" t="e">
        <f>VLOOKUP('北段 (人資版)'!X3,工作表1!$A$3:$B$74,2,FALSE)</f>
        <v>#REF!</v>
      </c>
      <c r="Y3" s="15" t="e">
        <f>VLOOKUP('北段 (人資版)'!Y3,工作表1!$A$3:$B$74,2,FALSE)</f>
        <v>#REF!</v>
      </c>
      <c r="Z3" s="15" t="e">
        <f>VLOOKUP('北段 (人資版)'!Z3,工作表1!$A$3:$B$74,2,FALSE)</f>
        <v>#REF!</v>
      </c>
      <c r="AA3" s="15" t="e">
        <f>VLOOKUP('北段 (人資版)'!AA3,工作表1!$A$3:$B$74,2,FALSE)</f>
        <v>#REF!</v>
      </c>
      <c r="AB3" s="15" t="e">
        <f>VLOOKUP('北段 (人資版)'!AB3,工作表1!$A$3:$B$74,2,FALSE)</f>
        <v>#REF!</v>
      </c>
      <c r="AC3" s="15" t="e">
        <f>VLOOKUP('北段 (人資版)'!AC3,工作表1!$A$3:$B$74,2,FALSE)</f>
        <v>#REF!</v>
      </c>
      <c r="AD3" s="15" t="e">
        <f>VLOOKUP('北段 (人資版)'!AD3,工作表1!$A$3:$B$74,2,FALSE)</f>
        <v>#REF!</v>
      </c>
      <c r="AE3" s="15" t="e">
        <f>VLOOKUP('北段 (人資版)'!AE3,工作表1!$A$3:$B$74,2,FALSE)</f>
        <v>#REF!</v>
      </c>
      <c r="AF3" s="15" t="e">
        <f>VLOOKUP('北段 (人資版)'!AF3,工作表1!$A$3:$B$74,2,FALSE)</f>
        <v>#REF!</v>
      </c>
      <c r="AG3" s="15" t="e">
        <f>VLOOKUP('北段 (人資版)'!AG3,工作表1!$A$3:$B$74,2,FALSE)</f>
        <v>#REF!</v>
      </c>
      <c r="AH3" s="15" t="e">
        <f>VLOOKUP('北段 (人資版)'!AH3,工作表1!$A$3:$B$74,2,FALSE)</f>
        <v>#REF!</v>
      </c>
      <c r="AI3" s="15" t="e">
        <f>VLOOKUP('北段 (人資版)'!AI3,工作表1!$A$3:$B$74,2,FALSE)</f>
        <v>#REF!</v>
      </c>
      <c r="AJ3" s="15" t="e">
        <f>VLOOKUP('北段 (人資版)'!AJ3,工作表1!$A$3:$B$74,2,FALSE)</f>
        <v>#REF!</v>
      </c>
      <c r="AK3" s="15" t="e">
        <f>VLOOKUP('北段 (人資版)'!AK3,工作表1!$A$3:$B$74,2,FALSE)</f>
        <v>#REF!</v>
      </c>
      <c r="AL3" s="15" t="e">
        <f>VLOOKUP('北段 (人資版)'!AL3,工作表1!$A$3:$B$74,2,FALSE)</f>
        <v>#REF!</v>
      </c>
    </row>
    <row r="4" spans="1:38" ht="39.75" customHeight="1">
      <c r="A4" s="148"/>
      <c r="B4" s="10" t="e">
        <f>北段!#REF!</f>
        <v>#REF!</v>
      </c>
      <c r="C4" s="10" t="e">
        <f>VLOOKUP(B4,北段!B:C,2,FALSE)</f>
        <v>#REF!</v>
      </c>
      <c r="D4" s="15" t="e">
        <f>VLOOKUP('北段 (人資版)'!D4,工作表1!$A$3:$B$74,2,FALSE)</f>
        <v>#REF!</v>
      </c>
      <c r="E4" s="15" t="e">
        <f>VLOOKUP('北段 (人資版)'!E4,工作表1!$A$3:$B$74,2,FALSE)</f>
        <v>#REF!</v>
      </c>
      <c r="F4" s="15" t="e">
        <f>VLOOKUP('北段 (人資版)'!F4,工作表1!$A$3:$B$74,2,FALSE)</f>
        <v>#REF!</v>
      </c>
      <c r="G4" s="15" t="e">
        <f>VLOOKUP('北段 (人資版)'!G4,工作表1!$A$3:$B$74,2,FALSE)</f>
        <v>#REF!</v>
      </c>
      <c r="H4" s="15" t="e">
        <f>VLOOKUP('北段 (人資版)'!H4,工作表1!$A$3:$B$74,2,FALSE)</f>
        <v>#REF!</v>
      </c>
      <c r="I4" s="15" t="e">
        <f>VLOOKUP('北段 (人資版)'!I4,工作表1!$A$3:$B$74,2,FALSE)</f>
        <v>#REF!</v>
      </c>
      <c r="J4" s="15" t="e">
        <f>VLOOKUP('北段 (人資版)'!J4,工作表1!$A$3:$B$74,2,FALSE)</f>
        <v>#REF!</v>
      </c>
      <c r="K4" s="15" t="e">
        <f>VLOOKUP('北段 (人資版)'!K4,工作表1!$A$3:$B$74,2,FALSE)</f>
        <v>#REF!</v>
      </c>
      <c r="L4" s="15" t="e">
        <f>VLOOKUP('北段 (人資版)'!L4,工作表1!$A$3:$B$74,2,FALSE)</f>
        <v>#REF!</v>
      </c>
      <c r="M4" s="15" t="e">
        <f>VLOOKUP('北段 (人資版)'!M4,工作表1!$A$3:$B$74,2,FALSE)</f>
        <v>#REF!</v>
      </c>
      <c r="N4" s="15" t="e">
        <f>VLOOKUP('北段 (人資版)'!N4,工作表1!$A$3:$B$74,2,FALSE)</f>
        <v>#REF!</v>
      </c>
      <c r="O4" s="15" t="e">
        <f>VLOOKUP('北段 (人資版)'!O4,工作表1!$A$3:$B$74,2,FALSE)</f>
        <v>#REF!</v>
      </c>
      <c r="P4" s="15" t="e">
        <f>VLOOKUP('北段 (人資版)'!P4,工作表1!$A$3:$B$74,2,FALSE)</f>
        <v>#REF!</v>
      </c>
      <c r="Q4" s="15" t="e">
        <f>VLOOKUP('北段 (人資版)'!Q4,工作表1!$A$3:$B$74,2,FALSE)</f>
        <v>#REF!</v>
      </c>
      <c r="R4" s="15" t="e">
        <f>VLOOKUP('北段 (人資版)'!R4,工作表1!$A$3:$B$74,2,FALSE)</f>
        <v>#REF!</v>
      </c>
      <c r="S4" s="15" t="e">
        <f>VLOOKUP('北段 (人資版)'!S4,工作表1!$A$3:$B$74,2,FALSE)</f>
        <v>#REF!</v>
      </c>
      <c r="T4" s="15" t="e">
        <f>VLOOKUP('北段 (人資版)'!T4,工作表1!$A$3:$B$74,2,FALSE)</f>
        <v>#REF!</v>
      </c>
      <c r="U4" s="15" t="e">
        <f>VLOOKUP('北段 (人資版)'!U4,工作表1!$A$3:$B$74,2,FALSE)</f>
        <v>#REF!</v>
      </c>
      <c r="V4" s="15" t="e">
        <f>VLOOKUP('北段 (人資版)'!V4,工作表1!$A$3:$B$74,2,FALSE)</f>
        <v>#REF!</v>
      </c>
      <c r="W4" s="15" t="e">
        <f>VLOOKUP('北段 (人資版)'!W4,工作表1!$A$3:$B$74,2,FALSE)</f>
        <v>#REF!</v>
      </c>
      <c r="X4" s="15" t="e">
        <f>VLOOKUP('北段 (人資版)'!X4,工作表1!$A$3:$B$74,2,FALSE)</f>
        <v>#REF!</v>
      </c>
      <c r="Y4" s="15" t="e">
        <f>VLOOKUP('北段 (人資版)'!Y4,工作表1!$A$3:$B$74,2,FALSE)</f>
        <v>#REF!</v>
      </c>
      <c r="Z4" s="15" t="e">
        <f>VLOOKUP('北段 (人資版)'!Z4,工作表1!$A$3:$B$74,2,FALSE)</f>
        <v>#REF!</v>
      </c>
      <c r="AA4" s="15" t="e">
        <f>VLOOKUP('北段 (人資版)'!AA4,工作表1!$A$3:$B$74,2,FALSE)</f>
        <v>#REF!</v>
      </c>
      <c r="AB4" s="15" t="e">
        <f>VLOOKUP('北段 (人資版)'!AB4,工作表1!$A$3:$B$74,2,FALSE)</f>
        <v>#REF!</v>
      </c>
      <c r="AC4" s="15" t="e">
        <f>VLOOKUP('北段 (人資版)'!AC4,工作表1!$A$3:$B$74,2,FALSE)</f>
        <v>#REF!</v>
      </c>
      <c r="AD4" s="15" t="e">
        <f>VLOOKUP('北段 (人資版)'!AD4,工作表1!$A$3:$B$74,2,FALSE)</f>
        <v>#REF!</v>
      </c>
      <c r="AE4" s="15" t="e">
        <f>VLOOKUP('北段 (人資版)'!AE4,工作表1!$A$3:$B$74,2,FALSE)</f>
        <v>#REF!</v>
      </c>
      <c r="AF4" s="15" t="e">
        <f>VLOOKUP('北段 (人資版)'!AF4,工作表1!$A$3:$B$74,2,FALSE)</f>
        <v>#REF!</v>
      </c>
      <c r="AG4" s="15" t="e">
        <f>VLOOKUP('北段 (人資版)'!AG4,工作表1!$A$3:$B$74,2,FALSE)</f>
        <v>#REF!</v>
      </c>
      <c r="AH4" s="15" t="e">
        <f>VLOOKUP('北段 (人資版)'!AH4,工作表1!$A$3:$B$74,2,FALSE)</f>
        <v>#REF!</v>
      </c>
      <c r="AI4" s="15" t="e">
        <f>VLOOKUP('北段 (人資版)'!AI4,工作表1!$A$3:$B$74,2,FALSE)</f>
        <v>#REF!</v>
      </c>
      <c r="AJ4" s="15" t="e">
        <f>VLOOKUP('北段 (人資版)'!AJ4,工作表1!$A$3:$B$74,2,FALSE)</f>
        <v>#REF!</v>
      </c>
      <c r="AK4" s="15" t="e">
        <f>VLOOKUP('北段 (人資版)'!AK4,工作表1!$A$3:$B$74,2,FALSE)</f>
        <v>#REF!</v>
      </c>
      <c r="AL4" s="15" t="e">
        <f>VLOOKUP('北段 (人資版)'!AL4,工作表1!$A$3:$B$74,2,FALSE)</f>
        <v>#REF!</v>
      </c>
    </row>
    <row r="5" spans="1:38" ht="39.75" customHeight="1">
      <c r="A5" s="148"/>
      <c r="B5" s="10" t="e">
        <f>北段!#REF!</f>
        <v>#REF!</v>
      </c>
      <c r="C5" s="10" t="e">
        <f>VLOOKUP(B5,北段!B:C,2,FALSE)</f>
        <v>#REF!</v>
      </c>
      <c r="D5" s="15" t="e">
        <f>VLOOKUP('北段 (人資版)'!D5,工作表1!$A$3:$B$74,2,FALSE)</f>
        <v>#REF!</v>
      </c>
      <c r="E5" s="15" t="e">
        <f>VLOOKUP('北段 (人資版)'!E5,工作表1!$A$3:$B$74,2,FALSE)</f>
        <v>#REF!</v>
      </c>
      <c r="F5" s="15" t="e">
        <f>VLOOKUP('北段 (人資版)'!F5,工作表1!$A$3:$B$74,2,FALSE)</f>
        <v>#REF!</v>
      </c>
      <c r="G5" s="15" t="e">
        <f>VLOOKUP('北段 (人資版)'!G5,工作表1!$A$3:$B$74,2,FALSE)</f>
        <v>#REF!</v>
      </c>
      <c r="H5" s="15" t="e">
        <f>VLOOKUP('北段 (人資版)'!H5,工作表1!$A$3:$B$74,2,FALSE)</f>
        <v>#REF!</v>
      </c>
      <c r="I5" s="15" t="e">
        <f>VLOOKUP('北段 (人資版)'!I5,工作表1!$A$3:$B$74,2,FALSE)</f>
        <v>#REF!</v>
      </c>
      <c r="J5" s="15" t="e">
        <f>VLOOKUP('北段 (人資版)'!J5,工作表1!$A$3:$B$74,2,FALSE)</f>
        <v>#REF!</v>
      </c>
      <c r="K5" s="15" t="e">
        <f>VLOOKUP('北段 (人資版)'!K5,工作表1!$A$3:$B$74,2,FALSE)</f>
        <v>#REF!</v>
      </c>
      <c r="L5" s="15" t="e">
        <f>VLOOKUP('北段 (人資版)'!L5,工作表1!$A$3:$B$74,2,FALSE)</f>
        <v>#REF!</v>
      </c>
      <c r="M5" s="15" t="e">
        <f>VLOOKUP('北段 (人資版)'!M5,工作表1!$A$3:$B$74,2,FALSE)</f>
        <v>#REF!</v>
      </c>
      <c r="N5" s="15" t="e">
        <f>VLOOKUP('北段 (人資版)'!N5,工作表1!$A$3:$B$74,2,FALSE)</f>
        <v>#REF!</v>
      </c>
      <c r="O5" s="15" t="e">
        <f>VLOOKUP('北段 (人資版)'!O5,工作表1!$A$3:$B$74,2,FALSE)</f>
        <v>#REF!</v>
      </c>
      <c r="P5" s="15" t="e">
        <f>VLOOKUP('北段 (人資版)'!P5,工作表1!$A$3:$B$74,2,FALSE)</f>
        <v>#REF!</v>
      </c>
      <c r="Q5" s="15" t="e">
        <f>VLOOKUP('北段 (人資版)'!Q5,工作表1!$A$3:$B$74,2,FALSE)</f>
        <v>#REF!</v>
      </c>
      <c r="R5" s="15" t="e">
        <f>VLOOKUP('北段 (人資版)'!R5,工作表1!$A$3:$B$74,2,FALSE)</f>
        <v>#REF!</v>
      </c>
      <c r="S5" s="15" t="e">
        <f>VLOOKUP('北段 (人資版)'!S5,工作表1!$A$3:$B$74,2,FALSE)</f>
        <v>#REF!</v>
      </c>
      <c r="T5" s="15" t="e">
        <f>VLOOKUP('北段 (人資版)'!T5,工作表1!$A$3:$B$74,2,FALSE)</f>
        <v>#REF!</v>
      </c>
      <c r="U5" s="15" t="e">
        <f>VLOOKUP('北段 (人資版)'!U5,工作表1!$A$3:$B$74,2,FALSE)</f>
        <v>#REF!</v>
      </c>
      <c r="V5" s="15" t="e">
        <f>VLOOKUP('北段 (人資版)'!V5,工作表1!$A$3:$B$74,2,FALSE)</f>
        <v>#REF!</v>
      </c>
      <c r="W5" s="15" t="e">
        <f>VLOOKUP('北段 (人資版)'!W5,工作表1!$A$3:$B$74,2,FALSE)</f>
        <v>#REF!</v>
      </c>
      <c r="X5" s="15" t="e">
        <f>VLOOKUP('北段 (人資版)'!X5,工作表1!$A$3:$B$74,2,FALSE)</f>
        <v>#REF!</v>
      </c>
      <c r="Y5" s="15" t="e">
        <f>VLOOKUP('北段 (人資版)'!Y5,工作表1!$A$3:$B$74,2,FALSE)</f>
        <v>#REF!</v>
      </c>
      <c r="Z5" s="15" t="e">
        <f>VLOOKUP('北段 (人資版)'!Z5,工作表1!$A$3:$B$74,2,FALSE)</f>
        <v>#REF!</v>
      </c>
      <c r="AA5" s="15" t="e">
        <f>VLOOKUP('北段 (人資版)'!AA5,工作表1!$A$3:$B$74,2,FALSE)</f>
        <v>#REF!</v>
      </c>
      <c r="AB5" s="15" t="e">
        <f>VLOOKUP('北段 (人資版)'!AB5,工作表1!$A$3:$B$74,2,FALSE)</f>
        <v>#REF!</v>
      </c>
      <c r="AC5" s="15" t="e">
        <f>VLOOKUP('北段 (人資版)'!AC5,工作表1!$A$3:$B$74,2,FALSE)</f>
        <v>#REF!</v>
      </c>
      <c r="AD5" s="15" t="e">
        <f>VLOOKUP('北段 (人資版)'!AD5,工作表1!$A$3:$B$74,2,FALSE)</f>
        <v>#REF!</v>
      </c>
      <c r="AE5" s="15" t="e">
        <f>VLOOKUP('北段 (人資版)'!AE5,工作表1!$A$3:$B$74,2,FALSE)</f>
        <v>#REF!</v>
      </c>
      <c r="AF5" s="15" t="e">
        <f>VLOOKUP('北段 (人資版)'!AF5,工作表1!$A$3:$B$74,2,FALSE)</f>
        <v>#REF!</v>
      </c>
      <c r="AG5" s="15" t="e">
        <f>VLOOKUP('北段 (人資版)'!AG5,工作表1!$A$3:$B$74,2,FALSE)</f>
        <v>#REF!</v>
      </c>
      <c r="AH5" s="15" t="e">
        <f>VLOOKUP('北段 (人資版)'!AH5,工作表1!$A$3:$B$74,2,FALSE)</f>
        <v>#REF!</v>
      </c>
      <c r="AI5" s="15" t="e">
        <f>VLOOKUP('北段 (人資版)'!AI5,工作表1!$A$3:$B$74,2,FALSE)</f>
        <v>#REF!</v>
      </c>
      <c r="AJ5" s="15" t="e">
        <f>VLOOKUP('北段 (人資版)'!AJ5,工作表1!$A$3:$B$74,2,FALSE)</f>
        <v>#REF!</v>
      </c>
      <c r="AK5" s="15" t="e">
        <f>VLOOKUP('北段 (人資版)'!AK5,工作表1!$A$3:$B$74,2,FALSE)</f>
        <v>#REF!</v>
      </c>
      <c r="AL5" s="15" t="e">
        <f>VLOOKUP('北段 (人資版)'!AL5,工作表1!$A$3:$B$74,2,FALSE)</f>
        <v>#REF!</v>
      </c>
    </row>
    <row r="6" spans="1:38" ht="39.75" customHeight="1">
      <c r="A6" s="148"/>
      <c r="B6" s="10" t="e">
        <f>北段!#REF!</f>
        <v>#REF!</v>
      </c>
      <c r="C6" s="10" t="e">
        <f>VLOOKUP(B6,北段!B:C,2,FALSE)</f>
        <v>#REF!</v>
      </c>
      <c r="D6" s="15" t="e">
        <f>VLOOKUP('北段 (人資版)'!D6,工作表1!$A$3:$B$74,2,FALSE)</f>
        <v>#REF!</v>
      </c>
      <c r="E6" s="15" t="e">
        <f>VLOOKUP('北段 (人資版)'!E6,工作表1!$A$3:$B$74,2,FALSE)</f>
        <v>#REF!</v>
      </c>
      <c r="F6" s="15" t="e">
        <f>VLOOKUP('北段 (人資版)'!F6,工作表1!$A$3:$B$74,2,FALSE)</f>
        <v>#REF!</v>
      </c>
      <c r="G6" s="15" t="e">
        <f>VLOOKUP('北段 (人資版)'!G6,工作表1!$A$3:$B$74,2,FALSE)</f>
        <v>#REF!</v>
      </c>
      <c r="H6" s="15" t="e">
        <f>VLOOKUP('北段 (人資版)'!H6,工作表1!$A$3:$B$74,2,FALSE)</f>
        <v>#REF!</v>
      </c>
      <c r="I6" s="15" t="e">
        <f>VLOOKUP('北段 (人資版)'!I6,工作表1!$A$3:$B$74,2,FALSE)</f>
        <v>#REF!</v>
      </c>
      <c r="J6" s="15" t="e">
        <f>VLOOKUP('北段 (人資版)'!J6,工作表1!$A$3:$B$74,2,FALSE)</f>
        <v>#REF!</v>
      </c>
      <c r="K6" s="15" t="e">
        <f>VLOOKUP('北段 (人資版)'!K6,工作表1!$A$3:$B$74,2,FALSE)</f>
        <v>#REF!</v>
      </c>
      <c r="L6" s="15" t="e">
        <f>VLOOKUP('北段 (人資版)'!L6,工作表1!$A$3:$B$74,2,FALSE)</f>
        <v>#REF!</v>
      </c>
      <c r="M6" s="15" t="e">
        <f>VLOOKUP('北段 (人資版)'!M6,工作表1!$A$3:$B$74,2,FALSE)</f>
        <v>#REF!</v>
      </c>
      <c r="N6" s="15" t="e">
        <f>VLOOKUP('北段 (人資版)'!N6,工作表1!$A$3:$B$74,2,FALSE)</f>
        <v>#REF!</v>
      </c>
      <c r="O6" s="15" t="e">
        <f>VLOOKUP('北段 (人資版)'!O6,工作表1!$A$3:$B$74,2,FALSE)</f>
        <v>#REF!</v>
      </c>
      <c r="P6" s="15" t="e">
        <f>VLOOKUP('北段 (人資版)'!P6,工作表1!$A$3:$B$74,2,FALSE)</f>
        <v>#REF!</v>
      </c>
      <c r="Q6" s="15" t="e">
        <f>VLOOKUP('北段 (人資版)'!Q6,工作表1!$A$3:$B$74,2,FALSE)</f>
        <v>#REF!</v>
      </c>
      <c r="R6" s="15" t="e">
        <f>VLOOKUP('北段 (人資版)'!R6,工作表1!$A$3:$B$74,2,FALSE)</f>
        <v>#REF!</v>
      </c>
      <c r="S6" s="15" t="e">
        <f>VLOOKUP('北段 (人資版)'!S6,工作表1!$A$3:$B$74,2,FALSE)</f>
        <v>#REF!</v>
      </c>
      <c r="T6" s="15" t="e">
        <f>VLOOKUP('北段 (人資版)'!T6,工作表1!$A$3:$B$74,2,FALSE)</f>
        <v>#REF!</v>
      </c>
      <c r="U6" s="15" t="e">
        <f>VLOOKUP('北段 (人資版)'!U6,工作表1!$A$3:$B$74,2,FALSE)</f>
        <v>#REF!</v>
      </c>
      <c r="V6" s="15" t="e">
        <f>VLOOKUP('北段 (人資版)'!V6,工作表1!$A$3:$B$74,2,FALSE)</f>
        <v>#REF!</v>
      </c>
      <c r="W6" s="15" t="e">
        <f>VLOOKUP('北段 (人資版)'!W6,工作表1!$A$3:$B$74,2,FALSE)</f>
        <v>#REF!</v>
      </c>
      <c r="X6" s="15" t="e">
        <f>VLOOKUP('北段 (人資版)'!X6,工作表1!$A$3:$B$74,2,FALSE)</f>
        <v>#REF!</v>
      </c>
      <c r="Y6" s="15" t="e">
        <f>VLOOKUP('北段 (人資版)'!Y6,工作表1!$A$3:$B$74,2,FALSE)</f>
        <v>#REF!</v>
      </c>
      <c r="Z6" s="15" t="e">
        <f>VLOOKUP('北段 (人資版)'!Z6,工作表1!$A$3:$B$74,2,FALSE)</f>
        <v>#REF!</v>
      </c>
      <c r="AA6" s="15" t="e">
        <f>VLOOKUP('北段 (人資版)'!AA6,工作表1!$A$3:$B$74,2,FALSE)</f>
        <v>#REF!</v>
      </c>
      <c r="AB6" s="15" t="e">
        <f>VLOOKUP('北段 (人資版)'!AB6,工作表1!$A$3:$B$74,2,FALSE)</f>
        <v>#REF!</v>
      </c>
      <c r="AC6" s="15" t="e">
        <f>VLOOKUP('北段 (人資版)'!AC6,工作表1!$A$3:$B$74,2,FALSE)</f>
        <v>#REF!</v>
      </c>
      <c r="AD6" s="15" t="e">
        <f>VLOOKUP('北段 (人資版)'!AD6,工作表1!$A$3:$B$74,2,FALSE)</f>
        <v>#REF!</v>
      </c>
      <c r="AE6" s="15" t="e">
        <f>VLOOKUP('北段 (人資版)'!AE6,工作表1!$A$3:$B$74,2,FALSE)</f>
        <v>#REF!</v>
      </c>
      <c r="AF6" s="15" t="e">
        <f>VLOOKUP('北段 (人資版)'!AF6,工作表1!$A$3:$B$74,2,FALSE)</f>
        <v>#REF!</v>
      </c>
      <c r="AG6" s="15" t="e">
        <f>VLOOKUP('北段 (人資版)'!AG6,工作表1!$A$3:$B$74,2,FALSE)</f>
        <v>#REF!</v>
      </c>
      <c r="AH6" s="15" t="e">
        <f>VLOOKUP('北段 (人資版)'!AH6,工作表1!$A$3:$B$74,2,FALSE)</f>
        <v>#REF!</v>
      </c>
      <c r="AI6" s="15" t="e">
        <f>VLOOKUP('北段 (人資版)'!AI6,工作表1!$A$3:$B$74,2,FALSE)</f>
        <v>#REF!</v>
      </c>
      <c r="AJ6" s="15" t="e">
        <f>VLOOKUP('北段 (人資版)'!AJ6,工作表1!$A$3:$B$74,2,FALSE)</f>
        <v>#REF!</v>
      </c>
      <c r="AK6" s="15" t="e">
        <f>VLOOKUP('北段 (人資版)'!AK6,工作表1!$A$3:$B$74,2,FALSE)</f>
        <v>#REF!</v>
      </c>
      <c r="AL6" s="15" t="e">
        <f>VLOOKUP('北段 (人資版)'!AL6,工作表1!$A$3:$B$74,2,FALSE)</f>
        <v>#REF!</v>
      </c>
    </row>
    <row r="7" spans="1:38" ht="39.75" customHeight="1">
      <c r="A7" s="148"/>
      <c r="B7" s="10" t="e">
        <f>北段!#REF!</f>
        <v>#REF!</v>
      </c>
      <c r="C7" s="10" t="e">
        <f>VLOOKUP(B7,北段!B:C,2,FALSE)</f>
        <v>#REF!</v>
      </c>
      <c r="D7" s="15" t="e">
        <f>VLOOKUP('北段 (人資版)'!D7,工作表1!$A$3:$B$74,2,FALSE)</f>
        <v>#REF!</v>
      </c>
      <c r="E7" s="15" t="e">
        <f>VLOOKUP('北段 (人資版)'!E7,工作表1!$A$3:$B$74,2,FALSE)</f>
        <v>#REF!</v>
      </c>
      <c r="F7" s="15" t="e">
        <f>VLOOKUP('北段 (人資版)'!F7,工作表1!$A$3:$B$74,2,FALSE)</f>
        <v>#REF!</v>
      </c>
      <c r="G7" s="15" t="e">
        <f>VLOOKUP('北段 (人資版)'!G7,工作表1!$A$3:$B$74,2,FALSE)</f>
        <v>#REF!</v>
      </c>
      <c r="H7" s="15" t="e">
        <f>VLOOKUP('北段 (人資版)'!H7,工作表1!$A$3:$B$74,2,FALSE)</f>
        <v>#REF!</v>
      </c>
      <c r="I7" s="15" t="e">
        <f>VLOOKUP('北段 (人資版)'!I7,工作表1!$A$3:$B$74,2,FALSE)</f>
        <v>#REF!</v>
      </c>
      <c r="J7" s="15" t="e">
        <f>VLOOKUP('北段 (人資版)'!J7,工作表1!$A$3:$B$74,2,FALSE)</f>
        <v>#REF!</v>
      </c>
      <c r="K7" s="15" t="e">
        <f>VLOOKUP('北段 (人資版)'!K7,工作表1!$A$3:$B$74,2,FALSE)</f>
        <v>#REF!</v>
      </c>
      <c r="L7" s="15" t="e">
        <f>VLOOKUP('北段 (人資版)'!L7,工作表1!$A$3:$B$74,2,FALSE)</f>
        <v>#REF!</v>
      </c>
      <c r="M7" s="15" t="e">
        <f>VLOOKUP('北段 (人資版)'!M7,工作表1!$A$3:$B$74,2,FALSE)</f>
        <v>#REF!</v>
      </c>
      <c r="N7" s="15" t="e">
        <f>VLOOKUP('北段 (人資版)'!N7,工作表1!$A$3:$B$74,2,FALSE)</f>
        <v>#REF!</v>
      </c>
      <c r="O7" s="15" t="e">
        <f>VLOOKUP('北段 (人資版)'!O7,工作表1!$A$3:$B$74,2,FALSE)</f>
        <v>#REF!</v>
      </c>
      <c r="P7" s="15" t="e">
        <f>VLOOKUP('北段 (人資版)'!P7,工作表1!$A$3:$B$74,2,FALSE)</f>
        <v>#REF!</v>
      </c>
      <c r="Q7" s="15" t="e">
        <f>VLOOKUP('北段 (人資版)'!Q7,工作表1!$A$3:$B$74,2,FALSE)</f>
        <v>#REF!</v>
      </c>
      <c r="R7" s="15" t="e">
        <f>VLOOKUP('北段 (人資版)'!R7,工作表1!$A$3:$B$74,2,FALSE)</f>
        <v>#REF!</v>
      </c>
      <c r="S7" s="15" t="e">
        <f>VLOOKUP('北段 (人資版)'!S7,工作表1!$A$3:$B$74,2,FALSE)</f>
        <v>#REF!</v>
      </c>
      <c r="T7" s="15" t="e">
        <f>VLOOKUP('北段 (人資版)'!T7,工作表1!$A$3:$B$74,2,FALSE)</f>
        <v>#REF!</v>
      </c>
      <c r="U7" s="15" t="e">
        <f>VLOOKUP('北段 (人資版)'!U7,工作表1!$A$3:$B$74,2,FALSE)</f>
        <v>#REF!</v>
      </c>
      <c r="V7" s="15" t="e">
        <f>VLOOKUP('北段 (人資版)'!V7,工作表1!$A$3:$B$74,2,FALSE)</f>
        <v>#REF!</v>
      </c>
      <c r="W7" s="15" t="e">
        <f>VLOOKUP('北段 (人資版)'!W7,工作表1!$A$3:$B$74,2,FALSE)</f>
        <v>#REF!</v>
      </c>
      <c r="X7" s="15" t="e">
        <f>VLOOKUP('北段 (人資版)'!X7,工作表1!$A$3:$B$74,2,FALSE)</f>
        <v>#REF!</v>
      </c>
      <c r="Y7" s="15" t="e">
        <f>VLOOKUP('北段 (人資版)'!Y7,工作表1!$A$3:$B$74,2,FALSE)</f>
        <v>#REF!</v>
      </c>
      <c r="Z7" s="15" t="e">
        <f>VLOOKUP('北段 (人資版)'!Z7,工作表1!$A$3:$B$74,2,FALSE)</f>
        <v>#REF!</v>
      </c>
      <c r="AA7" s="15" t="e">
        <f>VLOOKUP('北段 (人資版)'!AA7,工作表1!$A$3:$B$74,2,FALSE)</f>
        <v>#REF!</v>
      </c>
      <c r="AB7" s="15" t="e">
        <f>VLOOKUP('北段 (人資版)'!AB7,工作表1!$A$3:$B$74,2,FALSE)</f>
        <v>#REF!</v>
      </c>
      <c r="AC7" s="15" t="e">
        <f>VLOOKUP('北段 (人資版)'!AC7,工作表1!$A$3:$B$74,2,FALSE)</f>
        <v>#REF!</v>
      </c>
      <c r="AD7" s="15" t="e">
        <f>VLOOKUP('北段 (人資版)'!AD7,工作表1!$A$3:$B$74,2,FALSE)</f>
        <v>#REF!</v>
      </c>
      <c r="AE7" s="15" t="e">
        <f>VLOOKUP('北段 (人資版)'!AE7,工作表1!$A$3:$B$74,2,FALSE)</f>
        <v>#REF!</v>
      </c>
      <c r="AF7" s="15" t="e">
        <f>VLOOKUP('北段 (人資版)'!AF7,工作表1!$A$3:$B$74,2,FALSE)</f>
        <v>#REF!</v>
      </c>
      <c r="AG7" s="15" t="e">
        <f>VLOOKUP('北段 (人資版)'!AG7,工作表1!$A$3:$B$74,2,FALSE)</f>
        <v>#REF!</v>
      </c>
      <c r="AH7" s="15" t="e">
        <f>VLOOKUP('北段 (人資版)'!AH7,工作表1!$A$3:$B$74,2,FALSE)</f>
        <v>#REF!</v>
      </c>
      <c r="AI7" s="15" t="e">
        <f>VLOOKUP('北段 (人資版)'!AI7,工作表1!$A$3:$B$74,2,FALSE)</f>
        <v>#REF!</v>
      </c>
      <c r="AJ7" s="15" t="e">
        <f>VLOOKUP('北段 (人資版)'!AJ7,工作表1!$A$3:$B$74,2,FALSE)</f>
        <v>#REF!</v>
      </c>
      <c r="AK7" s="15" t="e">
        <f>VLOOKUP('北段 (人資版)'!AK7,工作表1!$A$3:$B$74,2,FALSE)</f>
        <v>#REF!</v>
      </c>
      <c r="AL7" s="15" t="e">
        <f>VLOOKUP('北段 (人資版)'!AL7,工作表1!$A$3:$B$74,2,FALSE)</f>
        <v>#REF!</v>
      </c>
    </row>
    <row r="8" spans="1:38" ht="39.75" customHeight="1">
      <c r="A8" s="148"/>
      <c r="B8" s="10" t="e">
        <f>北段!#REF!</f>
        <v>#REF!</v>
      </c>
      <c r="C8" s="10" t="e">
        <f>VLOOKUP(B8,北段!B:C,2,FALSE)</f>
        <v>#REF!</v>
      </c>
      <c r="D8" s="15" t="e">
        <f>VLOOKUP('北段 (人資版)'!D8,工作表1!$A$3:$B$74,2,FALSE)</f>
        <v>#REF!</v>
      </c>
      <c r="E8" s="15" t="e">
        <f>VLOOKUP('北段 (人資版)'!E8,工作表1!$A$3:$B$74,2,FALSE)</f>
        <v>#REF!</v>
      </c>
      <c r="F8" s="15" t="e">
        <f>VLOOKUP('北段 (人資版)'!F8,工作表1!$A$3:$B$74,2,FALSE)</f>
        <v>#REF!</v>
      </c>
      <c r="G8" s="15" t="e">
        <f>VLOOKUP('北段 (人資版)'!G8,工作表1!$A$3:$B$74,2,FALSE)</f>
        <v>#REF!</v>
      </c>
      <c r="H8" s="15" t="e">
        <f>VLOOKUP('北段 (人資版)'!H8,工作表1!$A$3:$B$74,2,FALSE)</f>
        <v>#REF!</v>
      </c>
      <c r="I8" s="15" t="e">
        <f>VLOOKUP('北段 (人資版)'!I8,工作表1!$A$3:$B$74,2,FALSE)</f>
        <v>#REF!</v>
      </c>
      <c r="J8" s="15" t="e">
        <f>VLOOKUP('北段 (人資版)'!J8,工作表1!$A$3:$B$74,2,FALSE)</f>
        <v>#REF!</v>
      </c>
      <c r="K8" s="15" t="e">
        <f>VLOOKUP('北段 (人資版)'!K8,工作表1!$A$3:$B$74,2,FALSE)</f>
        <v>#REF!</v>
      </c>
      <c r="L8" s="15" t="e">
        <f>VLOOKUP('北段 (人資版)'!L8,工作表1!$A$3:$B$74,2,FALSE)</f>
        <v>#REF!</v>
      </c>
      <c r="M8" s="15" t="e">
        <f>VLOOKUP('北段 (人資版)'!M8,工作表1!$A$3:$B$74,2,FALSE)</f>
        <v>#REF!</v>
      </c>
      <c r="N8" s="15" t="e">
        <f>VLOOKUP('北段 (人資版)'!N8,工作表1!$A$3:$B$74,2,FALSE)</f>
        <v>#REF!</v>
      </c>
      <c r="O8" s="15" t="e">
        <f>VLOOKUP('北段 (人資版)'!O8,工作表1!$A$3:$B$74,2,FALSE)</f>
        <v>#REF!</v>
      </c>
      <c r="P8" s="15" t="e">
        <f>VLOOKUP('北段 (人資版)'!P8,工作表1!$A$3:$B$74,2,FALSE)</f>
        <v>#REF!</v>
      </c>
      <c r="Q8" s="15" t="e">
        <f>VLOOKUP('北段 (人資版)'!Q8,工作表1!$A$3:$B$74,2,FALSE)</f>
        <v>#REF!</v>
      </c>
      <c r="R8" s="15" t="e">
        <f>VLOOKUP('北段 (人資版)'!R8,工作表1!$A$3:$B$74,2,FALSE)</f>
        <v>#REF!</v>
      </c>
      <c r="S8" s="15" t="e">
        <f>VLOOKUP('北段 (人資版)'!S8,工作表1!$A$3:$B$74,2,FALSE)</f>
        <v>#REF!</v>
      </c>
      <c r="T8" s="15" t="e">
        <f>VLOOKUP('北段 (人資版)'!T8,工作表1!$A$3:$B$74,2,FALSE)</f>
        <v>#REF!</v>
      </c>
      <c r="U8" s="15" t="e">
        <f>VLOOKUP('北段 (人資版)'!U8,工作表1!$A$3:$B$74,2,FALSE)</f>
        <v>#REF!</v>
      </c>
      <c r="V8" s="15" t="e">
        <f>VLOOKUP('北段 (人資版)'!V8,工作表1!$A$3:$B$74,2,FALSE)</f>
        <v>#REF!</v>
      </c>
      <c r="W8" s="15" t="e">
        <f>VLOOKUP('北段 (人資版)'!W8,工作表1!$A$3:$B$74,2,FALSE)</f>
        <v>#REF!</v>
      </c>
      <c r="X8" s="15" t="e">
        <f>VLOOKUP('北段 (人資版)'!X8,工作表1!$A$3:$B$74,2,FALSE)</f>
        <v>#REF!</v>
      </c>
      <c r="Y8" s="15" t="e">
        <f>VLOOKUP('北段 (人資版)'!Y8,工作表1!$A$3:$B$74,2,FALSE)</f>
        <v>#REF!</v>
      </c>
      <c r="Z8" s="15" t="e">
        <f>VLOOKUP('北段 (人資版)'!Z8,工作表1!$A$3:$B$74,2,FALSE)</f>
        <v>#REF!</v>
      </c>
      <c r="AA8" s="15" t="e">
        <f>VLOOKUP('北段 (人資版)'!AA8,工作表1!$A$3:$B$74,2,FALSE)</f>
        <v>#REF!</v>
      </c>
      <c r="AB8" s="15" t="e">
        <f>VLOOKUP('北段 (人資版)'!AB8,工作表1!$A$3:$B$74,2,FALSE)</f>
        <v>#REF!</v>
      </c>
      <c r="AC8" s="15" t="e">
        <f>VLOOKUP('北段 (人資版)'!AC8,工作表1!$A$3:$B$74,2,FALSE)</f>
        <v>#REF!</v>
      </c>
      <c r="AD8" s="15" t="e">
        <f>VLOOKUP('北段 (人資版)'!AD8,工作表1!$A$3:$B$74,2,FALSE)</f>
        <v>#REF!</v>
      </c>
      <c r="AE8" s="15" t="e">
        <f>VLOOKUP('北段 (人資版)'!AE8,工作表1!$A$3:$B$74,2,FALSE)</f>
        <v>#REF!</v>
      </c>
      <c r="AF8" s="15" t="e">
        <f>VLOOKUP('北段 (人資版)'!AF8,工作表1!$A$3:$B$74,2,FALSE)</f>
        <v>#REF!</v>
      </c>
      <c r="AG8" s="15" t="e">
        <f>VLOOKUP('北段 (人資版)'!AG8,工作表1!$A$3:$B$74,2,FALSE)</f>
        <v>#REF!</v>
      </c>
      <c r="AH8" s="15" t="e">
        <f>VLOOKUP('北段 (人資版)'!AH8,工作表1!$A$3:$B$74,2,FALSE)</f>
        <v>#REF!</v>
      </c>
      <c r="AI8" s="15" t="e">
        <f>VLOOKUP('北段 (人資版)'!AI8,工作表1!$A$3:$B$74,2,FALSE)</f>
        <v>#REF!</v>
      </c>
      <c r="AJ8" s="15" t="e">
        <f>VLOOKUP('北段 (人資版)'!AJ8,工作表1!$A$3:$B$74,2,FALSE)</f>
        <v>#REF!</v>
      </c>
      <c r="AK8" s="15" t="e">
        <f>VLOOKUP('北段 (人資版)'!AK8,工作表1!$A$3:$B$74,2,FALSE)</f>
        <v>#REF!</v>
      </c>
      <c r="AL8" s="15" t="e">
        <f>VLOOKUP('北段 (人資版)'!AL8,工作表1!$A$3:$B$74,2,FALSE)</f>
        <v>#REF!</v>
      </c>
    </row>
    <row r="9" spans="1:38" ht="39.6" customHeight="1">
      <c r="A9" s="148"/>
      <c r="B9" s="10" t="e">
        <f>北段!#REF!</f>
        <v>#REF!</v>
      </c>
      <c r="C9" s="10" t="e">
        <f>VLOOKUP(B9,北段!B:C,2,FALSE)</f>
        <v>#REF!</v>
      </c>
      <c r="D9" s="15" t="e">
        <f>VLOOKUP('北段 (人資版)'!D9,工作表1!$A$3:$B$74,2,FALSE)</f>
        <v>#REF!</v>
      </c>
      <c r="E9" s="15" t="e">
        <f>VLOOKUP('北段 (人資版)'!E9,工作表1!$A$3:$B$74,2,FALSE)</f>
        <v>#REF!</v>
      </c>
      <c r="F9" s="15" t="e">
        <f>VLOOKUP('北段 (人資版)'!F9,工作表1!$A$3:$B$74,2,FALSE)</f>
        <v>#REF!</v>
      </c>
      <c r="G9" s="15" t="e">
        <f>VLOOKUP('北段 (人資版)'!G9,工作表1!$A$3:$B$74,2,FALSE)</f>
        <v>#REF!</v>
      </c>
      <c r="H9" s="15" t="e">
        <f>VLOOKUP('北段 (人資版)'!H9,工作表1!$A$3:$B$74,2,FALSE)</f>
        <v>#REF!</v>
      </c>
      <c r="I9" s="15" t="e">
        <f>VLOOKUP('北段 (人資版)'!I9,工作表1!$A$3:$B$74,2,FALSE)</f>
        <v>#REF!</v>
      </c>
      <c r="J9" s="15" t="e">
        <f>VLOOKUP('北段 (人資版)'!J9,工作表1!$A$3:$B$74,2,FALSE)</f>
        <v>#REF!</v>
      </c>
      <c r="K9" s="15" t="e">
        <f>VLOOKUP('北段 (人資版)'!K9,工作表1!$A$3:$B$74,2,FALSE)</f>
        <v>#REF!</v>
      </c>
      <c r="L9" s="15" t="e">
        <f>VLOOKUP('北段 (人資版)'!L9,工作表1!$A$3:$B$74,2,FALSE)</f>
        <v>#REF!</v>
      </c>
      <c r="M9" s="15" t="e">
        <f>VLOOKUP('北段 (人資版)'!M9,工作表1!$A$3:$B$74,2,FALSE)</f>
        <v>#REF!</v>
      </c>
      <c r="N9" s="15" t="e">
        <f>VLOOKUP('北段 (人資版)'!N9,工作表1!$A$3:$B$74,2,FALSE)</f>
        <v>#REF!</v>
      </c>
      <c r="O9" s="15" t="e">
        <f>VLOOKUP('北段 (人資版)'!O9,工作表1!$A$3:$B$74,2,FALSE)</f>
        <v>#REF!</v>
      </c>
      <c r="P9" s="15" t="e">
        <f>VLOOKUP('北段 (人資版)'!P9,工作表1!$A$3:$B$74,2,FALSE)</f>
        <v>#REF!</v>
      </c>
      <c r="Q9" s="15" t="e">
        <f>VLOOKUP('北段 (人資版)'!Q9,工作表1!$A$3:$B$74,2,FALSE)</f>
        <v>#REF!</v>
      </c>
      <c r="R9" s="15" t="e">
        <f>VLOOKUP('北段 (人資版)'!R9,工作表1!$A$3:$B$74,2,FALSE)</f>
        <v>#REF!</v>
      </c>
      <c r="S9" s="15" t="e">
        <f>VLOOKUP('北段 (人資版)'!S9,工作表1!$A$3:$B$74,2,FALSE)</f>
        <v>#REF!</v>
      </c>
      <c r="T9" s="15" t="e">
        <f>VLOOKUP('北段 (人資版)'!T9,工作表1!$A$3:$B$74,2,FALSE)</f>
        <v>#REF!</v>
      </c>
      <c r="U9" s="15" t="e">
        <f>VLOOKUP('北段 (人資版)'!U9,工作表1!$A$3:$B$74,2,FALSE)</f>
        <v>#REF!</v>
      </c>
      <c r="V9" s="15" t="e">
        <f>VLOOKUP('北段 (人資版)'!V9,工作表1!$A$3:$B$74,2,FALSE)</f>
        <v>#REF!</v>
      </c>
      <c r="W9" s="15" t="e">
        <f>VLOOKUP('北段 (人資版)'!W9,工作表1!$A$3:$B$74,2,FALSE)</f>
        <v>#REF!</v>
      </c>
      <c r="X9" s="15" t="e">
        <f>VLOOKUP('北段 (人資版)'!X9,工作表1!$A$3:$B$74,2,FALSE)</f>
        <v>#REF!</v>
      </c>
      <c r="Y9" s="15" t="e">
        <f>VLOOKUP('北段 (人資版)'!Y9,工作表1!$A$3:$B$74,2,FALSE)</f>
        <v>#REF!</v>
      </c>
      <c r="Z9" s="15" t="e">
        <f>VLOOKUP('北段 (人資版)'!Z9,工作表1!$A$3:$B$74,2,FALSE)</f>
        <v>#REF!</v>
      </c>
      <c r="AA9" s="15" t="e">
        <f>VLOOKUP('北段 (人資版)'!AA9,工作表1!$A$3:$B$74,2,FALSE)</f>
        <v>#REF!</v>
      </c>
      <c r="AB9" s="15" t="e">
        <f>VLOOKUP('北段 (人資版)'!AB9,工作表1!$A$3:$B$74,2,FALSE)</f>
        <v>#REF!</v>
      </c>
      <c r="AC9" s="15" t="e">
        <f>VLOOKUP('北段 (人資版)'!AC9,工作表1!$A$3:$B$74,2,FALSE)</f>
        <v>#REF!</v>
      </c>
      <c r="AD9" s="15" t="e">
        <f>VLOOKUP('北段 (人資版)'!AD9,工作表1!$A$3:$B$74,2,FALSE)</f>
        <v>#REF!</v>
      </c>
      <c r="AE9" s="15" t="e">
        <f>VLOOKUP('北段 (人資版)'!AE9,工作表1!$A$3:$B$74,2,FALSE)</f>
        <v>#REF!</v>
      </c>
      <c r="AF9" s="15" t="e">
        <f>VLOOKUP('北段 (人資版)'!AF9,工作表1!$A$3:$B$74,2,FALSE)</f>
        <v>#REF!</v>
      </c>
      <c r="AG9" s="15" t="e">
        <f>VLOOKUP('北段 (人資版)'!AG9,工作表1!$A$3:$B$74,2,FALSE)</f>
        <v>#REF!</v>
      </c>
      <c r="AH9" s="15" t="e">
        <f>VLOOKUP('北段 (人資版)'!AH9,工作表1!$A$3:$B$74,2,FALSE)</f>
        <v>#REF!</v>
      </c>
      <c r="AI9" s="15" t="e">
        <f>VLOOKUP('北段 (人資版)'!AI9,工作表1!$A$3:$B$74,2,FALSE)</f>
        <v>#REF!</v>
      </c>
      <c r="AJ9" s="15" t="e">
        <f>VLOOKUP('北段 (人資版)'!AJ9,工作表1!$A$3:$B$74,2,FALSE)</f>
        <v>#REF!</v>
      </c>
      <c r="AK9" s="15" t="e">
        <f>VLOOKUP('北段 (人資版)'!AK9,工作表1!$A$3:$B$74,2,FALSE)</f>
        <v>#REF!</v>
      </c>
      <c r="AL9" s="15" t="e">
        <f>VLOOKUP('北段 (人資版)'!AL9,工作表1!$A$3:$B$74,2,FALSE)</f>
        <v>#REF!</v>
      </c>
    </row>
    <row r="10" spans="1:38" ht="39.6" customHeight="1">
      <c r="A10" s="148"/>
      <c r="B10" s="10" t="e">
        <f>北段!#REF!</f>
        <v>#REF!</v>
      </c>
      <c r="C10" s="10" t="e">
        <f>VLOOKUP(B10,北段!B:C,2,FALSE)</f>
        <v>#REF!</v>
      </c>
      <c r="D10" s="15" t="e">
        <f>VLOOKUP('北段 (人資版)'!D10,工作表1!$A$3:$B$74,2,FALSE)</f>
        <v>#REF!</v>
      </c>
      <c r="E10" s="15" t="e">
        <f>VLOOKUP('北段 (人資版)'!E10,工作表1!$A$3:$B$74,2,FALSE)</f>
        <v>#REF!</v>
      </c>
      <c r="F10" s="15" t="e">
        <f>VLOOKUP('北段 (人資版)'!F10,工作表1!$A$3:$B$74,2,FALSE)</f>
        <v>#REF!</v>
      </c>
      <c r="G10" s="15" t="e">
        <f>VLOOKUP('北段 (人資版)'!G10,工作表1!$A$3:$B$74,2,FALSE)</f>
        <v>#REF!</v>
      </c>
      <c r="H10" s="15" t="e">
        <f>VLOOKUP('北段 (人資版)'!H10,工作表1!$A$3:$B$74,2,FALSE)</f>
        <v>#REF!</v>
      </c>
      <c r="I10" s="15" t="e">
        <f>VLOOKUP('北段 (人資版)'!I10,工作表1!$A$3:$B$74,2,FALSE)</f>
        <v>#REF!</v>
      </c>
      <c r="J10" s="15" t="e">
        <f>VLOOKUP('北段 (人資版)'!J10,工作表1!$A$3:$B$74,2,FALSE)</f>
        <v>#REF!</v>
      </c>
      <c r="K10" s="15" t="e">
        <f>VLOOKUP('北段 (人資版)'!K10,工作表1!$A$3:$B$74,2,FALSE)</f>
        <v>#REF!</v>
      </c>
      <c r="L10" s="15" t="e">
        <f>VLOOKUP('北段 (人資版)'!L10,工作表1!$A$3:$B$74,2,FALSE)</f>
        <v>#REF!</v>
      </c>
      <c r="M10" s="15" t="e">
        <f>VLOOKUP('北段 (人資版)'!M10,工作表1!$A$3:$B$74,2,FALSE)</f>
        <v>#REF!</v>
      </c>
      <c r="N10" s="15" t="e">
        <f>VLOOKUP('北段 (人資版)'!N10,工作表1!$A$3:$B$74,2,FALSE)</f>
        <v>#REF!</v>
      </c>
      <c r="O10" s="15" t="e">
        <f>VLOOKUP('北段 (人資版)'!O10,工作表1!$A$3:$B$74,2,FALSE)</f>
        <v>#REF!</v>
      </c>
      <c r="P10" s="15" t="e">
        <f>VLOOKUP('北段 (人資版)'!P10,工作表1!$A$3:$B$74,2,FALSE)</f>
        <v>#REF!</v>
      </c>
      <c r="Q10" s="15" t="e">
        <f>VLOOKUP('北段 (人資版)'!Q10,工作表1!$A$3:$B$74,2,FALSE)</f>
        <v>#REF!</v>
      </c>
      <c r="R10" s="15" t="e">
        <f>VLOOKUP('北段 (人資版)'!R10,工作表1!$A$3:$B$74,2,FALSE)</f>
        <v>#REF!</v>
      </c>
      <c r="S10" s="15" t="e">
        <f>VLOOKUP('北段 (人資版)'!S10,工作表1!$A$3:$B$74,2,FALSE)</f>
        <v>#REF!</v>
      </c>
      <c r="T10" s="15" t="e">
        <f>VLOOKUP('北段 (人資版)'!T10,工作表1!$A$3:$B$74,2,FALSE)</f>
        <v>#REF!</v>
      </c>
      <c r="U10" s="15" t="e">
        <f>VLOOKUP('北段 (人資版)'!U10,工作表1!$A$3:$B$74,2,FALSE)</f>
        <v>#REF!</v>
      </c>
      <c r="V10" s="15" t="e">
        <f>VLOOKUP('北段 (人資版)'!V10,工作表1!$A$3:$B$74,2,FALSE)</f>
        <v>#REF!</v>
      </c>
      <c r="W10" s="15" t="e">
        <f>VLOOKUP('北段 (人資版)'!W10,工作表1!$A$3:$B$74,2,FALSE)</f>
        <v>#REF!</v>
      </c>
      <c r="X10" s="15" t="e">
        <f>VLOOKUP('北段 (人資版)'!X10,工作表1!$A$3:$B$74,2,FALSE)</f>
        <v>#REF!</v>
      </c>
      <c r="Y10" s="15" t="e">
        <f>VLOOKUP('北段 (人資版)'!Y10,工作表1!$A$3:$B$74,2,FALSE)</f>
        <v>#REF!</v>
      </c>
      <c r="Z10" s="15" t="e">
        <f>VLOOKUP('北段 (人資版)'!Z10,工作表1!$A$3:$B$74,2,FALSE)</f>
        <v>#REF!</v>
      </c>
      <c r="AA10" s="15" t="e">
        <f>VLOOKUP('北段 (人資版)'!AA10,工作表1!$A$3:$B$74,2,FALSE)</f>
        <v>#REF!</v>
      </c>
      <c r="AB10" s="15" t="e">
        <f>VLOOKUP('北段 (人資版)'!AB10,工作表1!$A$3:$B$74,2,FALSE)</f>
        <v>#REF!</v>
      </c>
      <c r="AC10" s="15" t="e">
        <f>VLOOKUP('北段 (人資版)'!AC10,工作表1!$A$3:$B$74,2,FALSE)</f>
        <v>#REF!</v>
      </c>
      <c r="AD10" s="15" t="e">
        <f>VLOOKUP('北段 (人資版)'!AD10,工作表1!$A$3:$B$74,2,FALSE)</f>
        <v>#REF!</v>
      </c>
      <c r="AE10" s="15" t="e">
        <f>VLOOKUP('北段 (人資版)'!AE10,工作表1!$A$3:$B$74,2,FALSE)</f>
        <v>#REF!</v>
      </c>
      <c r="AF10" s="15" t="e">
        <f>VLOOKUP('北段 (人資版)'!AF10,工作表1!$A$3:$B$74,2,FALSE)</f>
        <v>#REF!</v>
      </c>
      <c r="AG10" s="15" t="e">
        <f>VLOOKUP('北段 (人資版)'!AG10,工作表1!$A$3:$B$74,2,FALSE)</f>
        <v>#REF!</v>
      </c>
      <c r="AH10" s="15" t="e">
        <f>VLOOKUP('北段 (人資版)'!AH10,工作表1!$A$3:$B$74,2,FALSE)</f>
        <v>#REF!</v>
      </c>
      <c r="AI10" s="15" t="e">
        <f>VLOOKUP('北段 (人資版)'!AI10,工作表1!$A$3:$B$74,2,FALSE)</f>
        <v>#REF!</v>
      </c>
      <c r="AJ10" s="15" t="e">
        <f>VLOOKUP('北段 (人資版)'!AJ10,工作表1!$A$3:$B$74,2,FALSE)</f>
        <v>#REF!</v>
      </c>
      <c r="AK10" s="15" t="e">
        <f>VLOOKUP('北段 (人資版)'!AK10,工作表1!$A$3:$B$74,2,FALSE)</f>
        <v>#REF!</v>
      </c>
      <c r="AL10" s="15" t="e">
        <f>VLOOKUP('北段 (人資版)'!AL10,工作表1!$A$3:$B$74,2,FALSE)</f>
        <v>#REF!</v>
      </c>
    </row>
    <row r="11" spans="1:38" ht="39.6" customHeight="1">
      <c r="A11" s="148"/>
      <c r="B11" s="10" t="e">
        <f>北段!#REF!</f>
        <v>#REF!</v>
      </c>
      <c r="C11" s="10" t="e">
        <f>VLOOKUP(B11,北段!B:C,2,FALSE)</f>
        <v>#REF!</v>
      </c>
      <c r="D11" s="15" t="e">
        <f>VLOOKUP('北段 (人資版)'!D11,工作表1!$A$3:$B$74,2,FALSE)</f>
        <v>#REF!</v>
      </c>
      <c r="E11" s="15" t="e">
        <f>VLOOKUP('北段 (人資版)'!E11,工作表1!$A$3:$B$74,2,FALSE)</f>
        <v>#REF!</v>
      </c>
      <c r="F11" s="15" t="e">
        <f>VLOOKUP('北段 (人資版)'!F11,工作表1!$A$3:$B$74,2,FALSE)</f>
        <v>#REF!</v>
      </c>
      <c r="G11" s="15" t="e">
        <f>VLOOKUP('北段 (人資版)'!G11,工作表1!$A$3:$B$74,2,FALSE)</f>
        <v>#REF!</v>
      </c>
      <c r="H11" s="15" t="e">
        <f>VLOOKUP('北段 (人資版)'!H11,工作表1!$A$3:$B$74,2,FALSE)</f>
        <v>#REF!</v>
      </c>
      <c r="I11" s="15" t="e">
        <f>VLOOKUP('北段 (人資版)'!I11,工作表1!$A$3:$B$74,2,FALSE)</f>
        <v>#REF!</v>
      </c>
      <c r="J11" s="15" t="e">
        <f>VLOOKUP('北段 (人資版)'!J11,工作表1!$A$3:$B$74,2,FALSE)</f>
        <v>#REF!</v>
      </c>
      <c r="K11" s="15" t="e">
        <f>VLOOKUP('北段 (人資版)'!K11,工作表1!$A$3:$B$74,2,FALSE)</f>
        <v>#REF!</v>
      </c>
      <c r="L11" s="15" t="e">
        <f>VLOOKUP('北段 (人資版)'!L11,工作表1!$A$3:$B$74,2,FALSE)</f>
        <v>#REF!</v>
      </c>
      <c r="M11" s="15" t="e">
        <f>VLOOKUP('北段 (人資版)'!M11,工作表1!$A$3:$B$74,2,FALSE)</f>
        <v>#REF!</v>
      </c>
      <c r="N11" s="15" t="e">
        <f>VLOOKUP('北段 (人資版)'!N11,工作表1!$A$3:$B$74,2,FALSE)</f>
        <v>#REF!</v>
      </c>
      <c r="O11" s="15" t="e">
        <f>VLOOKUP('北段 (人資版)'!O11,工作表1!$A$3:$B$74,2,FALSE)</f>
        <v>#REF!</v>
      </c>
      <c r="P11" s="15" t="e">
        <f>VLOOKUP('北段 (人資版)'!P11,工作表1!$A$3:$B$74,2,FALSE)</f>
        <v>#REF!</v>
      </c>
      <c r="Q11" s="15" t="e">
        <f>VLOOKUP('北段 (人資版)'!Q11,工作表1!$A$3:$B$74,2,FALSE)</f>
        <v>#REF!</v>
      </c>
      <c r="R11" s="15" t="e">
        <f>VLOOKUP('北段 (人資版)'!R11,工作表1!$A$3:$B$74,2,FALSE)</f>
        <v>#REF!</v>
      </c>
      <c r="S11" s="15" t="e">
        <f>VLOOKUP('北段 (人資版)'!S11,工作表1!$A$3:$B$74,2,FALSE)</f>
        <v>#REF!</v>
      </c>
      <c r="T11" s="15" t="e">
        <f>VLOOKUP('北段 (人資版)'!T11,工作表1!$A$3:$B$74,2,FALSE)</f>
        <v>#REF!</v>
      </c>
      <c r="U11" s="15" t="e">
        <f>VLOOKUP('北段 (人資版)'!U11,工作表1!$A$3:$B$74,2,FALSE)</f>
        <v>#REF!</v>
      </c>
      <c r="V11" s="15" t="e">
        <f>VLOOKUP('北段 (人資版)'!V11,工作表1!$A$3:$B$74,2,FALSE)</f>
        <v>#REF!</v>
      </c>
      <c r="W11" s="15" t="e">
        <f>VLOOKUP('北段 (人資版)'!W11,工作表1!$A$3:$B$74,2,FALSE)</f>
        <v>#REF!</v>
      </c>
      <c r="X11" s="15" t="e">
        <f>VLOOKUP('北段 (人資版)'!X11,工作表1!$A$3:$B$74,2,FALSE)</f>
        <v>#REF!</v>
      </c>
      <c r="Y11" s="15" t="e">
        <f>VLOOKUP('北段 (人資版)'!Y11,工作表1!$A$3:$B$74,2,FALSE)</f>
        <v>#REF!</v>
      </c>
      <c r="Z11" s="15" t="e">
        <f>VLOOKUP('北段 (人資版)'!Z11,工作表1!$A$3:$B$74,2,FALSE)</f>
        <v>#REF!</v>
      </c>
      <c r="AA11" s="15" t="e">
        <f>VLOOKUP('北段 (人資版)'!AA11,工作表1!$A$3:$B$74,2,FALSE)</f>
        <v>#REF!</v>
      </c>
      <c r="AB11" s="15" t="e">
        <f>VLOOKUP('北段 (人資版)'!AB11,工作表1!$A$3:$B$74,2,FALSE)</f>
        <v>#REF!</v>
      </c>
      <c r="AC11" s="15" t="e">
        <f>VLOOKUP('北段 (人資版)'!AC11,工作表1!$A$3:$B$74,2,FALSE)</f>
        <v>#REF!</v>
      </c>
      <c r="AD11" s="15" t="e">
        <f>VLOOKUP('北段 (人資版)'!AD11,工作表1!$A$3:$B$74,2,FALSE)</f>
        <v>#REF!</v>
      </c>
      <c r="AE11" s="15" t="e">
        <f>VLOOKUP('北段 (人資版)'!AE11,工作表1!$A$3:$B$74,2,FALSE)</f>
        <v>#REF!</v>
      </c>
      <c r="AF11" s="15" t="e">
        <f>VLOOKUP('北段 (人資版)'!AF11,工作表1!$A$3:$B$74,2,FALSE)</f>
        <v>#REF!</v>
      </c>
      <c r="AG11" s="15" t="e">
        <f>VLOOKUP('北段 (人資版)'!AG11,工作表1!$A$3:$B$74,2,FALSE)</f>
        <v>#REF!</v>
      </c>
      <c r="AH11" s="15" t="e">
        <f>VLOOKUP('北段 (人資版)'!AH11,工作表1!$A$3:$B$74,2,FALSE)</f>
        <v>#REF!</v>
      </c>
      <c r="AI11" s="15" t="e">
        <f>VLOOKUP('北段 (人資版)'!AI11,工作表1!$A$3:$B$74,2,FALSE)</f>
        <v>#REF!</v>
      </c>
      <c r="AJ11" s="15" t="e">
        <f>VLOOKUP('北段 (人資版)'!AJ11,工作表1!$A$3:$B$74,2,FALSE)</f>
        <v>#REF!</v>
      </c>
      <c r="AK11" s="15" t="e">
        <f>VLOOKUP('北段 (人資版)'!AK11,工作表1!$A$3:$B$74,2,FALSE)</f>
        <v>#REF!</v>
      </c>
      <c r="AL11" s="15" t="e">
        <f>VLOOKUP('北段 (人資版)'!AL11,工作表1!$A$3:$B$74,2,FALSE)</f>
        <v>#REF!</v>
      </c>
    </row>
    <row r="12" spans="1:38" ht="39.75" customHeight="1" thickBot="1">
      <c r="A12" s="156"/>
      <c r="B12" s="10" t="e">
        <f>北段!#REF!</f>
        <v>#REF!</v>
      </c>
      <c r="C12" s="10" t="e">
        <f>VLOOKUP(B12,北段!B:C,2,FALSE)</f>
        <v>#REF!</v>
      </c>
      <c r="D12" s="15" t="e">
        <f>VLOOKUP('北段 (人資版)'!D12,工作表1!$A$3:$B$74,2,FALSE)</f>
        <v>#REF!</v>
      </c>
      <c r="E12" s="15" t="e">
        <f>VLOOKUP('北段 (人資版)'!E12,工作表1!$A$3:$B$74,2,FALSE)</f>
        <v>#REF!</v>
      </c>
      <c r="F12" s="15" t="e">
        <f>VLOOKUP('北段 (人資版)'!F12,工作表1!$A$3:$B$74,2,FALSE)</f>
        <v>#REF!</v>
      </c>
      <c r="G12" s="15" t="e">
        <f>VLOOKUP('北段 (人資版)'!G12,工作表1!$A$3:$B$74,2,FALSE)</f>
        <v>#REF!</v>
      </c>
      <c r="H12" s="15" t="e">
        <f>VLOOKUP('北段 (人資版)'!H12,工作表1!$A$3:$B$74,2,FALSE)</f>
        <v>#REF!</v>
      </c>
      <c r="I12" s="15" t="e">
        <f>VLOOKUP('北段 (人資版)'!I12,工作表1!$A$3:$B$74,2,FALSE)</f>
        <v>#REF!</v>
      </c>
      <c r="J12" s="15" t="e">
        <f>VLOOKUP('北段 (人資版)'!J12,工作表1!$A$3:$B$74,2,FALSE)</f>
        <v>#REF!</v>
      </c>
      <c r="K12" s="15" t="e">
        <f>VLOOKUP('北段 (人資版)'!K12,工作表1!$A$3:$B$74,2,FALSE)</f>
        <v>#REF!</v>
      </c>
      <c r="L12" s="15" t="e">
        <f>VLOOKUP('北段 (人資版)'!L12,工作表1!$A$3:$B$74,2,FALSE)</f>
        <v>#REF!</v>
      </c>
      <c r="M12" s="15" t="e">
        <f>VLOOKUP('北段 (人資版)'!M12,工作表1!$A$3:$B$74,2,FALSE)</f>
        <v>#REF!</v>
      </c>
      <c r="N12" s="15" t="e">
        <f>VLOOKUP('北段 (人資版)'!N12,工作表1!$A$3:$B$74,2,FALSE)</f>
        <v>#REF!</v>
      </c>
      <c r="O12" s="15" t="e">
        <f>VLOOKUP('北段 (人資版)'!O12,工作表1!$A$3:$B$74,2,FALSE)</f>
        <v>#REF!</v>
      </c>
      <c r="P12" s="15" t="e">
        <f>VLOOKUP('北段 (人資版)'!P12,工作表1!$A$3:$B$74,2,FALSE)</f>
        <v>#REF!</v>
      </c>
      <c r="Q12" s="15" t="e">
        <f>VLOOKUP('北段 (人資版)'!Q12,工作表1!$A$3:$B$74,2,FALSE)</f>
        <v>#REF!</v>
      </c>
      <c r="R12" s="15" t="e">
        <f>VLOOKUP('北段 (人資版)'!R12,工作表1!$A$3:$B$74,2,FALSE)</f>
        <v>#REF!</v>
      </c>
      <c r="S12" s="15" t="e">
        <f>VLOOKUP('北段 (人資版)'!S12,工作表1!$A$3:$B$74,2,FALSE)</f>
        <v>#REF!</v>
      </c>
      <c r="T12" s="15" t="e">
        <f>VLOOKUP('北段 (人資版)'!T12,工作表1!$A$3:$B$74,2,FALSE)</f>
        <v>#REF!</v>
      </c>
      <c r="U12" s="15" t="e">
        <f>VLOOKUP('北段 (人資版)'!U12,工作表1!$A$3:$B$74,2,FALSE)</f>
        <v>#REF!</v>
      </c>
      <c r="V12" s="15" t="e">
        <f>VLOOKUP('北段 (人資版)'!V12,工作表1!$A$3:$B$74,2,FALSE)</f>
        <v>#REF!</v>
      </c>
      <c r="W12" s="15" t="e">
        <f>VLOOKUP('北段 (人資版)'!W12,工作表1!$A$3:$B$74,2,FALSE)</f>
        <v>#REF!</v>
      </c>
      <c r="X12" s="15" t="e">
        <f>VLOOKUP('北段 (人資版)'!X12,工作表1!$A$3:$B$74,2,FALSE)</f>
        <v>#REF!</v>
      </c>
      <c r="Y12" s="15" t="e">
        <f>VLOOKUP('北段 (人資版)'!Y12,工作表1!$A$3:$B$74,2,FALSE)</f>
        <v>#REF!</v>
      </c>
      <c r="Z12" s="15" t="e">
        <f>VLOOKUP('北段 (人資版)'!Z12,工作表1!$A$3:$B$74,2,FALSE)</f>
        <v>#REF!</v>
      </c>
      <c r="AA12" s="15" t="e">
        <f>VLOOKUP('北段 (人資版)'!AA12,工作表1!$A$3:$B$74,2,FALSE)</f>
        <v>#REF!</v>
      </c>
      <c r="AB12" s="15" t="e">
        <f>VLOOKUP('北段 (人資版)'!AB12,工作表1!$A$3:$B$74,2,FALSE)</f>
        <v>#REF!</v>
      </c>
      <c r="AC12" s="15" t="e">
        <f>VLOOKUP('北段 (人資版)'!AC12,工作表1!$A$3:$B$74,2,FALSE)</f>
        <v>#REF!</v>
      </c>
      <c r="AD12" s="15" t="e">
        <f>VLOOKUP('北段 (人資版)'!AD12,工作表1!$A$3:$B$74,2,FALSE)</f>
        <v>#REF!</v>
      </c>
      <c r="AE12" s="15" t="e">
        <f>VLOOKUP('北段 (人資版)'!AE12,工作表1!$A$3:$B$74,2,FALSE)</f>
        <v>#REF!</v>
      </c>
      <c r="AF12" s="15" t="e">
        <f>VLOOKUP('北段 (人資版)'!AF12,工作表1!$A$3:$B$74,2,FALSE)</f>
        <v>#REF!</v>
      </c>
      <c r="AG12" s="15" t="e">
        <f>VLOOKUP('北段 (人資版)'!AG12,工作表1!$A$3:$B$74,2,FALSE)</f>
        <v>#REF!</v>
      </c>
      <c r="AH12" s="15" t="e">
        <f>VLOOKUP('北段 (人資版)'!AH12,工作表1!$A$3:$B$74,2,FALSE)</f>
        <v>#REF!</v>
      </c>
      <c r="AI12" s="15" t="e">
        <f>VLOOKUP('北段 (人資版)'!AI12,工作表1!$A$3:$B$74,2,FALSE)</f>
        <v>#REF!</v>
      </c>
      <c r="AJ12" s="15" t="e">
        <f>VLOOKUP('北段 (人資版)'!AJ12,工作表1!$A$3:$B$74,2,FALSE)</f>
        <v>#REF!</v>
      </c>
      <c r="AK12" s="15" t="e">
        <f>VLOOKUP('北段 (人資版)'!AK12,工作表1!$A$3:$B$74,2,FALSE)</f>
        <v>#REF!</v>
      </c>
      <c r="AL12" s="15" t="e">
        <f>VLOOKUP('北段 (人資版)'!AL12,工作表1!$A$3:$B$74,2,FALSE)</f>
        <v>#REF!</v>
      </c>
    </row>
    <row r="13" spans="1:38" ht="39.75" customHeight="1">
      <c r="A13" s="34" t="s">
        <v>4</v>
      </c>
      <c r="B13" s="10" t="str">
        <f>北段!B3</f>
        <v>T00509</v>
      </c>
      <c r="C13" s="10" t="str">
        <f>VLOOKUP(B13,北段!B:C,2,FALSE)</f>
        <v>郭秋儀</v>
      </c>
      <c r="D13" s="15">
        <f>VLOOKUP('北段 (人資版)'!D13,工作表1!$A$3:$B$74,2,FALSE)</f>
        <v>92</v>
      </c>
      <c r="E13" s="15">
        <f>VLOOKUP('北段 (人資版)'!E13,工作表1!$A$3:$B$74,2,FALSE)</f>
        <v>70</v>
      </c>
      <c r="F13" s="15">
        <f>VLOOKUP('北段 (人資版)'!F13,工作表1!$A$3:$B$74,2,FALSE)</f>
        <v>70</v>
      </c>
      <c r="G13" s="15">
        <f>VLOOKUP('北段 (人資版)'!G13,工作表1!$A$3:$B$74,2,FALSE)</f>
        <v>70</v>
      </c>
      <c r="H13" s="15">
        <f>VLOOKUP('北段 (人資版)'!H13,工作表1!$A$3:$B$74,2,FALSE)</f>
        <v>92</v>
      </c>
      <c r="I13" s="15">
        <f>VLOOKUP('北段 (人資版)'!I13,工作表1!$A$3:$B$74,2,FALSE)</f>
        <v>92</v>
      </c>
      <c r="J13" s="15">
        <f>VLOOKUP('北段 (人資版)'!J13,工作表1!$A$3:$B$74,2,FALSE)</f>
        <v>70</v>
      </c>
      <c r="K13" s="15">
        <f>VLOOKUP('北段 (人資版)'!K13,工作表1!$A$3:$B$74,2,FALSE)</f>
        <v>70</v>
      </c>
      <c r="L13" s="15">
        <f>VLOOKUP('北段 (人資版)'!L13,工作表1!$A$3:$B$74,2,FALSE)</f>
        <v>70</v>
      </c>
      <c r="M13" s="15">
        <f>VLOOKUP('北段 (人資版)'!M13,工作表1!$A$3:$B$74,2,FALSE)</f>
        <v>92</v>
      </c>
      <c r="N13" s="15">
        <f>VLOOKUP('北段 (人資版)'!N13,工作表1!$A$3:$B$74,2,FALSE)</f>
        <v>91</v>
      </c>
      <c r="O13" s="15">
        <f>VLOOKUP('北段 (人資版)'!O13,工作表1!$A$3:$B$74,2,FALSE)</f>
        <v>38</v>
      </c>
      <c r="P13" s="15">
        <f>VLOOKUP('北段 (人資版)'!P13,工作表1!$A$3:$B$74,2,FALSE)</f>
        <v>38</v>
      </c>
      <c r="Q13" s="15">
        <f>VLOOKUP('北段 (人資版)'!Q13,工作表1!$A$3:$B$74,2,FALSE)</f>
        <v>70</v>
      </c>
      <c r="R13" s="15">
        <f>VLOOKUP('北段 (人資版)'!R13,工作表1!$A$3:$B$74,2,FALSE)</f>
        <v>70</v>
      </c>
      <c r="S13" s="15">
        <f>VLOOKUP('北段 (人資版)'!S13,工作表1!$A$3:$B$74,2,FALSE)</f>
        <v>91</v>
      </c>
      <c r="T13" s="15">
        <f>VLOOKUP('北段 (人資版)'!T13,工作表1!$A$3:$B$74,2,FALSE)</f>
        <v>90</v>
      </c>
      <c r="U13" s="15">
        <f>VLOOKUP('北段 (人資版)'!U13,工作表1!$A$3:$B$74,2,FALSE)</f>
        <v>92</v>
      </c>
      <c r="V13" s="15">
        <f>VLOOKUP('北段 (人資版)'!V13,工作表1!$A$3:$B$74,2,FALSE)</f>
        <v>92</v>
      </c>
      <c r="W13" s="15">
        <f>VLOOKUP('北段 (人資版)'!W13,工作表1!$A$3:$B$74,2,FALSE)</f>
        <v>38</v>
      </c>
      <c r="X13" s="15">
        <f>VLOOKUP('北段 (人資版)'!X13,工作表1!$A$3:$B$74,2,FALSE)</f>
        <v>38</v>
      </c>
      <c r="Y13" s="15">
        <f>VLOOKUP('北段 (人資版)'!Y13,工作表1!$A$3:$B$74,2,FALSE)</f>
        <v>38</v>
      </c>
      <c r="Z13" s="15">
        <f>VLOOKUP('北段 (人資版)'!Z13,工作表1!$A$3:$B$74,2,FALSE)</f>
        <v>66</v>
      </c>
      <c r="AA13" s="15">
        <f>VLOOKUP('北段 (人資版)'!AA13,工作表1!$A$3:$B$74,2,FALSE)</f>
        <v>92</v>
      </c>
      <c r="AB13" s="15">
        <f>VLOOKUP('北段 (人資版)'!AB13,工作表1!$A$3:$B$74,2,FALSE)</f>
        <v>91</v>
      </c>
      <c r="AC13" s="15" t="str">
        <f>VLOOKUP('北段 (人資版)'!AC13,工作表1!$A$3:$B$74,2,FALSE)</f>
        <v>07</v>
      </c>
      <c r="AD13" s="15" t="str">
        <f>VLOOKUP('北段 (人資版)'!AD13,工作表1!$A$3:$B$74,2,FALSE)</f>
        <v>07</v>
      </c>
      <c r="AE13" s="15">
        <f>VLOOKUP('北段 (人資版)'!AE13,工作表1!$A$3:$B$74,2,FALSE)</f>
        <v>66</v>
      </c>
      <c r="AF13" s="15">
        <f>VLOOKUP('北段 (人資版)'!AF13,工作表1!$A$3:$B$74,2,FALSE)</f>
        <v>66</v>
      </c>
      <c r="AG13" s="15">
        <f>VLOOKUP('北段 (人資版)'!AG13,工作表1!$A$3:$B$74,2,FALSE)</f>
        <v>91</v>
      </c>
      <c r="AH13" s="15" t="e">
        <f>VLOOKUP('北段 (人資版)'!AH13,工作表1!$A$3:$B$74,2,FALSE)</f>
        <v>#REF!</v>
      </c>
      <c r="AI13" s="15" t="e">
        <f>VLOOKUP('北段 (人資版)'!AI13,工作表1!$A$3:$B$74,2,FALSE)</f>
        <v>#REF!</v>
      </c>
      <c r="AJ13" s="15" t="e">
        <f>VLOOKUP('北段 (人資版)'!AJ13,工作表1!$A$3:$B$74,2,FALSE)</f>
        <v>#REF!</v>
      </c>
      <c r="AK13" s="15" t="e">
        <f>VLOOKUP('北段 (人資版)'!AK13,工作表1!$A$3:$B$74,2,FALSE)</f>
        <v>#REF!</v>
      </c>
      <c r="AL13" s="15" t="e">
        <f>VLOOKUP('北段 (人資版)'!AL13,工作表1!$A$3:$B$74,2,FALSE)</f>
        <v>#REF!</v>
      </c>
    </row>
    <row r="14" spans="1:38" ht="39.75" customHeight="1">
      <c r="A14" s="35"/>
      <c r="B14" s="10" t="str">
        <f>北段!B4</f>
        <v>T01028</v>
      </c>
      <c r="C14" s="10" t="str">
        <f>VLOOKUP(B14,北段!B:C,2,FALSE)</f>
        <v>林金緗</v>
      </c>
      <c r="D14" s="15" t="e">
        <f>VLOOKUP('北段 (人資版)'!D14,工作表1!$A$3:$B$74,2,FALSE)</f>
        <v>#N/A</v>
      </c>
      <c r="E14" s="15">
        <f>VLOOKUP('北段 (人資版)'!E14,工作表1!$A$3:$B$74,2,FALSE)</f>
        <v>91</v>
      </c>
      <c r="F14" s="15">
        <f>VLOOKUP('北段 (人資版)'!F14,工作表1!$A$3:$B$74,2,FALSE)</f>
        <v>92</v>
      </c>
      <c r="G14" s="15" t="str">
        <f>VLOOKUP('北段 (人資版)'!G14,工作表1!$A$3:$B$74,2,FALSE)</f>
        <v>07</v>
      </c>
      <c r="H14" s="15">
        <f>VLOOKUP('北段 (人資版)'!H14,工作表1!$A$3:$B$74,2,FALSE)</f>
        <v>66</v>
      </c>
      <c r="I14" s="15" t="e">
        <f>VLOOKUP('北段 (人資版)'!I14,工作表1!$A$3:$B$74,2,FALSE)</f>
        <v>#N/A</v>
      </c>
      <c r="J14" s="15">
        <f>VLOOKUP('北段 (人資版)'!J14,工作表1!$A$3:$B$74,2,FALSE)</f>
        <v>91</v>
      </c>
      <c r="K14" s="15">
        <f>VLOOKUP('北段 (人資版)'!K14,工作表1!$A$3:$B$74,2,FALSE)</f>
        <v>92</v>
      </c>
      <c r="L14" s="15" t="str">
        <f>VLOOKUP('北段 (人資版)'!L14,工作表1!$A$3:$B$74,2,FALSE)</f>
        <v>07</v>
      </c>
      <c r="M14" s="15">
        <f>VLOOKUP('北段 (人資版)'!M14,工作表1!$A$3:$B$74,2,FALSE)</f>
        <v>66</v>
      </c>
      <c r="N14" s="15">
        <f>VLOOKUP('北段 (人資版)'!N14,工作表1!$A$3:$B$74,2,FALSE)</f>
        <v>66</v>
      </c>
      <c r="O14" s="15">
        <f>VLOOKUP('北段 (人資版)'!O14,工作表1!$A$3:$B$74,2,FALSE)</f>
        <v>70</v>
      </c>
      <c r="P14" s="15">
        <f>VLOOKUP('北段 (人資版)'!P14,工作表1!$A$3:$B$74,2,FALSE)</f>
        <v>70</v>
      </c>
      <c r="Q14" s="15">
        <f>VLOOKUP('北段 (人資版)'!Q14,工作表1!$A$3:$B$74,2,FALSE)</f>
        <v>70</v>
      </c>
      <c r="R14" s="15">
        <f>VLOOKUP('北段 (人資版)'!R14,工作表1!$A$3:$B$74,2,FALSE)</f>
        <v>92</v>
      </c>
      <c r="S14" s="15">
        <f>VLOOKUP('北段 (人資版)'!S14,工作表1!$A$3:$B$74,2,FALSE)</f>
        <v>91</v>
      </c>
      <c r="T14" s="15">
        <f>VLOOKUP('北段 (人資版)'!T14,工作表1!$A$3:$B$74,2,FALSE)</f>
        <v>66</v>
      </c>
      <c r="U14" s="15">
        <f>VLOOKUP('北段 (人資版)'!U14,工作表1!$A$3:$B$74,2,FALSE)</f>
        <v>66</v>
      </c>
      <c r="V14" s="15">
        <f>VLOOKUP('北段 (人資版)'!V14,工作表1!$A$3:$B$74,2,FALSE)</f>
        <v>66</v>
      </c>
      <c r="W14" s="15">
        <f>VLOOKUP('北段 (人資版)'!W14,工作表1!$A$3:$B$74,2,FALSE)</f>
        <v>66</v>
      </c>
      <c r="X14" s="15">
        <f>VLOOKUP('北段 (人資版)'!X14,工作表1!$A$3:$B$74,2,FALSE)</f>
        <v>91</v>
      </c>
      <c r="Y14" s="15">
        <f>VLOOKUP('北段 (人資版)'!Y14,工作表1!$A$3:$B$74,2,FALSE)</f>
        <v>66</v>
      </c>
      <c r="Z14" s="15">
        <f>VLOOKUP('北段 (人資版)'!Z14,工作表1!$A$3:$B$74,2,FALSE)</f>
        <v>66</v>
      </c>
      <c r="AA14" s="15">
        <f>VLOOKUP('北段 (人資版)'!AA14,工作表1!$A$3:$B$74,2,FALSE)</f>
        <v>92</v>
      </c>
      <c r="AB14" s="15">
        <f>VLOOKUP('北段 (人資版)'!AB14,工作表1!$A$3:$B$74,2,FALSE)</f>
        <v>66</v>
      </c>
      <c r="AC14" s="15">
        <f>VLOOKUP('北段 (人資版)'!AC14,工作表1!$A$3:$B$74,2,FALSE)</f>
        <v>66</v>
      </c>
      <c r="AD14" s="15">
        <f>VLOOKUP('北段 (人資版)'!AD14,工作表1!$A$3:$B$74,2,FALSE)</f>
        <v>92</v>
      </c>
      <c r="AE14" s="15">
        <f>VLOOKUP('北段 (人資版)'!AE14,工作表1!$A$3:$B$74,2,FALSE)</f>
        <v>38</v>
      </c>
      <c r="AF14" s="15">
        <f>VLOOKUP('北段 (人資版)'!AF14,工作表1!$A$3:$B$74,2,FALSE)</f>
        <v>38</v>
      </c>
      <c r="AG14" s="15">
        <f>VLOOKUP('北段 (人資版)'!AG14,工作表1!$A$3:$B$74,2,FALSE)</f>
        <v>66</v>
      </c>
      <c r="AH14" s="15" t="e">
        <f>VLOOKUP('北段 (人資版)'!AH14,工作表1!$A$3:$B$74,2,FALSE)</f>
        <v>#REF!</v>
      </c>
      <c r="AI14" s="15" t="e">
        <f>VLOOKUP('北段 (人資版)'!AI14,工作表1!$A$3:$B$74,2,FALSE)</f>
        <v>#REF!</v>
      </c>
      <c r="AJ14" s="15" t="e">
        <f>VLOOKUP('北段 (人資版)'!AJ14,工作表1!$A$3:$B$74,2,FALSE)</f>
        <v>#REF!</v>
      </c>
      <c r="AK14" s="15" t="e">
        <f>VLOOKUP('北段 (人資版)'!AK14,工作表1!$A$3:$B$74,2,FALSE)</f>
        <v>#REF!</v>
      </c>
      <c r="AL14" s="15" t="e">
        <f>VLOOKUP('北段 (人資版)'!AL14,工作表1!$A$3:$B$74,2,FALSE)</f>
        <v>#REF!</v>
      </c>
    </row>
    <row r="15" spans="1:38" ht="39.6" customHeight="1">
      <c r="A15" s="35"/>
      <c r="B15" s="10" t="e">
        <f>北段!#REF!</f>
        <v>#REF!</v>
      </c>
      <c r="C15" s="10" t="e">
        <f>VLOOKUP(B15,北段!B:C,2,FALSE)</f>
        <v>#REF!</v>
      </c>
      <c r="D15" s="15" t="e">
        <f>VLOOKUP('北段 (人資版)'!D15,工作表1!$A$3:$B$74,2,FALSE)</f>
        <v>#REF!</v>
      </c>
      <c r="E15" s="15" t="e">
        <f>VLOOKUP('北段 (人資版)'!E15,工作表1!$A$3:$B$74,2,FALSE)</f>
        <v>#REF!</v>
      </c>
      <c r="F15" s="15" t="e">
        <f>VLOOKUP('北段 (人資版)'!F15,工作表1!$A$3:$B$74,2,FALSE)</f>
        <v>#REF!</v>
      </c>
      <c r="G15" s="15" t="e">
        <f>VLOOKUP('北段 (人資版)'!G15,工作表1!$A$3:$B$74,2,FALSE)</f>
        <v>#REF!</v>
      </c>
      <c r="H15" s="15" t="e">
        <f>VLOOKUP('北段 (人資版)'!H15,工作表1!$A$3:$B$74,2,FALSE)</f>
        <v>#REF!</v>
      </c>
      <c r="I15" s="15" t="e">
        <f>VLOOKUP('北段 (人資版)'!I15,工作表1!$A$3:$B$74,2,FALSE)</f>
        <v>#REF!</v>
      </c>
      <c r="J15" s="15" t="e">
        <f>VLOOKUP('北段 (人資版)'!J15,工作表1!$A$3:$B$74,2,FALSE)</f>
        <v>#REF!</v>
      </c>
      <c r="K15" s="15" t="e">
        <f>VLOOKUP('北段 (人資版)'!K15,工作表1!$A$3:$B$74,2,FALSE)</f>
        <v>#REF!</v>
      </c>
      <c r="L15" s="15" t="e">
        <f>VLOOKUP('北段 (人資版)'!L15,工作表1!$A$3:$B$74,2,FALSE)</f>
        <v>#REF!</v>
      </c>
      <c r="M15" s="15" t="e">
        <f>VLOOKUP('北段 (人資版)'!M15,工作表1!$A$3:$B$74,2,FALSE)</f>
        <v>#REF!</v>
      </c>
      <c r="N15" s="15" t="e">
        <f>VLOOKUP('北段 (人資版)'!N15,工作表1!$A$3:$B$74,2,FALSE)</f>
        <v>#REF!</v>
      </c>
      <c r="O15" s="15" t="e">
        <f>VLOOKUP('北段 (人資版)'!O15,工作表1!$A$3:$B$74,2,FALSE)</f>
        <v>#REF!</v>
      </c>
      <c r="P15" s="15" t="e">
        <f>VLOOKUP('北段 (人資版)'!P15,工作表1!$A$3:$B$74,2,FALSE)</f>
        <v>#REF!</v>
      </c>
      <c r="Q15" s="15" t="e">
        <f>VLOOKUP('北段 (人資版)'!Q15,工作表1!$A$3:$B$74,2,FALSE)</f>
        <v>#REF!</v>
      </c>
      <c r="R15" s="15" t="e">
        <f>VLOOKUP('北段 (人資版)'!R15,工作表1!$A$3:$B$74,2,FALSE)</f>
        <v>#REF!</v>
      </c>
      <c r="S15" s="15" t="e">
        <f>VLOOKUP('北段 (人資版)'!S15,工作表1!$A$3:$B$74,2,FALSE)</f>
        <v>#REF!</v>
      </c>
      <c r="T15" s="15" t="e">
        <f>VLOOKUP('北段 (人資版)'!T15,工作表1!$A$3:$B$74,2,FALSE)</f>
        <v>#REF!</v>
      </c>
      <c r="U15" s="15" t="e">
        <f>VLOOKUP('北段 (人資版)'!U15,工作表1!$A$3:$B$74,2,FALSE)</f>
        <v>#REF!</v>
      </c>
      <c r="V15" s="15" t="e">
        <f>VLOOKUP('北段 (人資版)'!V15,工作表1!$A$3:$B$74,2,FALSE)</f>
        <v>#REF!</v>
      </c>
      <c r="W15" s="15" t="e">
        <f>VLOOKUP('北段 (人資版)'!W15,工作表1!$A$3:$B$74,2,FALSE)</f>
        <v>#REF!</v>
      </c>
      <c r="X15" s="15" t="e">
        <f>VLOOKUP('北段 (人資版)'!X15,工作表1!$A$3:$B$74,2,FALSE)</f>
        <v>#REF!</v>
      </c>
      <c r="Y15" s="15" t="e">
        <f>VLOOKUP('北段 (人資版)'!Y15,工作表1!$A$3:$B$74,2,FALSE)</f>
        <v>#REF!</v>
      </c>
      <c r="Z15" s="15" t="e">
        <f>VLOOKUP('北段 (人資版)'!Z15,工作表1!$A$3:$B$74,2,FALSE)</f>
        <v>#REF!</v>
      </c>
      <c r="AA15" s="15" t="e">
        <f>VLOOKUP('北段 (人資版)'!AA15,工作表1!$A$3:$B$74,2,FALSE)</f>
        <v>#REF!</v>
      </c>
      <c r="AB15" s="15" t="e">
        <f>VLOOKUP('北段 (人資版)'!AB15,工作表1!$A$3:$B$74,2,FALSE)</f>
        <v>#REF!</v>
      </c>
      <c r="AC15" s="15" t="e">
        <f>VLOOKUP('北段 (人資版)'!AC15,工作表1!$A$3:$B$74,2,FALSE)</f>
        <v>#REF!</v>
      </c>
      <c r="AD15" s="15" t="e">
        <f>VLOOKUP('北段 (人資版)'!AD15,工作表1!$A$3:$B$74,2,FALSE)</f>
        <v>#REF!</v>
      </c>
      <c r="AE15" s="15" t="e">
        <f>VLOOKUP('北段 (人資版)'!AE15,工作表1!$A$3:$B$74,2,FALSE)</f>
        <v>#REF!</v>
      </c>
      <c r="AF15" s="15" t="e">
        <f>VLOOKUP('北段 (人資版)'!AF15,工作表1!$A$3:$B$74,2,FALSE)</f>
        <v>#REF!</v>
      </c>
      <c r="AG15" s="15" t="e">
        <f>VLOOKUP('北段 (人資版)'!AG15,工作表1!$A$3:$B$74,2,FALSE)</f>
        <v>#REF!</v>
      </c>
      <c r="AH15" s="15" t="e">
        <f>VLOOKUP('北段 (人資版)'!AH15,工作表1!$A$3:$B$74,2,FALSE)</f>
        <v>#REF!</v>
      </c>
      <c r="AI15" s="15" t="e">
        <f>VLOOKUP('北段 (人資版)'!AI15,工作表1!$A$3:$B$74,2,FALSE)</f>
        <v>#REF!</v>
      </c>
      <c r="AJ15" s="15" t="e">
        <f>VLOOKUP('北段 (人資版)'!AJ15,工作表1!$A$3:$B$74,2,FALSE)</f>
        <v>#REF!</v>
      </c>
      <c r="AK15" s="15" t="e">
        <f>VLOOKUP('北段 (人資版)'!AK15,工作表1!$A$3:$B$74,2,FALSE)</f>
        <v>#REF!</v>
      </c>
      <c r="AL15" s="15" t="e">
        <f>VLOOKUP('北段 (人資版)'!AL15,工作表1!$A$3:$B$74,2,FALSE)</f>
        <v>#REF!</v>
      </c>
    </row>
    <row r="16" spans="1:38" ht="39.75" customHeight="1">
      <c r="A16" s="35"/>
      <c r="B16" s="10" t="str">
        <f>北段!B6</f>
        <v>T01734</v>
      </c>
      <c r="C16" s="10" t="str">
        <f>VLOOKUP(B16,北段!B:C,2,FALSE)</f>
        <v>黃冠銘</v>
      </c>
      <c r="D16" s="15" t="e">
        <f>VLOOKUP('北段 (人資版)'!D16,工作表1!$A$3:$B$74,2,FALSE)</f>
        <v>#N/A</v>
      </c>
      <c r="E16" s="15">
        <f>VLOOKUP('北段 (人資版)'!E16,工作表1!$A$3:$B$74,2,FALSE)</f>
        <v>91</v>
      </c>
      <c r="F16" s="15">
        <f>VLOOKUP('北段 (人資版)'!F16,工作表1!$A$3:$B$74,2,FALSE)</f>
        <v>70</v>
      </c>
      <c r="G16" s="15">
        <f>VLOOKUP('北段 (人資版)'!G16,工作表1!$A$3:$B$74,2,FALSE)</f>
        <v>70</v>
      </c>
      <c r="H16" s="15">
        <f>VLOOKUP('北段 (人資版)'!H16,工作表1!$A$3:$B$74,2,FALSE)</f>
        <v>70</v>
      </c>
      <c r="I16" s="15" t="e">
        <f>VLOOKUP('北段 (人資版)'!I16,工作表1!$A$3:$B$74,2,FALSE)</f>
        <v>#N/A</v>
      </c>
      <c r="J16" s="15">
        <f>VLOOKUP('北段 (人資版)'!J16,工作表1!$A$3:$B$74,2,FALSE)</f>
        <v>91</v>
      </c>
      <c r="K16" s="15">
        <f>VLOOKUP('北段 (人資版)'!K16,工作表1!$A$3:$B$74,2,FALSE)</f>
        <v>70</v>
      </c>
      <c r="L16" s="15">
        <f>VLOOKUP('北段 (人資版)'!L16,工作表1!$A$3:$B$74,2,FALSE)</f>
        <v>70</v>
      </c>
      <c r="M16" s="15">
        <f>VLOOKUP('北段 (人資版)'!M16,工作表1!$A$3:$B$74,2,FALSE)</f>
        <v>70</v>
      </c>
      <c r="N16" s="15">
        <f>VLOOKUP('北段 (人資版)'!N16,工作表1!$A$3:$B$74,2,FALSE)</f>
        <v>70</v>
      </c>
      <c r="O16" s="15">
        <f>VLOOKUP('北段 (人資版)'!O16,工作表1!$A$3:$B$74,2,FALSE)</f>
        <v>92</v>
      </c>
      <c r="P16" s="15">
        <f>VLOOKUP('北段 (人資版)'!P16,工作表1!$A$3:$B$74,2,FALSE)</f>
        <v>92</v>
      </c>
      <c r="Q16" s="15">
        <f>VLOOKUP('北段 (人資版)'!Q16,工作表1!$A$3:$B$74,2,FALSE)</f>
        <v>91</v>
      </c>
      <c r="R16" s="15">
        <f>VLOOKUP('北段 (人資版)'!R16,工作表1!$A$3:$B$74,2,FALSE)</f>
        <v>66</v>
      </c>
      <c r="S16" s="15">
        <f>VLOOKUP('北段 (人資版)'!S16,工作表1!$A$3:$B$74,2,FALSE)</f>
        <v>66</v>
      </c>
      <c r="T16" s="15">
        <f>VLOOKUP('北段 (人資版)'!T16,工作表1!$A$3:$B$74,2,FALSE)</f>
        <v>92</v>
      </c>
      <c r="U16" s="15">
        <f>VLOOKUP('北段 (人資版)'!U16,工作表1!$A$3:$B$74,2,FALSE)</f>
        <v>38</v>
      </c>
      <c r="V16" s="15">
        <f>VLOOKUP('北段 (人資版)'!V16,工作表1!$A$3:$B$74,2,FALSE)</f>
        <v>38</v>
      </c>
      <c r="W16" s="15">
        <f>VLOOKUP('北段 (人資版)'!W16,工作表1!$A$3:$B$74,2,FALSE)</f>
        <v>38</v>
      </c>
      <c r="X16" s="15">
        <f>VLOOKUP('北段 (人資版)'!X16,工作表1!$A$3:$B$74,2,FALSE)</f>
        <v>38</v>
      </c>
      <c r="Y16" s="15">
        <f>VLOOKUP('北段 (人資版)'!Y16,工作表1!$A$3:$B$74,2,FALSE)</f>
        <v>38</v>
      </c>
      <c r="Z16" s="15">
        <f>VLOOKUP('北段 (人資版)'!Z16,工作表1!$A$3:$B$74,2,FALSE)</f>
        <v>91</v>
      </c>
      <c r="AA16" s="15">
        <f>VLOOKUP('北段 (人資版)'!AA16,工作表1!$A$3:$B$74,2,FALSE)</f>
        <v>92</v>
      </c>
      <c r="AB16" s="15">
        <f>VLOOKUP('北段 (人資版)'!AB16,工作表1!$A$3:$B$74,2,FALSE)</f>
        <v>38</v>
      </c>
      <c r="AC16" s="15">
        <f>VLOOKUP('北段 (人資版)'!AC16,工作表1!$A$3:$B$74,2,FALSE)</f>
        <v>38</v>
      </c>
      <c r="AD16" s="15">
        <f>VLOOKUP('北段 (人資版)'!AD16,工作表1!$A$3:$B$74,2,FALSE)</f>
        <v>38</v>
      </c>
      <c r="AE16" s="15">
        <f>VLOOKUP('北段 (人資版)'!AE16,工作表1!$A$3:$B$74,2,FALSE)</f>
        <v>38</v>
      </c>
      <c r="AF16" s="15">
        <f>VLOOKUP('北段 (人資版)'!AF16,工作表1!$A$3:$B$74,2,FALSE)</f>
        <v>91</v>
      </c>
      <c r="AG16" s="15">
        <f>VLOOKUP('北段 (人資版)'!AG16,工作表1!$A$3:$B$74,2,FALSE)</f>
        <v>38</v>
      </c>
      <c r="AH16" s="15" t="e">
        <f>VLOOKUP('北段 (人資版)'!AH16,工作表1!$A$3:$B$74,2,FALSE)</f>
        <v>#REF!</v>
      </c>
      <c r="AI16" s="15" t="e">
        <f>VLOOKUP('北段 (人資版)'!AI16,工作表1!$A$3:$B$74,2,FALSE)</f>
        <v>#REF!</v>
      </c>
      <c r="AJ16" s="15" t="e">
        <f>VLOOKUP('北段 (人資版)'!AJ16,工作表1!$A$3:$B$74,2,FALSE)</f>
        <v>#REF!</v>
      </c>
      <c r="AK16" s="15" t="e">
        <f>VLOOKUP('北段 (人資版)'!AK16,工作表1!$A$3:$B$74,2,FALSE)</f>
        <v>#REF!</v>
      </c>
      <c r="AL16" s="15" t="e">
        <f>VLOOKUP('北段 (人資版)'!AL16,工作表1!$A$3:$B$74,2,FALSE)</f>
        <v>#REF!</v>
      </c>
    </row>
    <row r="17" spans="1:38" ht="39.6" customHeight="1">
      <c r="A17" s="35"/>
      <c r="B17" s="10" t="str">
        <f>北段!B7</f>
        <v>T02287</v>
      </c>
      <c r="C17" s="10" t="str">
        <f>VLOOKUP(B17,北段!B:C,2,FALSE)</f>
        <v>林江玉</v>
      </c>
      <c r="D17" s="15" t="e">
        <f>VLOOKUP('北段 (人資版)'!D17,工作表1!$A$3:$B$74,2,FALSE)</f>
        <v>#N/A</v>
      </c>
      <c r="E17" s="15">
        <f>VLOOKUP('北段 (人資版)'!E17,工作表1!$A$3:$B$74,2,FALSE)</f>
        <v>91</v>
      </c>
      <c r="F17" s="15">
        <f>VLOOKUP('北段 (人資版)'!F17,工作表1!$A$3:$B$74,2,FALSE)</f>
        <v>38</v>
      </c>
      <c r="G17" s="15">
        <f>VLOOKUP('北段 (人資版)'!G17,工作表1!$A$3:$B$74,2,FALSE)</f>
        <v>38</v>
      </c>
      <c r="H17" s="15">
        <f>VLOOKUP('北段 (人資版)'!H17,工作表1!$A$3:$B$74,2,FALSE)</f>
        <v>38</v>
      </c>
      <c r="I17" s="15" t="e">
        <f>VLOOKUP('北段 (人資版)'!I17,工作表1!$A$3:$B$74,2,FALSE)</f>
        <v>#N/A</v>
      </c>
      <c r="J17" s="15">
        <f>VLOOKUP('北段 (人資版)'!J17,工作表1!$A$3:$B$74,2,FALSE)</f>
        <v>91</v>
      </c>
      <c r="K17" s="15">
        <f>VLOOKUP('北段 (人資版)'!K17,工作表1!$A$3:$B$74,2,FALSE)</f>
        <v>38</v>
      </c>
      <c r="L17" s="15">
        <f>VLOOKUP('北段 (人資版)'!L17,工作表1!$A$3:$B$74,2,FALSE)</f>
        <v>38</v>
      </c>
      <c r="M17" s="15">
        <f>VLOOKUP('北段 (人資版)'!M17,工作表1!$A$3:$B$74,2,FALSE)</f>
        <v>38</v>
      </c>
      <c r="N17" s="15">
        <f>VLOOKUP('北段 (人資版)'!N17,工作表1!$A$3:$B$74,2,FALSE)</f>
        <v>38</v>
      </c>
      <c r="O17" s="15">
        <f>VLOOKUP('北段 (人資版)'!O17,工作表1!$A$3:$B$74,2,FALSE)</f>
        <v>92</v>
      </c>
      <c r="P17" s="15">
        <f>VLOOKUP('北段 (人資版)'!P17,工作表1!$A$3:$B$74,2,FALSE)</f>
        <v>92</v>
      </c>
      <c r="Q17" s="15">
        <f>VLOOKUP('北段 (人資版)'!Q17,工作表1!$A$3:$B$74,2,FALSE)</f>
        <v>38</v>
      </c>
      <c r="R17" s="15">
        <f>VLOOKUP('北段 (人資版)'!R17,工作表1!$A$3:$B$74,2,FALSE)</f>
        <v>38</v>
      </c>
      <c r="S17" s="15">
        <f>VLOOKUP('北段 (人資版)'!S17,工作表1!$A$3:$B$74,2,FALSE)</f>
        <v>38</v>
      </c>
      <c r="T17" s="15">
        <f>VLOOKUP('北段 (人資版)'!T17,工作表1!$A$3:$B$74,2,FALSE)</f>
        <v>38</v>
      </c>
      <c r="U17" s="15">
        <f>VLOOKUP('北段 (人資版)'!U17,工作表1!$A$3:$B$74,2,FALSE)</f>
        <v>38</v>
      </c>
      <c r="V17" s="15">
        <f>VLOOKUP('北段 (人資版)'!V17,工作表1!$A$3:$B$74,2,FALSE)</f>
        <v>91</v>
      </c>
      <c r="W17" s="15" t="str">
        <f>VLOOKUP('北段 (人資版)'!W17,工作表1!$A$3:$B$74,2,FALSE)</f>
        <v>07</v>
      </c>
      <c r="X17" s="15">
        <f>VLOOKUP('北段 (人資版)'!X17,工作表1!$A$3:$B$74,2,FALSE)</f>
        <v>91</v>
      </c>
      <c r="Y17" s="15">
        <f>VLOOKUP('北段 (人資版)'!Y17,工作表1!$A$3:$B$74,2,FALSE)</f>
        <v>92</v>
      </c>
      <c r="Z17" s="15">
        <f>VLOOKUP('北段 (人資版)'!Z17,工作表1!$A$3:$B$74,2,FALSE)</f>
        <v>70</v>
      </c>
      <c r="AA17" s="15">
        <f>VLOOKUP('北段 (人資版)'!AA17,工作表1!$A$3:$B$74,2,FALSE)</f>
        <v>70</v>
      </c>
      <c r="AB17" s="15">
        <f>VLOOKUP('北段 (人資版)'!AB17,工作表1!$A$3:$B$74,2,FALSE)</f>
        <v>70</v>
      </c>
      <c r="AC17" s="15">
        <f>VLOOKUP('北段 (人資版)'!AC17,工作表1!$A$3:$B$74,2,FALSE)</f>
        <v>70</v>
      </c>
      <c r="AD17" s="15">
        <f>VLOOKUP('北段 (人資版)'!AD17,工作表1!$A$3:$B$74,2,FALSE)</f>
        <v>70</v>
      </c>
      <c r="AE17" s="15">
        <f>VLOOKUP('北段 (人資版)'!AE17,工作表1!$A$3:$B$74,2,FALSE)</f>
        <v>91</v>
      </c>
      <c r="AF17" s="15">
        <f>VLOOKUP('北段 (人資版)'!AF17,工作表1!$A$3:$B$74,2,FALSE)</f>
        <v>90</v>
      </c>
      <c r="AG17" s="15" t="str">
        <f>VLOOKUP('北段 (人資版)'!AG17,工作表1!$A$3:$B$74,2,FALSE)</f>
        <v>07</v>
      </c>
      <c r="AH17" s="15" t="e">
        <f>VLOOKUP('北段 (人資版)'!AH17,工作表1!$A$3:$B$74,2,FALSE)</f>
        <v>#REF!</v>
      </c>
      <c r="AI17" s="15" t="e">
        <f>VLOOKUP('北段 (人資版)'!AI17,工作表1!$A$3:$B$74,2,FALSE)</f>
        <v>#REF!</v>
      </c>
      <c r="AJ17" s="15" t="e">
        <f>VLOOKUP('北段 (人資版)'!AJ17,工作表1!$A$3:$B$74,2,FALSE)</f>
        <v>#REF!</v>
      </c>
      <c r="AK17" s="15" t="e">
        <f>VLOOKUP('北段 (人資版)'!AK17,工作表1!$A$3:$B$74,2,FALSE)</f>
        <v>#REF!</v>
      </c>
      <c r="AL17" s="15" t="e">
        <f>VLOOKUP('北段 (人資版)'!AL17,工作表1!$A$3:$B$74,2,FALSE)</f>
        <v>#REF!</v>
      </c>
    </row>
    <row r="18" spans="1:38" ht="39.6" customHeight="1">
      <c r="A18" s="35"/>
      <c r="B18" s="10" t="str">
        <f>北段!B8</f>
        <v>T02359</v>
      </c>
      <c r="C18" s="10" t="str">
        <f>VLOOKUP(B18,北段!B:C,2,FALSE)</f>
        <v>陳佳婷</v>
      </c>
      <c r="D18" s="15">
        <f>VLOOKUP('北段 (人資版)'!D18,工作表1!$A$3:$B$74,2,FALSE)</f>
        <v>92</v>
      </c>
      <c r="E18" s="15">
        <f>VLOOKUP('北段 (人資版)'!E18,工作表1!$A$3:$B$74,2,FALSE)</f>
        <v>38</v>
      </c>
      <c r="F18" s="15">
        <f>VLOOKUP('北段 (人資版)'!F18,工作表1!$A$3:$B$74,2,FALSE)</f>
        <v>38</v>
      </c>
      <c r="G18" s="15">
        <f>VLOOKUP('北段 (人資版)'!G18,工作表1!$A$3:$B$74,2,FALSE)</f>
        <v>66</v>
      </c>
      <c r="H18" s="15">
        <f>VLOOKUP('北段 (人資版)'!H18,工作表1!$A$3:$B$74,2,FALSE)</f>
        <v>91</v>
      </c>
      <c r="I18" s="15">
        <f>VLOOKUP('北段 (人資版)'!I18,工作表1!$A$3:$B$74,2,FALSE)</f>
        <v>92</v>
      </c>
      <c r="J18" s="15">
        <f>VLOOKUP('北段 (人資版)'!J18,工作表1!$A$3:$B$74,2,FALSE)</f>
        <v>38</v>
      </c>
      <c r="K18" s="15">
        <f>VLOOKUP('北段 (人資版)'!K18,工作表1!$A$3:$B$74,2,FALSE)</f>
        <v>38</v>
      </c>
      <c r="L18" s="15">
        <f>VLOOKUP('北段 (人資版)'!L18,工作表1!$A$3:$B$74,2,FALSE)</f>
        <v>66</v>
      </c>
      <c r="M18" s="15">
        <f>VLOOKUP('北段 (人資版)'!M18,工作表1!$A$3:$B$74,2,FALSE)</f>
        <v>91</v>
      </c>
      <c r="N18" s="15">
        <f>VLOOKUP('北段 (人資版)'!N18,工作表1!$A$3:$B$74,2,FALSE)</f>
        <v>92</v>
      </c>
      <c r="O18" s="15">
        <f>VLOOKUP('北段 (人資版)'!O18,工作表1!$A$3:$B$74,2,FALSE)</f>
        <v>66</v>
      </c>
      <c r="P18" s="15">
        <f>VLOOKUP('北段 (人資版)'!P18,工作表1!$A$3:$B$74,2,FALSE)</f>
        <v>66</v>
      </c>
      <c r="Q18" s="15" t="str">
        <f>VLOOKUP('北段 (人資版)'!Q18,工作表1!$A$3:$B$74,2,FALSE)</f>
        <v>07</v>
      </c>
      <c r="R18" s="15" t="str">
        <f>VLOOKUP('北段 (人資版)'!R18,工作表1!$A$3:$B$74,2,FALSE)</f>
        <v>07</v>
      </c>
      <c r="S18" s="15">
        <f>VLOOKUP('北段 (人資版)'!S18,工作表1!$A$3:$B$74,2,FALSE)</f>
        <v>91</v>
      </c>
      <c r="T18" s="15">
        <f>VLOOKUP('北段 (人資版)'!T18,工作表1!$A$3:$B$74,2,FALSE)</f>
        <v>38</v>
      </c>
      <c r="U18" s="15">
        <f>VLOOKUP('北段 (人資版)'!U18,工作表1!$A$3:$B$74,2,FALSE)</f>
        <v>38</v>
      </c>
      <c r="V18" s="15">
        <f>VLOOKUP('北段 (人資版)'!V18,工作表1!$A$3:$B$74,2,FALSE)</f>
        <v>38</v>
      </c>
      <c r="W18" s="15">
        <f>VLOOKUP('北段 (人資版)'!W18,工作表1!$A$3:$B$74,2,FALSE)</f>
        <v>38</v>
      </c>
      <c r="X18" s="15">
        <f>VLOOKUP('北段 (人資版)'!X18,工作表1!$A$3:$B$74,2,FALSE)</f>
        <v>38</v>
      </c>
      <c r="Y18" s="15">
        <f>VLOOKUP('北段 (人資版)'!Y18,工作表1!$A$3:$B$74,2,FALSE)</f>
        <v>92</v>
      </c>
      <c r="Z18" s="15">
        <f>VLOOKUP('北段 (人資版)'!Z18,工作表1!$A$3:$B$74,2,FALSE)</f>
        <v>38</v>
      </c>
      <c r="AA18" s="15">
        <f>VLOOKUP('北段 (人資版)'!AA18,工作表1!$A$3:$B$74,2,FALSE)</f>
        <v>38</v>
      </c>
      <c r="AB18" s="15">
        <f>VLOOKUP('北段 (人資版)'!AB18,工作表1!$A$3:$B$74,2,FALSE)</f>
        <v>70</v>
      </c>
      <c r="AC18" s="15">
        <f>VLOOKUP('北段 (人資版)'!AC18,工作表1!$A$3:$B$74,2,FALSE)</f>
        <v>70</v>
      </c>
      <c r="AD18" s="15">
        <f>VLOOKUP('北段 (人資版)'!AD18,工作表1!$A$3:$B$74,2,FALSE)</f>
        <v>91</v>
      </c>
      <c r="AE18" s="15">
        <f>VLOOKUP('北段 (人資版)'!AE18,工作表1!$A$3:$B$74,2,FALSE)</f>
        <v>91</v>
      </c>
      <c r="AF18" s="15">
        <f>VLOOKUP('北段 (人資版)'!AF18,工作表1!$A$3:$B$74,2,FALSE)</f>
        <v>92</v>
      </c>
      <c r="AG18" s="15">
        <f>VLOOKUP('北段 (人資版)'!AG18,工作表1!$A$3:$B$74,2,FALSE)</f>
        <v>38</v>
      </c>
      <c r="AH18" s="15" t="e">
        <f>VLOOKUP('北段 (人資版)'!AH18,工作表1!$A$3:$B$74,2,FALSE)</f>
        <v>#REF!</v>
      </c>
      <c r="AI18" s="15" t="e">
        <f>VLOOKUP('北段 (人資版)'!AI18,工作表1!$A$3:$B$74,2,FALSE)</f>
        <v>#REF!</v>
      </c>
      <c r="AJ18" s="15" t="e">
        <f>VLOOKUP('北段 (人資版)'!AJ18,工作表1!$A$3:$B$74,2,FALSE)</f>
        <v>#REF!</v>
      </c>
      <c r="AK18" s="15" t="e">
        <f>VLOOKUP('北段 (人資版)'!AK18,工作表1!$A$3:$B$74,2,FALSE)</f>
        <v>#REF!</v>
      </c>
      <c r="AL18" s="15" t="e">
        <f>VLOOKUP('北段 (人資版)'!AL18,工作表1!$A$3:$B$74,2,FALSE)</f>
        <v>#REF!</v>
      </c>
    </row>
    <row r="19" spans="1:38" ht="39.6" customHeight="1">
      <c r="A19" s="35"/>
      <c r="B19" s="10" t="str">
        <f>北段!B9</f>
        <v>T02363</v>
      </c>
      <c r="C19" s="10" t="str">
        <f>VLOOKUP(B19,北段!B:C,2,FALSE)</f>
        <v>林孟錡</v>
      </c>
      <c r="D19" s="15" t="e">
        <f>VLOOKUP('北段 (人資版)'!D19,工作表1!$A$3:$B$74,2,FALSE)</f>
        <v>#N/A</v>
      </c>
      <c r="E19" s="15">
        <f>VLOOKUP('北段 (人資版)'!E19,工作表1!$A$3:$B$74,2,FALSE)</f>
        <v>70</v>
      </c>
      <c r="F19" s="15">
        <f>VLOOKUP('北段 (人資版)'!F19,工作表1!$A$3:$B$74,2,FALSE)</f>
        <v>92</v>
      </c>
      <c r="G19" s="15">
        <f>VLOOKUP('北段 (人資版)'!G19,工作表1!$A$3:$B$74,2,FALSE)</f>
        <v>91</v>
      </c>
      <c r="H19" s="15">
        <f>VLOOKUP('北段 (人資版)'!H19,工作表1!$A$3:$B$74,2,FALSE)</f>
        <v>70</v>
      </c>
      <c r="I19" s="15" t="e">
        <f>VLOOKUP('北段 (人資版)'!I19,工作表1!$A$3:$B$74,2,FALSE)</f>
        <v>#N/A</v>
      </c>
      <c r="J19" s="15">
        <f>VLOOKUP('北段 (人資版)'!J19,工作表1!$A$3:$B$74,2,FALSE)</f>
        <v>70</v>
      </c>
      <c r="K19" s="15">
        <f>VLOOKUP('北段 (人資版)'!K19,工作表1!$A$3:$B$74,2,FALSE)</f>
        <v>92</v>
      </c>
      <c r="L19" s="15">
        <f>VLOOKUP('北段 (人資版)'!L19,工作表1!$A$3:$B$74,2,FALSE)</f>
        <v>91</v>
      </c>
      <c r="M19" s="15">
        <f>VLOOKUP('北段 (人資版)'!M19,工作表1!$A$3:$B$74,2,FALSE)</f>
        <v>70</v>
      </c>
      <c r="N19" s="15">
        <f>VLOOKUP('北段 (人資版)'!N19,工作表1!$A$3:$B$74,2,FALSE)</f>
        <v>70</v>
      </c>
      <c r="O19" s="15">
        <f>VLOOKUP('北段 (人資版)'!O19,工作表1!$A$3:$B$74,2,FALSE)</f>
        <v>70</v>
      </c>
      <c r="P19" s="15">
        <f>VLOOKUP('北段 (人資版)'!P19,工作表1!$A$3:$B$74,2,FALSE)</f>
        <v>70</v>
      </c>
      <c r="Q19" s="15">
        <f>VLOOKUP('北段 (人資版)'!Q19,工作表1!$A$3:$B$74,2,FALSE)</f>
        <v>92</v>
      </c>
      <c r="R19" s="15">
        <f>VLOOKUP('北段 (人資版)'!R19,工作表1!$A$3:$B$74,2,FALSE)</f>
        <v>92</v>
      </c>
      <c r="S19" s="15">
        <f>VLOOKUP('北段 (人資版)'!S19,工作表1!$A$3:$B$74,2,FALSE)</f>
        <v>70</v>
      </c>
      <c r="T19" s="15">
        <f>VLOOKUP('北段 (人資版)'!T19,工作表1!$A$3:$B$74,2,FALSE)</f>
        <v>70</v>
      </c>
      <c r="U19" s="15">
        <f>VLOOKUP('北段 (人資版)'!U19,工作表1!$A$3:$B$74,2,FALSE)</f>
        <v>70</v>
      </c>
      <c r="V19" s="15">
        <f>VLOOKUP('北段 (人資版)'!V19,工作表1!$A$3:$B$74,2,FALSE)</f>
        <v>91</v>
      </c>
      <c r="W19" s="15">
        <f>VLOOKUP('北段 (人資版)'!W19,工作表1!$A$3:$B$74,2,FALSE)</f>
        <v>92</v>
      </c>
      <c r="X19" s="15">
        <f>VLOOKUP('北段 (人資版)'!X19,工作表1!$A$3:$B$74,2,FALSE)</f>
        <v>70</v>
      </c>
      <c r="Y19" s="15">
        <f>VLOOKUP('北段 (人資版)'!Y19,工作表1!$A$3:$B$74,2,FALSE)</f>
        <v>70</v>
      </c>
      <c r="Z19" s="15">
        <f>VLOOKUP('北段 (人資版)'!Z19,工作表1!$A$3:$B$74,2,FALSE)</f>
        <v>70</v>
      </c>
      <c r="AA19" s="15">
        <f>VLOOKUP('北段 (人資版)'!AA19,工作表1!$A$3:$B$74,2,FALSE)</f>
        <v>70</v>
      </c>
      <c r="AB19" s="15">
        <f>VLOOKUP('北段 (人資版)'!AB19,工作表1!$A$3:$B$74,2,FALSE)</f>
        <v>91</v>
      </c>
      <c r="AC19" s="15">
        <f>VLOOKUP('北段 (人資版)'!AC19,工作表1!$A$3:$B$74,2,FALSE)</f>
        <v>90</v>
      </c>
      <c r="AD19" s="15">
        <f>VLOOKUP('北段 (人資版)'!AD19,工作表1!$A$3:$B$74,2,FALSE)</f>
        <v>70</v>
      </c>
      <c r="AE19" s="15">
        <f>VLOOKUP('北段 (人資版)'!AE19,工作表1!$A$3:$B$74,2,FALSE)</f>
        <v>70</v>
      </c>
      <c r="AF19" s="15">
        <f>VLOOKUP('北段 (人資版)'!AF19,工作表1!$A$3:$B$74,2,FALSE)</f>
        <v>70</v>
      </c>
      <c r="AG19" s="15">
        <f>VLOOKUP('北段 (人資版)'!AG19,工作表1!$A$3:$B$74,2,FALSE)</f>
        <v>70</v>
      </c>
      <c r="AH19" s="15" t="e">
        <f>VLOOKUP('北段 (人資版)'!AH19,工作表1!$A$3:$B$74,2,FALSE)</f>
        <v>#REF!</v>
      </c>
      <c r="AI19" s="15" t="e">
        <f>VLOOKUP('北段 (人資版)'!AI19,工作表1!$A$3:$B$74,2,FALSE)</f>
        <v>#REF!</v>
      </c>
      <c r="AJ19" s="15" t="e">
        <f>VLOOKUP('北段 (人資版)'!AJ19,工作表1!$A$3:$B$74,2,FALSE)</f>
        <v>#REF!</v>
      </c>
      <c r="AK19" s="15" t="e">
        <f>VLOOKUP('北段 (人資版)'!AK19,工作表1!$A$3:$B$74,2,FALSE)</f>
        <v>#REF!</v>
      </c>
      <c r="AL19" s="15" t="e">
        <f>VLOOKUP('北段 (人資版)'!AL19,工作表1!$A$3:$B$74,2,FALSE)</f>
        <v>#REF!</v>
      </c>
    </row>
    <row r="20" spans="1:38" ht="39.6" customHeight="1">
      <c r="A20" s="35"/>
      <c r="B20" s="10" t="e">
        <f>北段!#REF!</f>
        <v>#REF!</v>
      </c>
      <c r="C20" s="10" t="e">
        <f>VLOOKUP(B20,北段!B:C,2,FALSE)</f>
        <v>#REF!</v>
      </c>
      <c r="D20" s="15" t="e">
        <f>VLOOKUP('北段 (人資版)'!D20,工作表1!$A$3:$B$74,2,FALSE)</f>
        <v>#REF!</v>
      </c>
      <c r="E20" s="15" t="e">
        <f>VLOOKUP('北段 (人資版)'!E20,工作表1!$A$3:$B$74,2,FALSE)</f>
        <v>#REF!</v>
      </c>
      <c r="F20" s="15" t="e">
        <f>VLOOKUP('北段 (人資版)'!F20,工作表1!$A$3:$B$74,2,FALSE)</f>
        <v>#REF!</v>
      </c>
      <c r="G20" s="15" t="e">
        <f>VLOOKUP('北段 (人資版)'!G20,工作表1!$A$3:$B$74,2,FALSE)</f>
        <v>#REF!</v>
      </c>
      <c r="H20" s="15" t="e">
        <f>VLOOKUP('北段 (人資版)'!H20,工作表1!$A$3:$B$74,2,FALSE)</f>
        <v>#REF!</v>
      </c>
      <c r="I20" s="15" t="e">
        <f>VLOOKUP('北段 (人資版)'!I20,工作表1!$A$3:$B$74,2,FALSE)</f>
        <v>#REF!</v>
      </c>
      <c r="J20" s="15" t="e">
        <f>VLOOKUP('北段 (人資版)'!J20,工作表1!$A$3:$B$74,2,FALSE)</f>
        <v>#REF!</v>
      </c>
      <c r="K20" s="15" t="e">
        <f>VLOOKUP('北段 (人資版)'!K20,工作表1!$A$3:$B$74,2,FALSE)</f>
        <v>#REF!</v>
      </c>
      <c r="L20" s="15" t="e">
        <f>VLOOKUP('北段 (人資版)'!L20,工作表1!$A$3:$B$74,2,FALSE)</f>
        <v>#REF!</v>
      </c>
      <c r="M20" s="15" t="e">
        <f>VLOOKUP('北段 (人資版)'!M20,工作表1!$A$3:$B$74,2,FALSE)</f>
        <v>#REF!</v>
      </c>
      <c r="N20" s="15" t="e">
        <f>VLOOKUP('北段 (人資版)'!N20,工作表1!$A$3:$B$74,2,FALSE)</f>
        <v>#REF!</v>
      </c>
      <c r="O20" s="15" t="e">
        <f>VLOOKUP('北段 (人資版)'!O20,工作表1!$A$3:$B$74,2,FALSE)</f>
        <v>#REF!</v>
      </c>
      <c r="P20" s="15" t="e">
        <f>VLOOKUP('北段 (人資版)'!P20,工作表1!$A$3:$B$74,2,FALSE)</f>
        <v>#REF!</v>
      </c>
      <c r="Q20" s="15" t="e">
        <f>VLOOKUP('北段 (人資版)'!Q20,工作表1!$A$3:$B$74,2,FALSE)</f>
        <v>#REF!</v>
      </c>
      <c r="R20" s="15" t="e">
        <f>VLOOKUP('北段 (人資版)'!R20,工作表1!$A$3:$B$74,2,FALSE)</f>
        <v>#REF!</v>
      </c>
      <c r="S20" s="15" t="e">
        <f>VLOOKUP('北段 (人資版)'!S20,工作表1!$A$3:$B$74,2,FALSE)</f>
        <v>#REF!</v>
      </c>
      <c r="T20" s="15" t="e">
        <f>VLOOKUP('北段 (人資版)'!T20,工作表1!$A$3:$B$74,2,FALSE)</f>
        <v>#REF!</v>
      </c>
      <c r="U20" s="15" t="e">
        <f>VLOOKUP('北段 (人資版)'!U20,工作表1!$A$3:$B$74,2,FALSE)</f>
        <v>#REF!</v>
      </c>
      <c r="V20" s="15" t="e">
        <f>VLOOKUP('北段 (人資版)'!V20,工作表1!$A$3:$B$74,2,FALSE)</f>
        <v>#REF!</v>
      </c>
      <c r="W20" s="15" t="e">
        <f>VLOOKUP('北段 (人資版)'!W20,工作表1!$A$3:$B$74,2,FALSE)</f>
        <v>#REF!</v>
      </c>
      <c r="X20" s="15" t="e">
        <f>VLOOKUP('北段 (人資版)'!X20,工作表1!$A$3:$B$74,2,FALSE)</f>
        <v>#REF!</v>
      </c>
      <c r="Y20" s="15" t="e">
        <f>VLOOKUP('北段 (人資版)'!Y20,工作表1!$A$3:$B$74,2,FALSE)</f>
        <v>#REF!</v>
      </c>
      <c r="Z20" s="15" t="e">
        <f>VLOOKUP('北段 (人資版)'!Z20,工作表1!$A$3:$B$74,2,FALSE)</f>
        <v>#REF!</v>
      </c>
      <c r="AA20" s="15" t="e">
        <f>VLOOKUP('北段 (人資版)'!AA20,工作表1!$A$3:$B$74,2,FALSE)</f>
        <v>#REF!</v>
      </c>
      <c r="AB20" s="15" t="e">
        <f>VLOOKUP('北段 (人資版)'!AB20,工作表1!$A$3:$B$74,2,FALSE)</f>
        <v>#REF!</v>
      </c>
      <c r="AC20" s="15" t="e">
        <f>VLOOKUP('北段 (人資版)'!AC20,工作表1!$A$3:$B$74,2,FALSE)</f>
        <v>#REF!</v>
      </c>
      <c r="AD20" s="15" t="e">
        <f>VLOOKUP('北段 (人資版)'!AD20,工作表1!$A$3:$B$74,2,FALSE)</f>
        <v>#REF!</v>
      </c>
      <c r="AE20" s="15" t="e">
        <f>VLOOKUP('北段 (人資版)'!AE20,工作表1!$A$3:$B$74,2,FALSE)</f>
        <v>#REF!</v>
      </c>
      <c r="AF20" s="15" t="e">
        <f>VLOOKUP('北段 (人資版)'!AF20,工作表1!$A$3:$B$74,2,FALSE)</f>
        <v>#REF!</v>
      </c>
      <c r="AG20" s="15" t="e">
        <f>VLOOKUP('北段 (人資版)'!AG20,工作表1!$A$3:$B$74,2,FALSE)</f>
        <v>#REF!</v>
      </c>
      <c r="AH20" s="15" t="e">
        <f>VLOOKUP('北段 (人資版)'!AH20,工作表1!$A$3:$B$74,2,FALSE)</f>
        <v>#REF!</v>
      </c>
      <c r="AI20" s="15" t="e">
        <f>VLOOKUP('北段 (人資版)'!AI20,工作表1!$A$3:$B$74,2,FALSE)</f>
        <v>#REF!</v>
      </c>
      <c r="AJ20" s="15" t="e">
        <f>VLOOKUP('北段 (人資版)'!AJ20,工作表1!$A$3:$B$74,2,FALSE)</f>
        <v>#REF!</v>
      </c>
      <c r="AK20" s="15" t="e">
        <f>VLOOKUP('北段 (人資版)'!AK20,工作表1!$A$3:$B$74,2,FALSE)</f>
        <v>#REF!</v>
      </c>
      <c r="AL20" s="15" t="e">
        <f>VLOOKUP('北段 (人資版)'!AL20,工作表1!$A$3:$B$74,2,FALSE)</f>
        <v>#REF!</v>
      </c>
    </row>
    <row r="21" spans="1:38" ht="39.6" customHeight="1">
      <c r="A21" s="35"/>
      <c r="B21" s="10" t="str">
        <f>北段!B11</f>
        <v>T02505</v>
      </c>
      <c r="C21" s="10" t="str">
        <f>VLOOKUP(B21,北段!B:C,2,FALSE)</f>
        <v>李慧盺</v>
      </c>
      <c r="D21" s="15" t="e">
        <f>VLOOKUP('北段 (人資版)'!D22,工作表1!$A$3:$B$74,2,FALSE)</f>
        <v>#N/A</v>
      </c>
      <c r="E21" s="15">
        <f>VLOOKUP('北段 (人資版)'!E22,工作表1!$A$3:$B$74,2,FALSE)</f>
        <v>66</v>
      </c>
      <c r="F21" s="15">
        <f>VLOOKUP('北段 (人資版)'!F22,工作表1!$A$3:$B$74,2,FALSE)</f>
        <v>66</v>
      </c>
      <c r="G21" s="15">
        <f>VLOOKUP('北段 (人資版)'!G22,工作表1!$A$3:$B$74,2,FALSE)</f>
        <v>91</v>
      </c>
      <c r="H21" s="15">
        <f>VLOOKUP('北段 (人資版)'!H22,工作表1!$A$3:$B$74,2,FALSE)</f>
        <v>92</v>
      </c>
      <c r="I21" s="15">
        <f>VLOOKUP('北段 (人資版)'!I22,工作表1!$A$3:$B$74,2,FALSE)</f>
        <v>91</v>
      </c>
      <c r="J21" s="15">
        <f>VLOOKUP('北段 (人資版)'!J22,工作表1!$A$3:$B$74,2,FALSE)</f>
        <v>38</v>
      </c>
      <c r="K21" s="15">
        <f>VLOOKUP('北段 (人資版)'!K22,工作表1!$A$3:$B$74,2,FALSE)</f>
        <v>66</v>
      </c>
      <c r="L21" s="15">
        <f>VLOOKUP('北段 (人資版)'!L22,工作表1!$A$3:$B$74,2,FALSE)</f>
        <v>91</v>
      </c>
      <c r="M21" s="15">
        <f>VLOOKUP('北段 (人資版)'!M22,工作表1!$A$3:$B$74,2,FALSE)</f>
        <v>92</v>
      </c>
      <c r="N21" s="15" t="str">
        <f>VLOOKUP('北段 (人資版)'!N22,工作表1!$A$3:$B$74,2,FALSE)</f>
        <v>07</v>
      </c>
      <c r="O21" s="15" t="str">
        <f>VLOOKUP('北段 (人資版)'!O22,工作表1!$A$3:$B$74,2,FALSE)</f>
        <v>07</v>
      </c>
      <c r="P21" s="15" t="str">
        <f>VLOOKUP('北段 (人資版)'!P22,工作表1!$A$3:$B$74,2,FALSE)</f>
        <v>07</v>
      </c>
      <c r="Q21" s="15" t="str">
        <f>VLOOKUP('北段 (人資版)'!Q22,工作表1!$A$3:$B$74,2,FALSE)</f>
        <v>07</v>
      </c>
      <c r="R21" s="15">
        <f>VLOOKUP('北段 (人資版)'!R22,工作表1!$A$3:$B$74,2,FALSE)</f>
        <v>90</v>
      </c>
      <c r="S21" s="15">
        <f>VLOOKUP('北段 (人資版)'!S22,工作表1!$A$3:$B$74,2,FALSE)</f>
        <v>91</v>
      </c>
      <c r="T21" s="15">
        <f>VLOOKUP('北段 (人資版)'!T22,工作表1!$A$3:$B$74,2,FALSE)</f>
        <v>66</v>
      </c>
      <c r="U21" s="15">
        <f>VLOOKUP('北段 (人資版)'!U22,工作表1!$A$3:$B$74,2,FALSE)</f>
        <v>66</v>
      </c>
      <c r="V21" s="15">
        <f>VLOOKUP('北段 (人資版)'!V22,工作表1!$A$3:$B$74,2,FALSE)</f>
        <v>70</v>
      </c>
      <c r="W21" s="15">
        <f>VLOOKUP('北段 (人資版)'!W22,工作表1!$A$3:$B$74,2,FALSE)</f>
        <v>70</v>
      </c>
      <c r="X21" s="15">
        <f>VLOOKUP('北段 (人資版)'!X22,工作表1!$A$3:$B$74,2,FALSE)</f>
        <v>91</v>
      </c>
      <c r="Y21" s="15">
        <f>VLOOKUP('北段 (人資版)'!Y22,工作表1!$A$3:$B$74,2,FALSE)</f>
        <v>92</v>
      </c>
      <c r="Z21" s="15">
        <f>VLOOKUP('北段 (人資版)'!Z22,工作表1!$A$3:$B$74,2,FALSE)</f>
        <v>66</v>
      </c>
      <c r="AA21" s="15">
        <f>VLOOKUP('北段 (人資版)'!AA22,工作表1!$A$3:$B$74,2,FALSE)</f>
        <v>66</v>
      </c>
      <c r="AB21" s="15">
        <f>VLOOKUP('北段 (人資版)'!AB22,工作表1!$A$3:$B$74,2,FALSE)</f>
        <v>66</v>
      </c>
      <c r="AC21" s="15">
        <f>VLOOKUP('北段 (人資版)'!AC22,工作表1!$A$3:$B$74,2,FALSE)</f>
        <v>92</v>
      </c>
      <c r="AD21" s="15">
        <f>VLOOKUP('北段 (人資版)'!AD22,工作表1!$A$3:$B$74,2,FALSE)</f>
        <v>66</v>
      </c>
      <c r="AE21" s="15">
        <f>VLOOKUP('北段 (人資版)'!AE22,工作表1!$A$3:$B$74,2,FALSE)</f>
        <v>70</v>
      </c>
      <c r="AF21" s="15">
        <f>VLOOKUP('北段 (人資版)'!AF22,工作表1!$A$3:$B$74,2,FALSE)</f>
        <v>70</v>
      </c>
      <c r="AG21" s="15">
        <f>VLOOKUP('北段 (人資版)'!AG22,工作表1!$A$3:$B$74,2,FALSE)</f>
        <v>70</v>
      </c>
      <c r="AH21" s="15" t="e">
        <f>VLOOKUP('北段 (人資版)'!AH22,工作表1!$A$3:$B$74,2,FALSE)</f>
        <v>#REF!</v>
      </c>
      <c r="AI21" s="15" t="e">
        <f>VLOOKUP('北段 (人資版)'!AI22,工作表1!$A$3:$B$74,2,FALSE)</f>
        <v>#REF!</v>
      </c>
      <c r="AJ21" s="15" t="e">
        <f>VLOOKUP('北段 (人資版)'!AJ22,工作表1!$A$3:$B$74,2,FALSE)</f>
        <v>#REF!</v>
      </c>
      <c r="AK21" s="15" t="e">
        <f>VLOOKUP('北段 (人資版)'!AK22,工作表1!$A$3:$B$74,2,FALSE)</f>
        <v>#REF!</v>
      </c>
      <c r="AL21" s="15" t="e">
        <f>VLOOKUP('北段 (人資版)'!AL22,工作表1!$A$3:$B$74,2,FALSE)</f>
        <v>#REF!</v>
      </c>
    </row>
    <row r="22" spans="1:38" ht="39.75" customHeight="1">
      <c r="A22" s="35"/>
      <c r="B22" s="10" t="str">
        <f>北段!B17</f>
        <v>T02222</v>
      </c>
      <c r="C22" s="10" t="str">
        <f>VLOOKUP(B22,北段!B:C,2,FALSE)</f>
        <v>𡍼文妤</v>
      </c>
      <c r="D22" s="15">
        <f>VLOOKUP('北段 (人資版)'!D23,工作表1!$A$3:$B$74,2,FALSE)</f>
        <v>91</v>
      </c>
      <c r="E22" s="15">
        <f>VLOOKUP('北段 (人資版)'!E23,工作表1!$A$3:$B$74,2,FALSE)</f>
        <v>38</v>
      </c>
      <c r="F22" s="15">
        <f>VLOOKUP('北段 (人資版)'!F23,工作表1!$A$3:$B$74,2,FALSE)</f>
        <v>66</v>
      </c>
      <c r="G22" s="15">
        <f>VLOOKUP('北段 (人資版)'!G23,工作表1!$A$3:$B$74,2,FALSE)</f>
        <v>91</v>
      </c>
      <c r="H22" s="15">
        <f>VLOOKUP('北段 (人資版)'!H23,工作表1!$A$3:$B$74,2,FALSE)</f>
        <v>92</v>
      </c>
      <c r="I22" s="15">
        <f>VLOOKUP('北段 (人資版)'!I23,工作表1!$A$3:$B$74,2,FALSE)</f>
        <v>91</v>
      </c>
      <c r="J22" s="15">
        <f>VLOOKUP('北段 (人資版)'!J23,工作表1!$A$3:$B$74,2,FALSE)</f>
        <v>66</v>
      </c>
      <c r="K22" s="15">
        <f>VLOOKUP('北段 (人資版)'!K23,工作表1!$A$3:$B$74,2,FALSE)</f>
        <v>66</v>
      </c>
      <c r="L22" s="15">
        <f>VLOOKUP('北段 (人資版)'!L23,工作表1!$A$3:$B$74,2,FALSE)</f>
        <v>66</v>
      </c>
      <c r="M22" s="15">
        <f>VLOOKUP('北段 (人資版)'!M23,工作表1!$A$3:$B$74,2,FALSE)</f>
        <v>66</v>
      </c>
      <c r="N22" s="15">
        <f>VLOOKUP('北段 (人資版)'!N23,工作表1!$A$3:$B$74,2,FALSE)</f>
        <v>91</v>
      </c>
      <c r="O22" s="15">
        <f>VLOOKUP('北段 (人資版)'!O23,工作表1!$A$3:$B$74,2,FALSE)</f>
        <v>38</v>
      </c>
      <c r="P22" s="15">
        <f>VLOOKUP('北段 (人資版)'!P23,工作表1!$A$3:$B$74,2,FALSE)</f>
        <v>38</v>
      </c>
      <c r="Q22" s="15">
        <f>VLOOKUP('北段 (人資版)'!Q23,工作表1!$A$3:$B$74,2,FALSE)</f>
        <v>38</v>
      </c>
      <c r="R22" s="15">
        <f>VLOOKUP('北段 (人資版)'!R23,工作表1!$A$3:$B$74,2,FALSE)</f>
        <v>38</v>
      </c>
      <c r="S22" s="15">
        <f>VLOOKUP('北段 (人資版)'!S23,工作表1!$A$3:$B$74,2,FALSE)</f>
        <v>91</v>
      </c>
      <c r="T22" s="15">
        <f>VLOOKUP('北段 (人資版)'!T23,工作表1!$A$3:$B$74,2,FALSE)</f>
        <v>92</v>
      </c>
      <c r="U22" s="15" t="str">
        <f>VLOOKUP('北段 (人資版)'!U23,工作表1!$A$3:$B$74,2,FALSE)</f>
        <v>07</v>
      </c>
      <c r="V22" s="15" t="str">
        <f>VLOOKUP('北段 (人資版)'!V23,工作表1!$A$3:$B$74,2,FALSE)</f>
        <v>07</v>
      </c>
      <c r="W22" s="15" t="str">
        <f>VLOOKUP('北段 (人資版)'!W23,工作表1!$A$3:$B$74,2,FALSE)</f>
        <v>07</v>
      </c>
      <c r="X22" s="15">
        <f>VLOOKUP('北段 (人資版)'!X23,工作表1!$A$3:$B$74,2,FALSE)</f>
        <v>91</v>
      </c>
      <c r="Y22" s="15">
        <f>VLOOKUP('北段 (人資版)'!Y23,工作表1!$A$3:$B$74,2,FALSE)</f>
        <v>38</v>
      </c>
      <c r="Z22" s="15">
        <f>VLOOKUP('北段 (人資版)'!Z23,工作表1!$A$3:$B$74,2,FALSE)</f>
        <v>38</v>
      </c>
      <c r="AA22" s="15">
        <f>VLOOKUP('北段 (人資版)'!AA23,工作表1!$A$3:$B$74,2,FALSE)</f>
        <v>38</v>
      </c>
      <c r="AB22" s="15">
        <f>VLOOKUP('北段 (人資版)'!AB23,工作表1!$A$3:$B$74,2,FALSE)</f>
        <v>38</v>
      </c>
      <c r="AC22" s="15">
        <f>VLOOKUP('北段 (人資版)'!AC23,工作表1!$A$3:$B$74,2,FALSE)</f>
        <v>92</v>
      </c>
      <c r="AD22" s="15">
        <f>VLOOKUP('北段 (人資版)'!AD23,工作表1!$A$3:$B$74,2,FALSE)</f>
        <v>92</v>
      </c>
      <c r="AE22" s="15">
        <f>VLOOKUP('北段 (人資版)'!AE23,工作表1!$A$3:$B$74,2,FALSE)</f>
        <v>38</v>
      </c>
      <c r="AF22" s="15">
        <f>VLOOKUP('北段 (人資版)'!AF23,工作表1!$A$3:$B$74,2,FALSE)</f>
        <v>38</v>
      </c>
      <c r="AG22" s="15">
        <f>VLOOKUP('北段 (人資版)'!AG23,工作表1!$A$3:$B$74,2,FALSE)</f>
        <v>38</v>
      </c>
      <c r="AH22" s="15" t="e">
        <f>VLOOKUP('北段 (人資版)'!AH23,工作表1!$A$3:$B$74,2,FALSE)</f>
        <v>#REF!</v>
      </c>
      <c r="AI22" s="15" t="e">
        <f>VLOOKUP('北段 (人資版)'!AI23,工作表1!$A$3:$B$74,2,FALSE)</f>
        <v>#REF!</v>
      </c>
      <c r="AJ22" s="15" t="e">
        <f>VLOOKUP('北段 (人資版)'!AJ23,工作表1!$A$3:$B$74,2,FALSE)</f>
        <v>#REF!</v>
      </c>
      <c r="AK22" s="15" t="e">
        <f>VLOOKUP('北段 (人資版)'!AK23,工作表1!$A$3:$B$74,2,FALSE)</f>
        <v>#REF!</v>
      </c>
      <c r="AL22" s="15" t="e">
        <f>VLOOKUP('北段 (人資版)'!AL23,工作表1!$A$3:$B$74,2,FALSE)</f>
        <v>#REF!</v>
      </c>
    </row>
    <row r="23" spans="1:38" ht="39.6" customHeight="1">
      <c r="A23" s="35"/>
      <c r="B23" s="10" t="e">
        <f>北段!#REF!</f>
        <v>#REF!</v>
      </c>
      <c r="C23" s="10" t="e">
        <f>VLOOKUP(B23,北段!B:C,2,FALSE)</f>
        <v>#REF!</v>
      </c>
      <c r="D23" s="15" t="e">
        <f>VLOOKUP('北段 (人資版)'!#REF!,工作表1!$A$3:$B$74,2,FALSE)</f>
        <v>#REF!</v>
      </c>
      <c r="E23" s="15" t="e">
        <f>VLOOKUP('北段 (人資版)'!#REF!,工作表1!$A$3:$B$74,2,FALSE)</f>
        <v>#REF!</v>
      </c>
      <c r="F23" s="15" t="e">
        <f>VLOOKUP('北段 (人資版)'!#REF!,工作表1!$A$3:$B$74,2,FALSE)</f>
        <v>#REF!</v>
      </c>
      <c r="G23" s="15" t="e">
        <f>VLOOKUP('北段 (人資版)'!#REF!,工作表1!$A$3:$B$74,2,FALSE)</f>
        <v>#REF!</v>
      </c>
      <c r="H23" s="15" t="e">
        <f>VLOOKUP('北段 (人資版)'!#REF!,工作表1!$A$3:$B$74,2,FALSE)</f>
        <v>#REF!</v>
      </c>
      <c r="I23" s="15" t="e">
        <f>VLOOKUP('北段 (人資版)'!#REF!,工作表1!$A$3:$B$74,2,FALSE)</f>
        <v>#REF!</v>
      </c>
      <c r="J23" s="15" t="e">
        <f>VLOOKUP('北段 (人資版)'!#REF!,工作表1!$A$3:$B$74,2,FALSE)</f>
        <v>#REF!</v>
      </c>
      <c r="K23" s="15" t="e">
        <f>VLOOKUP('北段 (人資版)'!#REF!,工作表1!$A$3:$B$74,2,FALSE)</f>
        <v>#REF!</v>
      </c>
      <c r="L23" s="15" t="e">
        <f>VLOOKUP('北段 (人資版)'!#REF!,工作表1!$A$3:$B$74,2,FALSE)</f>
        <v>#REF!</v>
      </c>
      <c r="M23" s="15" t="e">
        <f>VLOOKUP('北段 (人資版)'!#REF!,工作表1!$A$3:$B$74,2,FALSE)</f>
        <v>#REF!</v>
      </c>
      <c r="N23" s="15" t="e">
        <f>VLOOKUP('北段 (人資版)'!#REF!,工作表1!$A$3:$B$74,2,FALSE)</f>
        <v>#REF!</v>
      </c>
      <c r="O23" s="15" t="e">
        <f>VLOOKUP('北段 (人資版)'!#REF!,工作表1!$A$3:$B$74,2,FALSE)</f>
        <v>#REF!</v>
      </c>
      <c r="P23" s="15" t="e">
        <f>VLOOKUP('北段 (人資版)'!#REF!,工作表1!$A$3:$B$74,2,FALSE)</f>
        <v>#REF!</v>
      </c>
      <c r="Q23" s="15" t="e">
        <f>VLOOKUP('北段 (人資版)'!#REF!,工作表1!$A$3:$B$74,2,FALSE)</f>
        <v>#REF!</v>
      </c>
      <c r="R23" s="15" t="e">
        <f>VLOOKUP('北段 (人資版)'!#REF!,工作表1!$A$3:$B$74,2,FALSE)</f>
        <v>#REF!</v>
      </c>
      <c r="S23" s="15" t="e">
        <f>VLOOKUP('北段 (人資版)'!#REF!,工作表1!$A$3:$B$74,2,FALSE)</f>
        <v>#REF!</v>
      </c>
      <c r="T23" s="15" t="e">
        <f>VLOOKUP('北段 (人資版)'!#REF!,工作表1!$A$3:$B$74,2,FALSE)</f>
        <v>#REF!</v>
      </c>
      <c r="U23" s="15" t="e">
        <f>VLOOKUP('北段 (人資版)'!#REF!,工作表1!$A$3:$B$74,2,FALSE)</f>
        <v>#REF!</v>
      </c>
      <c r="V23" s="15" t="e">
        <f>VLOOKUP('北段 (人資版)'!#REF!,工作表1!$A$3:$B$74,2,FALSE)</f>
        <v>#REF!</v>
      </c>
      <c r="W23" s="15" t="e">
        <f>VLOOKUP('北段 (人資版)'!#REF!,工作表1!$A$3:$B$74,2,FALSE)</f>
        <v>#REF!</v>
      </c>
      <c r="X23" s="15" t="e">
        <f>VLOOKUP('北段 (人資版)'!#REF!,工作表1!$A$3:$B$74,2,FALSE)</f>
        <v>#REF!</v>
      </c>
      <c r="Y23" s="15" t="e">
        <f>VLOOKUP('北段 (人資版)'!#REF!,工作表1!$A$3:$B$74,2,FALSE)</f>
        <v>#REF!</v>
      </c>
      <c r="Z23" s="15" t="e">
        <f>VLOOKUP('北段 (人資版)'!#REF!,工作表1!$A$3:$B$74,2,FALSE)</f>
        <v>#REF!</v>
      </c>
      <c r="AA23" s="15" t="e">
        <f>VLOOKUP('北段 (人資版)'!#REF!,工作表1!$A$3:$B$74,2,FALSE)</f>
        <v>#REF!</v>
      </c>
      <c r="AB23" s="15" t="e">
        <f>VLOOKUP('北段 (人資版)'!#REF!,工作表1!$A$3:$B$74,2,FALSE)</f>
        <v>#REF!</v>
      </c>
      <c r="AC23" s="15" t="e">
        <f>VLOOKUP('北段 (人資版)'!#REF!,工作表1!$A$3:$B$74,2,FALSE)</f>
        <v>#REF!</v>
      </c>
      <c r="AD23" s="15" t="e">
        <f>VLOOKUP('北段 (人資版)'!#REF!,工作表1!$A$3:$B$74,2,FALSE)</f>
        <v>#REF!</v>
      </c>
      <c r="AE23" s="15" t="e">
        <f>VLOOKUP('北段 (人資版)'!#REF!,工作表1!$A$3:$B$74,2,FALSE)</f>
        <v>#REF!</v>
      </c>
      <c r="AF23" s="15" t="e">
        <f>VLOOKUP('北段 (人資版)'!#REF!,工作表1!$A$3:$B$74,2,FALSE)</f>
        <v>#REF!</v>
      </c>
      <c r="AG23" s="15" t="e">
        <f>VLOOKUP('北段 (人資版)'!#REF!,工作表1!$A$3:$B$74,2,FALSE)</f>
        <v>#REF!</v>
      </c>
      <c r="AH23" s="15" t="e">
        <f>VLOOKUP('北段 (人資版)'!#REF!,工作表1!$A$3:$B$74,2,FALSE)</f>
        <v>#REF!</v>
      </c>
      <c r="AI23" s="15" t="e">
        <f>VLOOKUP('北段 (人資版)'!#REF!,工作表1!$A$3:$B$74,2,FALSE)</f>
        <v>#REF!</v>
      </c>
      <c r="AJ23" s="15" t="e">
        <f>VLOOKUP('北段 (人資版)'!#REF!,工作表1!$A$3:$B$74,2,FALSE)</f>
        <v>#REF!</v>
      </c>
      <c r="AK23" s="15" t="e">
        <f>VLOOKUP('北段 (人資版)'!#REF!,工作表1!$A$3:$B$74,2,FALSE)</f>
        <v>#REF!</v>
      </c>
      <c r="AL23" s="15" t="e">
        <f>VLOOKUP('北段 (人資版)'!#REF!,工作表1!$A$3:$B$74,2,FALSE)</f>
        <v>#REF!</v>
      </c>
    </row>
    <row r="24" spans="1:38" ht="39.6" customHeight="1">
      <c r="A24" s="35"/>
      <c r="B24" s="10" t="str">
        <f>北段!B18</f>
        <v>T02233</v>
      </c>
      <c r="C24" s="10" t="str">
        <f>VLOOKUP(B24,北段!B:C,2,FALSE)</f>
        <v>簡悅如</v>
      </c>
      <c r="D24" s="15">
        <f>VLOOKUP('北段 (人資版)'!D24,工作表1!$A$3:$B$74,2,FALSE)</f>
        <v>91</v>
      </c>
      <c r="E24" s="15">
        <f>VLOOKUP('北段 (人資版)'!E24,工作表1!$A$3:$B$74,2,FALSE)</f>
        <v>91</v>
      </c>
      <c r="F24" s="15">
        <f>VLOOKUP('北段 (人資版)'!F24,工作表1!$A$3:$B$74,2,FALSE)</f>
        <v>38</v>
      </c>
      <c r="G24" s="15">
        <f>VLOOKUP('北段 (人資版)'!G24,工作表1!$A$3:$B$74,2,FALSE)</f>
        <v>66</v>
      </c>
      <c r="H24" s="15">
        <f>VLOOKUP('北段 (人資版)'!H24,工作表1!$A$3:$B$74,2,FALSE)</f>
        <v>66</v>
      </c>
      <c r="I24" s="15">
        <f>VLOOKUP('北段 (人資版)'!I24,工作表1!$A$3:$B$74,2,FALSE)</f>
        <v>91</v>
      </c>
      <c r="J24" s="15">
        <f>VLOOKUP('北段 (人資版)'!J24,工作表1!$A$3:$B$74,2,FALSE)</f>
        <v>91</v>
      </c>
      <c r="K24" s="15">
        <f>VLOOKUP('北段 (人資版)'!K24,工作表1!$A$3:$B$74,2,FALSE)</f>
        <v>38</v>
      </c>
      <c r="L24" s="15">
        <f>VLOOKUP('北段 (人資版)'!L24,工作表1!$A$3:$B$74,2,FALSE)</f>
        <v>66</v>
      </c>
      <c r="M24" s="15">
        <f>VLOOKUP('北段 (人資版)'!M24,工作表1!$A$3:$B$74,2,FALSE)</f>
        <v>66</v>
      </c>
      <c r="N24" s="15">
        <f>VLOOKUP('北段 (人資版)'!N24,工作表1!$A$3:$B$74,2,FALSE)</f>
        <v>92</v>
      </c>
      <c r="O24" s="15">
        <f>VLOOKUP('北段 (人資版)'!O24,工作表1!$A$3:$B$74,2,FALSE)</f>
        <v>38</v>
      </c>
      <c r="P24" s="15">
        <f>VLOOKUP('北段 (人資版)'!P24,工作表1!$A$3:$B$74,2,FALSE)</f>
        <v>38</v>
      </c>
      <c r="Q24" s="15" t="str">
        <f>VLOOKUP('北段 (人資版)'!Q24,工作表1!$A$3:$B$74,2,FALSE)</f>
        <v>07</v>
      </c>
      <c r="R24" s="15">
        <f>VLOOKUP('北段 (人資版)'!R24,工作表1!$A$3:$B$74,2,FALSE)</f>
        <v>66</v>
      </c>
      <c r="S24" s="15">
        <f>VLOOKUP('北段 (人資版)'!S24,工作表1!$A$3:$B$74,2,FALSE)</f>
        <v>66</v>
      </c>
      <c r="T24" s="15">
        <f>VLOOKUP('北段 (人資版)'!T24,工作表1!$A$3:$B$74,2,FALSE)</f>
        <v>91</v>
      </c>
      <c r="U24" s="15">
        <f>VLOOKUP('北段 (人資版)'!U24,工作表1!$A$3:$B$74,2,FALSE)</f>
        <v>92</v>
      </c>
      <c r="V24" s="15">
        <f>VLOOKUP('北段 (人資版)'!V24,工作表1!$A$3:$B$74,2,FALSE)</f>
        <v>38</v>
      </c>
      <c r="W24" s="15">
        <f>VLOOKUP('北段 (人資版)'!W24,工作表1!$A$3:$B$74,2,FALSE)</f>
        <v>38</v>
      </c>
      <c r="X24" s="15">
        <f>VLOOKUP('北段 (人資版)'!X24,工作表1!$A$3:$B$74,2,FALSE)</f>
        <v>38</v>
      </c>
      <c r="Y24" s="15">
        <f>VLOOKUP('北段 (人資版)'!Y24,工作表1!$A$3:$B$74,2,FALSE)</f>
        <v>91</v>
      </c>
      <c r="Z24" s="15" t="str">
        <f>VLOOKUP('北段 (人資版)'!Z24,工作表1!$A$3:$B$74,2,FALSE)</f>
        <v>07</v>
      </c>
      <c r="AA24" s="15">
        <f>VLOOKUP('北段 (人資版)'!AA24,工作表1!$A$3:$B$74,2,FALSE)</f>
        <v>92</v>
      </c>
      <c r="AB24" s="15">
        <f>VLOOKUP('北段 (人資版)'!AB24,工作表1!$A$3:$B$74,2,FALSE)</f>
        <v>38</v>
      </c>
      <c r="AC24" s="15">
        <f>VLOOKUP('北段 (人資版)'!AC24,工作表1!$A$3:$B$74,2,FALSE)</f>
        <v>38</v>
      </c>
      <c r="AD24" s="15">
        <f>VLOOKUP('北段 (人資版)'!AD24,工作表1!$A$3:$B$74,2,FALSE)</f>
        <v>38</v>
      </c>
      <c r="AE24" s="15">
        <f>VLOOKUP('北段 (人資版)'!AE24,工作表1!$A$3:$B$74,2,FALSE)</f>
        <v>90</v>
      </c>
      <c r="AF24" s="15">
        <f>VLOOKUP('北段 (人資版)'!AF24,工作表1!$A$3:$B$74,2,FALSE)</f>
        <v>38</v>
      </c>
      <c r="AG24" s="15">
        <f>VLOOKUP('北段 (人資版)'!AG24,工作表1!$A$3:$B$74,2,FALSE)</f>
        <v>38</v>
      </c>
      <c r="AH24" s="15" t="e">
        <f>VLOOKUP('北段 (人資版)'!AH24,工作表1!$A$3:$B$74,2,FALSE)</f>
        <v>#REF!</v>
      </c>
      <c r="AI24" s="15" t="e">
        <f>VLOOKUP('北段 (人資版)'!AI24,工作表1!$A$3:$B$74,2,FALSE)</f>
        <v>#REF!</v>
      </c>
      <c r="AJ24" s="15" t="e">
        <f>VLOOKUP('北段 (人資版)'!AJ24,工作表1!$A$3:$B$74,2,FALSE)</f>
        <v>#REF!</v>
      </c>
      <c r="AK24" s="15" t="e">
        <f>VLOOKUP('北段 (人資版)'!AK24,工作表1!$A$3:$B$74,2,FALSE)</f>
        <v>#REF!</v>
      </c>
      <c r="AL24" s="15" t="e">
        <f>VLOOKUP('北段 (人資版)'!AL24,工作表1!$A$3:$B$74,2,FALSE)</f>
        <v>#REF!</v>
      </c>
    </row>
    <row r="25" spans="1:38" ht="39.75" customHeight="1">
      <c r="A25" s="35"/>
      <c r="B25" s="10" t="str">
        <f>北段!B19</f>
        <v>T02498</v>
      </c>
      <c r="C25" s="10" t="str">
        <f>VLOOKUP(B25,北段!B:C,2,FALSE)</f>
        <v>張芯瑜</v>
      </c>
      <c r="D25" s="15" t="e">
        <f>VLOOKUP('北段 (人資版)'!D25,工作表1!$A$3:$B$74,2,FALSE)</f>
        <v>#N/A</v>
      </c>
      <c r="E25" s="15">
        <f>VLOOKUP('北段 (人資版)'!E25,工作表1!$A$3:$B$74,2,FALSE)</f>
        <v>66</v>
      </c>
      <c r="F25" s="15">
        <f>VLOOKUP('北段 (人資版)'!F25,工作表1!$A$3:$B$74,2,FALSE)</f>
        <v>66</v>
      </c>
      <c r="G25" s="15">
        <f>VLOOKUP('北段 (人資版)'!G25,工作表1!$A$3:$B$74,2,FALSE)</f>
        <v>92</v>
      </c>
      <c r="H25" s="15">
        <f>VLOOKUP('北段 (人資版)'!H25,工作表1!$A$3:$B$74,2,FALSE)</f>
        <v>90</v>
      </c>
      <c r="I25" s="15" t="e">
        <f>VLOOKUP('北段 (人資版)'!I25,工作表1!$A$3:$B$74,2,FALSE)</f>
        <v>#N/A</v>
      </c>
      <c r="J25" s="15">
        <f>VLOOKUP('北段 (人資版)'!J25,工作表1!$A$3:$B$74,2,FALSE)</f>
        <v>66</v>
      </c>
      <c r="K25" s="15">
        <f>VLOOKUP('北段 (人資版)'!K25,工作表1!$A$3:$B$74,2,FALSE)</f>
        <v>66</v>
      </c>
      <c r="L25" s="15">
        <f>VLOOKUP('北段 (人資版)'!L25,工作表1!$A$3:$B$74,2,FALSE)</f>
        <v>92</v>
      </c>
      <c r="M25" s="15">
        <f>VLOOKUP('北段 (人資版)'!M25,工作表1!$A$3:$B$74,2,FALSE)</f>
        <v>90</v>
      </c>
      <c r="N25" s="15">
        <f>VLOOKUP('北段 (人資版)'!N25,工作表1!$A$3:$B$74,2,FALSE)</f>
        <v>66</v>
      </c>
      <c r="O25" s="15">
        <f>VLOOKUP('北段 (人資版)'!O25,工作表1!$A$3:$B$74,2,FALSE)</f>
        <v>66</v>
      </c>
      <c r="P25" s="15">
        <f>VLOOKUP('北段 (人資版)'!P25,工作表1!$A$3:$B$74,2,FALSE)</f>
        <v>91</v>
      </c>
      <c r="Q25" s="15">
        <f>VLOOKUP('北段 (人資版)'!Q25,工作表1!$A$3:$B$74,2,FALSE)</f>
        <v>38</v>
      </c>
      <c r="R25" s="15">
        <f>VLOOKUP('北段 (人資版)'!R25,工作表1!$A$3:$B$74,2,FALSE)</f>
        <v>38</v>
      </c>
      <c r="S25" s="15">
        <f>VLOOKUP('北段 (人資版)'!S25,工作表1!$A$3:$B$74,2,FALSE)</f>
        <v>38</v>
      </c>
      <c r="T25" s="15">
        <f>VLOOKUP('北段 (人資版)'!T25,工作表1!$A$3:$B$74,2,FALSE)</f>
        <v>38</v>
      </c>
      <c r="U25" s="15">
        <f>VLOOKUP('北段 (人資版)'!U25,工作表1!$A$3:$B$74,2,FALSE)</f>
        <v>92</v>
      </c>
      <c r="V25" s="15">
        <f>VLOOKUP('北段 (人資版)'!V25,工作表1!$A$3:$B$74,2,FALSE)</f>
        <v>91</v>
      </c>
      <c r="W25" s="15">
        <f>VLOOKUP('北段 (人資版)'!W25,工作表1!$A$3:$B$74,2,FALSE)</f>
        <v>66</v>
      </c>
      <c r="X25" s="15">
        <f>VLOOKUP('北段 (人資版)'!X25,工作表1!$A$3:$B$74,2,FALSE)</f>
        <v>66</v>
      </c>
      <c r="Y25" s="15">
        <f>VLOOKUP('北段 (人資版)'!Y25,工作表1!$A$3:$B$74,2,FALSE)</f>
        <v>66</v>
      </c>
      <c r="Z25" s="15">
        <f>VLOOKUP('北段 (人資版)'!Z25,工作表1!$A$3:$B$74,2,FALSE)</f>
        <v>66</v>
      </c>
      <c r="AA25" s="15">
        <f>VLOOKUP('北段 (人資版)'!AA25,工作表1!$A$3:$B$74,2,FALSE)</f>
        <v>66</v>
      </c>
      <c r="AB25" s="15">
        <f>VLOOKUP('北段 (人資版)'!AB25,工作表1!$A$3:$B$74,2,FALSE)</f>
        <v>92</v>
      </c>
      <c r="AC25" s="15">
        <f>VLOOKUP('北段 (人資版)'!AC25,工作表1!$A$3:$B$74,2,FALSE)</f>
        <v>91</v>
      </c>
      <c r="AD25" s="15">
        <f>VLOOKUP('北段 (人資版)'!AD25,工作表1!$A$3:$B$74,2,FALSE)</f>
        <v>66</v>
      </c>
      <c r="AE25" s="15" t="str">
        <f>VLOOKUP('北段 (人資版)'!AE25,工作表1!$A$3:$B$74,2,FALSE)</f>
        <v>07</v>
      </c>
      <c r="AF25" s="15">
        <f>VLOOKUP('北段 (人資版)'!AF25,工作表1!$A$3:$B$74,2,FALSE)</f>
        <v>66</v>
      </c>
      <c r="AG25" s="15">
        <f>VLOOKUP('北段 (人資版)'!AG25,工作表1!$A$3:$B$74,2,FALSE)</f>
        <v>66</v>
      </c>
      <c r="AH25" s="15" t="e">
        <f>VLOOKUP('北段 (人資版)'!AH25,工作表1!$A$3:$B$74,2,FALSE)</f>
        <v>#REF!</v>
      </c>
      <c r="AI25" s="15" t="e">
        <f>VLOOKUP('北段 (人資版)'!AI25,工作表1!$A$3:$B$74,2,FALSE)</f>
        <v>#REF!</v>
      </c>
      <c r="AJ25" s="15" t="e">
        <f>VLOOKUP('北段 (人資版)'!AJ25,工作表1!$A$3:$B$74,2,FALSE)</f>
        <v>#REF!</v>
      </c>
      <c r="AK25" s="15" t="e">
        <f>VLOOKUP('北段 (人資版)'!AK25,工作表1!$A$3:$B$74,2,FALSE)</f>
        <v>#REF!</v>
      </c>
      <c r="AL25" s="15" t="e">
        <f>VLOOKUP('北段 (人資版)'!AL25,工作表1!$A$3:$B$74,2,FALSE)</f>
        <v>#REF!</v>
      </c>
    </row>
    <row r="26" spans="1:38" ht="39.75" customHeight="1">
      <c r="A26" s="35"/>
      <c r="B26" s="10" t="str">
        <f>北段!B20</f>
        <v>T02612</v>
      </c>
      <c r="C26" s="10" t="str">
        <f>VLOOKUP(B26,北段!B:C,2,FALSE)</f>
        <v>蕭曉琦</v>
      </c>
      <c r="D26" s="15" t="e">
        <f>VLOOKUP('北段 (人資版)'!D26,工作表1!$A$3:$B$74,2,FALSE)</f>
        <v>#N/A</v>
      </c>
      <c r="E26" s="15">
        <f>VLOOKUP('北段 (人資版)'!E26,工作表1!$A$3:$B$74,2,FALSE)</f>
        <v>91</v>
      </c>
      <c r="F26" s="15">
        <f>VLOOKUP('北段 (人資版)'!F26,工作表1!$A$3:$B$74,2,FALSE)</f>
        <v>38</v>
      </c>
      <c r="G26" s="15">
        <f>VLOOKUP('北段 (人資版)'!G26,工作表1!$A$3:$B$74,2,FALSE)</f>
        <v>38</v>
      </c>
      <c r="H26" s="15">
        <f>VLOOKUP('北段 (人資版)'!H26,工作表1!$A$3:$B$74,2,FALSE)</f>
        <v>90</v>
      </c>
      <c r="I26" s="15" t="e">
        <f>VLOOKUP('北段 (人資版)'!I26,工作表1!$A$3:$B$74,2,FALSE)</f>
        <v>#N/A</v>
      </c>
      <c r="J26" s="15">
        <f>VLOOKUP('北段 (人資版)'!J26,工作表1!$A$3:$B$74,2,FALSE)</f>
        <v>91</v>
      </c>
      <c r="K26" s="15">
        <f>VLOOKUP('北段 (人資版)'!K26,工作表1!$A$3:$B$74,2,FALSE)</f>
        <v>38</v>
      </c>
      <c r="L26" s="15">
        <f>VLOOKUP('北段 (人資版)'!L26,工作表1!$A$3:$B$74,2,FALSE)</f>
        <v>38</v>
      </c>
      <c r="M26" s="15">
        <f>VLOOKUP('北段 (人資版)'!M26,工作表1!$A$3:$B$74,2,FALSE)</f>
        <v>90</v>
      </c>
      <c r="N26" s="15">
        <f>VLOOKUP('北段 (人資版)'!N26,工作表1!$A$3:$B$74,2,FALSE)</f>
        <v>38</v>
      </c>
      <c r="O26" s="15">
        <f>VLOOKUP('北段 (人資版)'!O26,工作表1!$A$3:$B$74,2,FALSE)</f>
        <v>38</v>
      </c>
      <c r="P26" s="15">
        <f>VLOOKUP('北段 (人資版)'!P26,工作表1!$A$3:$B$74,2,FALSE)</f>
        <v>38</v>
      </c>
      <c r="Q26" s="15">
        <f>VLOOKUP('北段 (人資版)'!Q26,工作表1!$A$3:$B$74,2,FALSE)</f>
        <v>91</v>
      </c>
      <c r="R26" s="15">
        <f>VLOOKUP('北段 (人資版)'!R26,工作表1!$A$3:$B$74,2,FALSE)</f>
        <v>38</v>
      </c>
      <c r="S26" s="15">
        <f>VLOOKUP('北段 (人資版)'!S26,工作表1!$A$3:$B$74,2,FALSE)</f>
        <v>38</v>
      </c>
      <c r="T26" s="15">
        <f>VLOOKUP('北段 (人資版)'!T26,工作表1!$A$3:$B$74,2,FALSE)</f>
        <v>92</v>
      </c>
      <c r="U26" s="15">
        <f>VLOOKUP('北段 (人資版)'!U26,工作表1!$A$3:$B$74,2,FALSE)</f>
        <v>38</v>
      </c>
      <c r="V26" s="15">
        <f>VLOOKUP('北段 (人資版)'!V26,工作表1!$A$3:$B$74,2,FALSE)</f>
        <v>66</v>
      </c>
      <c r="W26" s="15">
        <f>VLOOKUP('北段 (人資版)'!W26,工作表1!$A$3:$B$74,2,FALSE)</f>
        <v>92</v>
      </c>
      <c r="X26" s="15">
        <f>VLOOKUP('北段 (人資版)'!X26,工作表1!$A$3:$B$74,2,FALSE)</f>
        <v>66</v>
      </c>
      <c r="Y26" s="15">
        <f>VLOOKUP('北段 (人資版)'!Y26,工作表1!$A$3:$B$74,2,FALSE)</f>
        <v>66</v>
      </c>
      <c r="Z26" s="15">
        <f>VLOOKUP('北段 (人資版)'!Z26,工作表1!$A$3:$B$74,2,FALSE)</f>
        <v>91</v>
      </c>
      <c r="AA26" s="15">
        <f>VLOOKUP('北段 (人資版)'!AA26,工作表1!$A$3:$B$74,2,FALSE)</f>
        <v>38</v>
      </c>
      <c r="AB26" s="15">
        <f>VLOOKUP('北段 (人資版)'!AB26,工作表1!$A$3:$B$74,2,FALSE)</f>
        <v>38</v>
      </c>
      <c r="AC26" s="15">
        <f>VLOOKUP('北段 (人資版)'!AC26,工作表1!$A$3:$B$74,2,FALSE)</f>
        <v>38</v>
      </c>
      <c r="AD26" s="15">
        <f>VLOOKUP('北段 (人資版)'!AD26,工作表1!$A$3:$B$74,2,FALSE)</f>
        <v>38</v>
      </c>
      <c r="AE26" s="15">
        <f>VLOOKUP('北段 (人資版)'!AE26,工作表1!$A$3:$B$74,2,FALSE)</f>
        <v>91</v>
      </c>
      <c r="AF26" s="15">
        <f>VLOOKUP('北段 (人資版)'!AF26,工作表1!$A$3:$B$74,2,FALSE)</f>
        <v>38</v>
      </c>
      <c r="AG26" s="15">
        <f>VLOOKUP('北段 (人資版)'!AG26,工作表1!$A$3:$B$74,2,FALSE)</f>
        <v>38</v>
      </c>
      <c r="AH26" s="15" t="e">
        <f>VLOOKUP('北段 (人資版)'!AH26,工作表1!$A$3:$B$74,2,FALSE)</f>
        <v>#REF!</v>
      </c>
      <c r="AI26" s="15" t="e">
        <f>VLOOKUP('北段 (人資版)'!AI26,工作表1!$A$3:$B$74,2,FALSE)</f>
        <v>#REF!</v>
      </c>
      <c r="AJ26" s="15" t="e">
        <f>VLOOKUP('北段 (人資版)'!AJ26,工作表1!$A$3:$B$74,2,FALSE)</f>
        <v>#REF!</v>
      </c>
      <c r="AK26" s="15" t="e">
        <f>VLOOKUP('北段 (人資版)'!AK26,工作表1!$A$3:$B$74,2,FALSE)</f>
        <v>#REF!</v>
      </c>
      <c r="AL26" s="15" t="e">
        <f>VLOOKUP('北段 (人資版)'!AL26,工作表1!$A$3:$B$74,2,FALSE)</f>
        <v>#REF!</v>
      </c>
    </row>
    <row r="27" spans="1:38" ht="39.75" customHeight="1">
      <c r="A27" s="35"/>
      <c r="B27" s="10" t="str">
        <f>北段!B21</f>
        <v>T02613</v>
      </c>
      <c r="C27" s="10" t="str">
        <f>VLOOKUP(B27,北段!B:C,2,FALSE)</f>
        <v>張雅荃</v>
      </c>
      <c r="D27" s="15" t="e">
        <f>VLOOKUP('北段 (人資版)'!D27,工作表1!$A$3:$B$74,2,FALSE)</f>
        <v>#N/A</v>
      </c>
      <c r="E27" s="15">
        <f>VLOOKUP('北段 (人資版)'!E27,工作表1!$A$3:$B$74,2,FALSE)</f>
        <v>66</v>
      </c>
      <c r="F27" s="15">
        <f>VLOOKUP('北段 (人資版)'!F27,工作表1!$A$3:$B$74,2,FALSE)</f>
        <v>66</v>
      </c>
      <c r="G27" s="15">
        <f>VLOOKUP('北段 (人資版)'!G27,工作表1!$A$3:$B$74,2,FALSE)</f>
        <v>66</v>
      </c>
      <c r="H27" s="15">
        <f>VLOOKUP('北段 (人資版)'!H27,工作表1!$A$3:$B$74,2,FALSE)</f>
        <v>92</v>
      </c>
      <c r="I27" s="15" t="e">
        <f>VLOOKUP('北段 (人資版)'!I27,工作表1!$A$3:$B$74,2,FALSE)</f>
        <v>#N/A</v>
      </c>
      <c r="J27" s="15">
        <f>VLOOKUP('北段 (人資版)'!J27,工作表1!$A$3:$B$74,2,FALSE)</f>
        <v>66</v>
      </c>
      <c r="K27" s="15">
        <f>VLOOKUP('北段 (人資版)'!K27,工作表1!$A$3:$B$74,2,FALSE)</f>
        <v>66</v>
      </c>
      <c r="L27" s="15">
        <f>VLOOKUP('北段 (人資版)'!L27,工作表1!$A$3:$B$74,2,FALSE)</f>
        <v>66</v>
      </c>
      <c r="M27" s="15">
        <f>VLOOKUP('北段 (人資版)'!M27,工作表1!$A$3:$B$74,2,FALSE)</f>
        <v>92</v>
      </c>
      <c r="N27" s="15">
        <f>VLOOKUP('北段 (人資版)'!N27,工作表1!$A$3:$B$74,2,FALSE)</f>
        <v>66</v>
      </c>
      <c r="O27" s="15">
        <f>VLOOKUP('北段 (人資版)'!O27,工作表1!$A$3:$B$74,2,FALSE)</f>
        <v>66</v>
      </c>
      <c r="P27" s="15">
        <f>VLOOKUP('北段 (人資版)'!P27,工作表1!$A$3:$B$74,2,FALSE)</f>
        <v>91</v>
      </c>
      <c r="Q27" s="15">
        <f>VLOOKUP('北段 (人資版)'!Q27,工作表1!$A$3:$B$74,2,FALSE)</f>
        <v>90</v>
      </c>
      <c r="R27" s="15">
        <f>VLOOKUP('北段 (人資版)'!R27,工作表1!$A$3:$B$74,2,FALSE)</f>
        <v>66</v>
      </c>
      <c r="S27" s="15">
        <f>VLOOKUP('北段 (人資版)'!S27,工作表1!$A$3:$B$74,2,FALSE)</f>
        <v>66</v>
      </c>
      <c r="T27" s="15">
        <f>VLOOKUP('北段 (人資版)'!T27,工作表1!$A$3:$B$74,2,FALSE)</f>
        <v>91</v>
      </c>
      <c r="U27" s="15">
        <f>VLOOKUP('北段 (人資版)'!U27,工作表1!$A$3:$B$74,2,FALSE)</f>
        <v>66</v>
      </c>
      <c r="V27" s="15">
        <f>VLOOKUP('北段 (人資版)'!V27,工作表1!$A$3:$B$74,2,FALSE)</f>
        <v>66</v>
      </c>
      <c r="W27" s="15">
        <f>VLOOKUP('北段 (人資版)'!W27,工作表1!$A$3:$B$74,2,FALSE)</f>
        <v>66</v>
      </c>
      <c r="X27" s="15">
        <f>VLOOKUP('北段 (人資版)'!X27,工作表1!$A$3:$B$74,2,FALSE)</f>
        <v>66</v>
      </c>
      <c r="Y27" s="15">
        <f>VLOOKUP('北段 (人資版)'!Y27,工作表1!$A$3:$B$74,2,FALSE)</f>
        <v>91</v>
      </c>
      <c r="Z27" s="15">
        <f>VLOOKUP('北段 (人資版)'!Z27,工作表1!$A$3:$B$74,2,FALSE)</f>
        <v>92</v>
      </c>
      <c r="AA27" s="15">
        <f>VLOOKUP('北段 (人資版)'!AA27,工作表1!$A$3:$B$74,2,FALSE)</f>
        <v>66</v>
      </c>
      <c r="AB27" s="15">
        <f>VLOOKUP('北段 (人資版)'!AB27,工作表1!$A$3:$B$74,2,FALSE)</f>
        <v>66</v>
      </c>
      <c r="AC27" s="15">
        <f>VLOOKUP('北段 (人資版)'!AC27,工作表1!$A$3:$B$74,2,FALSE)</f>
        <v>92</v>
      </c>
      <c r="AD27" s="15">
        <f>VLOOKUP('北段 (人資版)'!AD27,工作表1!$A$3:$B$74,2,FALSE)</f>
        <v>66</v>
      </c>
      <c r="AE27" s="15">
        <f>VLOOKUP('北段 (人資版)'!AE27,工作表1!$A$3:$B$74,2,FALSE)</f>
        <v>66</v>
      </c>
      <c r="AF27" s="15" t="str">
        <f>VLOOKUP('北段 (人資版)'!AF27,工作表1!$A$3:$B$74,2,FALSE)</f>
        <v>07</v>
      </c>
      <c r="AG27" s="15">
        <f>VLOOKUP('北段 (人資版)'!AG27,工作表1!$A$3:$B$74,2,FALSE)</f>
        <v>91</v>
      </c>
      <c r="AH27" s="15" t="e">
        <f>VLOOKUP('北段 (人資版)'!AH27,工作表1!$A$3:$B$74,2,FALSE)</f>
        <v>#REF!</v>
      </c>
      <c r="AI27" s="15" t="e">
        <f>VLOOKUP('北段 (人資版)'!AI27,工作表1!$A$3:$B$74,2,FALSE)</f>
        <v>#REF!</v>
      </c>
      <c r="AJ27" s="15" t="e">
        <f>VLOOKUP('北段 (人資版)'!AJ27,工作表1!$A$3:$B$74,2,FALSE)</f>
        <v>#REF!</v>
      </c>
      <c r="AK27" s="15" t="e">
        <f>VLOOKUP('北段 (人資版)'!AK27,工作表1!$A$3:$B$74,2,FALSE)</f>
        <v>#REF!</v>
      </c>
      <c r="AL27" s="15" t="e">
        <f>VLOOKUP('北段 (人資版)'!AL27,工作表1!$A$3:$B$74,2,FALSE)</f>
        <v>#REF!</v>
      </c>
    </row>
    <row r="28" spans="1:38" ht="39.75" customHeight="1">
      <c r="A28" s="35"/>
      <c r="B28" s="10" t="e">
        <f>北段!#REF!</f>
        <v>#REF!</v>
      </c>
      <c r="C28" s="10" t="e">
        <f>VLOOKUP(B28,北段!B:C,2,FALSE)</f>
        <v>#REF!</v>
      </c>
      <c r="D28" s="15" t="e">
        <f>VLOOKUP('北段 (人資版)'!D28,工作表1!$A$3:$B$74,2,FALSE)</f>
        <v>#REF!</v>
      </c>
      <c r="E28" s="15" t="e">
        <f>VLOOKUP('北段 (人資版)'!E28,工作表1!$A$3:$B$74,2,FALSE)</f>
        <v>#REF!</v>
      </c>
      <c r="F28" s="15" t="e">
        <f>VLOOKUP('北段 (人資版)'!F28,工作表1!$A$3:$B$74,2,FALSE)</f>
        <v>#REF!</v>
      </c>
      <c r="G28" s="15" t="e">
        <f>VLOOKUP('北段 (人資版)'!G28,工作表1!$A$3:$B$74,2,FALSE)</f>
        <v>#REF!</v>
      </c>
      <c r="H28" s="15" t="e">
        <f>VLOOKUP('北段 (人資版)'!H28,工作表1!$A$3:$B$74,2,FALSE)</f>
        <v>#REF!</v>
      </c>
      <c r="I28" s="15" t="e">
        <f>VLOOKUP('北段 (人資版)'!I28,工作表1!$A$3:$B$74,2,FALSE)</f>
        <v>#REF!</v>
      </c>
      <c r="J28" s="15" t="e">
        <f>VLOOKUP('北段 (人資版)'!J28,工作表1!$A$3:$B$74,2,FALSE)</f>
        <v>#REF!</v>
      </c>
      <c r="K28" s="15" t="e">
        <f>VLOOKUP('北段 (人資版)'!K28,工作表1!$A$3:$B$74,2,FALSE)</f>
        <v>#REF!</v>
      </c>
      <c r="L28" s="15" t="e">
        <f>VLOOKUP('北段 (人資版)'!L28,工作表1!$A$3:$B$74,2,FALSE)</f>
        <v>#REF!</v>
      </c>
      <c r="M28" s="15" t="e">
        <f>VLOOKUP('北段 (人資版)'!M28,工作表1!$A$3:$B$74,2,FALSE)</f>
        <v>#REF!</v>
      </c>
      <c r="N28" s="15" t="e">
        <f>VLOOKUP('北段 (人資版)'!N28,工作表1!$A$3:$B$74,2,FALSE)</f>
        <v>#REF!</v>
      </c>
      <c r="O28" s="15" t="e">
        <f>VLOOKUP('北段 (人資版)'!O28,工作表1!$A$3:$B$74,2,FALSE)</f>
        <v>#REF!</v>
      </c>
      <c r="P28" s="15" t="e">
        <f>VLOOKUP('北段 (人資版)'!P28,工作表1!$A$3:$B$74,2,FALSE)</f>
        <v>#REF!</v>
      </c>
      <c r="Q28" s="15" t="e">
        <f>VLOOKUP('北段 (人資版)'!Q28,工作表1!$A$3:$B$74,2,FALSE)</f>
        <v>#REF!</v>
      </c>
      <c r="R28" s="15" t="e">
        <f>VLOOKUP('北段 (人資版)'!R28,工作表1!$A$3:$B$74,2,FALSE)</f>
        <v>#REF!</v>
      </c>
      <c r="S28" s="15" t="e">
        <f>VLOOKUP('北段 (人資版)'!S28,工作表1!$A$3:$B$74,2,FALSE)</f>
        <v>#REF!</v>
      </c>
      <c r="T28" s="15" t="e">
        <f>VLOOKUP('北段 (人資版)'!T28,工作表1!$A$3:$B$74,2,FALSE)</f>
        <v>#REF!</v>
      </c>
      <c r="U28" s="15" t="e">
        <f>VLOOKUP('北段 (人資版)'!U28,工作表1!$A$3:$B$74,2,FALSE)</f>
        <v>#REF!</v>
      </c>
      <c r="V28" s="15" t="e">
        <f>VLOOKUP('北段 (人資版)'!V28,工作表1!$A$3:$B$74,2,FALSE)</f>
        <v>#REF!</v>
      </c>
      <c r="W28" s="15" t="e">
        <f>VLOOKUP('北段 (人資版)'!W28,工作表1!$A$3:$B$74,2,FALSE)</f>
        <v>#REF!</v>
      </c>
      <c r="X28" s="15" t="e">
        <f>VLOOKUP('北段 (人資版)'!X28,工作表1!$A$3:$B$74,2,FALSE)</f>
        <v>#REF!</v>
      </c>
      <c r="Y28" s="15" t="e">
        <f>VLOOKUP('北段 (人資版)'!Y28,工作表1!$A$3:$B$74,2,FALSE)</f>
        <v>#REF!</v>
      </c>
      <c r="Z28" s="15" t="e">
        <f>VLOOKUP('北段 (人資版)'!Z28,工作表1!$A$3:$B$74,2,FALSE)</f>
        <v>#REF!</v>
      </c>
      <c r="AA28" s="15" t="e">
        <f>VLOOKUP('北段 (人資版)'!AA28,工作表1!$A$3:$B$74,2,FALSE)</f>
        <v>#REF!</v>
      </c>
      <c r="AB28" s="15" t="e">
        <f>VLOOKUP('北段 (人資版)'!AB28,工作表1!$A$3:$B$74,2,FALSE)</f>
        <v>#REF!</v>
      </c>
      <c r="AC28" s="15" t="e">
        <f>VLOOKUP('北段 (人資版)'!AC28,工作表1!$A$3:$B$74,2,FALSE)</f>
        <v>#REF!</v>
      </c>
      <c r="AD28" s="15" t="e">
        <f>VLOOKUP('北段 (人資版)'!AD28,工作表1!$A$3:$B$74,2,FALSE)</f>
        <v>#REF!</v>
      </c>
      <c r="AE28" s="15" t="e">
        <f>VLOOKUP('北段 (人資版)'!AE28,工作表1!$A$3:$B$74,2,FALSE)</f>
        <v>#REF!</v>
      </c>
      <c r="AF28" s="15" t="e">
        <f>VLOOKUP('北段 (人資版)'!AF28,工作表1!$A$3:$B$74,2,FALSE)</f>
        <v>#REF!</v>
      </c>
      <c r="AG28" s="15" t="e">
        <f>VLOOKUP('北段 (人資版)'!AG28,工作表1!$A$3:$B$74,2,FALSE)</f>
        <v>#REF!</v>
      </c>
      <c r="AH28" s="15" t="e">
        <f>VLOOKUP('北段 (人資版)'!AH28,工作表1!$A$3:$B$74,2,FALSE)</f>
        <v>#REF!</v>
      </c>
      <c r="AI28" s="15" t="e">
        <f>VLOOKUP('北段 (人資版)'!AI28,工作表1!$A$3:$B$74,2,FALSE)</f>
        <v>#REF!</v>
      </c>
      <c r="AJ28" s="15" t="e">
        <f>VLOOKUP('北段 (人資版)'!AJ28,工作表1!$A$3:$B$74,2,FALSE)</f>
        <v>#REF!</v>
      </c>
      <c r="AK28" s="15" t="e">
        <f>VLOOKUP('北段 (人資版)'!AK28,工作表1!$A$3:$B$74,2,FALSE)</f>
        <v>#REF!</v>
      </c>
      <c r="AL28" s="15" t="e">
        <f>VLOOKUP('北段 (人資版)'!AL28,工作表1!$A$3:$B$74,2,FALSE)</f>
        <v>#REF!</v>
      </c>
    </row>
    <row r="29" spans="1:38" ht="39.75" customHeight="1">
      <c r="A29" s="35"/>
      <c r="B29" s="10" t="e">
        <f>北段!#REF!</f>
        <v>#REF!</v>
      </c>
      <c r="C29" s="10" t="e">
        <f>VLOOKUP(B29,北段!B:C,2,FALSE)</f>
        <v>#REF!</v>
      </c>
      <c r="D29" s="15" t="e">
        <f>VLOOKUP('北段 (人資版)'!D29,工作表1!$A$3:$B$74,2,FALSE)</f>
        <v>#REF!</v>
      </c>
      <c r="E29" s="15" t="e">
        <f>VLOOKUP('北段 (人資版)'!E29,工作表1!$A$3:$B$74,2,FALSE)</f>
        <v>#REF!</v>
      </c>
      <c r="F29" s="15" t="e">
        <f>VLOOKUP('北段 (人資版)'!F29,工作表1!$A$3:$B$74,2,FALSE)</f>
        <v>#REF!</v>
      </c>
      <c r="G29" s="15" t="e">
        <f>VLOOKUP('北段 (人資版)'!G29,工作表1!$A$3:$B$74,2,FALSE)</f>
        <v>#REF!</v>
      </c>
      <c r="H29" s="15" t="e">
        <f>VLOOKUP('北段 (人資版)'!H29,工作表1!$A$3:$B$74,2,FALSE)</f>
        <v>#REF!</v>
      </c>
      <c r="I29" s="15" t="e">
        <f>VLOOKUP('北段 (人資版)'!I29,工作表1!$A$3:$B$74,2,FALSE)</f>
        <v>#REF!</v>
      </c>
      <c r="J29" s="15" t="e">
        <f>VLOOKUP('北段 (人資版)'!J29,工作表1!$A$3:$B$74,2,FALSE)</f>
        <v>#REF!</v>
      </c>
      <c r="K29" s="15" t="e">
        <f>VLOOKUP('北段 (人資版)'!K29,工作表1!$A$3:$B$74,2,FALSE)</f>
        <v>#REF!</v>
      </c>
      <c r="L29" s="15" t="e">
        <f>VLOOKUP('北段 (人資版)'!L29,工作表1!$A$3:$B$74,2,FALSE)</f>
        <v>#REF!</v>
      </c>
      <c r="M29" s="15" t="e">
        <f>VLOOKUP('北段 (人資版)'!M29,工作表1!$A$3:$B$74,2,FALSE)</f>
        <v>#REF!</v>
      </c>
      <c r="N29" s="15" t="e">
        <f>VLOOKUP('北段 (人資版)'!N29,工作表1!$A$3:$B$74,2,FALSE)</f>
        <v>#REF!</v>
      </c>
      <c r="O29" s="15" t="e">
        <f>VLOOKUP('北段 (人資版)'!O29,工作表1!$A$3:$B$74,2,FALSE)</f>
        <v>#REF!</v>
      </c>
      <c r="P29" s="15" t="e">
        <f>VLOOKUP('北段 (人資版)'!P29,工作表1!$A$3:$B$74,2,FALSE)</f>
        <v>#REF!</v>
      </c>
      <c r="Q29" s="15" t="e">
        <f>VLOOKUP('北段 (人資版)'!Q29,工作表1!$A$3:$B$74,2,FALSE)</f>
        <v>#REF!</v>
      </c>
      <c r="R29" s="15" t="e">
        <f>VLOOKUP('北段 (人資版)'!R29,工作表1!$A$3:$B$74,2,FALSE)</f>
        <v>#REF!</v>
      </c>
      <c r="S29" s="15" t="e">
        <f>VLOOKUP('北段 (人資版)'!S29,工作表1!$A$3:$B$74,2,FALSE)</f>
        <v>#REF!</v>
      </c>
      <c r="T29" s="15" t="e">
        <f>VLOOKUP('北段 (人資版)'!T29,工作表1!$A$3:$B$74,2,FALSE)</f>
        <v>#REF!</v>
      </c>
      <c r="U29" s="15" t="e">
        <f>VLOOKUP('北段 (人資版)'!U29,工作表1!$A$3:$B$74,2,FALSE)</f>
        <v>#REF!</v>
      </c>
      <c r="V29" s="15" t="e">
        <f>VLOOKUP('北段 (人資版)'!V29,工作表1!$A$3:$B$74,2,FALSE)</f>
        <v>#REF!</v>
      </c>
      <c r="W29" s="15" t="e">
        <f>VLOOKUP('北段 (人資版)'!W29,工作表1!$A$3:$B$74,2,FALSE)</f>
        <v>#REF!</v>
      </c>
      <c r="X29" s="15" t="e">
        <f>VLOOKUP('北段 (人資版)'!X29,工作表1!$A$3:$B$74,2,FALSE)</f>
        <v>#REF!</v>
      </c>
      <c r="Y29" s="15" t="e">
        <f>VLOOKUP('北段 (人資版)'!Y29,工作表1!$A$3:$B$74,2,FALSE)</f>
        <v>#REF!</v>
      </c>
      <c r="Z29" s="15" t="e">
        <f>VLOOKUP('北段 (人資版)'!Z29,工作表1!$A$3:$B$74,2,FALSE)</f>
        <v>#REF!</v>
      </c>
      <c r="AA29" s="15" t="e">
        <f>VLOOKUP('北段 (人資版)'!AA29,工作表1!$A$3:$B$74,2,FALSE)</f>
        <v>#REF!</v>
      </c>
      <c r="AB29" s="15" t="e">
        <f>VLOOKUP('北段 (人資版)'!AB29,工作表1!$A$3:$B$74,2,FALSE)</f>
        <v>#REF!</v>
      </c>
      <c r="AC29" s="15" t="e">
        <f>VLOOKUP('北段 (人資版)'!AC29,工作表1!$A$3:$B$74,2,FALSE)</f>
        <v>#REF!</v>
      </c>
      <c r="AD29" s="15" t="e">
        <f>VLOOKUP('北段 (人資版)'!AD29,工作表1!$A$3:$B$74,2,FALSE)</f>
        <v>#REF!</v>
      </c>
      <c r="AE29" s="15" t="e">
        <f>VLOOKUP('北段 (人資版)'!AE29,工作表1!$A$3:$B$74,2,FALSE)</f>
        <v>#REF!</v>
      </c>
      <c r="AF29" s="15" t="e">
        <f>VLOOKUP('北段 (人資版)'!AF29,工作表1!$A$3:$B$74,2,FALSE)</f>
        <v>#REF!</v>
      </c>
      <c r="AG29" s="15" t="e">
        <f>VLOOKUP('北段 (人資版)'!AG29,工作表1!$A$3:$B$74,2,FALSE)</f>
        <v>#REF!</v>
      </c>
      <c r="AH29" s="15" t="e">
        <f>VLOOKUP('北段 (人資版)'!AH29,工作表1!$A$3:$B$74,2,FALSE)</f>
        <v>#REF!</v>
      </c>
      <c r="AI29" s="15" t="e">
        <f>VLOOKUP('北段 (人資版)'!AI29,工作表1!$A$3:$B$74,2,FALSE)</f>
        <v>#REF!</v>
      </c>
      <c r="AJ29" s="15" t="e">
        <f>VLOOKUP('北段 (人資版)'!AJ29,工作表1!$A$3:$B$74,2,FALSE)</f>
        <v>#REF!</v>
      </c>
      <c r="AK29" s="15" t="e">
        <f>VLOOKUP('北段 (人資版)'!AK29,工作表1!$A$3:$B$74,2,FALSE)</f>
        <v>#REF!</v>
      </c>
      <c r="AL29" s="15" t="e">
        <f>VLOOKUP('北段 (人資版)'!AL29,工作表1!$A$3:$B$74,2,FALSE)</f>
        <v>#REF!</v>
      </c>
    </row>
    <row r="30" spans="1:38" ht="39.75" customHeight="1">
      <c r="A30" s="35"/>
      <c r="B30" s="10" t="e">
        <f>北段!#REF!</f>
        <v>#REF!</v>
      </c>
      <c r="C30" s="10" t="e">
        <f>VLOOKUP(B30,北段!B:C,2,FALSE)</f>
        <v>#REF!</v>
      </c>
      <c r="D30" s="15" t="e">
        <f>VLOOKUP('北段 (人資版)'!D30,工作表1!$A$3:$B$74,2,FALSE)</f>
        <v>#REF!</v>
      </c>
      <c r="E30" s="15" t="e">
        <f>VLOOKUP('北段 (人資版)'!E30,工作表1!$A$3:$B$74,2,FALSE)</f>
        <v>#REF!</v>
      </c>
      <c r="F30" s="15" t="e">
        <f>VLOOKUP('北段 (人資版)'!F30,工作表1!$A$3:$B$74,2,FALSE)</f>
        <v>#REF!</v>
      </c>
      <c r="G30" s="15" t="e">
        <f>VLOOKUP('北段 (人資版)'!G30,工作表1!$A$3:$B$74,2,FALSE)</f>
        <v>#REF!</v>
      </c>
      <c r="H30" s="15" t="e">
        <f>VLOOKUP('北段 (人資版)'!H30,工作表1!$A$3:$B$74,2,FALSE)</f>
        <v>#REF!</v>
      </c>
      <c r="I30" s="15" t="e">
        <f>VLOOKUP('北段 (人資版)'!I30,工作表1!$A$3:$B$74,2,FALSE)</f>
        <v>#REF!</v>
      </c>
      <c r="J30" s="15" t="e">
        <f>VLOOKUP('北段 (人資版)'!J30,工作表1!$A$3:$B$74,2,FALSE)</f>
        <v>#REF!</v>
      </c>
      <c r="K30" s="15" t="e">
        <f>VLOOKUP('北段 (人資版)'!K30,工作表1!$A$3:$B$74,2,FALSE)</f>
        <v>#REF!</v>
      </c>
      <c r="L30" s="15" t="e">
        <f>VLOOKUP('北段 (人資版)'!L30,工作表1!$A$3:$B$74,2,FALSE)</f>
        <v>#REF!</v>
      </c>
      <c r="M30" s="15" t="e">
        <f>VLOOKUP('北段 (人資版)'!M30,工作表1!$A$3:$B$74,2,FALSE)</f>
        <v>#REF!</v>
      </c>
      <c r="N30" s="15" t="e">
        <f>VLOOKUP('北段 (人資版)'!N30,工作表1!$A$3:$B$74,2,FALSE)</f>
        <v>#REF!</v>
      </c>
      <c r="O30" s="15" t="e">
        <f>VLOOKUP('北段 (人資版)'!O30,工作表1!$A$3:$B$74,2,FALSE)</f>
        <v>#REF!</v>
      </c>
      <c r="P30" s="15" t="e">
        <f>VLOOKUP('北段 (人資版)'!P30,工作表1!$A$3:$B$74,2,FALSE)</f>
        <v>#REF!</v>
      </c>
      <c r="Q30" s="15" t="e">
        <f>VLOOKUP('北段 (人資版)'!Q30,工作表1!$A$3:$B$74,2,FALSE)</f>
        <v>#REF!</v>
      </c>
      <c r="R30" s="15" t="e">
        <f>VLOOKUP('北段 (人資版)'!R30,工作表1!$A$3:$B$74,2,FALSE)</f>
        <v>#REF!</v>
      </c>
      <c r="S30" s="15" t="e">
        <f>VLOOKUP('北段 (人資版)'!S30,工作表1!$A$3:$B$74,2,FALSE)</f>
        <v>#REF!</v>
      </c>
      <c r="T30" s="15" t="e">
        <f>VLOOKUP('北段 (人資版)'!T30,工作表1!$A$3:$B$74,2,FALSE)</f>
        <v>#REF!</v>
      </c>
      <c r="U30" s="15" t="e">
        <f>VLOOKUP('北段 (人資版)'!U30,工作表1!$A$3:$B$74,2,FALSE)</f>
        <v>#REF!</v>
      </c>
      <c r="V30" s="15" t="e">
        <f>VLOOKUP('北段 (人資版)'!V30,工作表1!$A$3:$B$74,2,FALSE)</f>
        <v>#REF!</v>
      </c>
      <c r="W30" s="15" t="e">
        <f>VLOOKUP('北段 (人資版)'!W30,工作表1!$A$3:$B$74,2,FALSE)</f>
        <v>#REF!</v>
      </c>
      <c r="X30" s="15" t="e">
        <f>VLOOKUP('北段 (人資版)'!X30,工作表1!$A$3:$B$74,2,FALSE)</f>
        <v>#REF!</v>
      </c>
      <c r="Y30" s="15" t="e">
        <f>VLOOKUP('北段 (人資版)'!Y30,工作表1!$A$3:$B$74,2,FALSE)</f>
        <v>#REF!</v>
      </c>
      <c r="Z30" s="15" t="e">
        <f>VLOOKUP('北段 (人資版)'!Z30,工作表1!$A$3:$B$74,2,FALSE)</f>
        <v>#REF!</v>
      </c>
      <c r="AA30" s="15" t="e">
        <f>VLOOKUP('北段 (人資版)'!AA30,工作表1!$A$3:$B$74,2,FALSE)</f>
        <v>#REF!</v>
      </c>
      <c r="AB30" s="15" t="e">
        <f>VLOOKUP('北段 (人資版)'!AB30,工作表1!$A$3:$B$74,2,FALSE)</f>
        <v>#REF!</v>
      </c>
      <c r="AC30" s="15" t="e">
        <f>VLOOKUP('北段 (人資版)'!AC30,工作表1!$A$3:$B$74,2,FALSE)</f>
        <v>#REF!</v>
      </c>
      <c r="AD30" s="15" t="e">
        <f>VLOOKUP('北段 (人資版)'!AD30,工作表1!$A$3:$B$74,2,FALSE)</f>
        <v>#REF!</v>
      </c>
      <c r="AE30" s="15" t="e">
        <f>VLOOKUP('北段 (人資版)'!AE30,工作表1!$A$3:$B$74,2,FALSE)</f>
        <v>#REF!</v>
      </c>
      <c r="AF30" s="15" t="e">
        <f>VLOOKUP('北段 (人資版)'!AF30,工作表1!$A$3:$B$74,2,FALSE)</f>
        <v>#REF!</v>
      </c>
      <c r="AG30" s="15" t="e">
        <f>VLOOKUP('北段 (人資版)'!AG30,工作表1!$A$3:$B$74,2,FALSE)</f>
        <v>#REF!</v>
      </c>
      <c r="AH30" s="15" t="e">
        <f>VLOOKUP('北段 (人資版)'!AH30,工作表1!$A$3:$B$74,2,FALSE)</f>
        <v>#REF!</v>
      </c>
      <c r="AI30" s="15" t="e">
        <f>VLOOKUP('北段 (人資版)'!AI30,工作表1!$A$3:$B$74,2,FALSE)</f>
        <v>#REF!</v>
      </c>
      <c r="AJ30" s="15" t="e">
        <f>VLOOKUP('北段 (人資版)'!AJ30,工作表1!$A$3:$B$74,2,FALSE)</f>
        <v>#REF!</v>
      </c>
      <c r="AK30" s="15" t="e">
        <f>VLOOKUP('北段 (人資版)'!AK30,工作表1!$A$3:$B$74,2,FALSE)</f>
        <v>#REF!</v>
      </c>
      <c r="AL30" s="15" t="e">
        <f>VLOOKUP('北段 (人資版)'!AL30,工作表1!$A$3:$B$74,2,FALSE)</f>
        <v>#REF!</v>
      </c>
    </row>
    <row r="31" spans="1:38" ht="39.75" customHeight="1" thickBot="1">
      <c r="A31" s="36"/>
      <c r="B31" s="10" t="e">
        <f>北段!#REF!</f>
        <v>#REF!</v>
      </c>
      <c r="C31" s="10" t="e">
        <f>VLOOKUP(B31,北段!B:C,2,FALSE)</f>
        <v>#REF!</v>
      </c>
      <c r="D31" s="15" t="e">
        <f>VLOOKUP('北段 (人資版)'!D31,工作表1!$A$3:$B$74,2,FALSE)</f>
        <v>#REF!</v>
      </c>
      <c r="E31" s="15" t="e">
        <f>VLOOKUP('北段 (人資版)'!E31,工作表1!$A$3:$B$74,2,FALSE)</f>
        <v>#REF!</v>
      </c>
      <c r="F31" s="15" t="e">
        <f>VLOOKUP('北段 (人資版)'!F31,工作表1!$A$3:$B$74,2,FALSE)</f>
        <v>#REF!</v>
      </c>
      <c r="G31" s="15" t="e">
        <f>VLOOKUP('北段 (人資版)'!G31,工作表1!$A$3:$B$74,2,FALSE)</f>
        <v>#REF!</v>
      </c>
      <c r="H31" s="15" t="e">
        <f>VLOOKUP('北段 (人資版)'!H31,工作表1!$A$3:$B$74,2,FALSE)</f>
        <v>#REF!</v>
      </c>
      <c r="I31" s="15" t="e">
        <f>VLOOKUP('北段 (人資版)'!I31,工作表1!$A$3:$B$74,2,FALSE)</f>
        <v>#REF!</v>
      </c>
      <c r="J31" s="15" t="e">
        <f>VLOOKUP('北段 (人資版)'!J31,工作表1!$A$3:$B$74,2,FALSE)</f>
        <v>#REF!</v>
      </c>
      <c r="K31" s="15" t="e">
        <f>VLOOKUP('北段 (人資版)'!K31,工作表1!$A$3:$B$74,2,FALSE)</f>
        <v>#REF!</v>
      </c>
      <c r="L31" s="15" t="e">
        <f>VLOOKUP('北段 (人資版)'!L31,工作表1!$A$3:$B$74,2,FALSE)</f>
        <v>#REF!</v>
      </c>
      <c r="M31" s="15" t="e">
        <f>VLOOKUP('北段 (人資版)'!M31,工作表1!$A$3:$B$74,2,FALSE)</f>
        <v>#REF!</v>
      </c>
      <c r="N31" s="15" t="e">
        <f>VLOOKUP('北段 (人資版)'!N31,工作表1!$A$3:$B$74,2,FALSE)</f>
        <v>#REF!</v>
      </c>
      <c r="O31" s="15" t="e">
        <f>VLOOKUP('北段 (人資版)'!O31,工作表1!$A$3:$B$74,2,FALSE)</f>
        <v>#REF!</v>
      </c>
      <c r="P31" s="15" t="e">
        <f>VLOOKUP('北段 (人資版)'!P31,工作表1!$A$3:$B$74,2,FALSE)</f>
        <v>#REF!</v>
      </c>
      <c r="Q31" s="15" t="e">
        <f>VLOOKUP('北段 (人資版)'!Q31,工作表1!$A$3:$B$74,2,FALSE)</f>
        <v>#REF!</v>
      </c>
      <c r="R31" s="15" t="e">
        <f>VLOOKUP('北段 (人資版)'!R31,工作表1!$A$3:$B$74,2,FALSE)</f>
        <v>#REF!</v>
      </c>
      <c r="S31" s="15" t="e">
        <f>VLOOKUP('北段 (人資版)'!S31,工作表1!$A$3:$B$74,2,FALSE)</f>
        <v>#REF!</v>
      </c>
      <c r="T31" s="15" t="e">
        <f>VLOOKUP('北段 (人資版)'!T31,工作表1!$A$3:$B$74,2,FALSE)</f>
        <v>#REF!</v>
      </c>
      <c r="U31" s="15" t="e">
        <f>VLOOKUP('北段 (人資版)'!U31,工作表1!$A$3:$B$74,2,FALSE)</f>
        <v>#REF!</v>
      </c>
      <c r="V31" s="15" t="e">
        <f>VLOOKUP('北段 (人資版)'!V31,工作表1!$A$3:$B$74,2,FALSE)</f>
        <v>#REF!</v>
      </c>
      <c r="W31" s="15" t="e">
        <f>VLOOKUP('北段 (人資版)'!W31,工作表1!$A$3:$B$74,2,FALSE)</f>
        <v>#REF!</v>
      </c>
      <c r="X31" s="15" t="e">
        <f>VLOOKUP('北段 (人資版)'!X31,工作表1!$A$3:$B$74,2,FALSE)</f>
        <v>#REF!</v>
      </c>
      <c r="Y31" s="15" t="e">
        <f>VLOOKUP('北段 (人資版)'!Y31,工作表1!$A$3:$B$74,2,FALSE)</f>
        <v>#REF!</v>
      </c>
      <c r="Z31" s="15" t="e">
        <f>VLOOKUP('北段 (人資版)'!Z31,工作表1!$A$3:$B$74,2,FALSE)</f>
        <v>#REF!</v>
      </c>
      <c r="AA31" s="15" t="e">
        <f>VLOOKUP('北段 (人資版)'!AA31,工作表1!$A$3:$B$74,2,FALSE)</f>
        <v>#REF!</v>
      </c>
      <c r="AB31" s="15" t="e">
        <f>VLOOKUP('北段 (人資版)'!AB31,工作表1!$A$3:$B$74,2,FALSE)</f>
        <v>#REF!</v>
      </c>
      <c r="AC31" s="15" t="e">
        <f>VLOOKUP('北段 (人資版)'!AC31,工作表1!$A$3:$B$74,2,FALSE)</f>
        <v>#REF!</v>
      </c>
      <c r="AD31" s="15" t="e">
        <f>VLOOKUP('北段 (人資版)'!AD31,工作表1!$A$3:$B$74,2,FALSE)</f>
        <v>#REF!</v>
      </c>
      <c r="AE31" s="15" t="e">
        <f>VLOOKUP('北段 (人資版)'!AE31,工作表1!$A$3:$B$74,2,FALSE)</f>
        <v>#REF!</v>
      </c>
      <c r="AF31" s="15" t="e">
        <f>VLOOKUP('北段 (人資版)'!AF31,工作表1!$A$3:$B$74,2,FALSE)</f>
        <v>#REF!</v>
      </c>
      <c r="AG31" s="15" t="e">
        <f>VLOOKUP('北段 (人資版)'!AG31,工作表1!$A$3:$B$74,2,FALSE)</f>
        <v>#REF!</v>
      </c>
      <c r="AH31" s="15" t="e">
        <f>VLOOKUP('北段 (人資版)'!AH31,工作表1!$A$3:$B$74,2,FALSE)</f>
        <v>#REF!</v>
      </c>
      <c r="AI31" s="15" t="e">
        <f>VLOOKUP('北段 (人資版)'!AI31,工作表1!$A$3:$B$74,2,FALSE)</f>
        <v>#REF!</v>
      </c>
      <c r="AJ31" s="15" t="e">
        <f>VLOOKUP('北段 (人資版)'!AJ31,工作表1!$A$3:$B$74,2,FALSE)</f>
        <v>#REF!</v>
      </c>
      <c r="AK31" s="15" t="e">
        <f>VLOOKUP('北段 (人資版)'!AK31,工作表1!$A$3:$B$74,2,FALSE)</f>
        <v>#REF!</v>
      </c>
      <c r="AL31" s="15" t="e">
        <f>VLOOKUP('北段 (人資版)'!AL31,工作表1!$A$3:$B$74,2,FALSE)</f>
        <v>#REF!</v>
      </c>
    </row>
    <row r="32" spans="1:38" ht="39.75" customHeight="1">
      <c r="A32" s="34" t="s">
        <v>12</v>
      </c>
      <c r="B32" s="10" t="e">
        <f>北段!#REF!</f>
        <v>#REF!</v>
      </c>
      <c r="C32" s="10" t="e">
        <f>VLOOKUP(B32,北段!B:C,2,FALSE)</f>
        <v>#REF!</v>
      </c>
      <c r="D32" s="15" t="e">
        <f>VLOOKUP('北段 (人資版)'!D32,工作表1!$A$3:$B$74,2,FALSE)</f>
        <v>#REF!</v>
      </c>
      <c r="E32" s="15" t="e">
        <f>VLOOKUP('北段 (人資版)'!E32,工作表1!$A$3:$B$74,2,FALSE)</f>
        <v>#REF!</v>
      </c>
      <c r="F32" s="15" t="e">
        <f>VLOOKUP('北段 (人資版)'!F32,工作表1!$A$3:$B$74,2,FALSE)</f>
        <v>#REF!</v>
      </c>
      <c r="G32" s="15" t="e">
        <f>VLOOKUP('北段 (人資版)'!G32,工作表1!$A$3:$B$74,2,FALSE)</f>
        <v>#REF!</v>
      </c>
      <c r="H32" s="15" t="e">
        <f>VLOOKUP('北段 (人資版)'!H32,工作表1!$A$3:$B$74,2,FALSE)</f>
        <v>#REF!</v>
      </c>
      <c r="I32" s="15" t="e">
        <f>VLOOKUP('北段 (人資版)'!I32,工作表1!$A$3:$B$74,2,FALSE)</f>
        <v>#REF!</v>
      </c>
      <c r="J32" s="15" t="e">
        <f>VLOOKUP('北段 (人資版)'!J32,工作表1!$A$3:$B$74,2,FALSE)</f>
        <v>#REF!</v>
      </c>
      <c r="K32" s="15" t="e">
        <f>VLOOKUP('北段 (人資版)'!K32,工作表1!$A$3:$B$74,2,FALSE)</f>
        <v>#REF!</v>
      </c>
      <c r="L32" s="15" t="e">
        <f>VLOOKUP('北段 (人資版)'!L32,工作表1!$A$3:$B$74,2,FALSE)</f>
        <v>#REF!</v>
      </c>
      <c r="M32" s="15" t="e">
        <f>VLOOKUP('北段 (人資版)'!M32,工作表1!$A$3:$B$74,2,FALSE)</f>
        <v>#REF!</v>
      </c>
      <c r="N32" s="15" t="e">
        <f>VLOOKUP('北段 (人資版)'!N32,工作表1!$A$3:$B$74,2,FALSE)</f>
        <v>#REF!</v>
      </c>
      <c r="O32" s="15" t="e">
        <f>VLOOKUP('北段 (人資版)'!O32,工作表1!$A$3:$B$74,2,FALSE)</f>
        <v>#REF!</v>
      </c>
      <c r="P32" s="15" t="e">
        <f>VLOOKUP('北段 (人資版)'!P32,工作表1!$A$3:$B$74,2,FALSE)</f>
        <v>#REF!</v>
      </c>
      <c r="Q32" s="15" t="e">
        <f>VLOOKUP('北段 (人資版)'!Q32,工作表1!$A$3:$B$74,2,FALSE)</f>
        <v>#REF!</v>
      </c>
      <c r="R32" s="15" t="e">
        <f>VLOOKUP('北段 (人資版)'!R32,工作表1!$A$3:$B$74,2,FALSE)</f>
        <v>#REF!</v>
      </c>
      <c r="S32" s="15" t="e">
        <f>VLOOKUP('北段 (人資版)'!S32,工作表1!$A$3:$B$74,2,FALSE)</f>
        <v>#REF!</v>
      </c>
      <c r="T32" s="15" t="e">
        <f>VLOOKUP('北段 (人資版)'!T32,工作表1!$A$3:$B$74,2,FALSE)</f>
        <v>#REF!</v>
      </c>
      <c r="U32" s="15" t="e">
        <f>VLOOKUP('北段 (人資版)'!U32,工作表1!$A$3:$B$74,2,FALSE)</f>
        <v>#REF!</v>
      </c>
      <c r="V32" s="15" t="e">
        <f>VLOOKUP('北段 (人資版)'!V32,工作表1!$A$3:$B$74,2,FALSE)</f>
        <v>#REF!</v>
      </c>
      <c r="W32" s="15" t="e">
        <f>VLOOKUP('北段 (人資版)'!W32,工作表1!$A$3:$B$74,2,FALSE)</f>
        <v>#REF!</v>
      </c>
      <c r="X32" s="15" t="e">
        <f>VLOOKUP('北段 (人資版)'!X32,工作表1!$A$3:$B$74,2,FALSE)</f>
        <v>#REF!</v>
      </c>
      <c r="Y32" s="15" t="e">
        <f>VLOOKUP('北段 (人資版)'!Y32,工作表1!$A$3:$B$74,2,FALSE)</f>
        <v>#REF!</v>
      </c>
      <c r="Z32" s="15" t="e">
        <f>VLOOKUP('北段 (人資版)'!Z32,工作表1!$A$3:$B$74,2,FALSE)</f>
        <v>#REF!</v>
      </c>
      <c r="AA32" s="15" t="e">
        <f>VLOOKUP('北段 (人資版)'!AA32,工作表1!$A$3:$B$74,2,FALSE)</f>
        <v>#REF!</v>
      </c>
      <c r="AB32" s="15" t="e">
        <f>VLOOKUP('北段 (人資版)'!AB32,工作表1!$A$3:$B$74,2,FALSE)</f>
        <v>#REF!</v>
      </c>
      <c r="AC32" s="15" t="e">
        <f>VLOOKUP('北段 (人資版)'!AC32,工作表1!$A$3:$B$74,2,FALSE)</f>
        <v>#REF!</v>
      </c>
      <c r="AD32" s="15" t="e">
        <f>VLOOKUP('北段 (人資版)'!AD32,工作表1!$A$3:$B$74,2,FALSE)</f>
        <v>#REF!</v>
      </c>
      <c r="AE32" s="15" t="e">
        <f>VLOOKUP('北段 (人資版)'!AE32,工作表1!$A$3:$B$74,2,FALSE)</f>
        <v>#REF!</v>
      </c>
      <c r="AF32" s="15" t="e">
        <f>VLOOKUP('北段 (人資版)'!AF32,工作表1!$A$3:$B$74,2,FALSE)</f>
        <v>#REF!</v>
      </c>
      <c r="AG32" s="15" t="e">
        <f>VLOOKUP('北段 (人資版)'!AG32,工作表1!$A$3:$B$74,2,FALSE)</f>
        <v>#REF!</v>
      </c>
      <c r="AH32" s="15" t="e">
        <f>VLOOKUP('北段 (人資版)'!AH32,工作表1!$A$3:$B$74,2,FALSE)</f>
        <v>#REF!</v>
      </c>
      <c r="AI32" s="15" t="e">
        <f>VLOOKUP('北段 (人資版)'!AI32,工作表1!$A$3:$B$74,2,FALSE)</f>
        <v>#REF!</v>
      </c>
      <c r="AJ32" s="15" t="e">
        <f>VLOOKUP('北段 (人資版)'!AJ32,工作表1!$A$3:$B$74,2,FALSE)</f>
        <v>#REF!</v>
      </c>
      <c r="AK32" s="15" t="e">
        <f>VLOOKUP('北段 (人資版)'!AK32,工作表1!$A$3:$B$74,2,FALSE)</f>
        <v>#REF!</v>
      </c>
      <c r="AL32" s="15" t="e">
        <f>VLOOKUP('北段 (人資版)'!AL32,工作表1!$A$3:$B$74,2,FALSE)</f>
        <v>#REF!</v>
      </c>
    </row>
    <row r="33" spans="1:38" ht="39.75" customHeight="1">
      <c r="A33" s="35"/>
      <c r="B33" s="10" t="e">
        <f>北段!#REF!</f>
        <v>#REF!</v>
      </c>
      <c r="C33" s="10" t="e">
        <f>VLOOKUP(B33,北段!B:C,2,FALSE)</f>
        <v>#REF!</v>
      </c>
      <c r="D33" s="15" t="e">
        <f>VLOOKUP('北段 (人資版)'!D33,工作表1!$A$3:$B$74,2,FALSE)</f>
        <v>#REF!</v>
      </c>
      <c r="E33" s="15" t="e">
        <f>VLOOKUP('北段 (人資版)'!E33,工作表1!$A$3:$B$74,2,FALSE)</f>
        <v>#REF!</v>
      </c>
      <c r="F33" s="15" t="e">
        <f>VLOOKUP('北段 (人資版)'!F33,工作表1!$A$3:$B$74,2,FALSE)</f>
        <v>#REF!</v>
      </c>
      <c r="G33" s="15" t="e">
        <f>VLOOKUP('北段 (人資版)'!G33,工作表1!$A$3:$B$74,2,FALSE)</f>
        <v>#REF!</v>
      </c>
      <c r="H33" s="15" t="e">
        <f>VLOOKUP('北段 (人資版)'!H33,工作表1!$A$3:$B$74,2,FALSE)</f>
        <v>#REF!</v>
      </c>
      <c r="I33" s="15" t="e">
        <f>VLOOKUP('北段 (人資版)'!I33,工作表1!$A$3:$B$74,2,FALSE)</f>
        <v>#REF!</v>
      </c>
      <c r="J33" s="15" t="e">
        <f>VLOOKUP('北段 (人資版)'!J33,工作表1!$A$3:$B$74,2,FALSE)</f>
        <v>#REF!</v>
      </c>
      <c r="K33" s="15" t="e">
        <f>VLOOKUP('北段 (人資版)'!K33,工作表1!$A$3:$B$74,2,FALSE)</f>
        <v>#REF!</v>
      </c>
      <c r="L33" s="15" t="e">
        <f>VLOOKUP('北段 (人資版)'!L33,工作表1!$A$3:$B$74,2,FALSE)</f>
        <v>#REF!</v>
      </c>
      <c r="M33" s="15" t="e">
        <f>VLOOKUP('北段 (人資版)'!M33,工作表1!$A$3:$B$74,2,FALSE)</f>
        <v>#REF!</v>
      </c>
      <c r="N33" s="15" t="e">
        <f>VLOOKUP('北段 (人資版)'!N33,工作表1!$A$3:$B$74,2,FALSE)</f>
        <v>#REF!</v>
      </c>
      <c r="O33" s="15" t="e">
        <f>VLOOKUP('北段 (人資版)'!O33,工作表1!$A$3:$B$74,2,FALSE)</f>
        <v>#REF!</v>
      </c>
      <c r="P33" s="15" t="e">
        <f>VLOOKUP('北段 (人資版)'!P33,工作表1!$A$3:$B$74,2,FALSE)</f>
        <v>#REF!</v>
      </c>
      <c r="Q33" s="15" t="e">
        <f>VLOOKUP('北段 (人資版)'!Q33,工作表1!$A$3:$B$74,2,FALSE)</f>
        <v>#REF!</v>
      </c>
      <c r="R33" s="15" t="e">
        <f>VLOOKUP('北段 (人資版)'!R33,工作表1!$A$3:$B$74,2,FALSE)</f>
        <v>#REF!</v>
      </c>
      <c r="S33" s="15" t="e">
        <f>VLOOKUP('北段 (人資版)'!S33,工作表1!$A$3:$B$74,2,FALSE)</f>
        <v>#REF!</v>
      </c>
      <c r="T33" s="15" t="e">
        <f>VLOOKUP('北段 (人資版)'!T33,工作表1!$A$3:$B$74,2,FALSE)</f>
        <v>#REF!</v>
      </c>
      <c r="U33" s="15" t="e">
        <f>VLOOKUP('北段 (人資版)'!U33,工作表1!$A$3:$B$74,2,FALSE)</f>
        <v>#REF!</v>
      </c>
      <c r="V33" s="15" t="e">
        <f>VLOOKUP('北段 (人資版)'!V33,工作表1!$A$3:$B$74,2,FALSE)</f>
        <v>#REF!</v>
      </c>
      <c r="W33" s="15" t="e">
        <f>VLOOKUP('北段 (人資版)'!W33,工作表1!$A$3:$B$74,2,FALSE)</f>
        <v>#REF!</v>
      </c>
      <c r="X33" s="15" t="e">
        <f>VLOOKUP('北段 (人資版)'!X33,工作表1!$A$3:$B$74,2,FALSE)</f>
        <v>#REF!</v>
      </c>
      <c r="Y33" s="15" t="e">
        <f>VLOOKUP('北段 (人資版)'!Y33,工作表1!$A$3:$B$74,2,FALSE)</f>
        <v>#REF!</v>
      </c>
      <c r="Z33" s="15" t="e">
        <f>VLOOKUP('北段 (人資版)'!Z33,工作表1!$A$3:$B$74,2,FALSE)</f>
        <v>#REF!</v>
      </c>
      <c r="AA33" s="15" t="e">
        <f>VLOOKUP('北段 (人資版)'!AA33,工作表1!$A$3:$B$74,2,FALSE)</f>
        <v>#REF!</v>
      </c>
      <c r="AB33" s="15" t="e">
        <f>VLOOKUP('北段 (人資版)'!AB33,工作表1!$A$3:$B$74,2,FALSE)</f>
        <v>#REF!</v>
      </c>
      <c r="AC33" s="15" t="e">
        <f>VLOOKUP('北段 (人資版)'!AC33,工作表1!$A$3:$B$74,2,FALSE)</f>
        <v>#REF!</v>
      </c>
      <c r="AD33" s="15" t="e">
        <f>VLOOKUP('北段 (人資版)'!AD33,工作表1!$A$3:$B$74,2,FALSE)</f>
        <v>#REF!</v>
      </c>
      <c r="AE33" s="15" t="e">
        <f>VLOOKUP('北段 (人資版)'!AE33,工作表1!$A$3:$B$74,2,FALSE)</f>
        <v>#REF!</v>
      </c>
      <c r="AF33" s="15" t="e">
        <f>VLOOKUP('北段 (人資版)'!AF33,工作表1!$A$3:$B$74,2,FALSE)</f>
        <v>#REF!</v>
      </c>
      <c r="AG33" s="15" t="e">
        <f>VLOOKUP('北段 (人資版)'!AG33,工作表1!$A$3:$B$74,2,FALSE)</f>
        <v>#REF!</v>
      </c>
      <c r="AH33" s="15" t="e">
        <f>VLOOKUP('北段 (人資版)'!AH33,工作表1!$A$3:$B$74,2,FALSE)</f>
        <v>#REF!</v>
      </c>
      <c r="AI33" s="15" t="e">
        <f>VLOOKUP('北段 (人資版)'!AI33,工作表1!$A$3:$B$74,2,FALSE)</f>
        <v>#REF!</v>
      </c>
      <c r="AJ33" s="15" t="e">
        <f>VLOOKUP('北段 (人資版)'!AJ33,工作表1!$A$3:$B$74,2,FALSE)</f>
        <v>#REF!</v>
      </c>
      <c r="AK33" s="15" t="e">
        <f>VLOOKUP('北段 (人資版)'!AK33,工作表1!$A$3:$B$74,2,FALSE)</f>
        <v>#REF!</v>
      </c>
      <c r="AL33" s="15" t="e">
        <f>VLOOKUP('北段 (人資版)'!AL33,工作表1!$A$3:$B$74,2,FALSE)</f>
        <v>#REF!</v>
      </c>
    </row>
    <row r="34" spans="1:38" ht="39.75" customHeight="1">
      <c r="A34" s="35"/>
      <c r="B34" s="10" t="e">
        <f>北段!#REF!</f>
        <v>#REF!</v>
      </c>
      <c r="C34" s="10" t="e">
        <f>VLOOKUP(B34,北段!B:C,2,FALSE)</f>
        <v>#REF!</v>
      </c>
      <c r="D34" s="15" t="e">
        <f>VLOOKUP('北段 (人資版)'!D34,工作表1!$A$3:$B$74,2,FALSE)</f>
        <v>#REF!</v>
      </c>
      <c r="E34" s="15" t="e">
        <f>VLOOKUP('北段 (人資版)'!E34,工作表1!$A$3:$B$74,2,FALSE)</f>
        <v>#REF!</v>
      </c>
      <c r="F34" s="15" t="e">
        <f>VLOOKUP('北段 (人資版)'!F34,工作表1!$A$3:$B$74,2,FALSE)</f>
        <v>#REF!</v>
      </c>
      <c r="G34" s="15" t="e">
        <f>VLOOKUP('北段 (人資版)'!G34,工作表1!$A$3:$B$74,2,FALSE)</f>
        <v>#REF!</v>
      </c>
      <c r="H34" s="15" t="e">
        <f>VLOOKUP('北段 (人資版)'!H34,工作表1!$A$3:$B$74,2,FALSE)</f>
        <v>#REF!</v>
      </c>
      <c r="I34" s="15" t="e">
        <f>VLOOKUP('北段 (人資版)'!I34,工作表1!$A$3:$B$74,2,FALSE)</f>
        <v>#REF!</v>
      </c>
      <c r="J34" s="15" t="e">
        <f>VLOOKUP('北段 (人資版)'!J34,工作表1!$A$3:$B$74,2,FALSE)</f>
        <v>#REF!</v>
      </c>
      <c r="K34" s="15" t="e">
        <f>VLOOKUP('北段 (人資版)'!K34,工作表1!$A$3:$B$74,2,FALSE)</f>
        <v>#REF!</v>
      </c>
      <c r="L34" s="15" t="e">
        <f>VLOOKUP('北段 (人資版)'!L34,工作表1!$A$3:$B$74,2,FALSE)</f>
        <v>#REF!</v>
      </c>
      <c r="M34" s="15" t="e">
        <f>VLOOKUP('北段 (人資版)'!M34,工作表1!$A$3:$B$74,2,FALSE)</f>
        <v>#REF!</v>
      </c>
      <c r="N34" s="15" t="e">
        <f>VLOOKUP('北段 (人資版)'!N34,工作表1!$A$3:$B$74,2,FALSE)</f>
        <v>#REF!</v>
      </c>
      <c r="O34" s="15" t="e">
        <f>VLOOKUP('北段 (人資版)'!O34,工作表1!$A$3:$B$74,2,FALSE)</f>
        <v>#REF!</v>
      </c>
      <c r="P34" s="15" t="e">
        <f>VLOOKUP('北段 (人資版)'!P34,工作表1!$A$3:$B$74,2,FALSE)</f>
        <v>#REF!</v>
      </c>
      <c r="Q34" s="15" t="e">
        <f>VLOOKUP('北段 (人資版)'!Q34,工作表1!$A$3:$B$74,2,FALSE)</f>
        <v>#REF!</v>
      </c>
      <c r="R34" s="15" t="e">
        <f>VLOOKUP('北段 (人資版)'!R34,工作表1!$A$3:$B$74,2,FALSE)</f>
        <v>#REF!</v>
      </c>
      <c r="S34" s="15" t="e">
        <f>VLOOKUP('北段 (人資版)'!S34,工作表1!$A$3:$B$74,2,FALSE)</f>
        <v>#REF!</v>
      </c>
      <c r="T34" s="15" t="e">
        <f>VLOOKUP('北段 (人資版)'!T34,工作表1!$A$3:$B$74,2,FALSE)</f>
        <v>#REF!</v>
      </c>
      <c r="U34" s="15" t="e">
        <f>VLOOKUP('北段 (人資版)'!U34,工作表1!$A$3:$B$74,2,FALSE)</f>
        <v>#REF!</v>
      </c>
      <c r="V34" s="15" t="e">
        <f>VLOOKUP('北段 (人資版)'!V34,工作表1!$A$3:$B$74,2,FALSE)</f>
        <v>#REF!</v>
      </c>
      <c r="W34" s="15" t="e">
        <f>VLOOKUP('北段 (人資版)'!W34,工作表1!$A$3:$B$74,2,FALSE)</f>
        <v>#REF!</v>
      </c>
      <c r="X34" s="15" t="e">
        <f>VLOOKUP('北段 (人資版)'!X34,工作表1!$A$3:$B$74,2,FALSE)</f>
        <v>#REF!</v>
      </c>
      <c r="Y34" s="15" t="e">
        <f>VLOOKUP('北段 (人資版)'!Y34,工作表1!$A$3:$B$74,2,FALSE)</f>
        <v>#REF!</v>
      </c>
      <c r="Z34" s="15" t="e">
        <f>VLOOKUP('北段 (人資版)'!Z34,工作表1!$A$3:$B$74,2,FALSE)</f>
        <v>#REF!</v>
      </c>
      <c r="AA34" s="15" t="e">
        <f>VLOOKUP('北段 (人資版)'!AA34,工作表1!$A$3:$B$74,2,FALSE)</f>
        <v>#REF!</v>
      </c>
      <c r="AB34" s="15" t="e">
        <f>VLOOKUP('北段 (人資版)'!AB34,工作表1!$A$3:$B$74,2,FALSE)</f>
        <v>#REF!</v>
      </c>
      <c r="AC34" s="15" t="e">
        <f>VLOOKUP('北段 (人資版)'!AC34,工作表1!$A$3:$B$74,2,FALSE)</f>
        <v>#REF!</v>
      </c>
      <c r="AD34" s="15" t="e">
        <f>VLOOKUP('北段 (人資版)'!AD34,工作表1!$A$3:$B$74,2,FALSE)</f>
        <v>#REF!</v>
      </c>
      <c r="AE34" s="15" t="e">
        <f>VLOOKUP('北段 (人資版)'!AE34,工作表1!$A$3:$B$74,2,FALSE)</f>
        <v>#REF!</v>
      </c>
      <c r="AF34" s="15" t="e">
        <f>VLOOKUP('北段 (人資版)'!AF34,工作表1!$A$3:$B$74,2,FALSE)</f>
        <v>#REF!</v>
      </c>
      <c r="AG34" s="15" t="e">
        <f>VLOOKUP('北段 (人資版)'!AG34,工作表1!$A$3:$B$74,2,FALSE)</f>
        <v>#REF!</v>
      </c>
      <c r="AH34" s="15" t="e">
        <f>VLOOKUP('北段 (人資版)'!AH34,工作表1!$A$3:$B$74,2,FALSE)</f>
        <v>#REF!</v>
      </c>
      <c r="AI34" s="15" t="e">
        <f>VLOOKUP('北段 (人資版)'!AI34,工作表1!$A$3:$B$74,2,FALSE)</f>
        <v>#REF!</v>
      </c>
      <c r="AJ34" s="15" t="e">
        <f>VLOOKUP('北段 (人資版)'!AJ34,工作表1!$A$3:$B$74,2,FALSE)</f>
        <v>#REF!</v>
      </c>
      <c r="AK34" s="15" t="e">
        <f>VLOOKUP('北段 (人資版)'!AK34,工作表1!$A$3:$B$74,2,FALSE)</f>
        <v>#REF!</v>
      </c>
      <c r="AL34" s="15" t="e">
        <f>VLOOKUP('北段 (人資版)'!AL34,工作表1!$A$3:$B$74,2,FALSE)</f>
        <v>#REF!</v>
      </c>
    </row>
    <row r="35" spans="1:38" ht="39.75" customHeight="1">
      <c r="A35" s="35"/>
      <c r="B35" s="10" t="e">
        <f>北段!#REF!</f>
        <v>#REF!</v>
      </c>
      <c r="C35" s="10" t="e">
        <f>VLOOKUP(B35,北段!B:C,2,FALSE)</f>
        <v>#REF!</v>
      </c>
      <c r="D35" s="15" t="e">
        <f>VLOOKUP('北段 (人資版)'!D36,工作表1!$A$3:$B$74,2,FALSE)</f>
        <v>#REF!</v>
      </c>
      <c r="E35" s="15" t="e">
        <f>VLOOKUP('北段 (人資版)'!E36,工作表1!$A$3:$B$74,2,FALSE)</f>
        <v>#REF!</v>
      </c>
      <c r="F35" s="15" t="e">
        <f>VLOOKUP('北段 (人資版)'!F36,工作表1!$A$3:$B$74,2,FALSE)</f>
        <v>#REF!</v>
      </c>
      <c r="G35" s="15" t="e">
        <f>VLOOKUP('北段 (人資版)'!G36,工作表1!$A$3:$B$74,2,FALSE)</f>
        <v>#REF!</v>
      </c>
      <c r="H35" s="15" t="e">
        <f>VLOOKUP('北段 (人資版)'!H36,工作表1!$A$3:$B$74,2,FALSE)</f>
        <v>#REF!</v>
      </c>
      <c r="I35" s="15" t="e">
        <f>VLOOKUP('北段 (人資版)'!I36,工作表1!$A$3:$B$74,2,FALSE)</f>
        <v>#REF!</v>
      </c>
      <c r="J35" s="15" t="e">
        <f>VLOOKUP('北段 (人資版)'!J36,工作表1!$A$3:$B$74,2,FALSE)</f>
        <v>#REF!</v>
      </c>
      <c r="K35" s="15" t="e">
        <f>VLOOKUP('北段 (人資版)'!K36,工作表1!$A$3:$B$74,2,FALSE)</f>
        <v>#REF!</v>
      </c>
      <c r="L35" s="15" t="e">
        <f>VLOOKUP('北段 (人資版)'!L36,工作表1!$A$3:$B$74,2,FALSE)</f>
        <v>#REF!</v>
      </c>
      <c r="M35" s="15" t="e">
        <f>VLOOKUP('北段 (人資版)'!M36,工作表1!$A$3:$B$74,2,FALSE)</f>
        <v>#REF!</v>
      </c>
      <c r="N35" s="15" t="e">
        <f>VLOOKUP('北段 (人資版)'!N36,工作表1!$A$3:$B$74,2,FALSE)</f>
        <v>#REF!</v>
      </c>
      <c r="O35" s="15" t="e">
        <f>VLOOKUP('北段 (人資版)'!O36,工作表1!$A$3:$B$74,2,FALSE)</f>
        <v>#REF!</v>
      </c>
      <c r="P35" s="15" t="e">
        <f>VLOOKUP('北段 (人資版)'!P36,工作表1!$A$3:$B$74,2,FALSE)</f>
        <v>#REF!</v>
      </c>
      <c r="Q35" s="15" t="e">
        <f>VLOOKUP('北段 (人資版)'!Q36,工作表1!$A$3:$B$74,2,FALSE)</f>
        <v>#REF!</v>
      </c>
      <c r="R35" s="15" t="e">
        <f>VLOOKUP('北段 (人資版)'!R36,工作表1!$A$3:$B$74,2,FALSE)</f>
        <v>#REF!</v>
      </c>
      <c r="S35" s="15" t="e">
        <f>VLOOKUP('北段 (人資版)'!S36,工作表1!$A$3:$B$74,2,FALSE)</f>
        <v>#REF!</v>
      </c>
      <c r="T35" s="15" t="e">
        <f>VLOOKUP('北段 (人資版)'!T36,工作表1!$A$3:$B$74,2,FALSE)</f>
        <v>#REF!</v>
      </c>
      <c r="U35" s="15" t="e">
        <f>VLOOKUP('北段 (人資版)'!U36,工作表1!$A$3:$B$74,2,FALSE)</f>
        <v>#REF!</v>
      </c>
      <c r="V35" s="15" t="e">
        <f>VLOOKUP('北段 (人資版)'!V36,工作表1!$A$3:$B$74,2,FALSE)</f>
        <v>#REF!</v>
      </c>
      <c r="W35" s="15" t="e">
        <f>VLOOKUP('北段 (人資版)'!W36,工作表1!$A$3:$B$74,2,FALSE)</f>
        <v>#REF!</v>
      </c>
      <c r="X35" s="15" t="e">
        <f>VLOOKUP('北段 (人資版)'!X36,工作表1!$A$3:$B$74,2,FALSE)</f>
        <v>#REF!</v>
      </c>
      <c r="Y35" s="15" t="e">
        <f>VLOOKUP('北段 (人資版)'!Y36,工作表1!$A$3:$B$74,2,FALSE)</f>
        <v>#REF!</v>
      </c>
      <c r="Z35" s="15" t="e">
        <f>VLOOKUP('北段 (人資版)'!Z36,工作表1!$A$3:$B$74,2,FALSE)</f>
        <v>#REF!</v>
      </c>
      <c r="AA35" s="15" t="e">
        <f>VLOOKUP('北段 (人資版)'!AA36,工作表1!$A$3:$B$74,2,FALSE)</f>
        <v>#REF!</v>
      </c>
      <c r="AB35" s="15" t="e">
        <f>VLOOKUP('北段 (人資版)'!AB36,工作表1!$A$3:$B$74,2,FALSE)</f>
        <v>#REF!</v>
      </c>
      <c r="AC35" s="15" t="e">
        <f>VLOOKUP('北段 (人資版)'!AC36,工作表1!$A$3:$B$74,2,FALSE)</f>
        <v>#REF!</v>
      </c>
      <c r="AD35" s="15" t="e">
        <f>VLOOKUP('北段 (人資版)'!AD36,工作表1!$A$3:$B$74,2,FALSE)</f>
        <v>#REF!</v>
      </c>
      <c r="AE35" s="15" t="e">
        <f>VLOOKUP('北段 (人資版)'!AE36,工作表1!$A$3:$B$74,2,FALSE)</f>
        <v>#REF!</v>
      </c>
      <c r="AF35" s="15" t="e">
        <f>VLOOKUP('北段 (人資版)'!AF36,工作表1!$A$3:$B$74,2,FALSE)</f>
        <v>#REF!</v>
      </c>
      <c r="AG35" s="15" t="e">
        <f>VLOOKUP('北段 (人資版)'!AG36,工作表1!$A$3:$B$74,2,FALSE)</f>
        <v>#REF!</v>
      </c>
      <c r="AH35" s="15" t="e">
        <f>VLOOKUP('北段 (人資版)'!AH36,工作表1!$A$3:$B$74,2,FALSE)</f>
        <v>#REF!</v>
      </c>
      <c r="AI35" s="15" t="e">
        <f>VLOOKUP('北段 (人資版)'!AI36,工作表1!$A$3:$B$74,2,FALSE)</f>
        <v>#REF!</v>
      </c>
      <c r="AJ35" s="15" t="e">
        <f>VLOOKUP('北段 (人資版)'!AJ36,工作表1!$A$3:$B$74,2,FALSE)</f>
        <v>#REF!</v>
      </c>
      <c r="AK35" s="15" t="e">
        <f>VLOOKUP('北段 (人資版)'!AK36,工作表1!$A$3:$B$74,2,FALSE)</f>
        <v>#REF!</v>
      </c>
      <c r="AL35" s="15" t="e">
        <f>VLOOKUP('北段 (人資版)'!AL36,工作表1!$A$3:$B$74,2,FALSE)</f>
        <v>#REF!</v>
      </c>
    </row>
    <row r="36" spans="1:38" ht="39.75" customHeight="1">
      <c r="A36" s="35"/>
      <c r="B36" s="10" t="e">
        <f>北段!#REF!</f>
        <v>#REF!</v>
      </c>
      <c r="C36" s="10" t="e">
        <f>VLOOKUP(B36,北段!B:C,2,FALSE)</f>
        <v>#REF!</v>
      </c>
      <c r="D36" s="15" t="e">
        <f>VLOOKUP('北段 (人資版)'!D37,工作表1!$A$3:$B$74,2,FALSE)</f>
        <v>#REF!</v>
      </c>
      <c r="E36" s="15" t="e">
        <f>VLOOKUP('北段 (人資版)'!E37,工作表1!$A$3:$B$74,2,FALSE)</f>
        <v>#REF!</v>
      </c>
      <c r="F36" s="15" t="e">
        <f>VLOOKUP('北段 (人資版)'!F37,工作表1!$A$3:$B$74,2,FALSE)</f>
        <v>#REF!</v>
      </c>
      <c r="G36" s="15" t="e">
        <f>VLOOKUP('北段 (人資版)'!G37,工作表1!$A$3:$B$74,2,FALSE)</f>
        <v>#REF!</v>
      </c>
      <c r="H36" s="15" t="e">
        <f>VLOOKUP('北段 (人資版)'!H37,工作表1!$A$3:$B$74,2,FALSE)</f>
        <v>#REF!</v>
      </c>
      <c r="I36" s="15" t="e">
        <f>VLOOKUP('北段 (人資版)'!I37,工作表1!$A$3:$B$74,2,FALSE)</f>
        <v>#REF!</v>
      </c>
      <c r="J36" s="15" t="e">
        <f>VLOOKUP('北段 (人資版)'!J37,工作表1!$A$3:$B$74,2,FALSE)</f>
        <v>#REF!</v>
      </c>
      <c r="K36" s="15" t="e">
        <f>VLOOKUP('北段 (人資版)'!K37,工作表1!$A$3:$B$74,2,FALSE)</f>
        <v>#REF!</v>
      </c>
      <c r="L36" s="15" t="e">
        <f>VLOOKUP('北段 (人資版)'!L37,工作表1!$A$3:$B$74,2,FALSE)</f>
        <v>#REF!</v>
      </c>
      <c r="M36" s="15" t="e">
        <f>VLOOKUP('北段 (人資版)'!M37,工作表1!$A$3:$B$74,2,FALSE)</f>
        <v>#REF!</v>
      </c>
      <c r="N36" s="15" t="e">
        <f>VLOOKUP('北段 (人資版)'!N37,工作表1!$A$3:$B$74,2,FALSE)</f>
        <v>#REF!</v>
      </c>
      <c r="O36" s="15" t="e">
        <f>VLOOKUP('北段 (人資版)'!O37,工作表1!$A$3:$B$74,2,FALSE)</f>
        <v>#REF!</v>
      </c>
      <c r="P36" s="15" t="e">
        <f>VLOOKUP('北段 (人資版)'!P37,工作表1!$A$3:$B$74,2,FALSE)</f>
        <v>#REF!</v>
      </c>
      <c r="Q36" s="15" t="e">
        <f>VLOOKUP('北段 (人資版)'!Q37,工作表1!$A$3:$B$74,2,FALSE)</f>
        <v>#REF!</v>
      </c>
      <c r="R36" s="15" t="e">
        <f>VLOOKUP('北段 (人資版)'!R37,工作表1!$A$3:$B$74,2,FALSE)</f>
        <v>#REF!</v>
      </c>
      <c r="S36" s="15" t="e">
        <f>VLOOKUP('北段 (人資版)'!S37,工作表1!$A$3:$B$74,2,FALSE)</f>
        <v>#REF!</v>
      </c>
      <c r="T36" s="15" t="e">
        <f>VLOOKUP('北段 (人資版)'!T37,工作表1!$A$3:$B$74,2,FALSE)</f>
        <v>#REF!</v>
      </c>
      <c r="U36" s="15" t="e">
        <f>VLOOKUP('北段 (人資版)'!U37,工作表1!$A$3:$B$74,2,FALSE)</f>
        <v>#REF!</v>
      </c>
      <c r="V36" s="15" t="e">
        <f>VLOOKUP('北段 (人資版)'!V37,工作表1!$A$3:$B$74,2,FALSE)</f>
        <v>#REF!</v>
      </c>
      <c r="W36" s="15" t="e">
        <f>VLOOKUP('北段 (人資版)'!W37,工作表1!$A$3:$B$74,2,FALSE)</f>
        <v>#REF!</v>
      </c>
      <c r="X36" s="15" t="e">
        <f>VLOOKUP('北段 (人資版)'!X37,工作表1!$A$3:$B$74,2,FALSE)</f>
        <v>#REF!</v>
      </c>
      <c r="Y36" s="15" t="e">
        <f>VLOOKUP('北段 (人資版)'!Y37,工作表1!$A$3:$B$74,2,FALSE)</f>
        <v>#REF!</v>
      </c>
      <c r="Z36" s="15" t="e">
        <f>VLOOKUP('北段 (人資版)'!Z37,工作表1!$A$3:$B$74,2,FALSE)</f>
        <v>#REF!</v>
      </c>
      <c r="AA36" s="15" t="e">
        <f>VLOOKUP('北段 (人資版)'!AA37,工作表1!$A$3:$B$74,2,FALSE)</f>
        <v>#REF!</v>
      </c>
      <c r="AB36" s="15" t="e">
        <f>VLOOKUP('北段 (人資版)'!AB37,工作表1!$A$3:$B$74,2,FALSE)</f>
        <v>#REF!</v>
      </c>
      <c r="AC36" s="15" t="e">
        <f>VLOOKUP('北段 (人資版)'!AC37,工作表1!$A$3:$B$74,2,FALSE)</f>
        <v>#REF!</v>
      </c>
      <c r="AD36" s="15" t="e">
        <f>VLOOKUP('北段 (人資版)'!AD37,工作表1!$A$3:$B$74,2,FALSE)</f>
        <v>#REF!</v>
      </c>
      <c r="AE36" s="15" t="e">
        <f>VLOOKUP('北段 (人資版)'!AE37,工作表1!$A$3:$B$74,2,FALSE)</f>
        <v>#REF!</v>
      </c>
      <c r="AF36" s="15" t="e">
        <f>VLOOKUP('北段 (人資版)'!AF37,工作表1!$A$3:$B$74,2,FALSE)</f>
        <v>#REF!</v>
      </c>
      <c r="AG36" s="15" t="e">
        <f>VLOOKUP('北段 (人資版)'!AG37,工作表1!$A$3:$B$74,2,FALSE)</f>
        <v>#REF!</v>
      </c>
      <c r="AH36" s="15" t="e">
        <f>VLOOKUP('北段 (人資版)'!AH37,工作表1!$A$3:$B$74,2,FALSE)</f>
        <v>#REF!</v>
      </c>
      <c r="AI36" s="15" t="e">
        <f>VLOOKUP('北段 (人資版)'!AI37,工作表1!$A$3:$B$74,2,FALSE)</f>
        <v>#REF!</v>
      </c>
      <c r="AJ36" s="15" t="e">
        <f>VLOOKUP('北段 (人資版)'!AJ37,工作表1!$A$3:$B$74,2,FALSE)</f>
        <v>#REF!</v>
      </c>
      <c r="AK36" s="15" t="e">
        <f>VLOOKUP('北段 (人資版)'!AK37,工作表1!$A$3:$B$74,2,FALSE)</f>
        <v>#REF!</v>
      </c>
      <c r="AL36" s="15" t="e">
        <f>VLOOKUP('北段 (人資版)'!AL37,工作表1!$A$3:$B$74,2,FALSE)</f>
        <v>#REF!</v>
      </c>
    </row>
    <row r="37" spans="1:38" ht="39.75" customHeight="1">
      <c r="A37" s="35"/>
      <c r="B37" s="10" t="e">
        <f>北段!#REF!</f>
        <v>#REF!</v>
      </c>
      <c r="C37" s="10" t="e">
        <f>VLOOKUP(B37,北段!B:C,2,FALSE)</f>
        <v>#REF!</v>
      </c>
      <c r="D37" s="15" t="e">
        <f>VLOOKUP('北段 (人資版)'!D38,工作表1!$A$3:$B$74,2,FALSE)</f>
        <v>#REF!</v>
      </c>
      <c r="E37" s="15" t="e">
        <f>VLOOKUP('北段 (人資版)'!E38,工作表1!$A$3:$B$74,2,FALSE)</f>
        <v>#REF!</v>
      </c>
      <c r="F37" s="15" t="e">
        <f>VLOOKUP('北段 (人資版)'!F38,工作表1!$A$3:$B$74,2,FALSE)</f>
        <v>#REF!</v>
      </c>
      <c r="G37" s="15" t="e">
        <f>VLOOKUP('北段 (人資版)'!G38,工作表1!$A$3:$B$74,2,FALSE)</f>
        <v>#REF!</v>
      </c>
      <c r="H37" s="15" t="e">
        <f>VLOOKUP('北段 (人資版)'!H38,工作表1!$A$3:$B$74,2,FALSE)</f>
        <v>#REF!</v>
      </c>
      <c r="I37" s="15" t="e">
        <f>VLOOKUP('北段 (人資版)'!I38,工作表1!$A$3:$B$74,2,FALSE)</f>
        <v>#REF!</v>
      </c>
      <c r="J37" s="15" t="e">
        <f>VLOOKUP('北段 (人資版)'!J38,工作表1!$A$3:$B$74,2,FALSE)</f>
        <v>#REF!</v>
      </c>
      <c r="K37" s="15" t="e">
        <f>VLOOKUP('北段 (人資版)'!K38,工作表1!$A$3:$B$74,2,FALSE)</f>
        <v>#REF!</v>
      </c>
      <c r="L37" s="15" t="e">
        <f>VLOOKUP('北段 (人資版)'!L38,工作表1!$A$3:$B$74,2,FALSE)</f>
        <v>#REF!</v>
      </c>
      <c r="M37" s="15" t="e">
        <f>VLOOKUP('北段 (人資版)'!M38,工作表1!$A$3:$B$74,2,FALSE)</f>
        <v>#REF!</v>
      </c>
      <c r="N37" s="15" t="e">
        <f>VLOOKUP('北段 (人資版)'!N38,工作表1!$A$3:$B$74,2,FALSE)</f>
        <v>#REF!</v>
      </c>
      <c r="O37" s="15" t="e">
        <f>VLOOKUP('北段 (人資版)'!O38,工作表1!$A$3:$B$74,2,FALSE)</f>
        <v>#REF!</v>
      </c>
      <c r="P37" s="15" t="e">
        <f>VLOOKUP('北段 (人資版)'!P38,工作表1!$A$3:$B$74,2,FALSE)</f>
        <v>#REF!</v>
      </c>
      <c r="Q37" s="15" t="e">
        <f>VLOOKUP('北段 (人資版)'!Q38,工作表1!$A$3:$B$74,2,FALSE)</f>
        <v>#REF!</v>
      </c>
      <c r="R37" s="15" t="e">
        <f>VLOOKUP('北段 (人資版)'!R38,工作表1!$A$3:$B$74,2,FALSE)</f>
        <v>#REF!</v>
      </c>
      <c r="S37" s="15" t="e">
        <f>VLOOKUP('北段 (人資版)'!S38,工作表1!$A$3:$B$74,2,FALSE)</f>
        <v>#REF!</v>
      </c>
      <c r="T37" s="15" t="e">
        <f>VLOOKUP('北段 (人資版)'!T38,工作表1!$A$3:$B$74,2,FALSE)</f>
        <v>#REF!</v>
      </c>
      <c r="U37" s="15" t="e">
        <f>VLOOKUP('北段 (人資版)'!U38,工作表1!$A$3:$B$74,2,FALSE)</f>
        <v>#REF!</v>
      </c>
      <c r="V37" s="15" t="e">
        <f>VLOOKUP('北段 (人資版)'!V38,工作表1!$A$3:$B$74,2,FALSE)</f>
        <v>#REF!</v>
      </c>
      <c r="W37" s="15" t="e">
        <f>VLOOKUP('北段 (人資版)'!W38,工作表1!$A$3:$B$74,2,FALSE)</f>
        <v>#REF!</v>
      </c>
      <c r="X37" s="15" t="e">
        <f>VLOOKUP('北段 (人資版)'!X38,工作表1!$A$3:$B$74,2,FALSE)</f>
        <v>#REF!</v>
      </c>
      <c r="Y37" s="15" t="e">
        <f>VLOOKUP('北段 (人資版)'!Y38,工作表1!$A$3:$B$74,2,FALSE)</f>
        <v>#REF!</v>
      </c>
      <c r="Z37" s="15" t="e">
        <f>VLOOKUP('北段 (人資版)'!Z38,工作表1!$A$3:$B$74,2,FALSE)</f>
        <v>#REF!</v>
      </c>
      <c r="AA37" s="15" t="e">
        <f>VLOOKUP('北段 (人資版)'!AA38,工作表1!$A$3:$B$74,2,FALSE)</f>
        <v>#REF!</v>
      </c>
      <c r="AB37" s="15" t="e">
        <f>VLOOKUP('北段 (人資版)'!AB38,工作表1!$A$3:$B$74,2,FALSE)</f>
        <v>#REF!</v>
      </c>
      <c r="AC37" s="15" t="e">
        <f>VLOOKUP('北段 (人資版)'!AC38,工作表1!$A$3:$B$74,2,FALSE)</f>
        <v>#REF!</v>
      </c>
      <c r="AD37" s="15" t="e">
        <f>VLOOKUP('北段 (人資版)'!AD38,工作表1!$A$3:$B$74,2,FALSE)</f>
        <v>#REF!</v>
      </c>
      <c r="AE37" s="15" t="e">
        <f>VLOOKUP('北段 (人資版)'!AE38,工作表1!$A$3:$B$74,2,FALSE)</f>
        <v>#REF!</v>
      </c>
      <c r="AF37" s="15" t="e">
        <f>VLOOKUP('北段 (人資版)'!AF38,工作表1!$A$3:$B$74,2,FALSE)</f>
        <v>#REF!</v>
      </c>
      <c r="AG37" s="15" t="e">
        <f>VLOOKUP('北段 (人資版)'!AG38,工作表1!$A$3:$B$74,2,FALSE)</f>
        <v>#REF!</v>
      </c>
      <c r="AH37" s="15" t="e">
        <f>VLOOKUP('北段 (人資版)'!AH38,工作表1!$A$3:$B$74,2,FALSE)</f>
        <v>#REF!</v>
      </c>
      <c r="AI37" s="15" t="e">
        <f>VLOOKUP('北段 (人資版)'!AI38,工作表1!$A$3:$B$74,2,FALSE)</f>
        <v>#REF!</v>
      </c>
      <c r="AJ37" s="15" t="e">
        <f>VLOOKUP('北段 (人資版)'!AJ38,工作表1!$A$3:$B$74,2,FALSE)</f>
        <v>#REF!</v>
      </c>
      <c r="AK37" s="15" t="e">
        <f>VLOOKUP('北段 (人資版)'!AK38,工作表1!$A$3:$B$74,2,FALSE)</f>
        <v>#REF!</v>
      </c>
      <c r="AL37" s="15" t="e">
        <f>VLOOKUP('北段 (人資版)'!AL38,工作表1!$A$3:$B$74,2,FALSE)</f>
        <v>#REF!</v>
      </c>
    </row>
    <row r="38" spans="1:38" ht="39.75" customHeight="1">
      <c r="A38" s="35"/>
      <c r="B38" s="10" t="e">
        <f>北段!#REF!</f>
        <v>#REF!</v>
      </c>
      <c r="C38" s="10" t="e">
        <f>VLOOKUP(B38,北段!B:C,2,FALSE)</f>
        <v>#REF!</v>
      </c>
      <c r="D38" s="15" t="e">
        <f>VLOOKUP('北段 (人資版)'!D39,工作表1!$A$3:$B$74,2,FALSE)</f>
        <v>#REF!</v>
      </c>
      <c r="E38" s="15" t="e">
        <f>VLOOKUP('北段 (人資版)'!E39,工作表1!$A$3:$B$74,2,FALSE)</f>
        <v>#REF!</v>
      </c>
      <c r="F38" s="15" t="e">
        <f>VLOOKUP('北段 (人資版)'!F39,工作表1!$A$3:$B$74,2,FALSE)</f>
        <v>#REF!</v>
      </c>
      <c r="G38" s="15" t="e">
        <f>VLOOKUP('北段 (人資版)'!G39,工作表1!$A$3:$B$74,2,FALSE)</f>
        <v>#REF!</v>
      </c>
      <c r="H38" s="15" t="e">
        <f>VLOOKUP('北段 (人資版)'!H39,工作表1!$A$3:$B$74,2,FALSE)</f>
        <v>#REF!</v>
      </c>
      <c r="I38" s="15" t="e">
        <f>VLOOKUP('北段 (人資版)'!I39,工作表1!$A$3:$B$74,2,FALSE)</f>
        <v>#REF!</v>
      </c>
      <c r="J38" s="15" t="e">
        <f>VLOOKUP('北段 (人資版)'!J39,工作表1!$A$3:$B$74,2,FALSE)</f>
        <v>#REF!</v>
      </c>
      <c r="K38" s="15" t="e">
        <f>VLOOKUP('北段 (人資版)'!K39,工作表1!$A$3:$B$74,2,FALSE)</f>
        <v>#REF!</v>
      </c>
      <c r="L38" s="15" t="e">
        <f>VLOOKUP('北段 (人資版)'!L39,工作表1!$A$3:$B$74,2,FALSE)</f>
        <v>#REF!</v>
      </c>
      <c r="M38" s="15" t="e">
        <f>VLOOKUP('北段 (人資版)'!M39,工作表1!$A$3:$B$74,2,FALSE)</f>
        <v>#REF!</v>
      </c>
      <c r="N38" s="15" t="e">
        <f>VLOOKUP('北段 (人資版)'!N39,工作表1!$A$3:$B$74,2,FALSE)</f>
        <v>#REF!</v>
      </c>
      <c r="O38" s="15" t="e">
        <f>VLOOKUP('北段 (人資版)'!O39,工作表1!$A$3:$B$74,2,FALSE)</f>
        <v>#REF!</v>
      </c>
      <c r="P38" s="15" t="e">
        <f>VLOOKUP('北段 (人資版)'!P39,工作表1!$A$3:$B$74,2,FALSE)</f>
        <v>#REF!</v>
      </c>
      <c r="Q38" s="15" t="e">
        <f>VLOOKUP('北段 (人資版)'!Q39,工作表1!$A$3:$B$74,2,FALSE)</f>
        <v>#REF!</v>
      </c>
      <c r="R38" s="15" t="e">
        <f>VLOOKUP('北段 (人資版)'!R39,工作表1!$A$3:$B$74,2,FALSE)</f>
        <v>#REF!</v>
      </c>
      <c r="S38" s="15" t="e">
        <f>VLOOKUP('北段 (人資版)'!S39,工作表1!$A$3:$B$74,2,FALSE)</f>
        <v>#REF!</v>
      </c>
      <c r="T38" s="15" t="e">
        <f>VLOOKUP('北段 (人資版)'!T39,工作表1!$A$3:$B$74,2,FALSE)</f>
        <v>#REF!</v>
      </c>
      <c r="U38" s="15" t="e">
        <f>VLOOKUP('北段 (人資版)'!U39,工作表1!$A$3:$B$74,2,FALSE)</f>
        <v>#REF!</v>
      </c>
      <c r="V38" s="15" t="e">
        <f>VLOOKUP('北段 (人資版)'!V39,工作表1!$A$3:$B$74,2,FALSE)</f>
        <v>#REF!</v>
      </c>
      <c r="W38" s="15" t="e">
        <f>VLOOKUP('北段 (人資版)'!W39,工作表1!$A$3:$B$74,2,FALSE)</f>
        <v>#REF!</v>
      </c>
      <c r="X38" s="15" t="e">
        <f>VLOOKUP('北段 (人資版)'!X39,工作表1!$A$3:$B$74,2,FALSE)</f>
        <v>#REF!</v>
      </c>
      <c r="Y38" s="15" t="e">
        <f>VLOOKUP('北段 (人資版)'!Y39,工作表1!$A$3:$B$74,2,FALSE)</f>
        <v>#REF!</v>
      </c>
      <c r="Z38" s="15" t="e">
        <f>VLOOKUP('北段 (人資版)'!Z39,工作表1!$A$3:$B$74,2,FALSE)</f>
        <v>#REF!</v>
      </c>
      <c r="AA38" s="15" t="e">
        <f>VLOOKUP('北段 (人資版)'!AA39,工作表1!$A$3:$B$74,2,FALSE)</f>
        <v>#REF!</v>
      </c>
      <c r="AB38" s="15" t="e">
        <f>VLOOKUP('北段 (人資版)'!AB39,工作表1!$A$3:$B$74,2,FALSE)</f>
        <v>#REF!</v>
      </c>
      <c r="AC38" s="15" t="e">
        <f>VLOOKUP('北段 (人資版)'!AC39,工作表1!$A$3:$B$74,2,FALSE)</f>
        <v>#REF!</v>
      </c>
      <c r="AD38" s="15" t="e">
        <f>VLOOKUP('北段 (人資版)'!AD39,工作表1!$A$3:$B$74,2,FALSE)</f>
        <v>#REF!</v>
      </c>
      <c r="AE38" s="15" t="e">
        <f>VLOOKUP('北段 (人資版)'!AE39,工作表1!$A$3:$B$74,2,FALSE)</f>
        <v>#REF!</v>
      </c>
      <c r="AF38" s="15" t="e">
        <f>VLOOKUP('北段 (人資版)'!AF39,工作表1!$A$3:$B$74,2,FALSE)</f>
        <v>#REF!</v>
      </c>
      <c r="AG38" s="15" t="e">
        <f>VLOOKUP('北段 (人資版)'!AG39,工作表1!$A$3:$B$74,2,FALSE)</f>
        <v>#REF!</v>
      </c>
      <c r="AH38" s="15" t="e">
        <f>VLOOKUP('北段 (人資版)'!AH39,工作表1!$A$3:$B$74,2,FALSE)</f>
        <v>#REF!</v>
      </c>
      <c r="AI38" s="15" t="e">
        <f>VLOOKUP('北段 (人資版)'!AI39,工作表1!$A$3:$B$74,2,FALSE)</f>
        <v>#REF!</v>
      </c>
      <c r="AJ38" s="15" t="e">
        <f>VLOOKUP('北段 (人資版)'!AJ39,工作表1!$A$3:$B$74,2,FALSE)</f>
        <v>#REF!</v>
      </c>
      <c r="AK38" s="15" t="e">
        <f>VLOOKUP('北段 (人資版)'!AK39,工作表1!$A$3:$B$74,2,FALSE)</f>
        <v>#REF!</v>
      </c>
      <c r="AL38" s="15" t="e">
        <f>VLOOKUP('北段 (人資版)'!AL39,工作表1!$A$3:$B$74,2,FALSE)</f>
        <v>#REF!</v>
      </c>
    </row>
    <row r="39" spans="1:38" ht="39.75" customHeight="1">
      <c r="A39" s="35"/>
      <c r="B39" s="10" t="e">
        <f>北段!#REF!</f>
        <v>#REF!</v>
      </c>
      <c r="C39" s="10" t="e">
        <f>VLOOKUP(B39,北段!B:C,2,FALSE)</f>
        <v>#REF!</v>
      </c>
      <c r="D39" s="15" t="e">
        <f>VLOOKUP('北段 (人資版)'!D40,工作表1!$A$3:$B$74,2,FALSE)</f>
        <v>#REF!</v>
      </c>
      <c r="E39" s="15" t="e">
        <f>VLOOKUP('北段 (人資版)'!E40,工作表1!$A$3:$B$74,2,FALSE)</f>
        <v>#REF!</v>
      </c>
      <c r="F39" s="15" t="e">
        <f>VLOOKUP('北段 (人資版)'!F40,工作表1!$A$3:$B$74,2,FALSE)</f>
        <v>#REF!</v>
      </c>
      <c r="G39" s="15" t="e">
        <f>VLOOKUP('北段 (人資版)'!G40,工作表1!$A$3:$B$74,2,FALSE)</f>
        <v>#REF!</v>
      </c>
      <c r="H39" s="15" t="e">
        <f>VLOOKUP('北段 (人資版)'!H40,工作表1!$A$3:$B$74,2,FALSE)</f>
        <v>#REF!</v>
      </c>
      <c r="I39" s="15" t="e">
        <f>VLOOKUP('北段 (人資版)'!I40,工作表1!$A$3:$B$74,2,FALSE)</f>
        <v>#REF!</v>
      </c>
      <c r="J39" s="15" t="e">
        <f>VLOOKUP('北段 (人資版)'!J40,工作表1!$A$3:$B$74,2,FALSE)</f>
        <v>#REF!</v>
      </c>
      <c r="K39" s="15" t="e">
        <f>VLOOKUP('北段 (人資版)'!K40,工作表1!$A$3:$B$74,2,FALSE)</f>
        <v>#REF!</v>
      </c>
      <c r="L39" s="15" t="e">
        <f>VLOOKUP('北段 (人資版)'!L40,工作表1!$A$3:$B$74,2,FALSE)</f>
        <v>#REF!</v>
      </c>
      <c r="M39" s="15" t="e">
        <f>VLOOKUP('北段 (人資版)'!M40,工作表1!$A$3:$B$74,2,FALSE)</f>
        <v>#REF!</v>
      </c>
      <c r="N39" s="15" t="e">
        <f>VLOOKUP('北段 (人資版)'!N40,工作表1!$A$3:$B$74,2,FALSE)</f>
        <v>#REF!</v>
      </c>
      <c r="O39" s="15" t="e">
        <f>VLOOKUP('北段 (人資版)'!O40,工作表1!$A$3:$B$74,2,FALSE)</f>
        <v>#REF!</v>
      </c>
      <c r="P39" s="15" t="e">
        <f>VLOOKUP('北段 (人資版)'!P40,工作表1!$A$3:$B$74,2,FALSE)</f>
        <v>#REF!</v>
      </c>
      <c r="Q39" s="15" t="e">
        <f>VLOOKUP('北段 (人資版)'!Q40,工作表1!$A$3:$B$74,2,FALSE)</f>
        <v>#REF!</v>
      </c>
      <c r="R39" s="15" t="e">
        <f>VLOOKUP('北段 (人資版)'!R40,工作表1!$A$3:$B$74,2,FALSE)</f>
        <v>#REF!</v>
      </c>
      <c r="S39" s="15" t="e">
        <f>VLOOKUP('北段 (人資版)'!S40,工作表1!$A$3:$B$74,2,FALSE)</f>
        <v>#REF!</v>
      </c>
      <c r="T39" s="15" t="e">
        <f>VLOOKUP('北段 (人資版)'!T40,工作表1!$A$3:$B$74,2,FALSE)</f>
        <v>#REF!</v>
      </c>
      <c r="U39" s="15" t="e">
        <f>VLOOKUP('北段 (人資版)'!U40,工作表1!$A$3:$B$74,2,FALSE)</f>
        <v>#REF!</v>
      </c>
      <c r="V39" s="15" t="e">
        <f>VLOOKUP('北段 (人資版)'!V40,工作表1!$A$3:$B$74,2,FALSE)</f>
        <v>#REF!</v>
      </c>
      <c r="W39" s="15" t="e">
        <f>VLOOKUP('北段 (人資版)'!W40,工作表1!$A$3:$B$74,2,FALSE)</f>
        <v>#REF!</v>
      </c>
      <c r="X39" s="15" t="e">
        <f>VLOOKUP('北段 (人資版)'!X40,工作表1!$A$3:$B$74,2,FALSE)</f>
        <v>#REF!</v>
      </c>
      <c r="Y39" s="15" t="e">
        <f>VLOOKUP('北段 (人資版)'!Y40,工作表1!$A$3:$B$74,2,FALSE)</f>
        <v>#REF!</v>
      </c>
      <c r="Z39" s="15" t="e">
        <f>VLOOKUP('北段 (人資版)'!Z40,工作表1!$A$3:$B$74,2,FALSE)</f>
        <v>#REF!</v>
      </c>
      <c r="AA39" s="15" t="e">
        <f>VLOOKUP('北段 (人資版)'!AA40,工作表1!$A$3:$B$74,2,FALSE)</f>
        <v>#REF!</v>
      </c>
      <c r="AB39" s="15" t="e">
        <f>VLOOKUP('北段 (人資版)'!AB40,工作表1!$A$3:$B$74,2,FALSE)</f>
        <v>#REF!</v>
      </c>
      <c r="AC39" s="15" t="e">
        <f>VLOOKUP('北段 (人資版)'!AC40,工作表1!$A$3:$B$74,2,FALSE)</f>
        <v>#REF!</v>
      </c>
      <c r="AD39" s="15" t="e">
        <f>VLOOKUP('北段 (人資版)'!AD40,工作表1!$A$3:$B$74,2,FALSE)</f>
        <v>#REF!</v>
      </c>
      <c r="AE39" s="15" t="e">
        <f>VLOOKUP('北段 (人資版)'!AE40,工作表1!$A$3:$B$74,2,FALSE)</f>
        <v>#REF!</v>
      </c>
      <c r="AF39" s="15" t="e">
        <f>VLOOKUP('北段 (人資版)'!AF40,工作表1!$A$3:$B$74,2,FALSE)</f>
        <v>#REF!</v>
      </c>
      <c r="AG39" s="15" t="e">
        <f>VLOOKUP('北段 (人資版)'!AG40,工作表1!$A$3:$B$74,2,FALSE)</f>
        <v>#REF!</v>
      </c>
      <c r="AH39" s="15" t="e">
        <f>VLOOKUP('北段 (人資版)'!AH40,工作表1!$A$3:$B$74,2,FALSE)</f>
        <v>#REF!</v>
      </c>
      <c r="AI39" s="15" t="e">
        <f>VLOOKUP('北段 (人資版)'!AI40,工作表1!$A$3:$B$74,2,FALSE)</f>
        <v>#REF!</v>
      </c>
      <c r="AJ39" s="15" t="e">
        <f>VLOOKUP('北段 (人資版)'!AJ40,工作表1!$A$3:$B$74,2,FALSE)</f>
        <v>#REF!</v>
      </c>
      <c r="AK39" s="15" t="e">
        <f>VLOOKUP('北段 (人資版)'!AK40,工作表1!$A$3:$B$74,2,FALSE)</f>
        <v>#REF!</v>
      </c>
      <c r="AL39" s="15" t="e">
        <f>VLOOKUP('北段 (人資版)'!AL40,工作表1!$A$3:$B$74,2,FALSE)</f>
        <v>#REF!</v>
      </c>
    </row>
    <row r="40" spans="1:38" ht="39.6" customHeight="1" thickBot="1">
      <c r="A40" s="36"/>
      <c r="B40" s="10" t="e">
        <f>北段!#REF!</f>
        <v>#REF!</v>
      </c>
      <c r="C40" s="10" t="e">
        <f>VLOOKUP(B40,北段!B:C,2,FALSE)</f>
        <v>#REF!</v>
      </c>
      <c r="D40" s="15" t="e">
        <f>VLOOKUP('北段 (人資版)'!D42,工作表1!$A$3:$B$74,2,FALSE)</f>
        <v>#REF!</v>
      </c>
      <c r="E40" s="15" t="e">
        <f>VLOOKUP('北段 (人資版)'!E42,工作表1!$A$3:$B$74,2,FALSE)</f>
        <v>#REF!</v>
      </c>
      <c r="F40" s="15" t="e">
        <f>VLOOKUP('北段 (人資版)'!F42,工作表1!$A$3:$B$74,2,FALSE)</f>
        <v>#REF!</v>
      </c>
      <c r="G40" s="15" t="e">
        <f>VLOOKUP('北段 (人資版)'!G42,工作表1!$A$3:$B$74,2,FALSE)</f>
        <v>#REF!</v>
      </c>
      <c r="H40" s="15" t="e">
        <f>VLOOKUP('北段 (人資版)'!H42,工作表1!$A$3:$B$74,2,FALSE)</f>
        <v>#REF!</v>
      </c>
      <c r="I40" s="15" t="e">
        <f>VLOOKUP('北段 (人資版)'!I42,工作表1!$A$3:$B$74,2,FALSE)</f>
        <v>#REF!</v>
      </c>
      <c r="J40" s="15" t="e">
        <f>VLOOKUP('北段 (人資版)'!J42,工作表1!$A$3:$B$74,2,FALSE)</f>
        <v>#REF!</v>
      </c>
      <c r="K40" s="15" t="e">
        <f>VLOOKUP('北段 (人資版)'!K42,工作表1!$A$3:$B$74,2,FALSE)</f>
        <v>#REF!</v>
      </c>
      <c r="L40" s="15" t="e">
        <f>VLOOKUP('北段 (人資版)'!L42,工作表1!$A$3:$B$74,2,FALSE)</f>
        <v>#REF!</v>
      </c>
      <c r="M40" s="15" t="e">
        <f>VLOOKUP('北段 (人資版)'!M42,工作表1!$A$3:$B$74,2,FALSE)</f>
        <v>#REF!</v>
      </c>
      <c r="N40" s="15" t="e">
        <f>VLOOKUP('北段 (人資版)'!N42,工作表1!$A$3:$B$74,2,FALSE)</f>
        <v>#REF!</v>
      </c>
      <c r="O40" s="15" t="e">
        <f>VLOOKUP('北段 (人資版)'!O42,工作表1!$A$3:$B$74,2,FALSE)</f>
        <v>#REF!</v>
      </c>
      <c r="P40" s="15" t="e">
        <f>VLOOKUP('北段 (人資版)'!P42,工作表1!$A$3:$B$74,2,FALSE)</f>
        <v>#REF!</v>
      </c>
      <c r="Q40" s="15" t="e">
        <f>VLOOKUP('北段 (人資版)'!Q42,工作表1!$A$3:$B$74,2,FALSE)</f>
        <v>#REF!</v>
      </c>
      <c r="R40" s="15" t="e">
        <f>VLOOKUP('北段 (人資版)'!R42,工作表1!$A$3:$B$74,2,FALSE)</f>
        <v>#REF!</v>
      </c>
      <c r="S40" s="15" t="e">
        <f>VLOOKUP('北段 (人資版)'!S42,工作表1!$A$3:$B$74,2,FALSE)</f>
        <v>#REF!</v>
      </c>
      <c r="T40" s="15" t="e">
        <f>VLOOKUP('北段 (人資版)'!T42,工作表1!$A$3:$B$74,2,FALSE)</f>
        <v>#REF!</v>
      </c>
      <c r="U40" s="15" t="e">
        <f>VLOOKUP('北段 (人資版)'!U42,工作表1!$A$3:$B$74,2,FALSE)</f>
        <v>#REF!</v>
      </c>
      <c r="V40" s="15" t="e">
        <f>VLOOKUP('北段 (人資版)'!V42,工作表1!$A$3:$B$74,2,FALSE)</f>
        <v>#REF!</v>
      </c>
      <c r="W40" s="15" t="e">
        <f>VLOOKUP('北段 (人資版)'!W42,工作表1!$A$3:$B$74,2,FALSE)</f>
        <v>#REF!</v>
      </c>
      <c r="X40" s="15" t="e">
        <f>VLOOKUP('北段 (人資版)'!X42,工作表1!$A$3:$B$74,2,FALSE)</f>
        <v>#REF!</v>
      </c>
      <c r="Y40" s="15" t="e">
        <f>VLOOKUP('北段 (人資版)'!Y42,工作表1!$A$3:$B$74,2,FALSE)</f>
        <v>#REF!</v>
      </c>
      <c r="Z40" s="15" t="e">
        <f>VLOOKUP('北段 (人資版)'!Z42,工作表1!$A$3:$B$74,2,FALSE)</f>
        <v>#REF!</v>
      </c>
      <c r="AA40" s="15" t="e">
        <f>VLOOKUP('北段 (人資版)'!AA42,工作表1!$A$3:$B$74,2,FALSE)</f>
        <v>#REF!</v>
      </c>
      <c r="AB40" s="15" t="e">
        <f>VLOOKUP('北段 (人資版)'!AB42,工作表1!$A$3:$B$74,2,FALSE)</f>
        <v>#REF!</v>
      </c>
      <c r="AC40" s="15" t="e">
        <f>VLOOKUP('北段 (人資版)'!AC42,工作表1!$A$3:$B$74,2,FALSE)</f>
        <v>#REF!</v>
      </c>
      <c r="AD40" s="15" t="e">
        <f>VLOOKUP('北段 (人資版)'!AD42,工作表1!$A$3:$B$74,2,FALSE)</f>
        <v>#REF!</v>
      </c>
      <c r="AE40" s="15" t="e">
        <f>VLOOKUP('北段 (人資版)'!AE42,工作表1!$A$3:$B$74,2,FALSE)</f>
        <v>#REF!</v>
      </c>
      <c r="AF40" s="15" t="e">
        <f>VLOOKUP('北段 (人資版)'!AF42,工作表1!$A$3:$B$74,2,FALSE)</f>
        <v>#REF!</v>
      </c>
      <c r="AG40" s="15" t="e">
        <f>VLOOKUP('北段 (人資版)'!AG42,工作表1!$A$3:$B$74,2,FALSE)</f>
        <v>#REF!</v>
      </c>
      <c r="AH40" s="15" t="e">
        <f>VLOOKUP('北段 (人資版)'!AH42,工作表1!$A$3:$B$74,2,FALSE)</f>
        <v>#REF!</v>
      </c>
      <c r="AI40" s="15" t="e">
        <f>VLOOKUP('北段 (人資版)'!AI42,工作表1!$A$3:$B$74,2,FALSE)</f>
        <v>#REF!</v>
      </c>
      <c r="AJ40" s="15" t="e">
        <f>VLOOKUP('北段 (人資版)'!AJ42,工作表1!$A$3:$B$74,2,FALSE)</f>
        <v>#REF!</v>
      </c>
      <c r="AK40" s="15" t="e">
        <f>VLOOKUP('北段 (人資版)'!AK42,工作表1!$A$3:$B$74,2,FALSE)</f>
        <v>#REF!</v>
      </c>
      <c r="AL40" s="15" t="e">
        <f>VLOOKUP('北段 (人資版)'!AL42,工作表1!$A$3:$B$74,2,FALSE)</f>
        <v>#REF!</v>
      </c>
    </row>
    <row r="41" spans="1:38" ht="39.75" customHeight="1">
      <c r="A41" s="34" t="s">
        <v>13</v>
      </c>
      <c r="B41" s="10" t="e">
        <f>北段!#REF!</f>
        <v>#REF!</v>
      </c>
      <c r="C41" s="10" t="e">
        <f>VLOOKUP(B41,北段!B:C,2,FALSE)</f>
        <v>#REF!</v>
      </c>
      <c r="D41" s="15" t="e">
        <f>VLOOKUP('北段 (人資版)'!D43,工作表1!$A$3:$B$74,2,FALSE)</f>
        <v>#REF!</v>
      </c>
      <c r="E41" s="15" t="e">
        <f>VLOOKUP('北段 (人資版)'!E43,工作表1!$A$3:$B$74,2,FALSE)</f>
        <v>#REF!</v>
      </c>
      <c r="F41" s="15" t="e">
        <f>VLOOKUP('北段 (人資版)'!F43,工作表1!$A$3:$B$74,2,FALSE)</f>
        <v>#REF!</v>
      </c>
      <c r="G41" s="15" t="e">
        <f>VLOOKUP('北段 (人資版)'!G43,工作表1!$A$3:$B$74,2,FALSE)</f>
        <v>#REF!</v>
      </c>
      <c r="H41" s="15" t="e">
        <f>VLOOKUP('北段 (人資版)'!H43,工作表1!$A$3:$B$74,2,FALSE)</f>
        <v>#REF!</v>
      </c>
      <c r="I41" s="15" t="e">
        <f>VLOOKUP('北段 (人資版)'!I43,工作表1!$A$3:$B$74,2,FALSE)</f>
        <v>#REF!</v>
      </c>
      <c r="J41" s="15" t="e">
        <f>VLOOKUP('北段 (人資版)'!J43,工作表1!$A$3:$B$74,2,FALSE)</f>
        <v>#REF!</v>
      </c>
      <c r="K41" s="15" t="e">
        <f>VLOOKUP('北段 (人資版)'!K43,工作表1!$A$3:$B$74,2,FALSE)</f>
        <v>#REF!</v>
      </c>
      <c r="L41" s="15" t="e">
        <f>VLOOKUP('北段 (人資版)'!L43,工作表1!$A$3:$B$74,2,FALSE)</f>
        <v>#REF!</v>
      </c>
      <c r="M41" s="15" t="e">
        <f>VLOOKUP('北段 (人資版)'!M43,工作表1!$A$3:$B$74,2,FALSE)</f>
        <v>#REF!</v>
      </c>
      <c r="N41" s="15" t="e">
        <f>VLOOKUP('北段 (人資版)'!N43,工作表1!$A$3:$B$74,2,FALSE)</f>
        <v>#REF!</v>
      </c>
      <c r="O41" s="15" t="e">
        <f>VLOOKUP('北段 (人資版)'!O43,工作表1!$A$3:$B$74,2,FALSE)</f>
        <v>#REF!</v>
      </c>
      <c r="P41" s="15" t="e">
        <f>VLOOKUP('北段 (人資版)'!P43,工作表1!$A$3:$B$74,2,FALSE)</f>
        <v>#REF!</v>
      </c>
      <c r="Q41" s="15" t="e">
        <f>VLOOKUP('北段 (人資版)'!Q43,工作表1!$A$3:$B$74,2,FALSE)</f>
        <v>#REF!</v>
      </c>
      <c r="R41" s="15" t="e">
        <f>VLOOKUP('北段 (人資版)'!R43,工作表1!$A$3:$B$74,2,FALSE)</f>
        <v>#REF!</v>
      </c>
      <c r="S41" s="15" t="e">
        <f>VLOOKUP('北段 (人資版)'!S43,工作表1!$A$3:$B$74,2,FALSE)</f>
        <v>#REF!</v>
      </c>
      <c r="T41" s="15" t="e">
        <f>VLOOKUP('北段 (人資版)'!T43,工作表1!$A$3:$B$74,2,FALSE)</f>
        <v>#REF!</v>
      </c>
      <c r="U41" s="15" t="e">
        <f>VLOOKUP('北段 (人資版)'!U43,工作表1!$A$3:$B$74,2,FALSE)</f>
        <v>#REF!</v>
      </c>
      <c r="V41" s="15" t="e">
        <f>VLOOKUP('北段 (人資版)'!V43,工作表1!$A$3:$B$74,2,FALSE)</f>
        <v>#REF!</v>
      </c>
      <c r="W41" s="15" t="e">
        <f>VLOOKUP('北段 (人資版)'!W43,工作表1!$A$3:$B$74,2,FALSE)</f>
        <v>#REF!</v>
      </c>
      <c r="X41" s="15" t="e">
        <f>VLOOKUP('北段 (人資版)'!X43,工作表1!$A$3:$B$74,2,FALSE)</f>
        <v>#REF!</v>
      </c>
      <c r="Y41" s="15" t="e">
        <f>VLOOKUP('北段 (人資版)'!Y43,工作表1!$A$3:$B$74,2,FALSE)</f>
        <v>#REF!</v>
      </c>
      <c r="Z41" s="15" t="e">
        <f>VLOOKUP('北段 (人資版)'!Z43,工作表1!$A$3:$B$74,2,FALSE)</f>
        <v>#REF!</v>
      </c>
      <c r="AA41" s="15" t="e">
        <f>VLOOKUP('北段 (人資版)'!AA43,工作表1!$A$3:$B$74,2,FALSE)</f>
        <v>#REF!</v>
      </c>
      <c r="AB41" s="15" t="e">
        <f>VLOOKUP('北段 (人資版)'!AB43,工作表1!$A$3:$B$74,2,FALSE)</f>
        <v>#REF!</v>
      </c>
      <c r="AC41" s="15" t="e">
        <f>VLOOKUP('北段 (人資版)'!AC43,工作表1!$A$3:$B$74,2,FALSE)</f>
        <v>#REF!</v>
      </c>
      <c r="AD41" s="15" t="e">
        <f>VLOOKUP('北段 (人資版)'!AD43,工作表1!$A$3:$B$74,2,FALSE)</f>
        <v>#REF!</v>
      </c>
      <c r="AE41" s="15" t="e">
        <f>VLOOKUP('北段 (人資版)'!AE43,工作表1!$A$3:$B$74,2,FALSE)</f>
        <v>#REF!</v>
      </c>
      <c r="AF41" s="15" t="e">
        <f>VLOOKUP('北段 (人資版)'!AF43,工作表1!$A$3:$B$74,2,FALSE)</f>
        <v>#REF!</v>
      </c>
      <c r="AG41" s="15" t="e">
        <f>VLOOKUP('北段 (人資版)'!AG43,工作表1!$A$3:$B$74,2,FALSE)</f>
        <v>#REF!</v>
      </c>
      <c r="AH41" s="15" t="e">
        <f>VLOOKUP('北段 (人資版)'!AH43,工作表1!$A$3:$B$74,2,FALSE)</f>
        <v>#REF!</v>
      </c>
      <c r="AI41" s="15" t="e">
        <f>VLOOKUP('北段 (人資版)'!AI43,工作表1!$A$3:$B$74,2,FALSE)</f>
        <v>#REF!</v>
      </c>
      <c r="AJ41" s="15" t="e">
        <f>VLOOKUP('北段 (人資版)'!AJ43,工作表1!$A$3:$B$74,2,FALSE)</f>
        <v>#REF!</v>
      </c>
      <c r="AK41" s="15" t="e">
        <f>VLOOKUP('北段 (人資版)'!AK43,工作表1!$A$3:$B$74,2,FALSE)</f>
        <v>#REF!</v>
      </c>
      <c r="AL41" s="15" t="e">
        <f>VLOOKUP('北段 (人資版)'!AL43,工作表1!$A$3:$B$74,2,FALSE)</f>
        <v>#REF!</v>
      </c>
    </row>
    <row r="42" spans="1:38" ht="39.75" customHeight="1">
      <c r="A42" s="35"/>
      <c r="B42" s="10" t="e">
        <f>北段!#REF!</f>
        <v>#REF!</v>
      </c>
      <c r="C42" s="10" t="e">
        <f>VLOOKUP(B42,北段!B:C,2,FALSE)</f>
        <v>#REF!</v>
      </c>
      <c r="D42" s="15" t="e">
        <f>VLOOKUP('北段 (人資版)'!#REF!,工作表1!$A$3:$B$74,2,FALSE)</f>
        <v>#REF!</v>
      </c>
      <c r="E42" s="15" t="e">
        <f>VLOOKUP('北段 (人資版)'!#REF!,工作表1!$A$3:$B$74,2,FALSE)</f>
        <v>#REF!</v>
      </c>
      <c r="F42" s="15" t="e">
        <f>VLOOKUP('北段 (人資版)'!#REF!,工作表1!$A$3:$B$74,2,FALSE)</f>
        <v>#REF!</v>
      </c>
      <c r="G42" s="15" t="e">
        <f>VLOOKUP('北段 (人資版)'!#REF!,工作表1!$A$3:$B$74,2,FALSE)</f>
        <v>#REF!</v>
      </c>
      <c r="H42" s="15" t="e">
        <f>VLOOKUP('北段 (人資版)'!#REF!,工作表1!$A$3:$B$74,2,FALSE)</f>
        <v>#REF!</v>
      </c>
      <c r="I42" s="15" t="e">
        <f>VLOOKUP('北段 (人資版)'!#REF!,工作表1!$A$3:$B$74,2,FALSE)</f>
        <v>#REF!</v>
      </c>
      <c r="J42" s="15" t="e">
        <f>VLOOKUP('北段 (人資版)'!#REF!,工作表1!$A$3:$B$74,2,FALSE)</f>
        <v>#REF!</v>
      </c>
      <c r="K42" s="15" t="e">
        <f>VLOOKUP('北段 (人資版)'!#REF!,工作表1!$A$3:$B$74,2,FALSE)</f>
        <v>#REF!</v>
      </c>
      <c r="L42" s="15" t="e">
        <f>VLOOKUP('北段 (人資版)'!#REF!,工作表1!$A$3:$B$74,2,FALSE)</f>
        <v>#REF!</v>
      </c>
      <c r="M42" s="15" t="e">
        <f>VLOOKUP('北段 (人資版)'!#REF!,工作表1!$A$3:$B$74,2,FALSE)</f>
        <v>#REF!</v>
      </c>
      <c r="N42" s="15" t="e">
        <f>VLOOKUP('北段 (人資版)'!#REF!,工作表1!$A$3:$B$74,2,FALSE)</f>
        <v>#REF!</v>
      </c>
      <c r="O42" s="15" t="e">
        <f>VLOOKUP('北段 (人資版)'!#REF!,工作表1!$A$3:$B$74,2,FALSE)</f>
        <v>#REF!</v>
      </c>
      <c r="P42" s="15" t="e">
        <f>VLOOKUP('北段 (人資版)'!#REF!,工作表1!$A$3:$B$74,2,FALSE)</f>
        <v>#REF!</v>
      </c>
      <c r="Q42" s="15" t="e">
        <f>VLOOKUP('北段 (人資版)'!#REF!,工作表1!$A$3:$B$74,2,FALSE)</f>
        <v>#REF!</v>
      </c>
      <c r="R42" s="15" t="e">
        <f>VLOOKUP('北段 (人資版)'!#REF!,工作表1!$A$3:$B$74,2,FALSE)</f>
        <v>#REF!</v>
      </c>
      <c r="S42" s="15" t="e">
        <f>VLOOKUP('北段 (人資版)'!#REF!,工作表1!$A$3:$B$74,2,FALSE)</f>
        <v>#REF!</v>
      </c>
      <c r="T42" s="15" t="e">
        <f>VLOOKUP('北段 (人資版)'!#REF!,工作表1!$A$3:$B$74,2,FALSE)</f>
        <v>#REF!</v>
      </c>
      <c r="U42" s="15" t="e">
        <f>VLOOKUP('北段 (人資版)'!#REF!,工作表1!$A$3:$B$74,2,FALSE)</f>
        <v>#REF!</v>
      </c>
      <c r="V42" s="15" t="e">
        <f>VLOOKUP('北段 (人資版)'!#REF!,工作表1!$A$3:$B$74,2,FALSE)</f>
        <v>#REF!</v>
      </c>
      <c r="W42" s="15" t="e">
        <f>VLOOKUP('北段 (人資版)'!#REF!,工作表1!$A$3:$B$74,2,FALSE)</f>
        <v>#REF!</v>
      </c>
      <c r="X42" s="15" t="e">
        <f>VLOOKUP('北段 (人資版)'!#REF!,工作表1!$A$3:$B$74,2,FALSE)</f>
        <v>#REF!</v>
      </c>
      <c r="Y42" s="15" t="e">
        <f>VLOOKUP('北段 (人資版)'!#REF!,工作表1!$A$3:$B$74,2,FALSE)</f>
        <v>#REF!</v>
      </c>
      <c r="Z42" s="15" t="e">
        <f>VLOOKUP('北段 (人資版)'!#REF!,工作表1!$A$3:$B$74,2,FALSE)</f>
        <v>#REF!</v>
      </c>
      <c r="AA42" s="15" t="e">
        <f>VLOOKUP('北段 (人資版)'!#REF!,工作表1!$A$3:$B$74,2,FALSE)</f>
        <v>#REF!</v>
      </c>
      <c r="AB42" s="15" t="e">
        <f>VLOOKUP('北段 (人資版)'!#REF!,工作表1!$A$3:$B$74,2,FALSE)</f>
        <v>#REF!</v>
      </c>
      <c r="AC42" s="15" t="e">
        <f>VLOOKUP('北段 (人資版)'!#REF!,工作表1!$A$3:$B$74,2,FALSE)</f>
        <v>#REF!</v>
      </c>
      <c r="AD42" s="15" t="e">
        <f>VLOOKUP('北段 (人資版)'!#REF!,工作表1!$A$3:$B$74,2,FALSE)</f>
        <v>#REF!</v>
      </c>
      <c r="AE42" s="15" t="e">
        <f>VLOOKUP('北段 (人資版)'!#REF!,工作表1!$A$3:$B$74,2,FALSE)</f>
        <v>#REF!</v>
      </c>
      <c r="AF42" s="15" t="e">
        <f>VLOOKUP('北段 (人資版)'!#REF!,工作表1!$A$3:$B$74,2,FALSE)</f>
        <v>#REF!</v>
      </c>
      <c r="AG42" s="15" t="e">
        <f>VLOOKUP('北段 (人資版)'!#REF!,工作表1!$A$3:$B$74,2,FALSE)</f>
        <v>#REF!</v>
      </c>
      <c r="AH42" s="15" t="e">
        <f>VLOOKUP('北段 (人資版)'!#REF!,工作表1!$A$3:$B$74,2,FALSE)</f>
        <v>#REF!</v>
      </c>
      <c r="AI42" s="15" t="e">
        <f>VLOOKUP('北段 (人資版)'!#REF!,工作表1!$A$3:$B$74,2,FALSE)</f>
        <v>#REF!</v>
      </c>
      <c r="AJ42" s="15" t="e">
        <f>VLOOKUP('北段 (人資版)'!#REF!,工作表1!$A$3:$B$74,2,FALSE)</f>
        <v>#REF!</v>
      </c>
      <c r="AK42" s="15" t="e">
        <f>VLOOKUP('北段 (人資版)'!#REF!,工作表1!$A$3:$B$74,2,FALSE)</f>
        <v>#REF!</v>
      </c>
      <c r="AL42" s="15" t="e">
        <f>VLOOKUP('北段 (人資版)'!#REF!,工作表1!$A$3:$B$74,2,FALSE)</f>
        <v>#REF!</v>
      </c>
    </row>
    <row r="43" spans="1:38" ht="39.75" customHeight="1">
      <c r="A43" s="35"/>
      <c r="B43" s="10" t="e">
        <f>北段!#REF!</f>
        <v>#REF!</v>
      </c>
      <c r="C43" s="10" t="e">
        <f>VLOOKUP(B43,北段!B:C,2,FALSE)</f>
        <v>#REF!</v>
      </c>
      <c r="D43" s="15" t="e">
        <f>VLOOKUP('北段 (人資版)'!#REF!,工作表1!$A$3:$B$74,2,FALSE)</f>
        <v>#REF!</v>
      </c>
      <c r="E43" s="15" t="e">
        <f>VLOOKUP('北段 (人資版)'!#REF!,工作表1!$A$3:$B$74,2,FALSE)</f>
        <v>#REF!</v>
      </c>
      <c r="F43" s="15" t="e">
        <f>VLOOKUP('北段 (人資版)'!#REF!,工作表1!$A$3:$B$74,2,FALSE)</f>
        <v>#REF!</v>
      </c>
      <c r="G43" s="15" t="e">
        <f>VLOOKUP('北段 (人資版)'!#REF!,工作表1!$A$3:$B$74,2,FALSE)</f>
        <v>#REF!</v>
      </c>
      <c r="H43" s="15" t="e">
        <f>VLOOKUP('北段 (人資版)'!#REF!,工作表1!$A$3:$B$74,2,FALSE)</f>
        <v>#REF!</v>
      </c>
      <c r="I43" s="15" t="e">
        <f>VLOOKUP('北段 (人資版)'!#REF!,工作表1!$A$3:$B$74,2,FALSE)</f>
        <v>#REF!</v>
      </c>
      <c r="J43" s="15" t="e">
        <f>VLOOKUP('北段 (人資版)'!#REF!,工作表1!$A$3:$B$74,2,FALSE)</f>
        <v>#REF!</v>
      </c>
      <c r="K43" s="15" t="e">
        <f>VLOOKUP('北段 (人資版)'!#REF!,工作表1!$A$3:$B$74,2,FALSE)</f>
        <v>#REF!</v>
      </c>
      <c r="L43" s="15" t="e">
        <f>VLOOKUP('北段 (人資版)'!#REF!,工作表1!$A$3:$B$74,2,FALSE)</f>
        <v>#REF!</v>
      </c>
      <c r="M43" s="15" t="e">
        <f>VLOOKUP('北段 (人資版)'!#REF!,工作表1!$A$3:$B$74,2,FALSE)</f>
        <v>#REF!</v>
      </c>
      <c r="N43" s="15" t="e">
        <f>VLOOKUP('北段 (人資版)'!#REF!,工作表1!$A$3:$B$74,2,FALSE)</f>
        <v>#REF!</v>
      </c>
      <c r="O43" s="15" t="e">
        <f>VLOOKUP('北段 (人資版)'!#REF!,工作表1!$A$3:$B$74,2,FALSE)</f>
        <v>#REF!</v>
      </c>
      <c r="P43" s="15" t="e">
        <f>VLOOKUP('北段 (人資版)'!#REF!,工作表1!$A$3:$B$74,2,FALSE)</f>
        <v>#REF!</v>
      </c>
      <c r="Q43" s="15" t="e">
        <f>VLOOKUP('北段 (人資版)'!#REF!,工作表1!$A$3:$B$74,2,FALSE)</f>
        <v>#REF!</v>
      </c>
      <c r="R43" s="15" t="e">
        <f>VLOOKUP('北段 (人資版)'!#REF!,工作表1!$A$3:$B$74,2,FALSE)</f>
        <v>#REF!</v>
      </c>
      <c r="S43" s="15" t="e">
        <f>VLOOKUP('北段 (人資版)'!#REF!,工作表1!$A$3:$B$74,2,FALSE)</f>
        <v>#REF!</v>
      </c>
      <c r="T43" s="15" t="e">
        <f>VLOOKUP('北段 (人資版)'!#REF!,工作表1!$A$3:$B$74,2,FALSE)</f>
        <v>#REF!</v>
      </c>
      <c r="U43" s="15" t="e">
        <f>VLOOKUP('北段 (人資版)'!#REF!,工作表1!$A$3:$B$74,2,FALSE)</f>
        <v>#REF!</v>
      </c>
      <c r="V43" s="15" t="e">
        <f>VLOOKUP('北段 (人資版)'!#REF!,工作表1!$A$3:$B$74,2,FALSE)</f>
        <v>#REF!</v>
      </c>
      <c r="W43" s="15" t="e">
        <f>VLOOKUP('北段 (人資版)'!#REF!,工作表1!$A$3:$B$74,2,FALSE)</f>
        <v>#REF!</v>
      </c>
      <c r="X43" s="15" t="e">
        <f>VLOOKUP('北段 (人資版)'!#REF!,工作表1!$A$3:$B$74,2,FALSE)</f>
        <v>#REF!</v>
      </c>
      <c r="Y43" s="15" t="e">
        <f>VLOOKUP('北段 (人資版)'!#REF!,工作表1!$A$3:$B$74,2,FALSE)</f>
        <v>#REF!</v>
      </c>
      <c r="Z43" s="15" t="e">
        <f>VLOOKUP('北段 (人資版)'!#REF!,工作表1!$A$3:$B$74,2,FALSE)</f>
        <v>#REF!</v>
      </c>
      <c r="AA43" s="15" t="e">
        <f>VLOOKUP('北段 (人資版)'!#REF!,工作表1!$A$3:$B$74,2,FALSE)</f>
        <v>#REF!</v>
      </c>
      <c r="AB43" s="15" t="e">
        <f>VLOOKUP('北段 (人資版)'!#REF!,工作表1!$A$3:$B$74,2,FALSE)</f>
        <v>#REF!</v>
      </c>
      <c r="AC43" s="15" t="e">
        <f>VLOOKUP('北段 (人資版)'!#REF!,工作表1!$A$3:$B$74,2,FALSE)</f>
        <v>#REF!</v>
      </c>
      <c r="AD43" s="15" t="e">
        <f>VLOOKUP('北段 (人資版)'!#REF!,工作表1!$A$3:$B$74,2,FALSE)</f>
        <v>#REF!</v>
      </c>
      <c r="AE43" s="15" t="e">
        <f>VLOOKUP('北段 (人資版)'!#REF!,工作表1!$A$3:$B$74,2,FALSE)</f>
        <v>#REF!</v>
      </c>
      <c r="AF43" s="15" t="e">
        <f>VLOOKUP('北段 (人資版)'!#REF!,工作表1!$A$3:$B$74,2,FALSE)</f>
        <v>#REF!</v>
      </c>
      <c r="AG43" s="15" t="e">
        <f>VLOOKUP('北段 (人資版)'!#REF!,工作表1!$A$3:$B$74,2,FALSE)</f>
        <v>#REF!</v>
      </c>
      <c r="AH43" s="15" t="e">
        <f>VLOOKUP('北段 (人資版)'!#REF!,工作表1!$A$3:$B$74,2,FALSE)</f>
        <v>#REF!</v>
      </c>
      <c r="AI43" s="15" t="e">
        <f>VLOOKUP('北段 (人資版)'!#REF!,工作表1!$A$3:$B$74,2,FALSE)</f>
        <v>#REF!</v>
      </c>
      <c r="AJ43" s="15" t="e">
        <f>VLOOKUP('北段 (人資版)'!#REF!,工作表1!$A$3:$B$74,2,FALSE)</f>
        <v>#REF!</v>
      </c>
      <c r="AK43" s="15" t="e">
        <f>VLOOKUP('北段 (人資版)'!#REF!,工作表1!$A$3:$B$74,2,FALSE)</f>
        <v>#REF!</v>
      </c>
      <c r="AL43" s="15" t="e">
        <f>VLOOKUP('北段 (人資版)'!#REF!,工作表1!$A$3:$B$74,2,FALSE)</f>
        <v>#REF!</v>
      </c>
    </row>
    <row r="44" spans="1:38" ht="39.6" customHeight="1">
      <c r="A44" s="35"/>
      <c r="B44" s="10" t="e">
        <f>北段!#REF!</f>
        <v>#REF!</v>
      </c>
      <c r="C44" s="10" t="e">
        <f>VLOOKUP(B44,北段!B:C,2,FALSE)</f>
        <v>#REF!</v>
      </c>
      <c r="D44" s="15" t="e">
        <f>VLOOKUP('北段 (人資版)'!D44,工作表1!$A$3:$B$74,2,FALSE)</f>
        <v>#REF!</v>
      </c>
      <c r="E44" s="15" t="e">
        <f>VLOOKUP('北段 (人資版)'!E44,工作表1!$A$3:$B$74,2,FALSE)</f>
        <v>#REF!</v>
      </c>
      <c r="F44" s="15" t="e">
        <f>VLOOKUP('北段 (人資版)'!F44,工作表1!$A$3:$B$74,2,FALSE)</f>
        <v>#REF!</v>
      </c>
      <c r="G44" s="15" t="e">
        <f>VLOOKUP('北段 (人資版)'!G44,工作表1!$A$3:$B$74,2,FALSE)</f>
        <v>#REF!</v>
      </c>
      <c r="H44" s="15" t="e">
        <f>VLOOKUP('北段 (人資版)'!H44,工作表1!$A$3:$B$74,2,FALSE)</f>
        <v>#REF!</v>
      </c>
      <c r="I44" s="15" t="e">
        <f>VLOOKUP('北段 (人資版)'!I44,工作表1!$A$3:$B$74,2,FALSE)</f>
        <v>#REF!</v>
      </c>
      <c r="J44" s="15" t="e">
        <f>VLOOKUP('北段 (人資版)'!J44,工作表1!$A$3:$B$74,2,FALSE)</f>
        <v>#REF!</v>
      </c>
      <c r="K44" s="15" t="e">
        <f>VLOOKUP('北段 (人資版)'!K44,工作表1!$A$3:$B$74,2,FALSE)</f>
        <v>#REF!</v>
      </c>
      <c r="L44" s="15" t="e">
        <f>VLOOKUP('北段 (人資版)'!L44,工作表1!$A$3:$B$74,2,FALSE)</f>
        <v>#REF!</v>
      </c>
      <c r="M44" s="15" t="e">
        <f>VLOOKUP('北段 (人資版)'!M44,工作表1!$A$3:$B$74,2,FALSE)</f>
        <v>#REF!</v>
      </c>
      <c r="N44" s="15" t="e">
        <f>VLOOKUP('北段 (人資版)'!N44,工作表1!$A$3:$B$74,2,FALSE)</f>
        <v>#REF!</v>
      </c>
      <c r="O44" s="15" t="e">
        <f>VLOOKUP('北段 (人資版)'!O44,工作表1!$A$3:$B$74,2,FALSE)</f>
        <v>#REF!</v>
      </c>
      <c r="P44" s="15" t="e">
        <f>VLOOKUP('北段 (人資版)'!P44,工作表1!$A$3:$B$74,2,FALSE)</f>
        <v>#REF!</v>
      </c>
      <c r="Q44" s="15" t="e">
        <f>VLOOKUP('北段 (人資版)'!Q44,工作表1!$A$3:$B$74,2,FALSE)</f>
        <v>#REF!</v>
      </c>
      <c r="R44" s="15" t="e">
        <f>VLOOKUP('北段 (人資版)'!R44,工作表1!$A$3:$B$74,2,FALSE)</f>
        <v>#REF!</v>
      </c>
      <c r="S44" s="15" t="e">
        <f>VLOOKUP('北段 (人資版)'!S44,工作表1!$A$3:$B$74,2,FALSE)</f>
        <v>#REF!</v>
      </c>
      <c r="T44" s="15" t="e">
        <f>VLOOKUP('北段 (人資版)'!T44,工作表1!$A$3:$B$74,2,FALSE)</f>
        <v>#REF!</v>
      </c>
      <c r="U44" s="15" t="e">
        <f>VLOOKUP('北段 (人資版)'!U44,工作表1!$A$3:$B$74,2,FALSE)</f>
        <v>#REF!</v>
      </c>
      <c r="V44" s="15" t="e">
        <f>VLOOKUP('北段 (人資版)'!V44,工作表1!$A$3:$B$74,2,FALSE)</f>
        <v>#REF!</v>
      </c>
      <c r="W44" s="15" t="e">
        <f>VLOOKUP('北段 (人資版)'!W44,工作表1!$A$3:$B$74,2,FALSE)</f>
        <v>#REF!</v>
      </c>
      <c r="X44" s="15" t="e">
        <f>VLOOKUP('北段 (人資版)'!X44,工作表1!$A$3:$B$74,2,FALSE)</f>
        <v>#REF!</v>
      </c>
      <c r="Y44" s="15" t="e">
        <f>VLOOKUP('北段 (人資版)'!Y44,工作表1!$A$3:$B$74,2,FALSE)</f>
        <v>#REF!</v>
      </c>
      <c r="Z44" s="15" t="e">
        <f>VLOOKUP('北段 (人資版)'!Z44,工作表1!$A$3:$B$74,2,FALSE)</f>
        <v>#REF!</v>
      </c>
      <c r="AA44" s="15" t="e">
        <f>VLOOKUP('北段 (人資版)'!AA44,工作表1!$A$3:$B$74,2,FALSE)</f>
        <v>#REF!</v>
      </c>
      <c r="AB44" s="15" t="e">
        <f>VLOOKUP('北段 (人資版)'!AB44,工作表1!$A$3:$B$74,2,FALSE)</f>
        <v>#REF!</v>
      </c>
      <c r="AC44" s="15" t="e">
        <f>VLOOKUP('北段 (人資版)'!AC44,工作表1!$A$3:$B$74,2,FALSE)</f>
        <v>#REF!</v>
      </c>
      <c r="AD44" s="15" t="e">
        <f>VLOOKUP('北段 (人資版)'!AD44,工作表1!$A$3:$B$74,2,FALSE)</f>
        <v>#REF!</v>
      </c>
      <c r="AE44" s="15" t="e">
        <f>VLOOKUP('北段 (人資版)'!AE44,工作表1!$A$3:$B$74,2,FALSE)</f>
        <v>#REF!</v>
      </c>
      <c r="AF44" s="15" t="e">
        <f>VLOOKUP('北段 (人資版)'!AF44,工作表1!$A$3:$B$74,2,FALSE)</f>
        <v>#REF!</v>
      </c>
      <c r="AG44" s="15" t="e">
        <f>VLOOKUP('北段 (人資版)'!AG44,工作表1!$A$3:$B$74,2,FALSE)</f>
        <v>#REF!</v>
      </c>
      <c r="AH44" s="15" t="e">
        <f>VLOOKUP('北段 (人資版)'!AH44,工作表1!$A$3:$B$74,2,FALSE)</f>
        <v>#REF!</v>
      </c>
      <c r="AI44" s="15" t="e">
        <f>VLOOKUP('北段 (人資版)'!AI44,工作表1!$A$3:$B$74,2,FALSE)</f>
        <v>#REF!</v>
      </c>
      <c r="AJ44" s="15" t="e">
        <f>VLOOKUP('北段 (人資版)'!AJ44,工作表1!$A$3:$B$74,2,FALSE)</f>
        <v>#REF!</v>
      </c>
      <c r="AK44" s="15" t="e">
        <f>VLOOKUP('北段 (人資版)'!AK44,工作表1!$A$3:$B$74,2,FALSE)</f>
        <v>#REF!</v>
      </c>
      <c r="AL44" s="15" t="e">
        <f>VLOOKUP('北段 (人資版)'!AL44,工作表1!$A$3:$B$74,2,FALSE)</f>
        <v>#REF!</v>
      </c>
    </row>
    <row r="45" spans="1:38" ht="39.75" customHeight="1">
      <c r="A45" s="35"/>
      <c r="B45" s="10" t="e">
        <f>北段!#REF!</f>
        <v>#REF!</v>
      </c>
      <c r="C45" s="10" t="e">
        <f>VLOOKUP(B45,北段!B:C,2,FALSE)</f>
        <v>#REF!</v>
      </c>
      <c r="D45" s="15" t="e">
        <f>VLOOKUP('北段 (人資版)'!D45,工作表1!$A$3:$B$74,2,FALSE)</f>
        <v>#REF!</v>
      </c>
      <c r="E45" s="15" t="e">
        <f>VLOOKUP('北段 (人資版)'!E45,工作表1!$A$3:$B$74,2,FALSE)</f>
        <v>#REF!</v>
      </c>
      <c r="F45" s="15" t="e">
        <f>VLOOKUP('北段 (人資版)'!F45,工作表1!$A$3:$B$74,2,FALSE)</f>
        <v>#REF!</v>
      </c>
      <c r="G45" s="15" t="e">
        <f>VLOOKUP('北段 (人資版)'!G45,工作表1!$A$3:$B$74,2,FALSE)</f>
        <v>#REF!</v>
      </c>
      <c r="H45" s="15" t="e">
        <f>VLOOKUP('北段 (人資版)'!H45,工作表1!$A$3:$B$74,2,FALSE)</f>
        <v>#REF!</v>
      </c>
      <c r="I45" s="15" t="e">
        <f>VLOOKUP('北段 (人資版)'!I45,工作表1!$A$3:$B$74,2,FALSE)</f>
        <v>#REF!</v>
      </c>
      <c r="J45" s="15" t="e">
        <f>VLOOKUP('北段 (人資版)'!J45,工作表1!$A$3:$B$74,2,FALSE)</f>
        <v>#REF!</v>
      </c>
      <c r="K45" s="15" t="e">
        <f>VLOOKUP('北段 (人資版)'!K45,工作表1!$A$3:$B$74,2,FALSE)</f>
        <v>#REF!</v>
      </c>
      <c r="L45" s="15" t="e">
        <f>VLOOKUP('北段 (人資版)'!L45,工作表1!$A$3:$B$74,2,FALSE)</f>
        <v>#REF!</v>
      </c>
      <c r="M45" s="15" t="e">
        <f>VLOOKUP('北段 (人資版)'!M45,工作表1!$A$3:$B$74,2,FALSE)</f>
        <v>#REF!</v>
      </c>
      <c r="N45" s="15" t="e">
        <f>VLOOKUP('北段 (人資版)'!N45,工作表1!$A$3:$B$74,2,FALSE)</f>
        <v>#REF!</v>
      </c>
      <c r="O45" s="15" t="e">
        <f>VLOOKUP('北段 (人資版)'!O45,工作表1!$A$3:$B$74,2,FALSE)</f>
        <v>#REF!</v>
      </c>
      <c r="P45" s="15" t="e">
        <f>VLOOKUP('北段 (人資版)'!P45,工作表1!$A$3:$B$74,2,FALSE)</f>
        <v>#REF!</v>
      </c>
      <c r="Q45" s="15" t="e">
        <f>VLOOKUP('北段 (人資版)'!Q45,工作表1!$A$3:$B$74,2,FALSE)</f>
        <v>#REF!</v>
      </c>
      <c r="R45" s="15" t="e">
        <f>VLOOKUP('北段 (人資版)'!R45,工作表1!$A$3:$B$74,2,FALSE)</f>
        <v>#REF!</v>
      </c>
      <c r="S45" s="15" t="e">
        <f>VLOOKUP('北段 (人資版)'!S45,工作表1!$A$3:$B$74,2,FALSE)</f>
        <v>#REF!</v>
      </c>
      <c r="T45" s="15" t="e">
        <f>VLOOKUP('北段 (人資版)'!T45,工作表1!$A$3:$B$74,2,FALSE)</f>
        <v>#REF!</v>
      </c>
      <c r="U45" s="15" t="e">
        <f>VLOOKUP('北段 (人資版)'!U45,工作表1!$A$3:$B$74,2,FALSE)</f>
        <v>#REF!</v>
      </c>
      <c r="V45" s="15" t="e">
        <f>VLOOKUP('北段 (人資版)'!V45,工作表1!$A$3:$B$74,2,FALSE)</f>
        <v>#REF!</v>
      </c>
      <c r="W45" s="15" t="e">
        <f>VLOOKUP('北段 (人資版)'!W45,工作表1!$A$3:$B$74,2,FALSE)</f>
        <v>#REF!</v>
      </c>
      <c r="X45" s="15" t="e">
        <f>VLOOKUP('北段 (人資版)'!X45,工作表1!$A$3:$B$74,2,FALSE)</f>
        <v>#REF!</v>
      </c>
      <c r="Y45" s="15" t="e">
        <f>VLOOKUP('北段 (人資版)'!Y45,工作表1!$A$3:$B$74,2,FALSE)</f>
        <v>#REF!</v>
      </c>
      <c r="Z45" s="15" t="e">
        <f>VLOOKUP('北段 (人資版)'!Z45,工作表1!$A$3:$B$74,2,FALSE)</f>
        <v>#REF!</v>
      </c>
      <c r="AA45" s="15" t="e">
        <f>VLOOKUP('北段 (人資版)'!AA45,工作表1!$A$3:$B$74,2,FALSE)</f>
        <v>#REF!</v>
      </c>
      <c r="AB45" s="15" t="e">
        <f>VLOOKUP('北段 (人資版)'!AB45,工作表1!$A$3:$B$74,2,FALSE)</f>
        <v>#REF!</v>
      </c>
      <c r="AC45" s="15" t="e">
        <f>VLOOKUP('北段 (人資版)'!AC45,工作表1!$A$3:$B$74,2,FALSE)</f>
        <v>#REF!</v>
      </c>
      <c r="AD45" s="15" t="e">
        <f>VLOOKUP('北段 (人資版)'!AD45,工作表1!$A$3:$B$74,2,FALSE)</f>
        <v>#REF!</v>
      </c>
      <c r="AE45" s="15" t="e">
        <f>VLOOKUP('北段 (人資版)'!AE45,工作表1!$A$3:$B$74,2,FALSE)</f>
        <v>#REF!</v>
      </c>
      <c r="AF45" s="15" t="e">
        <f>VLOOKUP('北段 (人資版)'!AF45,工作表1!$A$3:$B$74,2,FALSE)</f>
        <v>#REF!</v>
      </c>
      <c r="AG45" s="15" t="e">
        <f>VLOOKUP('北段 (人資版)'!AG45,工作表1!$A$3:$B$74,2,FALSE)</f>
        <v>#REF!</v>
      </c>
      <c r="AH45" s="15" t="e">
        <f>VLOOKUP('北段 (人資版)'!AH45,工作表1!$A$3:$B$74,2,FALSE)</f>
        <v>#REF!</v>
      </c>
      <c r="AI45" s="15" t="e">
        <f>VLOOKUP('北段 (人資版)'!AI45,工作表1!$A$3:$B$74,2,FALSE)</f>
        <v>#REF!</v>
      </c>
      <c r="AJ45" s="15" t="e">
        <f>VLOOKUP('北段 (人資版)'!AJ45,工作表1!$A$3:$B$74,2,FALSE)</f>
        <v>#REF!</v>
      </c>
      <c r="AK45" s="15" t="e">
        <f>VLOOKUP('北段 (人資版)'!AK45,工作表1!$A$3:$B$74,2,FALSE)</f>
        <v>#REF!</v>
      </c>
      <c r="AL45" s="15" t="e">
        <f>VLOOKUP('北段 (人資版)'!AL45,工作表1!$A$3:$B$74,2,FALSE)</f>
        <v>#REF!</v>
      </c>
    </row>
    <row r="46" spans="1:38" ht="39.6" customHeight="1">
      <c r="A46" s="35"/>
      <c r="B46" s="10" t="e">
        <f>北段!#REF!</f>
        <v>#REF!</v>
      </c>
      <c r="C46" s="10" t="e">
        <f>VLOOKUP(B46,北段!B:C,2,FALSE)</f>
        <v>#REF!</v>
      </c>
      <c r="D46" s="15" t="e">
        <f>VLOOKUP('北段 (人資版)'!D46,工作表1!$A$3:$B$74,2,FALSE)</f>
        <v>#REF!</v>
      </c>
      <c r="E46" s="15" t="e">
        <f>VLOOKUP('北段 (人資版)'!E46,工作表1!$A$3:$B$74,2,FALSE)</f>
        <v>#REF!</v>
      </c>
      <c r="F46" s="15" t="e">
        <f>VLOOKUP('北段 (人資版)'!F46,工作表1!$A$3:$B$74,2,FALSE)</f>
        <v>#REF!</v>
      </c>
      <c r="G46" s="15" t="e">
        <f>VLOOKUP('北段 (人資版)'!G46,工作表1!$A$3:$B$74,2,FALSE)</f>
        <v>#REF!</v>
      </c>
      <c r="H46" s="15" t="e">
        <f>VLOOKUP('北段 (人資版)'!H46,工作表1!$A$3:$B$74,2,FALSE)</f>
        <v>#REF!</v>
      </c>
      <c r="I46" s="15" t="e">
        <f>VLOOKUP('北段 (人資版)'!I46,工作表1!$A$3:$B$74,2,FALSE)</f>
        <v>#REF!</v>
      </c>
      <c r="J46" s="15" t="e">
        <f>VLOOKUP('北段 (人資版)'!J46,工作表1!$A$3:$B$74,2,FALSE)</f>
        <v>#REF!</v>
      </c>
      <c r="K46" s="15" t="e">
        <f>VLOOKUP('北段 (人資版)'!K46,工作表1!$A$3:$B$74,2,FALSE)</f>
        <v>#REF!</v>
      </c>
      <c r="L46" s="15" t="e">
        <f>VLOOKUP('北段 (人資版)'!L46,工作表1!$A$3:$B$74,2,FALSE)</f>
        <v>#REF!</v>
      </c>
      <c r="M46" s="15" t="e">
        <f>VLOOKUP('北段 (人資版)'!M46,工作表1!$A$3:$B$74,2,FALSE)</f>
        <v>#REF!</v>
      </c>
      <c r="N46" s="15" t="e">
        <f>VLOOKUP('北段 (人資版)'!N46,工作表1!$A$3:$B$74,2,FALSE)</f>
        <v>#REF!</v>
      </c>
      <c r="O46" s="15" t="e">
        <f>VLOOKUP('北段 (人資版)'!O46,工作表1!$A$3:$B$74,2,FALSE)</f>
        <v>#REF!</v>
      </c>
      <c r="P46" s="15" t="e">
        <f>VLOOKUP('北段 (人資版)'!P46,工作表1!$A$3:$B$74,2,FALSE)</f>
        <v>#REF!</v>
      </c>
      <c r="Q46" s="15" t="e">
        <f>VLOOKUP('北段 (人資版)'!Q46,工作表1!$A$3:$B$74,2,FALSE)</f>
        <v>#REF!</v>
      </c>
      <c r="R46" s="15" t="e">
        <f>VLOOKUP('北段 (人資版)'!R46,工作表1!$A$3:$B$74,2,FALSE)</f>
        <v>#REF!</v>
      </c>
      <c r="S46" s="15" t="e">
        <f>VLOOKUP('北段 (人資版)'!S46,工作表1!$A$3:$B$74,2,FALSE)</f>
        <v>#REF!</v>
      </c>
      <c r="T46" s="15" t="e">
        <f>VLOOKUP('北段 (人資版)'!T46,工作表1!$A$3:$B$74,2,FALSE)</f>
        <v>#REF!</v>
      </c>
      <c r="U46" s="15" t="e">
        <f>VLOOKUP('北段 (人資版)'!U46,工作表1!$A$3:$B$74,2,FALSE)</f>
        <v>#REF!</v>
      </c>
      <c r="V46" s="15" t="e">
        <f>VLOOKUP('北段 (人資版)'!V46,工作表1!$A$3:$B$74,2,FALSE)</f>
        <v>#REF!</v>
      </c>
      <c r="W46" s="15" t="e">
        <f>VLOOKUP('北段 (人資版)'!W46,工作表1!$A$3:$B$74,2,FALSE)</f>
        <v>#REF!</v>
      </c>
      <c r="X46" s="15" t="e">
        <f>VLOOKUP('北段 (人資版)'!X46,工作表1!$A$3:$B$74,2,FALSE)</f>
        <v>#REF!</v>
      </c>
      <c r="Y46" s="15" t="e">
        <f>VLOOKUP('北段 (人資版)'!Y46,工作表1!$A$3:$B$74,2,FALSE)</f>
        <v>#REF!</v>
      </c>
      <c r="Z46" s="15" t="e">
        <f>VLOOKUP('北段 (人資版)'!Z46,工作表1!$A$3:$B$74,2,FALSE)</f>
        <v>#REF!</v>
      </c>
      <c r="AA46" s="15" t="e">
        <f>VLOOKUP('北段 (人資版)'!AA46,工作表1!$A$3:$B$74,2,FALSE)</f>
        <v>#REF!</v>
      </c>
      <c r="AB46" s="15" t="e">
        <f>VLOOKUP('北段 (人資版)'!AB46,工作表1!$A$3:$B$74,2,FALSE)</f>
        <v>#REF!</v>
      </c>
      <c r="AC46" s="15" t="e">
        <f>VLOOKUP('北段 (人資版)'!AC46,工作表1!$A$3:$B$74,2,FALSE)</f>
        <v>#REF!</v>
      </c>
      <c r="AD46" s="15" t="e">
        <f>VLOOKUP('北段 (人資版)'!AD46,工作表1!$A$3:$B$74,2,FALSE)</f>
        <v>#REF!</v>
      </c>
      <c r="AE46" s="15" t="e">
        <f>VLOOKUP('北段 (人資版)'!AE46,工作表1!$A$3:$B$74,2,FALSE)</f>
        <v>#REF!</v>
      </c>
      <c r="AF46" s="15" t="e">
        <f>VLOOKUP('北段 (人資版)'!AF46,工作表1!$A$3:$B$74,2,FALSE)</f>
        <v>#REF!</v>
      </c>
      <c r="AG46" s="15" t="e">
        <f>VLOOKUP('北段 (人資版)'!AG46,工作表1!$A$3:$B$74,2,FALSE)</f>
        <v>#REF!</v>
      </c>
      <c r="AH46" s="15" t="e">
        <f>VLOOKUP('北段 (人資版)'!AH46,工作表1!$A$3:$B$74,2,FALSE)</f>
        <v>#REF!</v>
      </c>
      <c r="AI46" s="15" t="e">
        <f>VLOOKUP('北段 (人資版)'!AI46,工作表1!$A$3:$B$74,2,FALSE)</f>
        <v>#REF!</v>
      </c>
      <c r="AJ46" s="15" t="e">
        <f>VLOOKUP('北段 (人資版)'!AJ46,工作表1!$A$3:$B$74,2,FALSE)</f>
        <v>#REF!</v>
      </c>
      <c r="AK46" s="15" t="e">
        <f>VLOOKUP('北段 (人資版)'!AK46,工作表1!$A$3:$B$74,2,FALSE)</f>
        <v>#REF!</v>
      </c>
      <c r="AL46" s="15" t="e">
        <f>VLOOKUP('北段 (人資版)'!AL46,工作表1!$A$3:$B$74,2,FALSE)</f>
        <v>#REF!</v>
      </c>
    </row>
    <row r="47" spans="1:38" ht="39.6" customHeight="1">
      <c r="A47" s="35"/>
      <c r="B47" s="10" t="e">
        <f>北段!#REF!</f>
        <v>#REF!</v>
      </c>
      <c r="C47" s="10" t="e">
        <f>VLOOKUP(B47,北段!B:C,2,FALSE)</f>
        <v>#REF!</v>
      </c>
      <c r="D47" s="15" t="e">
        <f>VLOOKUP('北段 (人資版)'!D48,工作表1!$A$3:$B$74,2,FALSE)</f>
        <v>#REF!</v>
      </c>
      <c r="E47" s="15" t="e">
        <f>VLOOKUP('北段 (人資版)'!E48,工作表1!$A$3:$B$74,2,FALSE)</f>
        <v>#REF!</v>
      </c>
      <c r="F47" s="15" t="e">
        <f>VLOOKUP('北段 (人資版)'!F48,工作表1!$A$3:$B$74,2,FALSE)</f>
        <v>#REF!</v>
      </c>
      <c r="G47" s="15" t="e">
        <f>VLOOKUP('北段 (人資版)'!G48,工作表1!$A$3:$B$74,2,FALSE)</f>
        <v>#REF!</v>
      </c>
      <c r="H47" s="15" t="e">
        <f>VLOOKUP('北段 (人資版)'!H48,工作表1!$A$3:$B$74,2,FALSE)</f>
        <v>#REF!</v>
      </c>
      <c r="I47" s="15" t="e">
        <f>VLOOKUP('北段 (人資版)'!I48,工作表1!$A$3:$B$74,2,FALSE)</f>
        <v>#REF!</v>
      </c>
      <c r="J47" s="15" t="e">
        <f>VLOOKUP('北段 (人資版)'!J48,工作表1!$A$3:$B$74,2,FALSE)</f>
        <v>#REF!</v>
      </c>
      <c r="K47" s="15" t="e">
        <f>VLOOKUP('北段 (人資版)'!K48,工作表1!$A$3:$B$74,2,FALSE)</f>
        <v>#REF!</v>
      </c>
      <c r="L47" s="15" t="e">
        <f>VLOOKUP('北段 (人資版)'!L48,工作表1!$A$3:$B$74,2,FALSE)</f>
        <v>#REF!</v>
      </c>
      <c r="M47" s="15" t="e">
        <f>VLOOKUP('北段 (人資版)'!M48,工作表1!$A$3:$B$74,2,FALSE)</f>
        <v>#REF!</v>
      </c>
      <c r="N47" s="15" t="e">
        <f>VLOOKUP('北段 (人資版)'!N48,工作表1!$A$3:$B$74,2,FALSE)</f>
        <v>#REF!</v>
      </c>
      <c r="O47" s="15" t="e">
        <f>VLOOKUP('北段 (人資版)'!O48,工作表1!$A$3:$B$74,2,FALSE)</f>
        <v>#REF!</v>
      </c>
      <c r="P47" s="15" t="e">
        <f>VLOOKUP('北段 (人資版)'!P48,工作表1!$A$3:$B$74,2,FALSE)</f>
        <v>#REF!</v>
      </c>
      <c r="Q47" s="15" t="e">
        <f>VLOOKUP('北段 (人資版)'!Q48,工作表1!$A$3:$B$74,2,FALSE)</f>
        <v>#REF!</v>
      </c>
      <c r="R47" s="15" t="e">
        <f>VLOOKUP('北段 (人資版)'!R48,工作表1!$A$3:$B$74,2,FALSE)</f>
        <v>#REF!</v>
      </c>
      <c r="S47" s="15" t="e">
        <f>VLOOKUP('北段 (人資版)'!S48,工作表1!$A$3:$B$74,2,FALSE)</f>
        <v>#REF!</v>
      </c>
      <c r="T47" s="15" t="e">
        <f>VLOOKUP('北段 (人資版)'!T48,工作表1!$A$3:$B$74,2,FALSE)</f>
        <v>#REF!</v>
      </c>
      <c r="U47" s="15" t="e">
        <f>VLOOKUP('北段 (人資版)'!U48,工作表1!$A$3:$B$74,2,FALSE)</f>
        <v>#REF!</v>
      </c>
      <c r="V47" s="15" t="e">
        <f>VLOOKUP('北段 (人資版)'!V48,工作表1!$A$3:$B$74,2,FALSE)</f>
        <v>#REF!</v>
      </c>
      <c r="W47" s="15" t="e">
        <f>VLOOKUP('北段 (人資版)'!W48,工作表1!$A$3:$B$74,2,FALSE)</f>
        <v>#REF!</v>
      </c>
      <c r="X47" s="15" t="e">
        <f>VLOOKUP('北段 (人資版)'!X48,工作表1!$A$3:$B$74,2,FALSE)</f>
        <v>#REF!</v>
      </c>
      <c r="Y47" s="15" t="e">
        <f>VLOOKUP('北段 (人資版)'!Y48,工作表1!$A$3:$B$74,2,FALSE)</f>
        <v>#REF!</v>
      </c>
      <c r="Z47" s="15" t="e">
        <f>VLOOKUP('北段 (人資版)'!Z48,工作表1!$A$3:$B$74,2,FALSE)</f>
        <v>#REF!</v>
      </c>
      <c r="AA47" s="15" t="e">
        <f>VLOOKUP('北段 (人資版)'!AA48,工作表1!$A$3:$B$74,2,FALSE)</f>
        <v>#REF!</v>
      </c>
      <c r="AB47" s="15" t="e">
        <f>VLOOKUP('北段 (人資版)'!AB48,工作表1!$A$3:$B$74,2,FALSE)</f>
        <v>#REF!</v>
      </c>
      <c r="AC47" s="15" t="e">
        <f>VLOOKUP('北段 (人資版)'!AC48,工作表1!$A$3:$B$74,2,FALSE)</f>
        <v>#REF!</v>
      </c>
      <c r="AD47" s="15" t="e">
        <f>VLOOKUP('北段 (人資版)'!AD48,工作表1!$A$3:$B$74,2,FALSE)</f>
        <v>#REF!</v>
      </c>
      <c r="AE47" s="15" t="e">
        <f>VLOOKUP('北段 (人資版)'!AE48,工作表1!$A$3:$B$74,2,FALSE)</f>
        <v>#REF!</v>
      </c>
      <c r="AF47" s="15" t="e">
        <f>VLOOKUP('北段 (人資版)'!AF48,工作表1!$A$3:$B$74,2,FALSE)</f>
        <v>#REF!</v>
      </c>
      <c r="AG47" s="15" t="e">
        <f>VLOOKUP('北段 (人資版)'!AG48,工作表1!$A$3:$B$74,2,FALSE)</f>
        <v>#REF!</v>
      </c>
      <c r="AH47" s="15" t="e">
        <f>VLOOKUP('北段 (人資版)'!AH48,工作表1!$A$3:$B$74,2,FALSE)</f>
        <v>#REF!</v>
      </c>
      <c r="AI47" s="15" t="e">
        <f>VLOOKUP('北段 (人資版)'!AI48,工作表1!$A$3:$B$74,2,FALSE)</f>
        <v>#REF!</v>
      </c>
      <c r="AJ47" s="15" t="e">
        <f>VLOOKUP('北段 (人資版)'!AJ48,工作表1!$A$3:$B$74,2,FALSE)</f>
        <v>#REF!</v>
      </c>
      <c r="AK47" s="15" t="e">
        <f>VLOOKUP('北段 (人資版)'!AK48,工作表1!$A$3:$B$74,2,FALSE)</f>
        <v>#REF!</v>
      </c>
      <c r="AL47" s="15" t="e">
        <f>VLOOKUP('北段 (人資版)'!AL48,工作表1!$A$3:$B$74,2,FALSE)</f>
        <v>#REF!</v>
      </c>
    </row>
    <row r="48" spans="1:38" ht="39.75" customHeight="1">
      <c r="A48" s="35"/>
      <c r="B48" s="10" t="e">
        <f>北段!#REF!</f>
        <v>#REF!</v>
      </c>
      <c r="C48" s="10" t="e">
        <f>VLOOKUP(B48,北段!B:C,2,FALSE)</f>
        <v>#REF!</v>
      </c>
      <c r="D48" s="15" t="e">
        <f>VLOOKUP('北段 (人資版)'!D49,工作表1!$A$3:$B$74,2,FALSE)</f>
        <v>#REF!</v>
      </c>
      <c r="E48" s="15" t="e">
        <f>VLOOKUP('北段 (人資版)'!E49,工作表1!$A$3:$B$74,2,FALSE)</f>
        <v>#REF!</v>
      </c>
      <c r="F48" s="15" t="e">
        <f>VLOOKUP('北段 (人資版)'!F49,工作表1!$A$3:$B$74,2,FALSE)</f>
        <v>#REF!</v>
      </c>
      <c r="G48" s="15" t="e">
        <f>VLOOKUP('北段 (人資版)'!G49,工作表1!$A$3:$B$74,2,FALSE)</f>
        <v>#REF!</v>
      </c>
      <c r="H48" s="15" t="e">
        <f>VLOOKUP('北段 (人資版)'!H49,工作表1!$A$3:$B$74,2,FALSE)</f>
        <v>#REF!</v>
      </c>
      <c r="I48" s="15" t="e">
        <f>VLOOKUP('北段 (人資版)'!I49,工作表1!$A$3:$B$74,2,FALSE)</f>
        <v>#REF!</v>
      </c>
      <c r="J48" s="15" t="e">
        <f>VLOOKUP('北段 (人資版)'!J49,工作表1!$A$3:$B$74,2,FALSE)</f>
        <v>#REF!</v>
      </c>
      <c r="K48" s="15" t="e">
        <f>VLOOKUP('北段 (人資版)'!K49,工作表1!$A$3:$B$74,2,FALSE)</f>
        <v>#REF!</v>
      </c>
      <c r="L48" s="15" t="e">
        <f>VLOOKUP('北段 (人資版)'!L49,工作表1!$A$3:$B$74,2,FALSE)</f>
        <v>#REF!</v>
      </c>
      <c r="M48" s="15" t="e">
        <f>VLOOKUP('北段 (人資版)'!M49,工作表1!$A$3:$B$74,2,FALSE)</f>
        <v>#REF!</v>
      </c>
      <c r="N48" s="15" t="e">
        <f>VLOOKUP('北段 (人資版)'!N49,工作表1!$A$3:$B$74,2,FALSE)</f>
        <v>#REF!</v>
      </c>
      <c r="O48" s="15" t="e">
        <f>VLOOKUP('北段 (人資版)'!O49,工作表1!$A$3:$B$74,2,FALSE)</f>
        <v>#REF!</v>
      </c>
      <c r="P48" s="15" t="e">
        <f>VLOOKUP('北段 (人資版)'!P49,工作表1!$A$3:$B$74,2,FALSE)</f>
        <v>#REF!</v>
      </c>
      <c r="Q48" s="15" t="e">
        <f>VLOOKUP('北段 (人資版)'!Q49,工作表1!$A$3:$B$74,2,FALSE)</f>
        <v>#REF!</v>
      </c>
      <c r="R48" s="15" t="e">
        <f>VLOOKUP('北段 (人資版)'!R49,工作表1!$A$3:$B$74,2,FALSE)</f>
        <v>#REF!</v>
      </c>
      <c r="S48" s="15" t="e">
        <f>VLOOKUP('北段 (人資版)'!S49,工作表1!$A$3:$B$74,2,FALSE)</f>
        <v>#REF!</v>
      </c>
      <c r="T48" s="15" t="e">
        <f>VLOOKUP('北段 (人資版)'!T49,工作表1!$A$3:$B$74,2,FALSE)</f>
        <v>#REF!</v>
      </c>
      <c r="U48" s="15" t="e">
        <f>VLOOKUP('北段 (人資版)'!U49,工作表1!$A$3:$B$74,2,FALSE)</f>
        <v>#REF!</v>
      </c>
      <c r="V48" s="15" t="e">
        <f>VLOOKUP('北段 (人資版)'!V49,工作表1!$A$3:$B$74,2,FALSE)</f>
        <v>#REF!</v>
      </c>
      <c r="W48" s="15" t="e">
        <f>VLOOKUP('北段 (人資版)'!W49,工作表1!$A$3:$B$74,2,FALSE)</f>
        <v>#REF!</v>
      </c>
      <c r="X48" s="15" t="e">
        <f>VLOOKUP('北段 (人資版)'!X49,工作表1!$A$3:$B$74,2,FALSE)</f>
        <v>#REF!</v>
      </c>
      <c r="Y48" s="15" t="e">
        <f>VLOOKUP('北段 (人資版)'!Y49,工作表1!$A$3:$B$74,2,FALSE)</f>
        <v>#REF!</v>
      </c>
      <c r="Z48" s="15" t="e">
        <f>VLOOKUP('北段 (人資版)'!Z49,工作表1!$A$3:$B$74,2,FALSE)</f>
        <v>#REF!</v>
      </c>
      <c r="AA48" s="15" t="e">
        <f>VLOOKUP('北段 (人資版)'!AA49,工作表1!$A$3:$B$74,2,FALSE)</f>
        <v>#REF!</v>
      </c>
      <c r="AB48" s="15" t="e">
        <f>VLOOKUP('北段 (人資版)'!AB49,工作表1!$A$3:$B$74,2,FALSE)</f>
        <v>#REF!</v>
      </c>
      <c r="AC48" s="15" t="e">
        <f>VLOOKUP('北段 (人資版)'!AC49,工作表1!$A$3:$B$74,2,FALSE)</f>
        <v>#REF!</v>
      </c>
      <c r="AD48" s="15" t="e">
        <f>VLOOKUP('北段 (人資版)'!AD49,工作表1!$A$3:$B$74,2,FALSE)</f>
        <v>#REF!</v>
      </c>
      <c r="AE48" s="15" t="e">
        <f>VLOOKUP('北段 (人資版)'!AE49,工作表1!$A$3:$B$74,2,FALSE)</f>
        <v>#REF!</v>
      </c>
      <c r="AF48" s="15" t="e">
        <f>VLOOKUP('北段 (人資版)'!AF49,工作表1!$A$3:$B$74,2,FALSE)</f>
        <v>#REF!</v>
      </c>
      <c r="AG48" s="15" t="e">
        <f>VLOOKUP('北段 (人資版)'!AG49,工作表1!$A$3:$B$74,2,FALSE)</f>
        <v>#REF!</v>
      </c>
      <c r="AH48" s="15" t="e">
        <f>VLOOKUP('北段 (人資版)'!AH49,工作表1!$A$3:$B$74,2,FALSE)</f>
        <v>#REF!</v>
      </c>
      <c r="AI48" s="15" t="e">
        <f>VLOOKUP('北段 (人資版)'!AI49,工作表1!$A$3:$B$74,2,FALSE)</f>
        <v>#REF!</v>
      </c>
      <c r="AJ48" s="15" t="e">
        <f>VLOOKUP('北段 (人資版)'!AJ49,工作表1!$A$3:$B$74,2,FALSE)</f>
        <v>#REF!</v>
      </c>
      <c r="AK48" s="15" t="e">
        <f>VLOOKUP('北段 (人資版)'!AK49,工作表1!$A$3:$B$74,2,FALSE)</f>
        <v>#REF!</v>
      </c>
      <c r="AL48" s="15" t="e">
        <f>VLOOKUP('北段 (人資版)'!AL49,工作表1!$A$3:$B$74,2,FALSE)</f>
        <v>#REF!</v>
      </c>
    </row>
    <row r="49" spans="1:38" ht="39.75" customHeight="1">
      <c r="A49" s="35"/>
      <c r="B49" s="10" t="e">
        <f>北段!#REF!</f>
        <v>#REF!</v>
      </c>
      <c r="C49" s="10" t="e">
        <f>VLOOKUP(B49,北段!B:C,2,FALSE)</f>
        <v>#REF!</v>
      </c>
      <c r="D49" s="15" t="e">
        <f>VLOOKUP('北段 (人資版)'!D50,工作表1!$A$3:$B$74,2,FALSE)</f>
        <v>#REF!</v>
      </c>
      <c r="E49" s="15" t="e">
        <f>VLOOKUP('北段 (人資版)'!E50,工作表1!$A$3:$B$74,2,FALSE)</f>
        <v>#REF!</v>
      </c>
      <c r="F49" s="15" t="e">
        <f>VLOOKUP('北段 (人資版)'!F50,工作表1!$A$3:$B$74,2,FALSE)</f>
        <v>#REF!</v>
      </c>
      <c r="G49" s="15" t="e">
        <f>VLOOKUP('北段 (人資版)'!G50,工作表1!$A$3:$B$74,2,FALSE)</f>
        <v>#REF!</v>
      </c>
      <c r="H49" s="15" t="e">
        <f>VLOOKUP('北段 (人資版)'!H50,工作表1!$A$3:$B$74,2,FALSE)</f>
        <v>#REF!</v>
      </c>
      <c r="I49" s="15" t="e">
        <f>VLOOKUP('北段 (人資版)'!I50,工作表1!$A$3:$B$74,2,FALSE)</f>
        <v>#REF!</v>
      </c>
      <c r="J49" s="15" t="e">
        <f>VLOOKUP('北段 (人資版)'!J50,工作表1!$A$3:$B$74,2,FALSE)</f>
        <v>#REF!</v>
      </c>
      <c r="K49" s="15" t="e">
        <f>VLOOKUP('北段 (人資版)'!K50,工作表1!$A$3:$B$74,2,FALSE)</f>
        <v>#REF!</v>
      </c>
      <c r="L49" s="15" t="e">
        <f>VLOOKUP('北段 (人資版)'!L50,工作表1!$A$3:$B$74,2,FALSE)</f>
        <v>#REF!</v>
      </c>
      <c r="M49" s="15" t="e">
        <f>VLOOKUP('北段 (人資版)'!M50,工作表1!$A$3:$B$74,2,FALSE)</f>
        <v>#REF!</v>
      </c>
      <c r="N49" s="15" t="e">
        <f>VLOOKUP('北段 (人資版)'!N50,工作表1!$A$3:$B$74,2,FALSE)</f>
        <v>#REF!</v>
      </c>
      <c r="O49" s="15" t="e">
        <f>VLOOKUP('北段 (人資版)'!O50,工作表1!$A$3:$B$74,2,FALSE)</f>
        <v>#REF!</v>
      </c>
      <c r="P49" s="15" t="e">
        <f>VLOOKUP('北段 (人資版)'!P50,工作表1!$A$3:$B$74,2,FALSE)</f>
        <v>#REF!</v>
      </c>
      <c r="Q49" s="15" t="e">
        <f>VLOOKUP('北段 (人資版)'!Q50,工作表1!$A$3:$B$74,2,FALSE)</f>
        <v>#REF!</v>
      </c>
      <c r="R49" s="15" t="e">
        <f>VLOOKUP('北段 (人資版)'!R50,工作表1!$A$3:$B$74,2,FALSE)</f>
        <v>#REF!</v>
      </c>
      <c r="S49" s="15" t="e">
        <f>VLOOKUP('北段 (人資版)'!S50,工作表1!$A$3:$B$74,2,FALSE)</f>
        <v>#REF!</v>
      </c>
      <c r="T49" s="15" t="e">
        <f>VLOOKUP('北段 (人資版)'!T50,工作表1!$A$3:$B$74,2,FALSE)</f>
        <v>#REF!</v>
      </c>
      <c r="U49" s="15" t="e">
        <f>VLOOKUP('北段 (人資版)'!U50,工作表1!$A$3:$B$74,2,FALSE)</f>
        <v>#REF!</v>
      </c>
      <c r="V49" s="15" t="e">
        <f>VLOOKUP('北段 (人資版)'!V50,工作表1!$A$3:$B$74,2,FALSE)</f>
        <v>#REF!</v>
      </c>
      <c r="W49" s="15" t="e">
        <f>VLOOKUP('北段 (人資版)'!W50,工作表1!$A$3:$B$74,2,FALSE)</f>
        <v>#REF!</v>
      </c>
      <c r="X49" s="15" t="e">
        <f>VLOOKUP('北段 (人資版)'!X50,工作表1!$A$3:$B$74,2,FALSE)</f>
        <v>#REF!</v>
      </c>
      <c r="Y49" s="15" t="e">
        <f>VLOOKUP('北段 (人資版)'!Y50,工作表1!$A$3:$B$74,2,FALSE)</f>
        <v>#REF!</v>
      </c>
      <c r="Z49" s="15" t="e">
        <f>VLOOKUP('北段 (人資版)'!Z50,工作表1!$A$3:$B$74,2,FALSE)</f>
        <v>#REF!</v>
      </c>
      <c r="AA49" s="15" t="e">
        <f>VLOOKUP('北段 (人資版)'!AA50,工作表1!$A$3:$B$74,2,FALSE)</f>
        <v>#REF!</v>
      </c>
      <c r="AB49" s="15" t="e">
        <f>VLOOKUP('北段 (人資版)'!AB50,工作表1!$A$3:$B$74,2,FALSE)</f>
        <v>#REF!</v>
      </c>
      <c r="AC49" s="15" t="e">
        <f>VLOOKUP('北段 (人資版)'!AC50,工作表1!$A$3:$B$74,2,FALSE)</f>
        <v>#REF!</v>
      </c>
      <c r="AD49" s="15" t="e">
        <f>VLOOKUP('北段 (人資版)'!AD50,工作表1!$A$3:$B$74,2,FALSE)</f>
        <v>#REF!</v>
      </c>
      <c r="AE49" s="15" t="e">
        <f>VLOOKUP('北段 (人資版)'!AE50,工作表1!$A$3:$B$74,2,FALSE)</f>
        <v>#REF!</v>
      </c>
      <c r="AF49" s="15" t="e">
        <f>VLOOKUP('北段 (人資版)'!AF50,工作表1!$A$3:$B$74,2,FALSE)</f>
        <v>#REF!</v>
      </c>
      <c r="AG49" s="15" t="e">
        <f>VLOOKUP('北段 (人資版)'!AG50,工作表1!$A$3:$B$74,2,FALSE)</f>
        <v>#REF!</v>
      </c>
      <c r="AH49" s="15" t="e">
        <f>VLOOKUP('北段 (人資版)'!AH50,工作表1!$A$3:$B$74,2,FALSE)</f>
        <v>#REF!</v>
      </c>
      <c r="AI49" s="15" t="e">
        <f>VLOOKUP('北段 (人資版)'!AI50,工作表1!$A$3:$B$74,2,FALSE)</f>
        <v>#REF!</v>
      </c>
      <c r="AJ49" s="15" t="e">
        <f>VLOOKUP('北段 (人資版)'!AJ50,工作表1!$A$3:$B$74,2,FALSE)</f>
        <v>#REF!</v>
      </c>
      <c r="AK49" s="15" t="e">
        <f>VLOOKUP('北段 (人資版)'!AK50,工作表1!$A$3:$B$74,2,FALSE)</f>
        <v>#REF!</v>
      </c>
      <c r="AL49" s="15" t="e">
        <f>VLOOKUP('北段 (人資版)'!AL50,工作表1!$A$3:$B$74,2,FALSE)</f>
        <v>#REF!</v>
      </c>
    </row>
    <row r="50" spans="1:38" ht="39.6" customHeight="1">
      <c r="A50" s="35"/>
      <c r="B50" s="10" t="e">
        <f>北段!#REF!</f>
        <v>#REF!</v>
      </c>
      <c r="C50" s="10" t="e">
        <f>VLOOKUP(B50,北段!B:C,2,FALSE)</f>
        <v>#REF!</v>
      </c>
      <c r="D50" s="15" t="e">
        <f>VLOOKUP('北段 (人資版)'!D51,工作表1!$A$3:$B$74,2,FALSE)</f>
        <v>#REF!</v>
      </c>
      <c r="E50" s="15" t="e">
        <f>VLOOKUP('北段 (人資版)'!E51,工作表1!$A$3:$B$74,2,FALSE)</f>
        <v>#REF!</v>
      </c>
      <c r="F50" s="15" t="e">
        <f>VLOOKUP('北段 (人資版)'!F51,工作表1!$A$3:$B$74,2,FALSE)</f>
        <v>#REF!</v>
      </c>
      <c r="G50" s="15" t="e">
        <f>VLOOKUP('北段 (人資版)'!G51,工作表1!$A$3:$B$74,2,FALSE)</f>
        <v>#REF!</v>
      </c>
      <c r="H50" s="15" t="e">
        <f>VLOOKUP('北段 (人資版)'!H51,工作表1!$A$3:$B$74,2,FALSE)</f>
        <v>#REF!</v>
      </c>
      <c r="I50" s="15" t="e">
        <f>VLOOKUP('北段 (人資版)'!I51,工作表1!$A$3:$B$74,2,FALSE)</f>
        <v>#REF!</v>
      </c>
      <c r="J50" s="15" t="e">
        <f>VLOOKUP('北段 (人資版)'!J51,工作表1!$A$3:$B$74,2,FALSE)</f>
        <v>#REF!</v>
      </c>
      <c r="K50" s="15" t="e">
        <f>VLOOKUP('北段 (人資版)'!K51,工作表1!$A$3:$B$74,2,FALSE)</f>
        <v>#REF!</v>
      </c>
      <c r="L50" s="15" t="e">
        <f>VLOOKUP('北段 (人資版)'!L51,工作表1!$A$3:$B$74,2,FALSE)</f>
        <v>#REF!</v>
      </c>
      <c r="M50" s="15" t="e">
        <f>VLOOKUP('北段 (人資版)'!M51,工作表1!$A$3:$B$74,2,FALSE)</f>
        <v>#REF!</v>
      </c>
      <c r="N50" s="15" t="e">
        <f>VLOOKUP('北段 (人資版)'!N51,工作表1!$A$3:$B$74,2,FALSE)</f>
        <v>#REF!</v>
      </c>
      <c r="O50" s="15" t="e">
        <f>VLOOKUP('北段 (人資版)'!O51,工作表1!$A$3:$B$74,2,FALSE)</f>
        <v>#REF!</v>
      </c>
      <c r="P50" s="15" t="e">
        <f>VLOOKUP('北段 (人資版)'!P51,工作表1!$A$3:$B$74,2,FALSE)</f>
        <v>#REF!</v>
      </c>
      <c r="Q50" s="15" t="e">
        <f>VLOOKUP('北段 (人資版)'!Q51,工作表1!$A$3:$B$74,2,FALSE)</f>
        <v>#REF!</v>
      </c>
      <c r="R50" s="15" t="e">
        <f>VLOOKUP('北段 (人資版)'!R51,工作表1!$A$3:$B$74,2,FALSE)</f>
        <v>#REF!</v>
      </c>
      <c r="S50" s="15" t="e">
        <f>VLOOKUP('北段 (人資版)'!S51,工作表1!$A$3:$B$74,2,FALSE)</f>
        <v>#REF!</v>
      </c>
      <c r="T50" s="15" t="e">
        <f>VLOOKUP('北段 (人資版)'!T51,工作表1!$A$3:$B$74,2,FALSE)</f>
        <v>#REF!</v>
      </c>
      <c r="U50" s="15" t="e">
        <f>VLOOKUP('北段 (人資版)'!U51,工作表1!$A$3:$B$74,2,FALSE)</f>
        <v>#REF!</v>
      </c>
      <c r="V50" s="15" t="e">
        <f>VLOOKUP('北段 (人資版)'!V51,工作表1!$A$3:$B$74,2,FALSE)</f>
        <v>#REF!</v>
      </c>
      <c r="W50" s="15" t="e">
        <f>VLOOKUP('北段 (人資版)'!W51,工作表1!$A$3:$B$74,2,FALSE)</f>
        <v>#REF!</v>
      </c>
      <c r="X50" s="15" t="e">
        <f>VLOOKUP('北段 (人資版)'!X51,工作表1!$A$3:$B$74,2,FALSE)</f>
        <v>#REF!</v>
      </c>
      <c r="Y50" s="15" t="e">
        <f>VLOOKUP('北段 (人資版)'!Y51,工作表1!$A$3:$B$74,2,FALSE)</f>
        <v>#REF!</v>
      </c>
      <c r="Z50" s="15" t="e">
        <f>VLOOKUP('北段 (人資版)'!Z51,工作表1!$A$3:$B$74,2,FALSE)</f>
        <v>#REF!</v>
      </c>
      <c r="AA50" s="15" t="e">
        <f>VLOOKUP('北段 (人資版)'!AA51,工作表1!$A$3:$B$74,2,FALSE)</f>
        <v>#REF!</v>
      </c>
      <c r="AB50" s="15" t="e">
        <f>VLOOKUP('北段 (人資版)'!AB51,工作表1!$A$3:$B$74,2,FALSE)</f>
        <v>#REF!</v>
      </c>
      <c r="AC50" s="15" t="e">
        <f>VLOOKUP('北段 (人資版)'!AC51,工作表1!$A$3:$B$74,2,FALSE)</f>
        <v>#REF!</v>
      </c>
      <c r="AD50" s="15" t="e">
        <f>VLOOKUP('北段 (人資版)'!AD51,工作表1!$A$3:$B$74,2,FALSE)</f>
        <v>#REF!</v>
      </c>
      <c r="AE50" s="15" t="e">
        <f>VLOOKUP('北段 (人資版)'!AE51,工作表1!$A$3:$B$74,2,FALSE)</f>
        <v>#REF!</v>
      </c>
      <c r="AF50" s="15" t="e">
        <f>VLOOKUP('北段 (人資版)'!AF51,工作表1!$A$3:$B$74,2,FALSE)</f>
        <v>#REF!</v>
      </c>
      <c r="AG50" s="15" t="e">
        <f>VLOOKUP('北段 (人資版)'!AG51,工作表1!$A$3:$B$74,2,FALSE)</f>
        <v>#REF!</v>
      </c>
      <c r="AH50" s="15" t="e">
        <f>VLOOKUP('北段 (人資版)'!AH51,工作表1!$A$3:$B$74,2,FALSE)</f>
        <v>#REF!</v>
      </c>
      <c r="AI50" s="15" t="e">
        <f>VLOOKUP('北段 (人資版)'!AI51,工作表1!$A$3:$B$74,2,FALSE)</f>
        <v>#REF!</v>
      </c>
      <c r="AJ50" s="15" t="e">
        <f>VLOOKUP('北段 (人資版)'!AJ51,工作表1!$A$3:$B$74,2,FALSE)</f>
        <v>#REF!</v>
      </c>
      <c r="AK50" s="15" t="e">
        <f>VLOOKUP('北段 (人資版)'!AK51,工作表1!$A$3:$B$74,2,FALSE)</f>
        <v>#REF!</v>
      </c>
      <c r="AL50" s="15" t="e">
        <f>VLOOKUP('北段 (人資版)'!AL51,工作表1!$A$3:$B$74,2,FALSE)</f>
        <v>#REF!</v>
      </c>
    </row>
    <row r="51" spans="1:38" ht="39.6" customHeight="1" thickBot="1">
      <c r="A51" s="35"/>
      <c r="B51" s="10" t="e">
        <f>北段!#REF!</f>
        <v>#REF!</v>
      </c>
      <c r="C51" s="10" t="e">
        <f>VLOOKUP(B51,北段!B:C,2,FALSE)</f>
        <v>#REF!</v>
      </c>
      <c r="D51" s="15" t="e">
        <f>VLOOKUP('北段 (人資版)'!D52,工作表1!$A$3:$B$74,2,FALSE)</f>
        <v>#REF!</v>
      </c>
      <c r="E51" s="15" t="e">
        <f>VLOOKUP('北段 (人資版)'!E52,工作表1!$A$3:$B$74,2,FALSE)</f>
        <v>#REF!</v>
      </c>
      <c r="F51" s="15" t="e">
        <f>VLOOKUP('北段 (人資版)'!F52,工作表1!$A$3:$B$74,2,FALSE)</f>
        <v>#REF!</v>
      </c>
      <c r="G51" s="15" t="e">
        <f>VLOOKUP('北段 (人資版)'!G52,工作表1!$A$3:$B$74,2,FALSE)</f>
        <v>#REF!</v>
      </c>
      <c r="H51" s="15" t="e">
        <f>VLOOKUP('北段 (人資版)'!H52,工作表1!$A$3:$B$74,2,FALSE)</f>
        <v>#REF!</v>
      </c>
      <c r="I51" s="15" t="e">
        <f>VLOOKUP('北段 (人資版)'!I52,工作表1!$A$3:$B$74,2,FALSE)</f>
        <v>#REF!</v>
      </c>
      <c r="J51" s="15" t="e">
        <f>VLOOKUP('北段 (人資版)'!J52,工作表1!$A$3:$B$74,2,FALSE)</f>
        <v>#REF!</v>
      </c>
      <c r="K51" s="15" t="e">
        <f>VLOOKUP('北段 (人資版)'!K52,工作表1!$A$3:$B$74,2,FALSE)</f>
        <v>#REF!</v>
      </c>
      <c r="L51" s="15" t="e">
        <f>VLOOKUP('北段 (人資版)'!L52,工作表1!$A$3:$B$74,2,FALSE)</f>
        <v>#REF!</v>
      </c>
      <c r="M51" s="15" t="e">
        <f>VLOOKUP('北段 (人資版)'!M52,工作表1!$A$3:$B$74,2,FALSE)</f>
        <v>#REF!</v>
      </c>
      <c r="N51" s="15" t="e">
        <f>VLOOKUP('北段 (人資版)'!N52,工作表1!$A$3:$B$74,2,FALSE)</f>
        <v>#REF!</v>
      </c>
      <c r="O51" s="15" t="e">
        <f>VLOOKUP('北段 (人資版)'!O52,工作表1!$A$3:$B$74,2,FALSE)</f>
        <v>#REF!</v>
      </c>
      <c r="P51" s="15" t="e">
        <f>VLOOKUP('北段 (人資版)'!P52,工作表1!$A$3:$B$74,2,FALSE)</f>
        <v>#REF!</v>
      </c>
      <c r="Q51" s="15" t="e">
        <f>VLOOKUP('北段 (人資版)'!Q52,工作表1!$A$3:$B$74,2,FALSE)</f>
        <v>#REF!</v>
      </c>
      <c r="R51" s="15" t="e">
        <f>VLOOKUP('北段 (人資版)'!R52,工作表1!$A$3:$B$74,2,FALSE)</f>
        <v>#REF!</v>
      </c>
      <c r="S51" s="15" t="e">
        <f>VLOOKUP('北段 (人資版)'!S52,工作表1!$A$3:$B$74,2,FALSE)</f>
        <v>#REF!</v>
      </c>
      <c r="T51" s="15" t="e">
        <f>VLOOKUP('北段 (人資版)'!T52,工作表1!$A$3:$B$74,2,FALSE)</f>
        <v>#REF!</v>
      </c>
      <c r="U51" s="15" t="e">
        <f>VLOOKUP('北段 (人資版)'!U52,工作表1!$A$3:$B$74,2,FALSE)</f>
        <v>#REF!</v>
      </c>
      <c r="V51" s="15" t="e">
        <f>VLOOKUP('北段 (人資版)'!V52,工作表1!$A$3:$B$74,2,FALSE)</f>
        <v>#REF!</v>
      </c>
      <c r="W51" s="15" t="e">
        <f>VLOOKUP('北段 (人資版)'!W52,工作表1!$A$3:$B$74,2,FALSE)</f>
        <v>#REF!</v>
      </c>
      <c r="X51" s="15" t="e">
        <f>VLOOKUP('北段 (人資版)'!X52,工作表1!$A$3:$B$74,2,FALSE)</f>
        <v>#REF!</v>
      </c>
      <c r="Y51" s="15" t="e">
        <f>VLOOKUP('北段 (人資版)'!Y52,工作表1!$A$3:$B$74,2,FALSE)</f>
        <v>#REF!</v>
      </c>
      <c r="Z51" s="15" t="e">
        <f>VLOOKUP('北段 (人資版)'!Z52,工作表1!$A$3:$B$74,2,FALSE)</f>
        <v>#REF!</v>
      </c>
      <c r="AA51" s="15" t="e">
        <f>VLOOKUP('北段 (人資版)'!AA52,工作表1!$A$3:$B$74,2,FALSE)</f>
        <v>#REF!</v>
      </c>
      <c r="AB51" s="15" t="e">
        <f>VLOOKUP('北段 (人資版)'!AB52,工作表1!$A$3:$B$74,2,FALSE)</f>
        <v>#REF!</v>
      </c>
      <c r="AC51" s="15" t="e">
        <f>VLOOKUP('北段 (人資版)'!AC52,工作表1!$A$3:$B$74,2,FALSE)</f>
        <v>#REF!</v>
      </c>
      <c r="AD51" s="15" t="e">
        <f>VLOOKUP('北段 (人資版)'!AD52,工作表1!$A$3:$B$74,2,FALSE)</f>
        <v>#REF!</v>
      </c>
      <c r="AE51" s="15" t="e">
        <f>VLOOKUP('北段 (人資版)'!AE52,工作表1!$A$3:$B$74,2,FALSE)</f>
        <v>#REF!</v>
      </c>
      <c r="AF51" s="15" t="e">
        <f>VLOOKUP('北段 (人資版)'!AF52,工作表1!$A$3:$B$74,2,FALSE)</f>
        <v>#REF!</v>
      </c>
      <c r="AG51" s="15" t="e">
        <f>VLOOKUP('北段 (人資版)'!AG52,工作表1!$A$3:$B$74,2,FALSE)</f>
        <v>#REF!</v>
      </c>
      <c r="AH51" s="15" t="e">
        <f>VLOOKUP('北段 (人資版)'!AH52,工作表1!$A$3:$B$74,2,FALSE)</f>
        <v>#REF!</v>
      </c>
      <c r="AI51" s="15" t="e">
        <f>VLOOKUP('北段 (人資版)'!AI52,工作表1!$A$3:$B$74,2,FALSE)</f>
        <v>#REF!</v>
      </c>
      <c r="AJ51" s="15" t="e">
        <f>VLOOKUP('北段 (人資版)'!AJ52,工作表1!$A$3:$B$74,2,FALSE)</f>
        <v>#REF!</v>
      </c>
      <c r="AK51" s="15" t="e">
        <f>VLOOKUP('北段 (人資版)'!AK52,工作表1!$A$3:$B$74,2,FALSE)</f>
        <v>#REF!</v>
      </c>
      <c r="AL51" s="15" t="e">
        <f>VLOOKUP('北段 (人資版)'!AL52,工作表1!$A$3:$B$74,2,FALSE)</f>
        <v>#REF!</v>
      </c>
    </row>
    <row r="52" spans="1:38" ht="39.75" customHeight="1">
      <c r="A52" s="34" t="s">
        <v>14</v>
      </c>
      <c r="B52" s="10" t="e">
        <f>北段!#REF!</f>
        <v>#REF!</v>
      </c>
      <c r="C52" s="10" t="e">
        <f>VLOOKUP(B52,北段!B:C,2,FALSE)</f>
        <v>#REF!</v>
      </c>
      <c r="D52" s="15" t="e">
        <f>VLOOKUP('北段 (人資版)'!D53,工作表1!$A$3:$B$74,2,FALSE)</f>
        <v>#REF!</v>
      </c>
      <c r="E52" s="15" t="e">
        <f>VLOOKUP('北段 (人資版)'!E53,工作表1!$A$3:$B$74,2,FALSE)</f>
        <v>#REF!</v>
      </c>
      <c r="F52" s="15" t="e">
        <f>VLOOKUP('北段 (人資版)'!F53,工作表1!$A$3:$B$74,2,FALSE)</f>
        <v>#REF!</v>
      </c>
      <c r="G52" s="15" t="e">
        <f>VLOOKUP('北段 (人資版)'!G53,工作表1!$A$3:$B$74,2,FALSE)</f>
        <v>#REF!</v>
      </c>
      <c r="H52" s="15" t="e">
        <f>VLOOKUP('北段 (人資版)'!H53,工作表1!$A$3:$B$74,2,FALSE)</f>
        <v>#REF!</v>
      </c>
      <c r="I52" s="15" t="e">
        <f>VLOOKUP('北段 (人資版)'!I53,工作表1!$A$3:$B$74,2,FALSE)</f>
        <v>#REF!</v>
      </c>
      <c r="J52" s="15" t="e">
        <f>VLOOKUP('北段 (人資版)'!J53,工作表1!$A$3:$B$74,2,FALSE)</f>
        <v>#REF!</v>
      </c>
      <c r="K52" s="15" t="e">
        <f>VLOOKUP('北段 (人資版)'!K53,工作表1!$A$3:$B$74,2,FALSE)</f>
        <v>#REF!</v>
      </c>
      <c r="L52" s="15" t="e">
        <f>VLOOKUP('北段 (人資版)'!L53,工作表1!$A$3:$B$74,2,FALSE)</f>
        <v>#REF!</v>
      </c>
      <c r="M52" s="15" t="e">
        <f>VLOOKUP('北段 (人資版)'!M53,工作表1!$A$3:$B$74,2,FALSE)</f>
        <v>#REF!</v>
      </c>
      <c r="N52" s="15" t="e">
        <f>VLOOKUP('北段 (人資版)'!N53,工作表1!$A$3:$B$74,2,FALSE)</f>
        <v>#REF!</v>
      </c>
      <c r="O52" s="15" t="e">
        <f>VLOOKUP('北段 (人資版)'!O53,工作表1!$A$3:$B$74,2,FALSE)</f>
        <v>#REF!</v>
      </c>
      <c r="P52" s="15" t="e">
        <f>VLOOKUP('北段 (人資版)'!P53,工作表1!$A$3:$B$74,2,FALSE)</f>
        <v>#REF!</v>
      </c>
      <c r="Q52" s="15" t="e">
        <f>VLOOKUP('北段 (人資版)'!Q53,工作表1!$A$3:$B$74,2,FALSE)</f>
        <v>#REF!</v>
      </c>
      <c r="R52" s="15" t="e">
        <f>VLOOKUP('北段 (人資版)'!R53,工作表1!$A$3:$B$74,2,FALSE)</f>
        <v>#REF!</v>
      </c>
      <c r="S52" s="15" t="e">
        <f>VLOOKUP('北段 (人資版)'!S53,工作表1!$A$3:$B$74,2,FALSE)</f>
        <v>#REF!</v>
      </c>
      <c r="T52" s="15" t="e">
        <f>VLOOKUP('北段 (人資版)'!T53,工作表1!$A$3:$B$74,2,FALSE)</f>
        <v>#REF!</v>
      </c>
      <c r="U52" s="15" t="e">
        <f>VLOOKUP('北段 (人資版)'!U53,工作表1!$A$3:$B$74,2,FALSE)</f>
        <v>#REF!</v>
      </c>
      <c r="V52" s="15" t="e">
        <f>VLOOKUP('北段 (人資版)'!V53,工作表1!$A$3:$B$74,2,FALSE)</f>
        <v>#REF!</v>
      </c>
      <c r="W52" s="15" t="e">
        <f>VLOOKUP('北段 (人資版)'!W53,工作表1!$A$3:$B$74,2,FALSE)</f>
        <v>#REF!</v>
      </c>
      <c r="X52" s="15" t="e">
        <f>VLOOKUP('北段 (人資版)'!X53,工作表1!$A$3:$B$74,2,FALSE)</f>
        <v>#REF!</v>
      </c>
      <c r="Y52" s="15" t="e">
        <f>VLOOKUP('北段 (人資版)'!Y53,工作表1!$A$3:$B$74,2,FALSE)</f>
        <v>#REF!</v>
      </c>
      <c r="Z52" s="15" t="e">
        <f>VLOOKUP('北段 (人資版)'!Z53,工作表1!$A$3:$B$74,2,FALSE)</f>
        <v>#REF!</v>
      </c>
      <c r="AA52" s="15" t="e">
        <f>VLOOKUP('北段 (人資版)'!AA53,工作表1!$A$3:$B$74,2,FALSE)</f>
        <v>#REF!</v>
      </c>
      <c r="AB52" s="15" t="e">
        <f>VLOOKUP('北段 (人資版)'!AB53,工作表1!$A$3:$B$74,2,FALSE)</f>
        <v>#REF!</v>
      </c>
      <c r="AC52" s="15" t="e">
        <f>VLOOKUP('北段 (人資版)'!AC53,工作表1!$A$3:$B$74,2,FALSE)</f>
        <v>#REF!</v>
      </c>
      <c r="AD52" s="15" t="e">
        <f>VLOOKUP('北段 (人資版)'!AD53,工作表1!$A$3:$B$74,2,FALSE)</f>
        <v>#REF!</v>
      </c>
      <c r="AE52" s="15" t="e">
        <f>VLOOKUP('北段 (人資版)'!AE53,工作表1!$A$3:$B$74,2,FALSE)</f>
        <v>#REF!</v>
      </c>
      <c r="AF52" s="15" t="e">
        <f>VLOOKUP('北段 (人資版)'!AF53,工作表1!$A$3:$B$74,2,FALSE)</f>
        <v>#REF!</v>
      </c>
      <c r="AG52" s="15" t="e">
        <f>VLOOKUP('北段 (人資版)'!AG53,工作表1!$A$3:$B$74,2,FALSE)</f>
        <v>#REF!</v>
      </c>
      <c r="AH52" s="15" t="e">
        <f>VLOOKUP('北段 (人資版)'!AH53,工作表1!$A$3:$B$74,2,FALSE)</f>
        <v>#REF!</v>
      </c>
      <c r="AI52" s="15" t="e">
        <f>VLOOKUP('北段 (人資版)'!AI53,工作表1!$A$3:$B$74,2,FALSE)</f>
        <v>#REF!</v>
      </c>
      <c r="AJ52" s="15" t="e">
        <f>VLOOKUP('北段 (人資版)'!AJ53,工作表1!$A$3:$B$74,2,FALSE)</f>
        <v>#REF!</v>
      </c>
      <c r="AK52" s="15" t="e">
        <f>VLOOKUP('北段 (人資版)'!AK53,工作表1!$A$3:$B$74,2,FALSE)</f>
        <v>#REF!</v>
      </c>
      <c r="AL52" s="15" t="e">
        <f>VLOOKUP('北段 (人資版)'!AL53,工作表1!$A$3:$B$74,2,FALSE)</f>
        <v>#REF!</v>
      </c>
    </row>
    <row r="53" spans="1:38" ht="39.75" customHeight="1">
      <c r="A53" s="35"/>
      <c r="B53" s="10" t="e">
        <f>北段!#REF!</f>
        <v>#REF!</v>
      </c>
      <c r="C53" s="10" t="e">
        <f>VLOOKUP(B53,北段!B:C,2,FALSE)</f>
        <v>#REF!</v>
      </c>
      <c r="D53" s="15" t="e">
        <f>VLOOKUP('北段 (人資版)'!D54,工作表1!$A$3:$B$74,2,FALSE)</f>
        <v>#REF!</v>
      </c>
      <c r="E53" s="15" t="e">
        <f>VLOOKUP('北段 (人資版)'!E54,工作表1!$A$3:$B$74,2,FALSE)</f>
        <v>#REF!</v>
      </c>
      <c r="F53" s="15" t="e">
        <f>VLOOKUP('北段 (人資版)'!F54,工作表1!$A$3:$B$74,2,FALSE)</f>
        <v>#REF!</v>
      </c>
      <c r="G53" s="15" t="e">
        <f>VLOOKUP('北段 (人資版)'!G54,工作表1!$A$3:$B$74,2,FALSE)</f>
        <v>#REF!</v>
      </c>
      <c r="H53" s="15" t="e">
        <f>VLOOKUP('北段 (人資版)'!H54,工作表1!$A$3:$B$74,2,FALSE)</f>
        <v>#REF!</v>
      </c>
      <c r="I53" s="15" t="e">
        <f>VLOOKUP('北段 (人資版)'!I54,工作表1!$A$3:$B$74,2,FALSE)</f>
        <v>#REF!</v>
      </c>
      <c r="J53" s="15" t="e">
        <f>VLOOKUP('北段 (人資版)'!J54,工作表1!$A$3:$B$74,2,FALSE)</f>
        <v>#REF!</v>
      </c>
      <c r="K53" s="15" t="e">
        <f>VLOOKUP('北段 (人資版)'!K54,工作表1!$A$3:$B$74,2,FALSE)</f>
        <v>#REF!</v>
      </c>
      <c r="L53" s="15" t="e">
        <f>VLOOKUP('北段 (人資版)'!L54,工作表1!$A$3:$B$74,2,FALSE)</f>
        <v>#REF!</v>
      </c>
      <c r="M53" s="15" t="e">
        <f>VLOOKUP('北段 (人資版)'!M54,工作表1!$A$3:$B$74,2,FALSE)</f>
        <v>#REF!</v>
      </c>
      <c r="N53" s="15" t="e">
        <f>VLOOKUP('北段 (人資版)'!N54,工作表1!$A$3:$B$74,2,FALSE)</f>
        <v>#REF!</v>
      </c>
      <c r="O53" s="15" t="e">
        <f>VLOOKUP('北段 (人資版)'!O54,工作表1!$A$3:$B$74,2,FALSE)</f>
        <v>#REF!</v>
      </c>
      <c r="P53" s="15" t="e">
        <f>VLOOKUP('北段 (人資版)'!P54,工作表1!$A$3:$B$74,2,FALSE)</f>
        <v>#REF!</v>
      </c>
      <c r="Q53" s="15" t="e">
        <f>VLOOKUP('北段 (人資版)'!Q54,工作表1!$A$3:$B$74,2,FALSE)</f>
        <v>#REF!</v>
      </c>
      <c r="R53" s="15" t="e">
        <f>VLOOKUP('北段 (人資版)'!R54,工作表1!$A$3:$B$74,2,FALSE)</f>
        <v>#REF!</v>
      </c>
      <c r="S53" s="15" t="e">
        <f>VLOOKUP('北段 (人資版)'!S54,工作表1!$A$3:$B$74,2,FALSE)</f>
        <v>#REF!</v>
      </c>
      <c r="T53" s="15" t="e">
        <f>VLOOKUP('北段 (人資版)'!T54,工作表1!$A$3:$B$74,2,FALSE)</f>
        <v>#REF!</v>
      </c>
      <c r="U53" s="15" t="e">
        <f>VLOOKUP('北段 (人資版)'!U54,工作表1!$A$3:$B$74,2,FALSE)</f>
        <v>#REF!</v>
      </c>
      <c r="V53" s="15" t="e">
        <f>VLOOKUP('北段 (人資版)'!V54,工作表1!$A$3:$B$74,2,FALSE)</f>
        <v>#REF!</v>
      </c>
      <c r="W53" s="15" t="e">
        <f>VLOOKUP('北段 (人資版)'!W54,工作表1!$A$3:$B$74,2,FALSE)</f>
        <v>#REF!</v>
      </c>
      <c r="X53" s="15" t="e">
        <f>VLOOKUP('北段 (人資版)'!X54,工作表1!$A$3:$B$74,2,FALSE)</f>
        <v>#REF!</v>
      </c>
      <c r="Y53" s="15" t="e">
        <f>VLOOKUP('北段 (人資版)'!Y54,工作表1!$A$3:$B$74,2,FALSE)</f>
        <v>#REF!</v>
      </c>
      <c r="Z53" s="15" t="e">
        <f>VLOOKUP('北段 (人資版)'!Z54,工作表1!$A$3:$B$74,2,FALSE)</f>
        <v>#REF!</v>
      </c>
      <c r="AA53" s="15" t="e">
        <f>VLOOKUP('北段 (人資版)'!AA54,工作表1!$A$3:$B$74,2,FALSE)</f>
        <v>#REF!</v>
      </c>
      <c r="AB53" s="15" t="e">
        <f>VLOOKUP('北段 (人資版)'!AB54,工作表1!$A$3:$B$74,2,FALSE)</f>
        <v>#REF!</v>
      </c>
      <c r="AC53" s="15" t="e">
        <f>VLOOKUP('北段 (人資版)'!AC54,工作表1!$A$3:$B$74,2,FALSE)</f>
        <v>#REF!</v>
      </c>
      <c r="AD53" s="15" t="e">
        <f>VLOOKUP('北段 (人資版)'!AD54,工作表1!$A$3:$B$74,2,FALSE)</f>
        <v>#REF!</v>
      </c>
      <c r="AE53" s="15" t="e">
        <f>VLOOKUP('北段 (人資版)'!AE54,工作表1!$A$3:$B$74,2,FALSE)</f>
        <v>#REF!</v>
      </c>
      <c r="AF53" s="15" t="e">
        <f>VLOOKUP('北段 (人資版)'!AF54,工作表1!$A$3:$B$74,2,FALSE)</f>
        <v>#REF!</v>
      </c>
      <c r="AG53" s="15" t="e">
        <f>VLOOKUP('北段 (人資版)'!AG54,工作表1!$A$3:$B$74,2,FALSE)</f>
        <v>#REF!</v>
      </c>
      <c r="AH53" s="15" t="e">
        <f>VLOOKUP('北段 (人資版)'!AH54,工作表1!$A$3:$B$74,2,FALSE)</f>
        <v>#REF!</v>
      </c>
      <c r="AI53" s="15" t="e">
        <f>VLOOKUP('北段 (人資版)'!AI54,工作表1!$A$3:$B$74,2,FALSE)</f>
        <v>#REF!</v>
      </c>
      <c r="AJ53" s="15" t="e">
        <f>VLOOKUP('北段 (人資版)'!AJ54,工作表1!$A$3:$B$74,2,FALSE)</f>
        <v>#REF!</v>
      </c>
      <c r="AK53" s="15" t="e">
        <f>VLOOKUP('北段 (人資版)'!AK54,工作表1!$A$3:$B$74,2,FALSE)</f>
        <v>#REF!</v>
      </c>
      <c r="AL53" s="15" t="e">
        <f>VLOOKUP('北段 (人資版)'!AL54,工作表1!$A$3:$B$74,2,FALSE)</f>
        <v>#REF!</v>
      </c>
    </row>
    <row r="54" spans="1:38" ht="39.6" customHeight="1">
      <c r="A54" s="35"/>
      <c r="B54" s="10" t="e">
        <f>北段!#REF!</f>
        <v>#REF!</v>
      </c>
      <c r="C54" s="10" t="e">
        <f>VLOOKUP(B54,北段!B:C,2,FALSE)</f>
        <v>#REF!</v>
      </c>
      <c r="D54" s="15" t="e">
        <f>VLOOKUP('北段 (人資版)'!D55,工作表1!$A$3:$B$74,2,FALSE)</f>
        <v>#REF!</v>
      </c>
      <c r="E54" s="15" t="e">
        <f>VLOOKUP('北段 (人資版)'!E55,工作表1!$A$3:$B$74,2,FALSE)</f>
        <v>#REF!</v>
      </c>
      <c r="F54" s="15" t="e">
        <f>VLOOKUP('北段 (人資版)'!F55,工作表1!$A$3:$B$74,2,FALSE)</f>
        <v>#REF!</v>
      </c>
      <c r="G54" s="15" t="e">
        <f>VLOOKUP('北段 (人資版)'!G55,工作表1!$A$3:$B$74,2,FALSE)</f>
        <v>#REF!</v>
      </c>
      <c r="H54" s="15" t="e">
        <f>VLOOKUP('北段 (人資版)'!H55,工作表1!$A$3:$B$74,2,FALSE)</f>
        <v>#REF!</v>
      </c>
      <c r="I54" s="15" t="e">
        <f>VLOOKUP('北段 (人資版)'!I55,工作表1!$A$3:$B$74,2,FALSE)</f>
        <v>#REF!</v>
      </c>
      <c r="J54" s="15" t="e">
        <f>VLOOKUP('北段 (人資版)'!J55,工作表1!$A$3:$B$74,2,FALSE)</f>
        <v>#REF!</v>
      </c>
      <c r="K54" s="15" t="e">
        <f>VLOOKUP('北段 (人資版)'!K55,工作表1!$A$3:$B$74,2,FALSE)</f>
        <v>#REF!</v>
      </c>
      <c r="L54" s="15" t="e">
        <f>VLOOKUP('北段 (人資版)'!L55,工作表1!$A$3:$B$74,2,FALSE)</f>
        <v>#REF!</v>
      </c>
      <c r="M54" s="15" t="e">
        <f>VLOOKUP('北段 (人資版)'!M55,工作表1!$A$3:$B$74,2,FALSE)</f>
        <v>#REF!</v>
      </c>
      <c r="N54" s="15" t="e">
        <f>VLOOKUP('北段 (人資版)'!N55,工作表1!$A$3:$B$74,2,FALSE)</f>
        <v>#REF!</v>
      </c>
      <c r="O54" s="15" t="e">
        <f>VLOOKUP('北段 (人資版)'!O55,工作表1!$A$3:$B$74,2,FALSE)</f>
        <v>#REF!</v>
      </c>
      <c r="P54" s="15" t="e">
        <f>VLOOKUP('北段 (人資版)'!P55,工作表1!$A$3:$B$74,2,FALSE)</f>
        <v>#REF!</v>
      </c>
      <c r="Q54" s="15" t="e">
        <f>VLOOKUP('北段 (人資版)'!Q55,工作表1!$A$3:$B$74,2,FALSE)</f>
        <v>#REF!</v>
      </c>
      <c r="R54" s="15" t="e">
        <f>VLOOKUP('北段 (人資版)'!R55,工作表1!$A$3:$B$74,2,FALSE)</f>
        <v>#REF!</v>
      </c>
      <c r="S54" s="15" t="e">
        <f>VLOOKUP('北段 (人資版)'!S55,工作表1!$A$3:$B$74,2,FALSE)</f>
        <v>#REF!</v>
      </c>
      <c r="T54" s="15" t="e">
        <f>VLOOKUP('北段 (人資版)'!T55,工作表1!$A$3:$B$74,2,FALSE)</f>
        <v>#REF!</v>
      </c>
      <c r="U54" s="15" t="e">
        <f>VLOOKUP('北段 (人資版)'!U55,工作表1!$A$3:$B$74,2,FALSE)</f>
        <v>#REF!</v>
      </c>
      <c r="V54" s="15" t="e">
        <f>VLOOKUP('北段 (人資版)'!V55,工作表1!$A$3:$B$74,2,FALSE)</f>
        <v>#REF!</v>
      </c>
      <c r="W54" s="15" t="e">
        <f>VLOOKUP('北段 (人資版)'!W55,工作表1!$A$3:$B$74,2,FALSE)</f>
        <v>#REF!</v>
      </c>
      <c r="X54" s="15" t="e">
        <f>VLOOKUP('北段 (人資版)'!X55,工作表1!$A$3:$B$74,2,FALSE)</f>
        <v>#REF!</v>
      </c>
      <c r="Y54" s="15" t="e">
        <f>VLOOKUP('北段 (人資版)'!Y55,工作表1!$A$3:$B$74,2,FALSE)</f>
        <v>#REF!</v>
      </c>
      <c r="Z54" s="15" t="e">
        <f>VLOOKUP('北段 (人資版)'!Z55,工作表1!$A$3:$B$74,2,FALSE)</f>
        <v>#REF!</v>
      </c>
      <c r="AA54" s="15" t="e">
        <f>VLOOKUP('北段 (人資版)'!AA55,工作表1!$A$3:$B$74,2,FALSE)</f>
        <v>#REF!</v>
      </c>
      <c r="AB54" s="15" t="e">
        <f>VLOOKUP('北段 (人資版)'!AB55,工作表1!$A$3:$B$74,2,FALSE)</f>
        <v>#REF!</v>
      </c>
      <c r="AC54" s="15" t="e">
        <f>VLOOKUP('北段 (人資版)'!AC55,工作表1!$A$3:$B$74,2,FALSE)</f>
        <v>#REF!</v>
      </c>
      <c r="AD54" s="15" t="e">
        <f>VLOOKUP('北段 (人資版)'!AD55,工作表1!$A$3:$B$74,2,FALSE)</f>
        <v>#REF!</v>
      </c>
      <c r="AE54" s="15" t="e">
        <f>VLOOKUP('北段 (人資版)'!AE55,工作表1!$A$3:$B$74,2,FALSE)</f>
        <v>#REF!</v>
      </c>
      <c r="AF54" s="15" t="e">
        <f>VLOOKUP('北段 (人資版)'!AF55,工作表1!$A$3:$B$74,2,FALSE)</f>
        <v>#REF!</v>
      </c>
      <c r="AG54" s="15" t="e">
        <f>VLOOKUP('北段 (人資版)'!AG55,工作表1!$A$3:$B$74,2,FALSE)</f>
        <v>#REF!</v>
      </c>
      <c r="AH54" s="15" t="e">
        <f>VLOOKUP('北段 (人資版)'!AH55,工作表1!$A$3:$B$74,2,FALSE)</f>
        <v>#REF!</v>
      </c>
      <c r="AI54" s="15" t="e">
        <f>VLOOKUP('北段 (人資版)'!AI55,工作表1!$A$3:$B$74,2,FALSE)</f>
        <v>#REF!</v>
      </c>
      <c r="AJ54" s="15" t="e">
        <f>VLOOKUP('北段 (人資版)'!AJ55,工作表1!$A$3:$B$74,2,FALSE)</f>
        <v>#REF!</v>
      </c>
      <c r="AK54" s="15" t="e">
        <f>VLOOKUP('北段 (人資版)'!AK55,工作表1!$A$3:$B$74,2,FALSE)</f>
        <v>#REF!</v>
      </c>
      <c r="AL54" s="15" t="e">
        <f>VLOOKUP('北段 (人資版)'!AL55,工作表1!$A$3:$B$74,2,FALSE)</f>
        <v>#REF!</v>
      </c>
    </row>
    <row r="55" spans="1:38" ht="39.75" customHeight="1">
      <c r="A55" s="35"/>
      <c r="B55" s="10" t="e">
        <f>北段!#REF!</f>
        <v>#REF!</v>
      </c>
      <c r="C55" s="10" t="e">
        <f>VLOOKUP(B55,北段!B:C,2,FALSE)</f>
        <v>#REF!</v>
      </c>
      <c r="D55" s="15" t="e">
        <f>VLOOKUP('北段 (人資版)'!D56,工作表1!$A$3:$B$74,2,FALSE)</f>
        <v>#REF!</v>
      </c>
      <c r="E55" s="15" t="e">
        <f>VLOOKUP('北段 (人資版)'!E56,工作表1!$A$3:$B$74,2,FALSE)</f>
        <v>#REF!</v>
      </c>
      <c r="F55" s="15" t="e">
        <f>VLOOKUP('北段 (人資版)'!F56,工作表1!$A$3:$B$74,2,FALSE)</f>
        <v>#REF!</v>
      </c>
      <c r="G55" s="15" t="e">
        <f>VLOOKUP('北段 (人資版)'!G56,工作表1!$A$3:$B$74,2,FALSE)</f>
        <v>#REF!</v>
      </c>
      <c r="H55" s="15" t="e">
        <f>VLOOKUP('北段 (人資版)'!H56,工作表1!$A$3:$B$74,2,FALSE)</f>
        <v>#REF!</v>
      </c>
      <c r="I55" s="15" t="e">
        <f>VLOOKUP('北段 (人資版)'!I56,工作表1!$A$3:$B$74,2,FALSE)</f>
        <v>#REF!</v>
      </c>
      <c r="J55" s="15" t="e">
        <f>VLOOKUP('北段 (人資版)'!J56,工作表1!$A$3:$B$74,2,FALSE)</f>
        <v>#REF!</v>
      </c>
      <c r="K55" s="15" t="e">
        <f>VLOOKUP('北段 (人資版)'!K56,工作表1!$A$3:$B$74,2,FALSE)</f>
        <v>#REF!</v>
      </c>
      <c r="L55" s="15" t="e">
        <f>VLOOKUP('北段 (人資版)'!L56,工作表1!$A$3:$B$74,2,FALSE)</f>
        <v>#REF!</v>
      </c>
      <c r="M55" s="15" t="e">
        <f>VLOOKUP('北段 (人資版)'!M56,工作表1!$A$3:$B$74,2,FALSE)</f>
        <v>#REF!</v>
      </c>
      <c r="N55" s="15" t="e">
        <f>VLOOKUP('北段 (人資版)'!N56,工作表1!$A$3:$B$74,2,FALSE)</f>
        <v>#REF!</v>
      </c>
      <c r="O55" s="15" t="e">
        <f>VLOOKUP('北段 (人資版)'!O56,工作表1!$A$3:$B$74,2,FALSE)</f>
        <v>#REF!</v>
      </c>
      <c r="P55" s="15" t="e">
        <f>VLOOKUP('北段 (人資版)'!P56,工作表1!$A$3:$B$74,2,FALSE)</f>
        <v>#REF!</v>
      </c>
      <c r="Q55" s="15" t="e">
        <f>VLOOKUP('北段 (人資版)'!Q56,工作表1!$A$3:$B$74,2,FALSE)</f>
        <v>#REF!</v>
      </c>
      <c r="R55" s="15" t="e">
        <f>VLOOKUP('北段 (人資版)'!R56,工作表1!$A$3:$B$74,2,FALSE)</f>
        <v>#REF!</v>
      </c>
      <c r="S55" s="15" t="e">
        <f>VLOOKUP('北段 (人資版)'!S56,工作表1!$A$3:$B$74,2,FALSE)</f>
        <v>#REF!</v>
      </c>
      <c r="T55" s="15" t="e">
        <f>VLOOKUP('北段 (人資版)'!T56,工作表1!$A$3:$B$74,2,FALSE)</f>
        <v>#REF!</v>
      </c>
      <c r="U55" s="15" t="e">
        <f>VLOOKUP('北段 (人資版)'!U56,工作表1!$A$3:$B$74,2,FALSE)</f>
        <v>#REF!</v>
      </c>
      <c r="V55" s="15" t="e">
        <f>VLOOKUP('北段 (人資版)'!V56,工作表1!$A$3:$B$74,2,FALSE)</f>
        <v>#REF!</v>
      </c>
      <c r="W55" s="15" t="e">
        <f>VLOOKUP('北段 (人資版)'!W56,工作表1!$A$3:$B$74,2,FALSE)</f>
        <v>#REF!</v>
      </c>
      <c r="X55" s="15" t="e">
        <f>VLOOKUP('北段 (人資版)'!X56,工作表1!$A$3:$B$74,2,FALSE)</f>
        <v>#REF!</v>
      </c>
      <c r="Y55" s="15" t="e">
        <f>VLOOKUP('北段 (人資版)'!Y56,工作表1!$A$3:$B$74,2,FALSE)</f>
        <v>#REF!</v>
      </c>
      <c r="Z55" s="15" t="e">
        <f>VLOOKUP('北段 (人資版)'!Z56,工作表1!$A$3:$B$74,2,FALSE)</f>
        <v>#REF!</v>
      </c>
      <c r="AA55" s="15" t="e">
        <f>VLOOKUP('北段 (人資版)'!AA56,工作表1!$A$3:$B$74,2,FALSE)</f>
        <v>#REF!</v>
      </c>
      <c r="AB55" s="15" t="e">
        <f>VLOOKUP('北段 (人資版)'!AB56,工作表1!$A$3:$B$74,2,FALSE)</f>
        <v>#REF!</v>
      </c>
      <c r="AC55" s="15" t="e">
        <f>VLOOKUP('北段 (人資版)'!AC56,工作表1!$A$3:$B$74,2,FALSE)</f>
        <v>#REF!</v>
      </c>
      <c r="AD55" s="15" t="e">
        <f>VLOOKUP('北段 (人資版)'!AD56,工作表1!$A$3:$B$74,2,FALSE)</f>
        <v>#REF!</v>
      </c>
      <c r="AE55" s="15" t="e">
        <f>VLOOKUP('北段 (人資版)'!AE56,工作表1!$A$3:$B$74,2,FALSE)</f>
        <v>#REF!</v>
      </c>
      <c r="AF55" s="15" t="e">
        <f>VLOOKUP('北段 (人資版)'!AF56,工作表1!$A$3:$B$74,2,FALSE)</f>
        <v>#REF!</v>
      </c>
      <c r="AG55" s="15" t="e">
        <f>VLOOKUP('北段 (人資版)'!AG56,工作表1!$A$3:$B$74,2,FALSE)</f>
        <v>#REF!</v>
      </c>
      <c r="AH55" s="15" t="e">
        <f>VLOOKUP('北段 (人資版)'!AH56,工作表1!$A$3:$B$74,2,FALSE)</f>
        <v>#REF!</v>
      </c>
      <c r="AI55" s="15" t="e">
        <f>VLOOKUP('北段 (人資版)'!AI56,工作表1!$A$3:$B$74,2,FALSE)</f>
        <v>#REF!</v>
      </c>
      <c r="AJ55" s="15" t="e">
        <f>VLOOKUP('北段 (人資版)'!AJ56,工作表1!$A$3:$B$74,2,FALSE)</f>
        <v>#REF!</v>
      </c>
      <c r="AK55" s="15" t="e">
        <f>VLOOKUP('北段 (人資版)'!AK56,工作表1!$A$3:$B$74,2,FALSE)</f>
        <v>#REF!</v>
      </c>
      <c r="AL55" s="15" t="e">
        <f>VLOOKUP('北段 (人資版)'!AL56,工作表1!$A$3:$B$74,2,FALSE)</f>
        <v>#REF!</v>
      </c>
    </row>
    <row r="56" spans="1:38" ht="39.75" customHeight="1">
      <c r="A56" s="35"/>
      <c r="B56" s="10" t="e">
        <f>北段!#REF!</f>
        <v>#REF!</v>
      </c>
      <c r="C56" s="10" t="e">
        <f>VLOOKUP(B56,北段!B:C,2,FALSE)</f>
        <v>#REF!</v>
      </c>
      <c r="D56" s="15" t="e">
        <f>VLOOKUP('北段 (人資版)'!D57,工作表1!$A$3:$B$74,2,FALSE)</f>
        <v>#REF!</v>
      </c>
      <c r="E56" s="15" t="e">
        <f>VLOOKUP('北段 (人資版)'!E57,工作表1!$A$3:$B$74,2,FALSE)</f>
        <v>#REF!</v>
      </c>
      <c r="F56" s="15" t="e">
        <f>VLOOKUP('北段 (人資版)'!F57,工作表1!$A$3:$B$74,2,FALSE)</f>
        <v>#REF!</v>
      </c>
      <c r="G56" s="15" t="e">
        <f>VLOOKUP('北段 (人資版)'!G57,工作表1!$A$3:$B$74,2,FALSE)</f>
        <v>#REF!</v>
      </c>
      <c r="H56" s="15" t="e">
        <f>VLOOKUP('北段 (人資版)'!H57,工作表1!$A$3:$B$74,2,FALSE)</f>
        <v>#REF!</v>
      </c>
      <c r="I56" s="15" t="e">
        <f>VLOOKUP('北段 (人資版)'!I57,工作表1!$A$3:$B$74,2,FALSE)</f>
        <v>#N/A</v>
      </c>
      <c r="J56" s="15" t="e">
        <f>VLOOKUP('北段 (人資版)'!J57,工作表1!$A$3:$B$74,2,FALSE)</f>
        <v>#N/A</v>
      </c>
      <c r="K56" s="15" t="e">
        <f>VLOOKUP('北段 (人資版)'!K57,工作表1!$A$3:$B$74,2,FALSE)</f>
        <v>#N/A</v>
      </c>
      <c r="L56" s="15" t="e">
        <f>VLOOKUP('北段 (人資版)'!L57,工作表1!$A$3:$B$74,2,FALSE)</f>
        <v>#N/A</v>
      </c>
      <c r="M56" s="15" t="e">
        <f>VLOOKUP('北段 (人資版)'!M57,工作表1!$A$3:$B$74,2,FALSE)</f>
        <v>#N/A</v>
      </c>
      <c r="N56" s="15" t="e">
        <f>VLOOKUP('北段 (人資版)'!N57,工作表1!$A$3:$B$74,2,FALSE)</f>
        <v>#N/A</v>
      </c>
      <c r="O56" s="15" t="e">
        <f>VLOOKUP('北段 (人資版)'!O57,工作表1!$A$3:$B$74,2,FALSE)</f>
        <v>#N/A</v>
      </c>
      <c r="P56" s="15" t="e">
        <f>VLOOKUP('北段 (人資版)'!P57,工作表1!$A$3:$B$74,2,FALSE)</f>
        <v>#N/A</v>
      </c>
      <c r="Q56" s="15" t="e">
        <f>VLOOKUP('北段 (人資版)'!Q57,工作表1!$A$3:$B$74,2,FALSE)</f>
        <v>#N/A</v>
      </c>
      <c r="R56" s="15" t="e">
        <f>VLOOKUP('北段 (人資版)'!R57,工作表1!$A$3:$B$74,2,FALSE)</f>
        <v>#N/A</v>
      </c>
      <c r="S56" s="15" t="e">
        <f>VLOOKUP('北段 (人資版)'!S57,工作表1!$A$3:$B$74,2,FALSE)</f>
        <v>#N/A</v>
      </c>
      <c r="T56" s="15" t="e">
        <f>VLOOKUP('北段 (人資版)'!T57,工作表1!$A$3:$B$74,2,FALSE)</f>
        <v>#N/A</v>
      </c>
      <c r="U56" s="15" t="e">
        <f>VLOOKUP('北段 (人資版)'!U57,工作表1!$A$3:$B$74,2,FALSE)</f>
        <v>#N/A</v>
      </c>
      <c r="V56" s="15" t="e">
        <f>VLOOKUP('北段 (人資版)'!V57,工作表1!$A$3:$B$74,2,FALSE)</f>
        <v>#N/A</v>
      </c>
      <c r="W56" s="15" t="e">
        <f>VLOOKUP('北段 (人資版)'!W57,工作表1!$A$3:$B$74,2,FALSE)</f>
        <v>#N/A</v>
      </c>
      <c r="X56" s="15" t="e">
        <f>VLOOKUP('北段 (人資版)'!X57,工作表1!$A$3:$B$74,2,FALSE)</f>
        <v>#N/A</v>
      </c>
      <c r="Y56" s="15" t="e">
        <f>VLOOKUP('北段 (人資版)'!Y57,工作表1!$A$3:$B$74,2,FALSE)</f>
        <v>#N/A</v>
      </c>
      <c r="Z56" s="15" t="e">
        <f>VLOOKUP('北段 (人資版)'!Z57,工作表1!$A$3:$B$74,2,FALSE)</f>
        <v>#N/A</v>
      </c>
      <c r="AA56" s="15" t="e">
        <f>VLOOKUP('北段 (人資版)'!AA57,工作表1!$A$3:$B$74,2,FALSE)</f>
        <v>#N/A</v>
      </c>
      <c r="AB56" s="15" t="e">
        <f>VLOOKUP('北段 (人資版)'!AB57,工作表1!$A$3:$B$74,2,FALSE)</f>
        <v>#N/A</v>
      </c>
      <c r="AC56" s="15" t="e">
        <f>VLOOKUP('北段 (人資版)'!AC57,工作表1!$A$3:$B$74,2,FALSE)</f>
        <v>#N/A</v>
      </c>
      <c r="AD56" s="15" t="e">
        <f>VLOOKUP('北段 (人資版)'!AD57,工作表1!$A$3:$B$74,2,FALSE)</f>
        <v>#N/A</v>
      </c>
      <c r="AE56" s="15" t="e">
        <f>VLOOKUP('北段 (人資版)'!AE57,工作表1!$A$3:$B$74,2,FALSE)</f>
        <v>#N/A</v>
      </c>
      <c r="AF56" s="15" t="e">
        <f>VLOOKUP('北段 (人資版)'!AF57,工作表1!$A$3:$B$74,2,FALSE)</f>
        <v>#N/A</v>
      </c>
      <c r="AG56" s="15" t="e">
        <f>VLOOKUP('北段 (人資版)'!AG57,工作表1!$A$3:$B$74,2,FALSE)</f>
        <v>#N/A</v>
      </c>
      <c r="AH56" s="15" t="e">
        <f>VLOOKUP('北段 (人資版)'!AH57,工作表1!$A$3:$B$74,2,FALSE)</f>
        <v>#N/A</v>
      </c>
      <c r="AI56" s="15" t="e">
        <f>VLOOKUP('北段 (人資版)'!AI57,工作表1!$A$3:$B$74,2,FALSE)</f>
        <v>#N/A</v>
      </c>
      <c r="AJ56" s="15" t="e">
        <f>VLOOKUP('北段 (人資版)'!AJ57,工作表1!$A$3:$B$74,2,FALSE)</f>
        <v>#N/A</v>
      </c>
      <c r="AK56" s="15" t="e">
        <f>VLOOKUP('北段 (人資版)'!AK57,工作表1!$A$3:$B$74,2,FALSE)</f>
        <v>#N/A</v>
      </c>
      <c r="AL56" s="15" t="e">
        <f>VLOOKUP('北段 (人資版)'!AL57,工作表1!$A$3:$B$74,2,FALSE)</f>
        <v>#N/A</v>
      </c>
    </row>
    <row r="57" spans="1:38" ht="39.75" customHeight="1">
      <c r="A57" s="35"/>
      <c r="B57" s="10" t="e">
        <f>北段!#REF!</f>
        <v>#REF!</v>
      </c>
      <c r="C57" s="10" t="e">
        <f>VLOOKUP(B57,北段!B:C,2,FALSE)</f>
        <v>#REF!</v>
      </c>
      <c r="D57" s="15" t="e">
        <f>VLOOKUP('北段 (人資版)'!D58,工作表1!$A$3:$B$74,2,FALSE)</f>
        <v>#REF!</v>
      </c>
      <c r="E57" s="15" t="e">
        <f>VLOOKUP('北段 (人資版)'!E58,工作表1!$A$3:$B$74,2,FALSE)</f>
        <v>#REF!</v>
      </c>
      <c r="F57" s="15" t="e">
        <f>VLOOKUP('北段 (人資版)'!F58,工作表1!$A$3:$B$74,2,FALSE)</f>
        <v>#REF!</v>
      </c>
      <c r="G57" s="15" t="e">
        <f>VLOOKUP('北段 (人資版)'!G58,工作表1!$A$3:$B$74,2,FALSE)</f>
        <v>#REF!</v>
      </c>
      <c r="H57" s="15" t="e">
        <f>VLOOKUP('北段 (人資版)'!H58,工作表1!$A$3:$B$74,2,FALSE)</f>
        <v>#REF!</v>
      </c>
      <c r="I57" s="15" t="e">
        <f>VLOOKUP('北段 (人資版)'!I58,工作表1!$A$3:$B$74,2,FALSE)</f>
        <v>#REF!</v>
      </c>
      <c r="J57" s="15" t="e">
        <f>VLOOKUP('北段 (人資版)'!J58,工作表1!$A$3:$B$74,2,FALSE)</f>
        <v>#REF!</v>
      </c>
      <c r="K57" s="15" t="e">
        <f>VLOOKUP('北段 (人資版)'!K58,工作表1!$A$3:$B$74,2,FALSE)</f>
        <v>#REF!</v>
      </c>
      <c r="L57" s="15" t="e">
        <f>VLOOKUP('北段 (人資版)'!L58,工作表1!$A$3:$B$74,2,FALSE)</f>
        <v>#REF!</v>
      </c>
      <c r="M57" s="15" t="e">
        <f>VLOOKUP('北段 (人資版)'!M58,工作表1!$A$3:$B$74,2,FALSE)</f>
        <v>#REF!</v>
      </c>
      <c r="N57" s="15" t="e">
        <f>VLOOKUP('北段 (人資版)'!N58,工作表1!$A$3:$B$74,2,FALSE)</f>
        <v>#REF!</v>
      </c>
      <c r="O57" s="15" t="e">
        <f>VLOOKUP('北段 (人資版)'!O58,工作表1!$A$3:$B$74,2,FALSE)</f>
        <v>#REF!</v>
      </c>
      <c r="P57" s="15" t="e">
        <f>VLOOKUP('北段 (人資版)'!P58,工作表1!$A$3:$B$74,2,FALSE)</f>
        <v>#REF!</v>
      </c>
      <c r="Q57" s="15" t="e">
        <f>VLOOKUP('北段 (人資版)'!Q58,工作表1!$A$3:$B$74,2,FALSE)</f>
        <v>#REF!</v>
      </c>
      <c r="R57" s="15" t="e">
        <f>VLOOKUP('北段 (人資版)'!R58,工作表1!$A$3:$B$74,2,FALSE)</f>
        <v>#REF!</v>
      </c>
      <c r="S57" s="15" t="e">
        <f>VLOOKUP('北段 (人資版)'!S58,工作表1!$A$3:$B$74,2,FALSE)</f>
        <v>#REF!</v>
      </c>
      <c r="T57" s="15" t="e">
        <f>VLOOKUP('北段 (人資版)'!T58,工作表1!$A$3:$B$74,2,FALSE)</f>
        <v>#REF!</v>
      </c>
      <c r="U57" s="15" t="e">
        <f>VLOOKUP('北段 (人資版)'!U58,工作表1!$A$3:$B$74,2,FALSE)</f>
        <v>#REF!</v>
      </c>
      <c r="V57" s="15" t="e">
        <f>VLOOKUP('北段 (人資版)'!V58,工作表1!$A$3:$B$74,2,FALSE)</f>
        <v>#REF!</v>
      </c>
      <c r="W57" s="15" t="e">
        <f>VLOOKUP('北段 (人資版)'!W58,工作表1!$A$3:$B$74,2,FALSE)</f>
        <v>#REF!</v>
      </c>
      <c r="X57" s="15" t="e">
        <f>VLOOKUP('北段 (人資版)'!X58,工作表1!$A$3:$B$74,2,FALSE)</f>
        <v>#REF!</v>
      </c>
      <c r="Y57" s="15" t="e">
        <f>VLOOKUP('北段 (人資版)'!Y58,工作表1!$A$3:$B$74,2,FALSE)</f>
        <v>#REF!</v>
      </c>
      <c r="Z57" s="15" t="e">
        <f>VLOOKUP('北段 (人資版)'!Z58,工作表1!$A$3:$B$74,2,FALSE)</f>
        <v>#REF!</v>
      </c>
      <c r="AA57" s="15" t="e">
        <f>VLOOKUP('北段 (人資版)'!AA58,工作表1!$A$3:$B$74,2,FALSE)</f>
        <v>#REF!</v>
      </c>
      <c r="AB57" s="15" t="e">
        <f>VLOOKUP('北段 (人資版)'!AB58,工作表1!$A$3:$B$74,2,FALSE)</f>
        <v>#REF!</v>
      </c>
      <c r="AC57" s="15" t="e">
        <f>VLOOKUP('北段 (人資版)'!AC58,工作表1!$A$3:$B$74,2,FALSE)</f>
        <v>#REF!</v>
      </c>
      <c r="AD57" s="15" t="e">
        <f>VLOOKUP('北段 (人資版)'!AD58,工作表1!$A$3:$B$74,2,FALSE)</f>
        <v>#REF!</v>
      </c>
      <c r="AE57" s="15" t="e">
        <f>VLOOKUP('北段 (人資版)'!AE58,工作表1!$A$3:$B$74,2,FALSE)</f>
        <v>#REF!</v>
      </c>
      <c r="AF57" s="15" t="e">
        <f>VLOOKUP('北段 (人資版)'!AF58,工作表1!$A$3:$B$74,2,FALSE)</f>
        <v>#REF!</v>
      </c>
      <c r="AG57" s="15" t="e">
        <f>VLOOKUP('北段 (人資版)'!AG58,工作表1!$A$3:$B$74,2,FALSE)</f>
        <v>#REF!</v>
      </c>
      <c r="AH57" s="15" t="e">
        <f>VLOOKUP('北段 (人資版)'!AH58,工作表1!$A$3:$B$74,2,FALSE)</f>
        <v>#REF!</v>
      </c>
      <c r="AI57" s="15" t="e">
        <f>VLOOKUP('北段 (人資版)'!AI58,工作表1!$A$3:$B$74,2,FALSE)</f>
        <v>#REF!</v>
      </c>
      <c r="AJ57" s="15" t="e">
        <f>VLOOKUP('北段 (人資版)'!AJ58,工作表1!$A$3:$B$74,2,FALSE)</f>
        <v>#REF!</v>
      </c>
      <c r="AK57" s="15" t="e">
        <f>VLOOKUP('北段 (人資版)'!AK58,工作表1!$A$3:$B$74,2,FALSE)</f>
        <v>#REF!</v>
      </c>
      <c r="AL57" s="15" t="e">
        <f>VLOOKUP('北段 (人資版)'!AL58,工作表1!$A$3:$B$74,2,FALSE)</f>
        <v>#REF!</v>
      </c>
    </row>
    <row r="58" spans="1:38" ht="39.75" customHeight="1" thickBot="1">
      <c r="A58" s="33"/>
      <c r="B58" s="10" t="e">
        <f>北段!#REF!</f>
        <v>#REF!</v>
      </c>
      <c r="C58" s="10" t="e">
        <f>VLOOKUP(B58,北段!B:C,2,FALSE)</f>
        <v>#REF!</v>
      </c>
      <c r="D58" s="15" t="e">
        <f>VLOOKUP('北段 (人資版)'!D59,工作表1!$A$3:$B$74,2,FALSE)</f>
        <v>#REF!</v>
      </c>
      <c r="E58" s="15" t="e">
        <f>VLOOKUP('北段 (人資版)'!E59,工作表1!$A$3:$B$74,2,FALSE)</f>
        <v>#REF!</v>
      </c>
      <c r="F58" s="15" t="e">
        <f>VLOOKUP('北段 (人資版)'!F59,工作表1!$A$3:$B$74,2,FALSE)</f>
        <v>#REF!</v>
      </c>
      <c r="G58" s="15" t="e">
        <f>VLOOKUP('北段 (人資版)'!G59,工作表1!$A$3:$B$74,2,FALSE)</f>
        <v>#REF!</v>
      </c>
      <c r="H58" s="15" t="e">
        <f>VLOOKUP('北段 (人資版)'!H59,工作表1!$A$3:$B$74,2,FALSE)</f>
        <v>#REF!</v>
      </c>
      <c r="I58" s="15" t="e">
        <f>VLOOKUP('北段 (人資版)'!I59,工作表1!$A$3:$B$74,2,FALSE)</f>
        <v>#REF!</v>
      </c>
      <c r="J58" s="15" t="e">
        <f>VLOOKUP('北段 (人資版)'!J59,工作表1!$A$3:$B$74,2,FALSE)</f>
        <v>#REF!</v>
      </c>
      <c r="K58" s="15" t="e">
        <f>VLOOKUP('北段 (人資版)'!K59,工作表1!$A$3:$B$74,2,FALSE)</f>
        <v>#REF!</v>
      </c>
      <c r="L58" s="15" t="e">
        <f>VLOOKUP('北段 (人資版)'!L59,工作表1!$A$3:$B$74,2,FALSE)</f>
        <v>#REF!</v>
      </c>
      <c r="M58" s="15" t="e">
        <f>VLOOKUP('北段 (人資版)'!M59,工作表1!$A$3:$B$74,2,FALSE)</f>
        <v>#REF!</v>
      </c>
      <c r="N58" s="15" t="e">
        <f>VLOOKUP('北段 (人資版)'!N59,工作表1!$A$3:$B$74,2,FALSE)</f>
        <v>#REF!</v>
      </c>
      <c r="O58" s="15" t="e">
        <f>VLOOKUP('北段 (人資版)'!O59,工作表1!$A$3:$B$74,2,FALSE)</f>
        <v>#REF!</v>
      </c>
      <c r="P58" s="15" t="e">
        <f>VLOOKUP('北段 (人資版)'!P59,工作表1!$A$3:$B$74,2,FALSE)</f>
        <v>#REF!</v>
      </c>
      <c r="Q58" s="15" t="e">
        <f>VLOOKUP('北段 (人資版)'!Q59,工作表1!$A$3:$B$74,2,FALSE)</f>
        <v>#REF!</v>
      </c>
      <c r="R58" s="15" t="e">
        <f>VLOOKUP('北段 (人資版)'!R59,工作表1!$A$3:$B$74,2,FALSE)</f>
        <v>#REF!</v>
      </c>
      <c r="S58" s="15" t="e">
        <f>VLOOKUP('北段 (人資版)'!S59,工作表1!$A$3:$B$74,2,FALSE)</f>
        <v>#REF!</v>
      </c>
      <c r="T58" s="15" t="e">
        <f>VLOOKUP('北段 (人資版)'!T59,工作表1!$A$3:$B$74,2,FALSE)</f>
        <v>#REF!</v>
      </c>
      <c r="U58" s="15" t="e">
        <f>VLOOKUP('北段 (人資版)'!U59,工作表1!$A$3:$B$74,2,FALSE)</f>
        <v>#REF!</v>
      </c>
      <c r="V58" s="15" t="e">
        <f>VLOOKUP('北段 (人資版)'!V59,工作表1!$A$3:$B$74,2,FALSE)</f>
        <v>#REF!</v>
      </c>
      <c r="W58" s="15" t="e">
        <f>VLOOKUP('北段 (人資版)'!W59,工作表1!$A$3:$B$74,2,FALSE)</f>
        <v>#REF!</v>
      </c>
      <c r="X58" s="15" t="e">
        <f>VLOOKUP('北段 (人資版)'!X59,工作表1!$A$3:$B$74,2,FALSE)</f>
        <v>#REF!</v>
      </c>
      <c r="Y58" s="15" t="e">
        <f>VLOOKUP('北段 (人資版)'!Y59,工作表1!$A$3:$B$74,2,FALSE)</f>
        <v>#REF!</v>
      </c>
      <c r="Z58" s="15" t="e">
        <f>VLOOKUP('北段 (人資版)'!Z59,工作表1!$A$3:$B$74,2,FALSE)</f>
        <v>#REF!</v>
      </c>
      <c r="AA58" s="15" t="e">
        <f>VLOOKUP('北段 (人資版)'!AA59,工作表1!$A$3:$B$74,2,FALSE)</f>
        <v>#REF!</v>
      </c>
      <c r="AB58" s="15" t="e">
        <f>VLOOKUP('北段 (人資版)'!AB59,工作表1!$A$3:$B$74,2,FALSE)</f>
        <v>#REF!</v>
      </c>
      <c r="AC58" s="15" t="e">
        <f>VLOOKUP('北段 (人資版)'!AC59,工作表1!$A$3:$B$74,2,FALSE)</f>
        <v>#REF!</v>
      </c>
      <c r="AD58" s="15" t="e">
        <f>VLOOKUP('北段 (人資版)'!AD59,工作表1!$A$3:$B$74,2,FALSE)</f>
        <v>#REF!</v>
      </c>
      <c r="AE58" s="15" t="e">
        <f>VLOOKUP('北段 (人資版)'!AE59,工作表1!$A$3:$B$74,2,FALSE)</f>
        <v>#REF!</v>
      </c>
      <c r="AF58" s="15" t="e">
        <f>VLOOKUP('北段 (人資版)'!AF59,工作表1!$A$3:$B$74,2,FALSE)</f>
        <v>#REF!</v>
      </c>
      <c r="AG58" s="15" t="e">
        <f>VLOOKUP('北段 (人資版)'!AG59,工作表1!$A$3:$B$74,2,FALSE)</f>
        <v>#REF!</v>
      </c>
      <c r="AH58" s="15" t="e">
        <f>VLOOKUP('北段 (人資版)'!AH59,工作表1!$A$3:$B$74,2,FALSE)</f>
        <v>#REF!</v>
      </c>
      <c r="AI58" s="15" t="e">
        <f>VLOOKUP('北段 (人資版)'!AI59,工作表1!$A$3:$B$74,2,FALSE)</f>
        <v>#REF!</v>
      </c>
      <c r="AJ58" s="15" t="e">
        <f>VLOOKUP('北段 (人資版)'!AJ59,工作表1!$A$3:$B$74,2,FALSE)</f>
        <v>#REF!</v>
      </c>
      <c r="AK58" s="15" t="e">
        <f>VLOOKUP('北段 (人資版)'!AK59,工作表1!$A$3:$B$74,2,FALSE)</f>
        <v>#REF!</v>
      </c>
      <c r="AL58" s="15" t="e">
        <f>VLOOKUP('北段 (人資版)'!AL59,工作表1!$A$3:$B$74,2,FALSE)</f>
        <v>#REF!</v>
      </c>
    </row>
    <row r="59" spans="1:38" ht="39.75" customHeight="1">
      <c r="A59" s="34" t="s">
        <v>15</v>
      </c>
      <c r="B59" s="10" t="e">
        <f>北段!#REF!</f>
        <v>#REF!</v>
      </c>
      <c r="C59" s="10" t="e">
        <f>VLOOKUP(B59,北段!B:C,2,FALSE)</f>
        <v>#REF!</v>
      </c>
      <c r="D59" s="15" t="e">
        <f>VLOOKUP('北段 (人資版)'!D60,工作表1!$A$3:$B$74,2,FALSE)</f>
        <v>#REF!</v>
      </c>
      <c r="E59" s="15" t="e">
        <f>VLOOKUP('北段 (人資版)'!E60,工作表1!$A$3:$B$74,2,FALSE)</f>
        <v>#REF!</v>
      </c>
      <c r="F59" s="15" t="e">
        <f>VLOOKUP('北段 (人資版)'!F60,工作表1!$A$3:$B$74,2,FALSE)</f>
        <v>#REF!</v>
      </c>
      <c r="G59" s="15" t="e">
        <f>VLOOKUP('北段 (人資版)'!G60,工作表1!$A$3:$B$74,2,FALSE)</f>
        <v>#REF!</v>
      </c>
      <c r="H59" s="15" t="e">
        <f>VLOOKUP('北段 (人資版)'!H60,工作表1!$A$3:$B$74,2,FALSE)</f>
        <v>#REF!</v>
      </c>
      <c r="I59" s="15" t="e">
        <f>VLOOKUP('北段 (人資版)'!I60,工作表1!$A$3:$B$74,2,FALSE)</f>
        <v>#REF!</v>
      </c>
      <c r="J59" s="15" t="e">
        <f>VLOOKUP('北段 (人資版)'!J60,工作表1!$A$3:$B$74,2,FALSE)</f>
        <v>#REF!</v>
      </c>
      <c r="K59" s="15" t="e">
        <f>VLOOKUP('北段 (人資版)'!K60,工作表1!$A$3:$B$74,2,FALSE)</f>
        <v>#REF!</v>
      </c>
      <c r="L59" s="15" t="e">
        <f>VLOOKUP('北段 (人資版)'!L60,工作表1!$A$3:$B$74,2,FALSE)</f>
        <v>#REF!</v>
      </c>
      <c r="M59" s="15" t="e">
        <f>VLOOKUP('北段 (人資版)'!M60,工作表1!$A$3:$B$74,2,FALSE)</f>
        <v>#REF!</v>
      </c>
      <c r="N59" s="15" t="e">
        <f>VLOOKUP('北段 (人資版)'!N60,工作表1!$A$3:$B$74,2,FALSE)</f>
        <v>#REF!</v>
      </c>
      <c r="O59" s="15" t="e">
        <f>VLOOKUP('北段 (人資版)'!O60,工作表1!$A$3:$B$74,2,FALSE)</f>
        <v>#REF!</v>
      </c>
      <c r="P59" s="15" t="e">
        <f>VLOOKUP('北段 (人資版)'!P60,工作表1!$A$3:$B$74,2,FALSE)</f>
        <v>#REF!</v>
      </c>
      <c r="Q59" s="15" t="e">
        <f>VLOOKUP('北段 (人資版)'!Q60,工作表1!$A$3:$B$74,2,FALSE)</f>
        <v>#REF!</v>
      </c>
      <c r="R59" s="15" t="e">
        <f>VLOOKUP('北段 (人資版)'!R60,工作表1!$A$3:$B$74,2,FALSE)</f>
        <v>#REF!</v>
      </c>
      <c r="S59" s="15" t="e">
        <f>VLOOKUP('北段 (人資版)'!S60,工作表1!$A$3:$B$74,2,FALSE)</f>
        <v>#REF!</v>
      </c>
      <c r="T59" s="15" t="e">
        <f>VLOOKUP('北段 (人資版)'!T60,工作表1!$A$3:$B$74,2,FALSE)</f>
        <v>#REF!</v>
      </c>
      <c r="U59" s="15" t="e">
        <f>VLOOKUP('北段 (人資版)'!U60,工作表1!$A$3:$B$74,2,FALSE)</f>
        <v>#REF!</v>
      </c>
      <c r="V59" s="15" t="e">
        <f>VLOOKUP('北段 (人資版)'!V60,工作表1!$A$3:$B$74,2,FALSE)</f>
        <v>#REF!</v>
      </c>
      <c r="W59" s="15" t="e">
        <f>VLOOKUP('北段 (人資版)'!W60,工作表1!$A$3:$B$74,2,FALSE)</f>
        <v>#REF!</v>
      </c>
      <c r="X59" s="15" t="e">
        <f>VLOOKUP('北段 (人資版)'!X60,工作表1!$A$3:$B$74,2,FALSE)</f>
        <v>#REF!</v>
      </c>
      <c r="Y59" s="15" t="e">
        <f>VLOOKUP('北段 (人資版)'!Y60,工作表1!$A$3:$B$74,2,FALSE)</f>
        <v>#REF!</v>
      </c>
      <c r="Z59" s="15" t="e">
        <f>VLOOKUP('北段 (人資版)'!Z60,工作表1!$A$3:$B$74,2,FALSE)</f>
        <v>#REF!</v>
      </c>
      <c r="AA59" s="15" t="e">
        <f>VLOOKUP('北段 (人資版)'!AA60,工作表1!$A$3:$B$74,2,FALSE)</f>
        <v>#REF!</v>
      </c>
      <c r="AB59" s="15" t="e">
        <f>VLOOKUP('北段 (人資版)'!AB60,工作表1!$A$3:$B$74,2,FALSE)</f>
        <v>#REF!</v>
      </c>
      <c r="AC59" s="15" t="e">
        <f>VLOOKUP('北段 (人資版)'!AC60,工作表1!$A$3:$B$74,2,FALSE)</f>
        <v>#REF!</v>
      </c>
      <c r="AD59" s="15" t="e">
        <f>VLOOKUP('北段 (人資版)'!AD60,工作表1!$A$3:$B$74,2,FALSE)</f>
        <v>#REF!</v>
      </c>
      <c r="AE59" s="15" t="e">
        <f>VLOOKUP('北段 (人資版)'!AE60,工作表1!$A$3:$B$74,2,FALSE)</f>
        <v>#REF!</v>
      </c>
      <c r="AF59" s="15" t="e">
        <f>VLOOKUP('北段 (人資版)'!AF60,工作表1!$A$3:$B$74,2,FALSE)</f>
        <v>#REF!</v>
      </c>
      <c r="AG59" s="15" t="e">
        <f>VLOOKUP('北段 (人資版)'!AG60,工作表1!$A$3:$B$74,2,FALSE)</f>
        <v>#REF!</v>
      </c>
      <c r="AH59" s="15" t="e">
        <f>VLOOKUP('北段 (人資版)'!AH60,工作表1!$A$3:$B$74,2,FALSE)</f>
        <v>#REF!</v>
      </c>
      <c r="AI59" s="15" t="e">
        <f>VLOOKUP('北段 (人資版)'!AI60,工作表1!$A$3:$B$74,2,FALSE)</f>
        <v>#REF!</v>
      </c>
      <c r="AJ59" s="15" t="e">
        <f>VLOOKUP('北段 (人資版)'!AJ60,工作表1!$A$3:$B$74,2,FALSE)</f>
        <v>#REF!</v>
      </c>
      <c r="AK59" s="15" t="e">
        <f>VLOOKUP('北段 (人資版)'!AK60,工作表1!$A$3:$B$74,2,FALSE)</f>
        <v>#REF!</v>
      </c>
      <c r="AL59" s="15" t="e">
        <f>VLOOKUP('北段 (人資版)'!AL60,工作表1!$A$3:$B$74,2,FALSE)</f>
        <v>#REF!</v>
      </c>
    </row>
    <row r="60" spans="1:38" ht="39.6" customHeight="1">
      <c r="A60" s="35"/>
      <c r="B60" s="10" t="e">
        <f>北段!#REF!</f>
        <v>#REF!</v>
      </c>
      <c r="C60" s="10" t="e">
        <f>VLOOKUP(B60,北段!B:C,2,FALSE)</f>
        <v>#REF!</v>
      </c>
      <c r="D60" s="15" t="e">
        <f>VLOOKUP('北段 (人資版)'!D61,工作表1!$A$3:$B$74,2,FALSE)</f>
        <v>#REF!</v>
      </c>
      <c r="E60" s="15" t="e">
        <f>VLOOKUP('北段 (人資版)'!E61,工作表1!$A$3:$B$74,2,FALSE)</f>
        <v>#REF!</v>
      </c>
      <c r="F60" s="15" t="e">
        <f>VLOOKUP('北段 (人資版)'!F61,工作表1!$A$3:$B$74,2,FALSE)</f>
        <v>#REF!</v>
      </c>
      <c r="G60" s="15" t="e">
        <f>VLOOKUP('北段 (人資版)'!G61,工作表1!$A$3:$B$74,2,FALSE)</f>
        <v>#REF!</v>
      </c>
      <c r="H60" s="15" t="e">
        <f>VLOOKUP('北段 (人資版)'!H61,工作表1!$A$3:$B$74,2,FALSE)</f>
        <v>#REF!</v>
      </c>
      <c r="I60" s="15" t="e">
        <f>VLOOKUP('北段 (人資版)'!I61,工作表1!$A$3:$B$74,2,FALSE)</f>
        <v>#REF!</v>
      </c>
      <c r="J60" s="15" t="e">
        <f>VLOOKUP('北段 (人資版)'!J61,工作表1!$A$3:$B$74,2,FALSE)</f>
        <v>#REF!</v>
      </c>
      <c r="K60" s="15" t="e">
        <f>VLOOKUP('北段 (人資版)'!K61,工作表1!$A$3:$B$74,2,FALSE)</f>
        <v>#REF!</v>
      </c>
      <c r="L60" s="15" t="e">
        <f>VLOOKUP('北段 (人資版)'!L61,工作表1!$A$3:$B$74,2,FALSE)</f>
        <v>#REF!</v>
      </c>
      <c r="M60" s="15" t="e">
        <f>VLOOKUP('北段 (人資版)'!M61,工作表1!$A$3:$B$74,2,FALSE)</f>
        <v>#REF!</v>
      </c>
      <c r="N60" s="15" t="e">
        <f>VLOOKUP('北段 (人資版)'!N61,工作表1!$A$3:$B$74,2,FALSE)</f>
        <v>#REF!</v>
      </c>
      <c r="O60" s="15" t="e">
        <f>VLOOKUP('北段 (人資版)'!O61,工作表1!$A$3:$B$74,2,FALSE)</f>
        <v>#REF!</v>
      </c>
      <c r="P60" s="15" t="e">
        <f>VLOOKUP('北段 (人資版)'!P61,工作表1!$A$3:$B$74,2,FALSE)</f>
        <v>#REF!</v>
      </c>
      <c r="Q60" s="15" t="e">
        <f>VLOOKUP('北段 (人資版)'!Q61,工作表1!$A$3:$B$74,2,FALSE)</f>
        <v>#REF!</v>
      </c>
      <c r="R60" s="15" t="e">
        <f>VLOOKUP('北段 (人資版)'!R61,工作表1!$A$3:$B$74,2,FALSE)</f>
        <v>#REF!</v>
      </c>
      <c r="S60" s="15" t="e">
        <f>VLOOKUP('北段 (人資版)'!S61,工作表1!$A$3:$B$74,2,FALSE)</f>
        <v>#REF!</v>
      </c>
      <c r="T60" s="15" t="e">
        <f>VLOOKUP('北段 (人資版)'!T61,工作表1!$A$3:$B$74,2,FALSE)</f>
        <v>#REF!</v>
      </c>
      <c r="U60" s="15" t="e">
        <f>VLOOKUP('北段 (人資版)'!U61,工作表1!$A$3:$B$74,2,FALSE)</f>
        <v>#REF!</v>
      </c>
      <c r="V60" s="15" t="e">
        <f>VLOOKUP('北段 (人資版)'!V61,工作表1!$A$3:$B$74,2,FALSE)</f>
        <v>#REF!</v>
      </c>
      <c r="W60" s="15" t="e">
        <f>VLOOKUP('北段 (人資版)'!W61,工作表1!$A$3:$B$74,2,FALSE)</f>
        <v>#REF!</v>
      </c>
      <c r="X60" s="15" t="e">
        <f>VLOOKUP('北段 (人資版)'!X61,工作表1!$A$3:$B$74,2,FALSE)</f>
        <v>#REF!</v>
      </c>
      <c r="Y60" s="15" t="e">
        <f>VLOOKUP('北段 (人資版)'!Y61,工作表1!$A$3:$B$74,2,FALSE)</f>
        <v>#REF!</v>
      </c>
      <c r="Z60" s="15" t="e">
        <f>VLOOKUP('北段 (人資版)'!Z61,工作表1!$A$3:$B$74,2,FALSE)</f>
        <v>#REF!</v>
      </c>
      <c r="AA60" s="15" t="e">
        <f>VLOOKUP('北段 (人資版)'!AA61,工作表1!$A$3:$B$74,2,FALSE)</f>
        <v>#REF!</v>
      </c>
      <c r="AB60" s="15" t="e">
        <f>VLOOKUP('北段 (人資版)'!AB61,工作表1!$A$3:$B$74,2,FALSE)</f>
        <v>#REF!</v>
      </c>
      <c r="AC60" s="15" t="e">
        <f>VLOOKUP('北段 (人資版)'!AC61,工作表1!$A$3:$B$74,2,FALSE)</f>
        <v>#REF!</v>
      </c>
      <c r="AD60" s="15" t="e">
        <f>VLOOKUP('北段 (人資版)'!AD61,工作表1!$A$3:$B$74,2,FALSE)</f>
        <v>#REF!</v>
      </c>
      <c r="AE60" s="15" t="e">
        <f>VLOOKUP('北段 (人資版)'!AE61,工作表1!$A$3:$B$74,2,FALSE)</f>
        <v>#REF!</v>
      </c>
      <c r="AF60" s="15" t="e">
        <f>VLOOKUP('北段 (人資版)'!AF61,工作表1!$A$3:$B$74,2,FALSE)</f>
        <v>#REF!</v>
      </c>
      <c r="AG60" s="15" t="e">
        <f>VLOOKUP('北段 (人資版)'!AG61,工作表1!$A$3:$B$74,2,FALSE)</f>
        <v>#REF!</v>
      </c>
      <c r="AH60" s="15" t="e">
        <f>VLOOKUP('北段 (人資版)'!AH61,工作表1!$A$3:$B$74,2,FALSE)</f>
        <v>#REF!</v>
      </c>
      <c r="AI60" s="15" t="e">
        <f>VLOOKUP('北段 (人資版)'!AI61,工作表1!$A$3:$B$74,2,FALSE)</f>
        <v>#REF!</v>
      </c>
      <c r="AJ60" s="15" t="e">
        <f>VLOOKUP('北段 (人資版)'!AJ61,工作表1!$A$3:$B$74,2,FALSE)</f>
        <v>#REF!</v>
      </c>
      <c r="AK60" s="15" t="e">
        <f>VLOOKUP('北段 (人資版)'!AK61,工作表1!$A$3:$B$74,2,FALSE)</f>
        <v>#REF!</v>
      </c>
      <c r="AL60" s="15" t="e">
        <f>VLOOKUP('北段 (人資版)'!AL61,工作表1!$A$3:$B$74,2,FALSE)</f>
        <v>#REF!</v>
      </c>
    </row>
    <row r="61" spans="1:38" ht="39.75" customHeight="1">
      <c r="A61" s="35"/>
      <c r="B61" s="10" t="e">
        <f>北段!#REF!</f>
        <v>#REF!</v>
      </c>
      <c r="C61" s="10" t="e">
        <f>VLOOKUP(B61,北段!B:C,2,FALSE)</f>
        <v>#REF!</v>
      </c>
      <c r="D61" s="15" t="e">
        <f>VLOOKUP('北段 (人資版)'!D62,工作表1!$A$3:$B$74,2,FALSE)</f>
        <v>#REF!</v>
      </c>
      <c r="E61" s="15" t="e">
        <f>VLOOKUP('北段 (人資版)'!E62,工作表1!$A$3:$B$74,2,FALSE)</f>
        <v>#REF!</v>
      </c>
      <c r="F61" s="15" t="e">
        <f>VLOOKUP('北段 (人資版)'!F62,工作表1!$A$3:$B$74,2,FALSE)</f>
        <v>#REF!</v>
      </c>
      <c r="G61" s="15" t="e">
        <f>VLOOKUP('北段 (人資版)'!G62,工作表1!$A$3:$B$74,2,FALSE)</f>
        <v>#REF!</v>
      </c>
      <c r="H61" s="15" t="e">
        <f>VLOOKUP('北段 (人資版)'!H62,工作表1!$A$3:$B$74,2,FALSE)</f>
        <v>#REF!</v>
      </c>
      <c r="I61" s="15" t="e">
        <f>VLOOKUP('北段 (人資版)'!I62,工作表1!$A$3:$B$74,2,FALSE)</f>
        <v>#REF!</v>
      </c>
      <c r="J61" s="15" t="e">
        <f>VLOOKUP('北段 (人資版)'!J62,工作表1!$A$3:$B$74,2,FALSE)</f>
        <v>#REF!</v>
      </c>
      <c r="K61" s="15" t="e">
        <f>VLOOKUP('北段 (人資版)'!K62,工作表1!$A$3:$B$74,2,FALSE)</f>
        <v>#REF!</v>
      </c>
      <c r="L61" s="15" t="e">
        <f>VLOOKUP('北段 (人資版)'!L62,工作表1!$A$3:$B$74,2,FALSE)</f>
        <v>#REF!</v>
      </c>
      <c r="M61" s="15" t="e">
        <f>VLOOKUP('北段 (人資版)'!M62,工作表1!$A$3:$B$74,2,FALSE)</f>
        <v>#REF!</v>
      </c>
      <c r="N61" s="15" t="e">
        <f>VLOOKUP('北段 (人資版)'!N62,工作表1!$A$3:$B$74,2,FALSE)</f>
        <v>#REF!</v>
      </c>
      <c r="O61" s="15" t="e">
        <f>VLOOKUP('北段 (人資版)'!O62,工作表1!$A$3:$B$74,2,FALSE)</f>
        <v>#REF!</v>
      </c>
      <c r="P61" s="15" t="e">
        <f>VLOOKUP('北段 (人資版)'!P62,工作表1!$A$3:$B$74,2,FALSE)</f>
        <v>#REF!</v>
      </c>
      <c r="Q61" s="15" t="e">
        <f>VLOOKUP('北段 (人資版)'!Q62,工作表1!$A$3:$B$74,2,FALSE)</f>
        <v>#REF!</v>
      </c>
      <c r="R61" s="15" t="e">
        <f>VLOOKUP('北段 (人資版)'!R62,工作表1!$A$3:$B$74,2,FALSE)</f>
        <v>#REF!</v>
      </c>
      <c r="S61" s="15" t="e">
        <f>VLOOKUP('北段 (人資版)'!S62,工作表1!$A$3:$B$74,2,FALSE)</f>
        <v>#REF!</v>
      </c>
      <c r="T61" s="15" t="e">
        <f>VLOOKUP('北段 (人資版)'!T62,工作表1!$A$3:$B$74,2,FALSE)</f>
        <v>#REF!</v>
      </c>
      <c r="U61" s="15" t="e">
        <f>VLOOKUP('北段 (人資版)'!U62,工作表1!$A$3:$B$74,2,FALSE)</f>
        <v>#REF!</v>
      </c>
      <c r="V61" s="15" t="e">
        <f>VLOOKUP('北段 (人資版)'!V62,工作表1!$A$3:$B$74,2,FALSE)</f>
        <v>#REF!</v>
      </c>
      <c r="W61" s="15" t="e">
        <f>VLOOKUP('北段 (人資版)'!W62,工作表1!$A$3:$B$74,2,FALSE)</f>
        <v>#REF!</v>
      </c>
      <c r="X61" s="15" t="e">
        <f>VLOOKUP('北段 (人資版)'!X62,工作表1!$A$3:$B$74,2,FALSE)</f>
        <v>#REF!</v>
      </c>
      <c r="Y61" s="15" t="e">
        <f>VLOOKUP('北段 (人資版)'!Y62,工作表1!$A$3:$B$74,2,FALSE)</f>
        <v>#REF!</v>
      </c>
      <c r="Z61" s="15" t="e">
        <f>VLOOKUP('北段 (人資版)'!Z62,工作表1!$A$3:$B$74,2,FALSE)</f>
        <v>#REF!</v>
      </c>
      <c r="AA61" s="15" t="e">
        <f>VLOOKUP('北段 (人資版)'!AA62,工作表1!$A$3:$B$74,2,FALSE)</f>
        <v>#REF!</v>
      </c>
      <c r="AB61" s="15" t="e">
        <f>VLOOKUP('北段 (人資版)'!AB62,工作表1!$A$3:$B$74,2,FALSE)</f>
        <v>#REF!</v>
      </c>
      <c r="AC61" s="15" t="e">
        <f>VLOOKUP('北段 (人資版)'!AC62,工作表1!$A$3:$B$74,2,FALSE)</f>
        <v>#REF!</v>
      </c>
      <c r="AD61" s="15" t="e">
        <f>VLOOKUP('北段 (人資版)'!AD62,工作表1!$A$3:$B$74,2,FALSE)</f>
        <v>#REF!</v>
      </c>
      <c r="AE61" s="15" t="e">
        <f>VLOOKUP('北段 (人資版)'!AE62,工作表1!$A$3:$B$74,2,FALSE)</f>
        <v>#REF!</v>
      </c>
      <c r="AF61" s="15" t="e">
        <f>VLOOKUP('北段 (人資版)'!AF62,工作表1!$A$3:$B$74,2,FALSE)</f>
        <v>#REF!</v>
      </c>
      <c r="AG61" s="15" t="e">
        <f>VLOOKUP('北段 (人資版)'!AG62,工作表1!$A$3:$B$74,2,FALSE)</f>
        <v>#REF!</v>
      </c>
      <c r="AH61" s="15" t="e">
        <f>VLOOKUP('北段 (人資版)'!AH62,工作表1!$A$3:$B$74,2,FALSE)</f>
        <v>#REF!</v>
      </c>
      <c r="AI61" s="15" t="e">
        <f>VLOOKUP('北段 (人資版)'!AI62,工作表1!$A$3:$B$74,2,FALSE)</f>
        <v>#REF!</v>
      </c>
      <c r="AJ61" s="15" t="e">
        <f>VLOOKUP('北段 (人資版)'!AJ62,工作表1!$A$3:$B$74,2,FALSE)</f>
        <v>#REF!</v>
      </c>
      <c r="AK61" s="15" t="e">
        <f>VLOOKUP('北段 (人資版)'!AK62,工作表1!$A$3:$B$74,2,FALSE)</f>
        <v>#REF!</v>
      </c>
      <c r="AL61" s="15" t="e">
        <f>VLOOKUP('北段 (人資版)'!AL62,工作表1!$A$3:$B$74,2,FALSE)</f>
        <v>#REF!</v>
      </c>
    </row>
    <row r="62" spans="1:38" ht="39.6" customHeight="1">
      <c r="A62" s="35"/>
      <c r="B62" s="10" t="e">
        <f>北段!#REF!</f>
        <v>#REF!</v>
      </c>
      <c r="C62" s="10" t="e">
        <f>VLOOKUP(B62,北段!B:C,2,FALSE)</f>
        <v>#REF!</v>
      </c>
      <c r="D62" s="15" t="e">
        <f>VLOOKUP('北段 (人資版)'!D63,工作表1!$A$3:$B$74,2,FALSE)</f>
        <v>#REF!</v>
      </c>
      <c r="E62" s="15" t="e">
        <f>VLOOKUP('北段 (人資版)'!E63,工作表1!$A$3:$B$74,2,FALSE)</f>
        <v>#REF!</v>
      </c>
      <c r="F62" s="15" t="e">
        <f>VLOOKUP('北段 (人資版)'!F63,工作表1!$A$3:$B$74,2,FALSE)</f>
        <v>#REF!</v>
      </c>
      <c r="G62" s="15" t="e">
        <f>VLOOKUP('北段 (人資版)'!G63,工作表1!$A$3:$B$74,2,FALSE)</f>
        <v>#REF!</v>
      </c>
      <c r="H62" s="15" t="e">
        <f>VLOOKUP('北段 (人資版)'!H63,工作表1!$A$3:$B$74,2,FALSE)</f>
        <v>#REF!</v>
      </c>
      <c r="I62" s="15" t="e">
        <f>VLOOKUP('北段 (人資版)'!I63,工作表1!$A$3:$B$74,2,FALSE)</f>
        <v>#REF!</v>
      </c>
      <c r="J62" s="15" t="e">
        <f>VLOOKUP('北段 (人資版)'!J63,工作表1!$A$3:$B$74,2,FALSE)</f>
        <v>#REF!</v>
      </c>
      <c r="K62" s="15" t="e">
        <f>VLOOKUP('北段 (人資版)'!K63,工作表1!$A$3:$B$74,2,FALSE)</f>
        <v>#REF!</v>
      </c>
      <c r="L62" s="15" t="e">
        <f>VLOOKUP('北段 (人資版)'!L63,工作表1!$A$3:$B$74,2,FALSE)</f>
        <v>#REF!</v>
      </c>
      <c r="M62" s="15" t="e">
        <f>VLOOKUP('北段 (人資版)'!M63,工作表1!$A$3:$B$74,2,FALSE)</f>
        <v>#REF!</v>
      </c>
      <c r="N62" s="15" t="e">
        <f>VLOOKUP('北段 (人資版)'!N63,工作表1!$A$3:$B$74,2,FALSE)</f>
        <v>#REF!</v>
      </c>
      <c r="O62" s="15" t="e">
        <f>VLOOKUP('北段 (人資版)'!O63,工作表1!$A$3:$B$74,2,FALSE)</f>
        <v>#REF!</v>
      </c>
      <c r="P62" s="15" t="e">
        <f>VLOOKUP('北段 (人資版)'!P63,工作表1!$A$3:$B$74,2,FALSE)</f>
        <v>#REF!</v>
      </c>
      <c r="Q62" s="15" t="e">
        <f>VLOOKUP('北段 (人資版)'!Q63,工作表1!$A$3:$B$74,2,FALSE)</f>
        <v>#REF!</v>
      </c>
      <c r="R62" s="15" t="e">
        <f>VLOOKUP('北段 (人資版)'!R63,工作表1!$A$3:$B$74,2,FALSE)</f>
        <v>#REF!</v>
      </c>
      <c r="S62" s="15" t="e">
        <f>VLOOKUP('北段 (人資版)'!S63,工作表1!$A$3:$B$74,2,FALSE)</f>
        <v>#REF!</v>
      </c>
      <c r="T62" s="15" t="e">
        <f>VLOOKUP('北段 (人資版)'!T63,工作表1!$A$3:$B$74,2,FALSE)</f>
        <v>#REF!</v>
      </c>
      <c r="U62" s="15" t="e">
        <f>VLOOKUP('北段 (人資版)'!U63,工作表1!$A$3:$B$74,2,FALSE)</f>
        <v>#REF!</v>
      </c>
      <c r="V62" s="15" t="e">
        <f>VLOOKUP('北段 (人資版)'!V63,工作表1!$A$3:$B$74,2,FALSE)</f>
        <v>#REF!</v>
      </c>
      <c r="W62" s="15" t="e">
        <f>VLOOKUP('北段 (人資版)'!W63,工作表1!$A$3:$B$74,2,FALSE)</f>
        <v>#REF!</v>
      </c>
      <c r="X62" s="15" t="e">
        <f>VLOOKUP('北段 (人資版)'!X63,工作表1!$A$3:$B$74,2,FALSE)</f>
        <v>#REF!</v>
      </c>
      <c r="Y62" s="15" t="e">
        <f>VLOOKUP('北段 (人資版)'!Y63,工作表1!$A$3:$B$74,2,FALSE)</f>
        <v>#REF!</v>
      </c>
      <c r="Z62" s="15" t="e">
        <f>VLOOKUP('北段 (人資版)'!Z63,工作表1!$A$3:$B$74,2,FALSE)</f>
        <v>#REF!</v>
      </c>
      <c r="AA62" s="15" t="e">
        <f>VLOOKUP('北段 (人資版)'!AA63,工作表1!$A$3:$B$74,2,FALSE)</f>
        <v>#REF!</v>
      </c>
      <c r="AB62" s="15" t="e">
        <f>VLOOKUP('北段 (人資版)'!AB63,工作表1!$A$3:$B$74,2,FALSE)</f>
        <v>#REF!</v>
      </c>
      <c r="AC62" s="15" t="e">
        <f>VLOOKUP('北段 (人資版)'!AC63,工作表1!$A$3:$B$74,2,FALSE)</f>
        <v>#REF!</v>
      </c>
      <c r="AD62" s="15" t="e">
        <f>VLOOKUP('北段 (人資版)'!AD63,工作表1!$A$3:$B$74,2,FALSE)</f>
        <v>#REF!</v>
      </c>
      <c r="AE62" s="15" t="e">
        <f>VLOOKUP('北段 (人資版)'!AE63,工作表1!$A$3:$B$74,2,FALSE)</f>
        <v>#REF!</v>
      </c>
      <c r="AF62" s="15" t="e">
        <f>VLOOKUP('北段 (人資版)'!AF63,工作表1!$A$3:$B$74,2,FALSE)</f>
        <v>#REF!</v>
      </c>
      <c r="AG62" s="15" t="e">
        <f>VLOOKUP('北段 (人資版)'!AG63,工作表1!$A$3:$B$74,2,FALSE)</f>
        <v>#REF!</v>
      </c>
      <c r="AH62" s="15" t="e">
        <f>VLOOKUP('北段 (人資版)'!AH63,工作表1!$A$3:$B$74,2,FALSE)</f>
        <v>#REF!</v>
      </c>
      <c r="AI62" s="15" t="e">
        <f>VLOOKUP('北段 (人資版)'!AI63,工作表1!$A$3:$B$74,2,FALSE)</f>
        <v>#REF!</v>
      </c>
      <c r="AJ62" s="15" t="e">
        <f>VLOOKUP('北段 (人資版)'!AJ63,工作表1!$A$3:$B$74,2,FALSE)</f>
        <v>#REF!</v>
      </c>
      <c r="AK62" s="15" t="e">
        <f>VLOOKUP('北段 (人資版)'!AK63,工作表1!$A$3:$B$74,2,FALSE)</f>
        <v>#REF!</v>
      </c>
      <c r="AL62" s="15" t="e">
        <f>VLOOKUP('北段 (人資版)'!AL63,工作表1!$A$3:$B$74,2,FALSE)</f>
        <v>#REF!</v>
      </c>
    </row>
    <row r="63" spans="1:38" ht="39.6" customHeight="1">
      <c r="A63" s="35"/>
      <c r="B63" s="10" t="e">
        <f>北段!#REF!</f>
        <v>#REF!</v>
      </c>
      <c r="C63" s="10" t="e">
        <f>VLOOKUP(B63,北段!B:C,2,FALSE)</f>
        <v>#REF!</v>
      </c>
      <c r="D63" s="15" t="e">
        <f>VLOOKUP('北段 (人資版)'!D64,工作表1!$A$3:$B$74,2,FALSE)</f>
        <v>#REF!</v>
      </c>
      <c r="E63" s="15" t="e">
        <f>VLOOKUP('北段 (人資版)'!E64,工作表1!$A$3:$B$74,2,FALSE)</f>
        <v>#REF!</v>
      </c>
      <c r="F63" s="15" t="e">
        <f>VLOOKUP('北段 (人資版)'!F64,工作表1!$A$3:$B$74,2,FALSE)</f>
        <v>#REF!</v>
      </c>
      <c r="G63" s="15" t="e">
        <f>VLOOKUP('北段 (人資版)'!G64,工作表1!$A$3:$B$74,2,FALSE)</f>
        <v>#REF!</v>
      </c>
      <c r="H63" s="15" t="e">
        <f>VLOOKUP('北段 (人資版)'!H64,工作表1!$A$3:$B$74,2,FALSE)</f>
        <v>#REF!</v>
      </c>
      <c r="I63" s="15" t="e">
        <f>VLOOKUP('北段 (人資版)'!I64,工作表1!$A$3:$B$74,2,FALSE)</f>
        <v>#REF!</v>
      </c>
      <c r="J63" s="15" t="e">
        <f>VLOOKUP('北段 (人資版)'!J64,工作表1!$A$3:$B$74,2,FALSE)</f>
        <v>#REF!</v>
      </c>
      <c r="K63" s="15" t="e">
        <f>VLOOKUP('北段 (人資版)'!K64,工作表1!$A$3:$B$74,2,FALSE)</f>
        <v>#REF!</v>
      </c>
      <c r="L63" s="15" t="e">
        <f>VLOOKUP('北段 (人資版)'!L64,工作表1!$A$3:$B$74,2,FALSE)</f>
        <v>#REF!</v>
      </c>
      <c r="M63" s="15" t="e">
        <f>VLOOKUP('北段 (人資版)'!M64,工作表1!$A$3:$B$74,2,FALSE)</f>
        <v>#REF!</v>
      </c>
      <c r="N63" s="15" t="e">
        <f>VLOOKUP('北段 (人資版)'!N64,工作表1!$A$3:$B$74,2,FALSE)</f>
        <v>#REF!</v>
      </c>
      <c r="O63" s="15" t="e">
        <f>VLOOKUP('北段 (人資版)'!O64,工作表1!$A$3:$B$74,2,FALSE)</f>
        <v>#REF!</v>
      </c>
      <c r="P63" s="15" t="e">
        <f>VLOOKUP('北段 (人資版)'!P64,工作表1!$A$3:$B$74,2,FALSE)</f>
        <v>#REF!</v>
      </c>
      <c r="Q63" s="15" t="e">
        <f>VLOOKUP('北段 (人資版)'!Q64,工作表1!$A$3:$B$74,2,FALSE)</f>
        <v>#REF!</v>
      </c>
      <c r="R63" s="15" t="e">
        <f>VLOOKUP('北段 (人資版)'!R64,工作表1!$A$3:$B$74,2,FALSE)</f>
        <v>#REF!</v>
      </c>
      <c r="S63" s="15" t="e">
        <f>VLOOKUP('北段 (人資版)'!S64,工作表1!$A$3:$B$74,2,FALSE)</f>
        <v>#REF!</v>
      </c>
      <c r="T63" s="15" t="e">
        <f>VLOOKUP('北段 (人資版)'!T64,工作表1!$A$3:$B$74,2,FALSE)</f>
        <v>#REF!</v>
      </c>
      <c r="U63" s="15" t="e">
        <f>VLOOKUP('北段 (人資版)'!U64,工作表1!$A$3:$B$74,2,FALSE)</f>
        <v>#REF!</v>
      </c>
      <c r="V63" s="15" t="e">
        <f>VLOOKUP('北段 (人資版)'!V64,工作表1!$A$3:$B$74,2,FALSE)</f>
        <v>#REF!</v>
      </c>
      <c r="W63" s="15" t="e">
        <f>VLOOKUP('北段 (人資版)'!W64,工作表1!$A$3:$B$74,2,FALSE)</f>
        <v>#REF!</v>
      </c>
      <c r="X63" s="15" t="e">
        <f>VLOOKUP('北段 (人資版)'!X64,工作表1!$A$3:$B$74,2,FALSE)</f>
        <v>#REF!</v>
      </c>
      <c r="Y63" s="15" t="e">
        <f>VLOOKUP('北段 (人資版)'!Y64,工作表1!$A$3:$B$74,2,FALSE)</f>
        <v>#REF!</v>
      </c>
      <c r="Z63" s="15" t="e">
        <f>VLOOKUP('北段 (人資版)'!Z64,工作表1!$A$3:$B$74,2,FALSE)</f>
        <v>#REF!</v>
      </c>
      <c r="AA63" s="15" t="e">
        <f>VLOOKUP('北段 (人資版)'!AA64,工作表1!$A$3:$B$74,2,FALSE)</f>
        <v>#REF!</v>
      </c>
      <c r="AB63" s="15" t="e">
        <f>VLOOKUP('北段 (人資版)'!AB64,工作表1!$A$3:$B$74,2,FALSE)</f>
        <v>#REF!</v>
      </c>
      <c r="AC63" s="15" t="e">
        <f>VLOOKUP('北段 (人資版)'!AC64,工作表1!$A$3:$B$74,2,FALSE)</f>
        <v>#REF!</v>
      </c>
      <c r="AD63" s="15" t="e">
        <f>VLOOKUP('北段 (人資版)'!AD64,工作表1!$A$3:$B$74,2,FALSE)</f>
        <v>#REF!</v>
      </c>
      <c r="AE63" s="15" t="e">
        <f>VLOOKUP('北段 (人資版)'!AE64,工作表1!$A$3:$B$74,2,FALSE)</f>
        <v>#REF!</v>
      </c>
      <c r="AF63" s="15" t="e">
        <f>VLOOKUP('北段 (人資版)'!AF64,工作表1!$A$3:$B$74,2,FALSE)</f>
        <v>#REF!</v>
      </c>
      <c r="AG63" s="15" t="e">
        <f>VLOOKUP('北段 (人資版)'!AG64,工作表1!$A$3:$B$74,2,FALSE)</f>
        <v>#REF!</v>
      </c>
      <c r="AH63" s="15" t="e">
        <f>VLOOKUP('北段 (人資版)'!AH64,工作表1!$A$3:$B$74,2,FALSE)</f>
        <v>#REF!</v>
      </c>
      <c r="AI63" s="15" t="e">
        <f>VLOOKUP('北段 (人資版)'!AI64,工作表1!$A$3:$B$74,2,FALSE)</f>
        <v>#REF!</v>
      </c>
      <c r="AJ63" s="15" t="e">
        <f>VLOOKUP('北段 (人資版)'!AJ64,工作表1!$A$3:$B$74,2,FALSE)</f>
        <v>#REF!</v>
      </c>
      <c r="AK63" s="15" t="e">
        <f>VLOOKUP('北段 (人資版)'!AK64,工作表1!$A$3:$B$74,2,FALSE)</f>
        <v>#REF!</v>
      </c>
      <c r="AL63" s="15" t="e">
        <f>VLOOKUP('北段 (人資版)'!AL64,工作表1!$A$3:$B$74,2,FALSE)</f>
        <v>#REF!</v>
      </c>
    </row>
    <row r="64" spans="1:38" ht="39.6" customHeight="1">
      <c r="A64" s="33"/>
      <c r="B64" s="10" t="e">
        <f>北段!#REF!</f>
        <v>#REF!</v>
      </c>
      <c r="C64" s="10" t="e">
        <f>VLOOKUP(B64,北段!B:C,2,FALSE)</f>
        <v>#REF!</v>
      </c>
      <c r="D64" s="15" t="e">
        <f>VLOOKUP('北段 (人資版)'!#REF!,工作表1!$A$3:$B$74,2,FALSE)</f>
        <v>#REF!</v>
      </c>
      <c r="E64" s="15" t="e">
        <f>VLOOKUP('北段 (人資版)'!#REF!,工作表1!$A$3:$B$74,2,FALSE)</f>
        <v>#REF!</v>
      </c>
      <c r="F64" s="15" t="e">
        <f>VLOOKUP('北段 (人資版)'!#REF!,工作表1!$A$3:$B$74,2,FALSE)</f>
        <v>#REF!</v>
      </c>
      <c r="G64" s="15" t="e">
        <f>VLOOKUP('北段 (人資版)'!#REF!,工作表1!$A$3:$B$74,2,FALSE)</f>
        <v>#REF!</v>
      </c>
      <c r="H64" s="15" t="e">
        <f>VLOOKUP('北段 (人資版)'!#REF!,工作表1!$A$3:$B$74,2,FALSE)</f>
        <v>#REF!</v>
      </c>
      <c r="I64" s="15" t="e">
        <f>VLOOKUP('北段 (人資版)'!#REF!,工作表1!$A$3:$B$74,2,FALSE)</f>
        <v>#REF!</v>
      </c>
      <c r="J64" s="15" t="e">
        <f>VLOOKUP('北段 (人資版)'!#REF!,工作表1!$A$3:$B$74,2,FALSE)</f>
        <v>#REF!</v>
      </c>
      <c r="K64" s="15" t="e">
        <f>VLOOKUP('北段 (人資版)'!#REF!,工作表1!$A$3:$B$74,2,FALSE)</f>
        <v>#REF!</v>
      </c>
      <c r="L64" s="15" t="e">
        <f>VLOOKUP('北段 (人資版)'!#REF!,工作表1!$A$3:$B$74,2,FALSE)</f>
        <v>#REF!</v>
      </c>
      <c r="M64" s="15" t="e">
        <f>VLOOKUP('北段 (人資版)'!#REF!,工作表1!$A$3:$B$74,2,FALSE)</f>
        <v>#REF!</v>
      </c>
      <c r="N64" s="15" t="e">
        <f>VLOOKUP('北段 (人資版)'!#REF!,工作表1!$A$3:$B$74,2,FALSE)</f>
        <v>#REF!</v>
      </c>
      <c r="O64" s="15" t="e">
        <f>VLOOKUP('北段 (人資版)'!#REF!,工作表1!$A$3:$B$74,2,FALSE)</f>
        <v>#REF!</v>
      </c>
      <c r="P64" s="15" t="e">
        <f>VLOOKUP('北段 (人資版)'!#REF!,工作表1!$A$3:$B$74,2,FALSE)</f>
        <v>#REF!</v>
      </c>
      <c r="Q64" s="15" t="e">
        <f>VLOOKUP('北段 (人資版)'!#REF!,工作表1!$A$3:$B$74,2,FALSE)</f>
        <v>#REF!</v>
      </c>
      <c r="R64" s="15" t="e">
        <f>VLOOKUP('北段 (人資版)'!#REF!,工作表1!$A$3:$B$74,2,FALSE)</f>
        <v>#REF!</v>
      </c>
      <c r="S64" s="15" t="e">
        <f>VLOOKUP('北段 (人資版)'!#REF!,工作表1!$A$3:$B$74,2,FALSE)</f>
        <v>#REF!</v>
      </c>
      <c r="T64" s="15" t="e">
        <f>VLOOKUP('北段 (人資版)'!#REF!,工作表1!$A$3:$B$74,2,FALSE)</f>
        <v>#REF!</v>
      </c>
      <c r="U64" s="15" t="e">
        <f>VLOOKUP('北段 (人資版)'!#REF!,工作表1!$A$3:$B$74,2,FALSE)</f>
        <v>#REF!</v>
      </c>
      <c r="V64" s="15" t="e">
        <f>VLOOKUP('北段 (人資版)'!#REF!,工作表1!$A$3:$B$74,2,FALSE)</f>
        <v>#REF!</v>
      </c>
      <c r="W64" s="15" t="e">
        <f>VLOOKUP('北段 (人資版)'!#REF!,工作表1!$A$3:$B$74,2,FALSE)</f>
        <v>#REF!</v>
      </c>
      <c r="X64" s="15" t="e">
        <f>VLOOKUP('北段 (人資版)'!#REF!,工作表1!$A$3:$B$74,2,FALSE)</f>
        <v>#REF!</v>
      </c>
      <c r="Y64" s="15" t="e">
        <f>VLOOKUP('北段 (人資版)'!#REF!,工作表1!$A$3:$B$74,2,FALSE)</f>
        <v>#REF!</v>
      </c>
      <c r="Z64" s="15" t="e">
        <f>VLOOKUP('北段 (人資版)'!#REF!,工作表1!$A$3:$B$74,2,FALSE)</f>
        <v>#REF!</v>
      </c>
      <c r="AA64" s="15" t="e">
        <f>VLOOKUP('北段 (人資版)'!#REF!,工作表1!$A$3:$B$74,2,FALSE)</f>
        <v>#REF!</v>
      </c>
      <c r="AB64" s="15" t="e">
        <f>VLOOKUP('北段 (人資版)'!#REF!,工作表1!$A$3:$B$74,2,FALSE)</f>
        <v>#REF!</v>
      </c>
      <c r="AC64" s="15" t="e">
        <f>VLOOKUP('北段 (人資版)'!#REF!,工作表1!$A$3:$B$74,2,FALSE)</f>
        <v>#REF!</v>
      </c>
      <c r="AD64" s="15" t="e">
        <f>VLOOKUP('北段 (人資版)'!#REF!,工作表1!$A$3:$B$74,2,FALSE)</f>
        <v>#REF!</v>
      </c>
      <c r="AE64" s="15" t="e">
        <f>VLOOKUP('北段 (人資版)'!#REF!,工作表1!$A$3:$B$74,2,FALSE)</f>
        <v>#REF!</v>
      </c>
      <c r="AF64" s="15" t="e">
        <f>VLOOKUP('北段 (人資版)'!#REF!,工作表1!$A$3:$B$74,2,FALSE)</f>
        <v>#REF!</v>
      </c>
      <c r="AG64" s="15" t="e">
        <f>VLOOKUP('北段 (人資版)'!#REF!,工作表1!$A$3:$B$74,2,FALSE)</f>
        <v>#REF!</v>
      </c>
      <c r="AH64" s="15" t="e">
        <f>VLOOKUP('北段 (人資版)'!#REF!,工作表1!$A$3:$B$74,2,FALSE)</f>
        <v>#REF!</v>
      </c>
      <c r="AI64" s="15" t="e">
        <f>VLOOKUP('北段 (人資版)'!#REF!,工作表1!$A$3:$B$74,2,FALSE)</f>
        <v>#REF!</v>
      </c>
      <c r="AJ64" s="15" t="e">
        <f>VLOOKUP('北段 (人資版)'!#REF!,工作表1!$A$3:$B$74,2,FALSE)</f>
        <v>#REF!</v>
      </c>
      <c r="AK64" s="15" t="e">
        <f>VLOOKUP('北段 (人資版)'!#REF!,工作表1!$A$3:$B$74,2,FALSE)</f>
        <v>#REF!</v>
      </c>
      <c r="AL64" s="15" t="e">
        <f>VLOOKUP('北段 (人資版)'!#REF!,工作表1!$A$3:$B$74,2,FALSE)</f>
        <v>#REF!</v>
      </c>
    </row>
    <row r="65" spans="1:38" ht="39.6" customHeight="1" thickBot="1">
      <c r="A65" s="37"/>
      <c r="B65" s="10" t="e">
        <f>北段!#REF!</f>
        <v>#REF!</v>
      </c>
      <c r="C65" s="10" t="e">
        <f>VLOOKUP(B65,北段!B:C,2,FALSE)</f>
        <v>#REF!</v>
      </c>
      <c r="D65" s="15" t="e">
        <f>VLOOKUP('北段 (人資版)'!D65,工作表1!$A$3:$B$74,2,FALSE)</f>
        <v>#REF!</v>
      </c>
      <c r="E65" s="15" t="e">
        <f>VLOOKUP('北段 (人資版)'!E65,工作表1!$A$3:$B$74,2,FALSE)</f>
        <v>#REF!</v>
      </c>
      <c r="F65" s="15" t="e">
        <f>VLOOKUP('北段 (人資版)'!F65,工作表1!$A$3:$B$74,2,FALSE)</f>
        <v>#REF!</v>
      </c>
      <c r="G65" s="15" t="e">
        <f>VLOOKUP('北段 (人資版)'!G65,工作表1!$A$3:$B$74,2,FALSE)</f>
        <v>#REF!</v>
      </c>
      <c r="H65" s="15" t="e">
        <f>VLOOKUP('北段 (人資版)'!H65,工作表1!$A$3:$B$74,2,FALSE)</f>
        <v>#REF!</v>
      </c>
      <c r="I65" s="15" t="e">
        <f>VLOOKUP('北段 (人資版)'!I65,工作表1!$A$3:$B$74,2,FALSE)</f>
        <v>#REF!</v>
      </c>
      <c r="J65" s="15" t="e">
        <f>VLOOKUP('北段 (人資版)'!J65,工作表1!$A$3:$B$74,2,FALSE)</f>
        <v>#REF!</v>
      </c>
      <c r="K65" s="15" t="e">
        <f>VLOOKUP('北段 (人資版)'!K65,工作表1!$A$3:$B$74,2,FALSE)</f>
        <v>#REF!</v>
      </c>
      <c r="L65" s="15" t="e">
        <f>VLOOKUP('北段 (人資版)'!L65,工作表1!$A$3:$B$74,2,FALSE)</f>
        <v>#REF!</v>
      </c>
      <c r="M65" s="15" t="e">
        <f>VLOOKUP('北段 (人資版)'!M65,工作表1!$A$3:$B$74,2,FALSE)</f>
        <v>#REF!</v>
      </c>
      <c r="N65" s="15" t="e">
        <f>VLOOKUP('北段 (人資版)'!N65,工作表1!$A$3:$B$74,2,FALSE)</f>
        <v>#REF!</v>
      </c>
      <c r="O65" s="15" t="e">
        <f>VLOOKUP('北段 (人資版)'!O65,工作表1!$A$3:$B$74,2,FALSE)</f>
        <v>#REF!</v>
      </c>
      <c r="P65" s="15" t="e">
        <f>VLOOKUP('北段 (人資版)'!P65,工作表1!$A$3:$B$74,2,FALSE)</f>
        <v>#REF!</v>
      </c>
      <c r="Q65" s="15" t="e">
        <f>VLOOKUP('北段 (人資版)'!Q65,工作表1!$A$3:$B$74,2,FALSE)</f>
        <v>#REF!</v>
      </c>
      <c r="R65" s="15" t="e">
        <f>VLOOKUP('北段 (人資版)'!R65,工作表1!$A$3:$B$74,2,FALSE)</f>
        <v>#REF!</v>
      </c>
      <c r="S65" s="15" t="e">
        <f>VLOOKUP('北段 (人資版)'!S65,工作表1!$A$3:$B$74,2,FALSE)</f>
        <v>#REF!</v>
      </c>
      <c r="T65" s="15" t="e">
        <f>VLOOKUP('北段 (人資版)'!T65,工作表1!$A$3:$B$74,2,FALSE)</f>
        <v>#REF!</v>
      </c>
      <c r="U65" s="15" t="e">
        <f>VLOOKUP('北段 (人資版)'!U65,工作表1!$A$3:$B$74,2,FALSE)</f>
        <v>#REF!</v>
      </c>
      <c r="V65" s="15" t="e">
        <f>VLOOKUP('北段 (人資版)'!V65,工作表1!$A$3:$B$74,2,FALSE)</f>
        <v>#REF!</v>
      </c>
      <c r="W65" s="15" t="e">
        <f>VLOOKUP('北段 (人資版)'!W65,工作表1!$A$3:$B$74,2,FALSE)</f>
        <v>#REF!</v>
      </c>
      <c r="X65" s="15" t="e">
        <f>VLOOKUP('北段 (人資版)'!X65,工作表1!$A$3:$B$74,2,FALSE)</f>
        <v>#REF!</v>
      </c>
      <c r="Y65" s="15" t="e">
        <f>VLOOKUP('北段 (人資版)'!Y65,工作表1!$A$3:$B$74,2,FALSE)</f>
        <v>#REF!</v>
      </c>
      <c r="Z65" s="15" t="e">
        <f>VLOOKUP('北段 (人資版)'!Z65,工作表1!$A$3:$B$74,2,FALSE)</f>
        <v>#REF!</v>
      </c>
      <c r="AA65" s="15" t="e">
        <f>VLOOKUP('北段 (人資版)'!AA65,工作表1!$A$3:$B$74,2,FALSE)</f>
        <v>#REF!</v>
      </c>
      <c r="AB65" s="15" t="e">
        <f>VLOOKUP('北段 (人資版)'!AB65,工作表1!$A$3:$B$74,2,FALSE)</f>
        <v>#REF!</v>
      </c>
      <c r="AC65" s="15" t="e">
        <f>VLOOKUP('北段 (人資版)'!AC65,工作表1!$A$3:$B$74,2,FALSE)</f>
        <v>#REF!</v>
      </c>
      <c r="AD65" s="15" t="e">
        <f>VLOOKUP('北段 (人資版)'!AD65,工作表1!$A$3:$B$74,2,FALSE)</f>
        <v>#REF!</v>
      </c>
      <c r="AE65" s="15" t="e">
        <f>VLOOKUP('北段 (人資版)'!AE65,工作表1!$A$3:$B$74,2,FALSE)</f>
        <v>#REF!</v>
      </c>
      <c r="AF65" s="15" t="e">
        <f>VLOOKUP('北段 (人資版)'!AF65,工作表1!$A$3:$B$74,2,FALSE)</f>
        <v>#REF!</v>
      </c>
      <c r="AG65" s="15" t="e">
        <f>VLOOKUP('北段 (人資版)'!AG65,工作表1!$A$3:$B$74,2,FALSE)</f>
        <v>#REF!</v>
      </c>
      <c r="AH65" s="15" t="e">
        <f>VLOOKUP('北段 (人資版)'!AH65,工作表1!$A$3:$B$74,2,FALSE)</f>
        <v>#REF!</v>
      </c>
      <c r="AI65" s="15" t="e">
        <f>VLOOKUP('北段 (人資版)'!AI65,工作表1!$A$3:$B$74,2,FALSE)</f>
        <v>#REF!</v>
      </c>
      <c r="AJ65" s="15" t="e">
        <f>VLOOKUP('北段 (人資版)'!AJ65,工作表1!$A$3:$B$74,2,FALSE)</f>
        <v>#REF!</v>
      </c>
      <c r="AK65" s="15" t="e">
        <f>VLOOKUP('北段 (人資版)'!AK65,工作表1!$A$3:$B$74,2,FALSE)</f>
        <v>#REF!</v>
      </c>
      <c r="AL65" s="15" t="e">
        <f>VLOOKUP('北段 (人資版)'!AL65,工作表1!$A$3:$B$74,2,FALSE)</f>
        <v>#REF!</v>
      </c>
    </row>
    <row r="66" spans="1:38" ht="39.75" customHeight="1">
      <c r="A66" s="35" t="s">
        <v>16</v>
      </c>
      <c r="B66" s="10" t="e">
        <f>北段!#REF!</f>
        <v>#REF!</v>
      </c>
      <c r="C66" s="10" t="e">
        <f>VLOOKUP(B66,北段!B:C,2,FALSE)</f>
        <v>#REF!</v>
      </c>
      <c r="D66" s="15" t="e">
        <f>VLOOKUP('北段 (人資版)'!D66,工作表1!$A$3:$B$74,2,FALSE)</f>
        <v>#REF!</v>
      </c>
      <c r="E66" s="15" t="e">
        <f>VLOOKUP('北段 (人資版)'!E66,工作表1!$A$3:$B$74,2,FALSE)</f>
        <v>#REF!</v>
      </c>
      <c r="F66" s="15" t="e">
        <f>VLOOKUP('北段 (人資版)'!F66,工作表1!$A$3:$B$74,2,FALSE)</f>
        <v>#REF!</v>
      </c>
      <c r="G66" s="15" t="e">
        <f>VLOOKUP('北段 (人資版)'!G66,工作表1!$A$3:$B$74,2,FALSE)</f>
        <v>#REF!</v>
      </c>
      <c r="H66" s="15" t="e">
        <f>VLOOKUP('北段 (人資版)'!H66,工作表1!$A$3:$B$74,2,FALSE)</f>
        <v>#REF!</v>
      </c>
      <c r="I66" s="15" t="e">
        <f>VLOOKUP('北段 (人資版)'!I66,工作表1!$A$3:$B$74,2,FALSE)</f>
        <v>#REF!</v>
      </c>
      <c r="J66" s="15" t="e">
        <f>VLOOKUP('北段 (人資版)'!J66,工作表1!$A$3:$B$74,2,FALSE)</f>
        <v>#REF!</v>
      </c>
      <c r="K66" s="15" t="e">
        <f>VLOOKUP('北段 (人資版)'!K66,工作表1!$A$3:$B$74,2,FALSE)</f>
        <v>#REF!</v>
      </c>
      <c r="L66" s="15" t="e">
        <f>VLOOKUP('北段 (人資版)'!L66,工作表1!$A$3:$B$74,2,FALSE)</f>
        <v>#REF!</v>
      </c>
      <c r="M66" s="15" t="e">
        <f>VLOOKUP('北段 (人資版)'!M66,工作表1!$A$3:$B$74,2,FALSE)</f>
        <v>#REF!</v>
      </c>
      <c r="N66" s="15" t="e">
        <f>VLOOKUP('北段 (人資版)'!N66,工作表1!$A$3:$B$74,2,FALSE)</f>
        <v>#REF!</v>
      </c>
      <c r="O66" s="15" t="e">
        <f>VLOOKUP('北段 (人資版)'!O66,工作表1!$A$3:$B$74,2,FALSE)</f>
        <v>#REF!</v>
      </c>
      <c r="P66" s="15" t="e">
        <f>VLOOKUP('北段 (人資版)'!P66,工作表1!$A$3:$B$74,2,FALSE)</f>
        <v>#REF!</v>
      </c>
      <c r="Q66" s="15" t="e">
        <f>VLOOKUP('北段 (人資版)'!Q66,工作表1!$A$3:$B$74,2,FALSE)</f>
        <v>#REF!</v>
      </c>
      <c r="R66" s="15" t="e">
        <f>VLOOKUP('北段 (人資版)'!R66,工作表1!$A$3:$B$74,2,FALSE)</f>
        <v>#REF!</v>
      </c>
      <c r="S66" s="15" t="e">
        <f>VLOOKUP('北段 (人資版)'!S66,工作表1!$A$3:$B$74,2,FALSE)</f>
        <v>#REF!</v>
      </c>
      <c r="T66" s="15" t="e">
        <f>VLOOKUP('北段 (人資版)'!T66,工作表1!$A$3:$B$74,2,FALSE)</f>
        <v>#REF!</v>
      </c>
      <c r="U66" s="15" t="e">
        <f>VLOOKUP('北段 (人資版)'!U66,工作表1!$A$3:$B$74,2,FALSE)</f>
        <v>#REF!</v>
      </c>
      <c r="V66" s="15" t="e">
        <f>VLOOKUP('北段 (人資版)'!V66,工作表1!$A$3:$B$74,2,FALSE)</f>
        <v>#REF!</v>
      </c>
      <c r="W66" s="15" t="e">
        <f>VLOOKUP('北段 (人資版)'!W66,工作表1!$A$3:$B$74,2,FALSE)</f>
        <v>#REF!</v>
      </c>
      <c r="X66" s="15" t="e">
        <f>VLOOKUP('北段 (人資版)'!X66,工作表1!$A$3:$B$74,2,FALSE)</f>
        <v>#REF!</v>
      </c>
      <c r="Y66" s="15" t="e">
        <f>VLOOKUP('北段 (人資版)'!Y66,工作表1!$A$3:$B$74,2,FALSE)</f>
        <v>#REF!</v>
      </c>
      <c r="Z66" s="15" t="e">
        <f>VLOOKUP('北段 (人資版)'!Z66,工作表1!$A$3:$B$74,2,FALSE)</f>
        <v>#REF!</v>
      </c>
      <c r="AA66" s="15" t="e">
        <f>VLOOKUP('北段 (人資版)'!AA66,工作表1!$A$3:$B$74,2,FALSE)</f>
        <v>#REF!</v>
      </c>
      <c r="AB66" s="15" t="e">
        <f>VLOOKUP('北段 (人資版)'!AB66,工作表1!$A$3:$B$74,2,FALSE)</f>
        <v>#REF!</v>
      </c>
      <c r="AC66" s="15" t="e">
        <f>VLOOKUP('北段 (人資版)'!AC66,工作表1!$A$3:$B$74,2,FALSE)</f>
        <v>#REF!</v>
      </c>
      <c r="AD66" s="15" t="e">
        <f>VLOOKUP('北段 (人資版)'!AD66,工作表1!$A$3:$B$74,2,FALSE)</f>
        <v>#REF!</v>
      </c>
      <c r="AE66" s="15" t="e">
        <f>VLOOKUP('北段 (人資版)'!AE66,工作表1!$A$3:$B$74,2,FALSE)</f>
        <v>#REF!</v>
      </c>
      <c r="AF66" s="15" t="e">
        <f>VLOOKUP('北段 (人資版)'!AF66,工作表1!$A$3:$B$74,2,FALSE)</f>
        <v>#REF!</v>
      </c>
      <c r="AG66" s="15" t="e">
        <f>VLOOKUP('北段 (人資版)'!AG66,工作表1!$A$3:$B$74,2,FALSE)</f>
        <v>#REF!</v>
      </c>
      <c r="AH66" s="15" t="e">
        <f>VLOOKUP('北段 (人資版)'!AH66,工作表1!$A$3:$B$74,2,FALSE)</f>
        <v>#REF!</v>
      </c>
      <c r="AI66" s="15" t="e">
        <f>VLOOKUP('北段 (人資版)'!AI66,工作表1!$A$3:$B$74,2,FALSE)</f>
        <v>#REF!</v>
      </c>
      <c r="AJ66" s="15" t="e">
        <f>VLOOKUP('北段 (人資版)'!AJ66,工作表1!$A$3:$B$74,2,FALSE)</f>
        <v>#REF!</v>
      </c>
      <c r="AK66" s="15" t="e">
        <f>VLOOKUP('北段 (人資版)'!AK66,工作表1!$A$3:$B$74,2,FALSE)</f>
        <v>#REF!</v>
      </c>
      <c r="AL66" s="15" t="e">
        <f>VLOOKUP('北段 (人資版)'!AL66,工作表1!$A$3:$B$74,2,FALSE)</f>
        <v>#REF!</v>
      </c>
    </row>
    <row r="67" spans="1:38" ht="39.6" customHeight="1">
      <c r="A67" s="35"/>
      <c r="B67" s="10" t="e">
        <f>北段!#REF!</f>
        <v>#REF!</v>
      </c>
      <c r="C67" s="10" t="e">
        <f>VLOOKUP(B67,北段!B:C,2,FALSE)</f>
        <v>#REF!</v>
      </c>
      <c r="D67" s="15" t="e">
        <f>VLOOKUP('北段 (人資版)'!D67,工作表1!$A$3:$B$74,2,FALSE)</f>
        <v>#REF!</v>
      </c>
      <c r="E67" s="15" t="e">
        <f>VLOOKUP('北段 (人資版)'!E67,工作表1!$A$3:$B$74,2,FALSE)</f>
        <v>#REF!</v>
      </c>
      <c r="F67" s="15" t="e">
        <f>VLOOKUP('北段 (人資版)'!F67,工作表1!$A$3:$B$74,2,FALSE)</f>
        <v>#REF!</v>
      </c>
      <c r="G67" s="15" t="e">
        <f>VLOOKUP('北段 (人資版)'!G67,工作表1!$A$3:$B$74,2,FALSE)</f>
        <v>#REF!</v>
      </c>
      <c r="H67" s="15" t="e">
        <f>VLOOKUP('北段 (人資版)'!H67,工作表1!$A$3:$B$74,2,FALSE)</f>
        <v>#REF!</v>
      </c>
      <c r="I67" s="15" t="e">
        <f>VLOOKUP('北段 (人資版)'!I67,工作表1!$A$3:$B$74,2,FALSE)</f>
        <v>#REF!</v>
      </c>
      <c r="J67" s="15" t="e">
        <f>VLOOKUP('北段 (人資版)'!J67,工作表1!$A$3:$B$74,2,FALSE)</f>
        <v>#REF!</v>
      </c>
      <c r="K67" s="15" t="e">
        <f>VLOOKUP('北段 (人資版)'!K67,工作表1!$A$3:$B$74,2,FALSE)</f>
        <v>#REF!</v>
      </c>
      <c r="L67" s="15" t="e">
        <f>VLOOKUP('北段 (人資版)'!L67,工作表1!$A$3:$B$74,2,FALSE)</f>
        <v>#REF!</v>
      </c>
      <c r="M67" s="15" t="e">
        <f>VLOOKUP('北段 (人資版)'!M67,工作表1!$A$3:$B$74,2,FALSE)</f>
        <v>#REF!</v>
      </c>
      <c r="N67" s="15" t="e">
        <f>VLOOKUP('北段 (人資版)'!N67,工作表1!$A$3:$B$74,2,FALSE)</f>
        <v>#REF!</v>
      </c>
      <c r="O67" s="15" t="e">
        <f>VLOOKUP('北段 (人資版)'!O67,工作表1!$A$3:$B$74,2,FALSE)</f>
        <v>#REF!</v>
      </c>
      <c r="P67" s="15" t="e">
        <f>VLOOKUP('北段 (人資版)'!P67,工作表1!$A$3:$B$74,2,FALSE)</f>
        <v>#REF!</v>
      </c>
      <c r="Q67" s="15" t="e">
        <f>VLOOKUP('北段 (人資版)'!Q67,工作表1!$A$3:$B$74,2,FALSE)</f>
        <v>#REF!</v>
      </c>
      <c r="R67" s="15" t="e">
        <f>VLOOKUP('北段 (人資版)'!R67,工作表1!$A$3:$B$74,2,FALSE)</f>
        <v>#REF!</v>
      </c>
      <c r="S67" s="15" t="e">
        <f>VLOOKUP('北段 (人資版)'!S67,工作表1!$A$3:$B$74,2,FALSE)</f>
        <v>#REF!</v>
      </c>
      <c r="T67" s="15" t="e">
        <f>VLOOKUP('北段 (人資版)'!T67,工作表1!$A$3:$B$74,2,FALSE)</f>
        <v>#REF!</v>
      </c>
      <c r="U67" s="15" t="e">
        <f>VLOOKUP('北段 (人資版)'!U67,工作表1!$A$3:$B$74,2,FALSE)</f>
        <v>#REF!</v>
      </c>
      <c r="V67" s="15" t="e">
        <f>VLOOKUP('北段 (人資版)'!V67,工作表1!$A$3:$B$74,2,FALSE)</f>
        <v>#REF!</v>
      </c>
      <c r="W67" s="15" t="e">
        <f>VLOOKUP('北段 (人資版)'!W67,工作表1!$A$3:$B$74,2,FALSE)</f>
        <v>#REF!</v>
      </c>
      <c r="X67" s="15" t="e">
        <f>VLOOKUP('北段 (人資版)'!X67,工作表1!$A$3:$B$74,2,FALSE)</f>
        <v>#REF!</v>
      </c>
      <c r="Y67" s="15" t="e">
        <f>VLOOKUP('北段 (人資版)'!Y67,工作表1!$A$3:$B$74,2,FALSE)</f>
        <v>#REF!</v>
      </c>
      <c r="Z67" s="15" t="e">
        <f>VLOOKUP('北段 (人資版)'!Z67,工作表1!$A$3:$B$74,2,FALSE)</f>
        <v>#REF!</v>
      </c>
      <c r="AA67" s="15" t="e">
        <f>VLOOKUP('北段 (人資版)'!AA67,工作表1!$A$3:$B$74,2,FALSE)</f>
        <v>#REF!</v>
      </c>
      <c r="AB67" s="15" t="e">
        <f>VLOOKUP('北段 (人資版)'!AB67,工作表1!$A$3:$B$74,2,FALSE)</f>
        <v>#REF!</v>
      </c>
      <c r="AC67" s="15" t="e">
        <f>VLOOKUP('北段 (人資版)'!AC67,工作表1!$A$3:$B$74,2,FALSE)</f>
        <v>#REF!</v>
      </c>
      <c r="AD67" s="15" t="e">
        <f>VLOOKUP('北段 (人資版)'!AD67,工作表1!$A$3:$B$74,2,FALSE)</f>
        <v>#REF!</v>
      </c>
      <c r="AE67" s="15" t="e">
        <f>VLOOKUP('北段 (人資版)'!AE67,工作表1!$A$3:$B$74,2,FALSE)</f>
        <v>#REF!</v>
      </c>
      <c r="AF67" s="15" t="e">
        <f>VLOOKUP('北段 (人資版)'!AF67,工作表1!$A$3:$B$74,2,FALSE)</f>
        <v>#REF!</v>
      </c>
      <c r="AG67" s="15" t="e">
        <f>VLOOKUP('北段 (人資版)'!AG67,工作表1!$A$3:$B$74,2,FALSE)</f>
        <v>#REF!</v>
      </c>
      <c r="AH67" s="15" t="e">
        <f>VLOOKUP('北段 (人資版)'!AH67,工作表1!$A$3:$B$74,2,FALSE)</f>
        <v>#REF!</v>
      </c>
      <c r="AI67" s="15" t="e">
        <f>VLOOKUP('北段 (人資版)'!AI67,工作表1!$A$3:$B$74,2,FALSE)</f>
        <v>#REF!</v>
      </c>
      <c r="AJ67" s="15" t="e">
        <f>VLOOKUP('北段 (人資版)'!AJ67,工作表1!$A$3:$B$74,2,FALSE)</f>
        <v>#REF!</v>
      </c>
      <c r="AK67" s="15" t="e">
        <f>VLOOKUP('北段 (人資版)'!AK67,工作表1!$A$3:$B$74,2,FALSE)</f>
        <v>#REF!</v>
      </c>
      <c r="AL67" s="15" t="e">
        <f>VLOOKUP('北段 (人資版)'!AL67,工作表1!$A$3:$B$74,2,FALSE)</f>
        <v>#REF!</v>
      </c>
    </row>
    <row r="68" spans="1:38" ht="39.75" customHeight="1">
      <c r="A68" s="35"/>
      <c r="B68" s="10" t="e">
        <f>北段!#REF!</f>
        <v>#REF!</v>
      </c>
      <c r="C68" s="10" t="e">
        <f>VLOOKUP(B68,北段!B:C,2,FALSE)</f>
        <v>#REF!</v>
      </c>
      <c r="D68" s="15" t="e">
        <f>VLOOKUP('北段 (人資版)'!D68,工作表1!$A$3:$B$74,2,FALSE)</f>
        <v>#REF!</v>
      </c>
      <c r="E68" s="15" t="e">
        <f>VLOOKUP('北段 (人資版)'!E68,工作表1!$A$3:$B$74,2,FALSE)</f>
        <v>#REF!</v>
      </c>
      <c r="F68" s="15" t="e">
        <f>VLOOKUP('北段 (人資版)'!F68,工作表1!$A$3:$B$74,2,FALSE)</f>
        <v>#REF!</v>
      </c>
      <c r="G68" s="15" t="e">
        <f>VLOOKUP('北段 (人資版)'!G68,工作表1!$A$3:$B$74,2,FALSE)</f>
        <v>#REF!</v>
      </c>
      <c r="H68" s="15" t="e">
        <f>VLOOKUP('北段 (人資版)'!H68,工作表1!$A$3:$B$74,2,FALSE)</f>
        <v>#REF!</v>
      </c>
      <c r="I68" s="15" t="e">
        <f>VLOOKUP('北段 (人資版)'!I68,工作表1!$A$3:$B$74,2,FALSE)</f>
        <v>#REF!</v>
      </c>
      <c r="J68" s="15" t="e">
        <f>VLOOKUP('北段 (人資版)'!J68,工作表1!$A$3:$B$74,2,FALSE)</f>
        <v>#REF!</v>
      </c>
      <c r="K68" s="15" t="e">
        <f>VLOOKUP('北段 (人資版)'!K68,工作表1!$A$3:$B$74,2,FALSE)</f>
        <v>#REF!</v>
      </c>
      <c r="L68" s="15" t="e">
        <f>VLOOKUP('北段 (人資版)'!L68,工作表1!$A$3:$B$74,2,FALSE)</f>
        <v>#REF!</v>
      </c>
      <c r="M68" s="15" t="e">
        <f>VLOOKUP('北段 (人資版)'!M68,工作表1!$A$3:$B$74,2,FALSE)</f>
        <v>#REF!</v>
      </c>
      <c r="N68" s="15" t="e">
        <f>VLOOKUP('北段 (人資版)'!N68,工作表1!$A$3:$B$74,2,FALSE)</f>
        <v>#REF!</v>
      </c>
      <c r="O68" s="15" t="e">
        <f>VLOOKUP('北段 (人資版)'!O68,工作表1!$A$3:$B$74,2,FALSE)</f>
        <v>#REF!</v>
      </c>
      <c r="P68" s="15" t="e">
        <f>VLOOKUP('北段 (人資版)'!P68,工作表1!$A$3:$B$74,2,FALSE)</f>
        <v>#REF!</v>
      </c>
      <c r="Q68" s="15" t="e">
        <f>VLOOKUP('北段 (人資版)'!Q68,工作表1!$A$3:$B$74,2,FALSE)</f>
        <v>#REF!</v>
      </c>
      <c r="R68" s="15" t="e">
        <f>VLOOKUP('北段 (人資版)'!R68,工作表1!$A$3:$B$74,2,FALSE)</f>
        <v>#REF!</v>
      </c>
      <c r="S68" s="15" t="e">
        <f>VLOOKUP('北段 (人資版)'!S68,工作表1!$A$3:$B$74,2,FALSE)</f>
        <v>#REF!</v>
      </c>
      <c r="T68" s="15" t="e">
        <f>VLOOKUP('北段 (人資版)'!T68,工作表1!$A$3:$B$74,2,FALSE)</f>
        <v>#REF!</v>
      </c>
      <c r="U68" s="15" t="e">
        <f>VLOOKUP('北段 (人資版)'!U68,工作表1!$A$3:$B$74,2,FALSE)</f>
        <v>#REF!</v>
      </c>
      <c r="V68" s="15" t="e">
        <f>VLOOKUP('北段 (人資版)'!V68,工作表1!$A$3:$B$74,2,FALSE)</f>
        <v>#REF!</v>
      </c>
      <c r="W68" s="15" t="e">
        <f>VLOOKUP('北段 (人資版)'!W68,工作表1!$A$3:$B$74,2,FALSE)</f>
        <v>#REF!</v>
      </c>
      <c r="X68" s="15" t="e">
        <f>VLOOKUP('北段 (人資版)'!X68,工作表1!$A$3:$B$74,2,FALSE)</f>
        <v>#REF!</v>
      </c>
      <c r="Y68" s="15" t="e">
        <f>VLOOKUP('北段 (人資版)'!Y68,工作表1!$A$3:$B$74,2,FALSE)</f>
        <v>#REF!</v>
      </c>
      <c r="Z68" s="15" t="e">
        <f>VLOOKUP('北段 (人資版)'!Z68,工作表1!$A$3:$B$74,2,FALSE)</f>
        <v>#REF!</v>
      </c>
      <c r="AA68" s="15" t="e">
        <f>VLOOKUP('北段 (人資版)'!AA68,工作表1!$A$3:$B$74,2,FALSE)</f>
        <v>#REF!</v>
      </c>
      <c r="AB68" s="15" t="e">
        <f>VLOOKUP('北段 (人資版)'!AB68,工作表1!$A$3:$B$74,2,FALSE)</f>
        <v>#REF!</v>
      </c>
      <c r="AC68" s="15" t="e">
        <f>VLOOKUP('北段 (人資版)'!AC68,工作表1!$A$3:$B$74,2,FALSE)</f>
        <v>#REF!</v>
      </c>
      <c r="AD68" s="15" t="e">
        <f>VLOOKUP('北段 (人資版)'!AD68,工作表1!$A$3:$B$74,2,FALSE)</f>
        <v>#REF!</v>
      </c>
      <c r="AE68" s="15" t="e">
        <f>VLOOKUP('北段 (人資版)'!AE68,工作表1!$A$3:$B$74,2,FALSE)</f>
        <v>#REF!</v>
      </c>
      <c r="AF68" s="15" t="e">
        <f>VLOOKUP('北段 (人資版)'!AF68,工作表1!$A$3:$B$74,2,FALSE)</f>
        <v>#REF!</v>
      </c>
      <c r="AG68" s="15" t="e">
        <f>VLOOKUP('北段 (人資版)'!AG68,工作表1!$A$3:$B$74,2,FALSE)</f>
        <v>#REF!</v>
      </c>
      <c r="AH68" s="15" t="e">
        <f>VLOOKUP('北段 (人資版)'!AH68,工作表1!$A$3:$B$74,2,FALSE)</f>
        <v>#REF!</v>
      </c>
      <c r="AI68" s="15" t="e">
        <f>VLOOKUP('北段 (人資版)'!AI68,工作表1!$A$3:$B$74,2,FALSE)</f>
        <v>#REF!</v>
      </c>
      <c r="AJ68" s="15" t="e">
        <f>VLOOKUP('北段 (人資版)'!AJ68,工作表1!$A$3:$B$74,2,FALSE)</f>
        <v>#REF!</v>
      </c>
      <c r="AK68" s="15" t="e">
        <f>VLOOKUP('北段 (人資版)'!AK68,工作表1!$A$3:$B$74,2,FALSE)</f>
        <v>#REF!</v>
      </c>
      <c r="AL68" s="15" t="e">
        <f>VLOOKUP('北段 (人資版)'!AL68,工作表1!$A$3:$B$74,2,FALSE)</f>
        <v>#REF!</v>
      </c>
    </row>
    <row r="69" spans="1:38" ht="39.75" customHeight="1">
      <c r="A69" s="35"/>
      <c r="B69" s="10" t="e">
        <f>北段!#REF!</f>
        <v>#REF!</v>
      </c>
      <c r="C69" s="10" t="e">
        <f>VLOOKUP(B69,北段!B:C,2,FALSE)</f>
        <v>#REF!</v>
      </c>
      <c r="D69" s="15" t="e">
        <f>VLOOKUP('北段 (人資版)'!D69,工作表1!$A$3:$B$74,2,FALSE)</f>
        <v>#REF!</v>
      </c>
      <c r="E69" s="15" t="e">
        <f>VLOOKUP('北段 (人資版)'!E69,工作表1!$A$3:$B$74,2,FALSE)</f>
        <v>#REF!</v>
      </c>
      <c r="F69" s="15" t="e">
        <f>VLOOKUP('北段 (人資版)'!F69,工作表1!$A$3:$B$74,2,FALSE)</f>
        <v>#REF!</v>
      </c>
      <c r="G69" s="15" t="e">
        <f>VLOOKUP('北段 (人資版)'!G69,工作表1!$A$3:$B$74,2,FALSE)</f>
        <v>#REF!</v>
      </c>
      <c r="H69" s="15" t="e">
        <f>VLOOKUP('北段 (人資版)'!H69,工作表1!$A$3:$B$74,2,FALSE)</f>
        <v>#REF!</v>
      </c>
      <c r="I69" s="15" t="e">
        <f>VLOOKUP('北段 (人資版)'!I69,工作表1!$A$3:$B$74,2,FALSE)</f>
        <v>#REF!</v>
      </c>
      <c r="J69" s="15" t="e">
        <f>VLOOKUP('北段 (人資版)'!J69,工作表1!$A$3:$B$74,2,FALSE)</f>
        <v>#REF!</v>
      </c>
      <c r="K69" s="15" t="e">
        <f>VLOOKUP('北段 (人資版)'!K69,工作表1!$A$3:$B$74,2,FALSE)</f>
        <v>#REF!</v>
      </c>
      <c r="L69" s="15" t="e">
        <f>VLOOKUP('北段 (人資版)'!L69,工作表1!$A$3:$B$74,2,FALSE)</f>
        <v>#REF!</v>
      </c>
      <c r="M69" s="15" t="e">
        <f>VLOOKUP('北段 (人資版)'!M69,工作表1!$A$3:$B$74,2,FALSE)</f>
        <v>#REF!</v>
      </c>
      <c r="N69" s="15" t="e">
        <f>VLOOKUP('北段 (人資版)'!N69,工作表1!$A$3:$B$74,2,FALSE)</f>
        <v>#REF!</v>
      </c>
      <c r="O69" s="15" t="e">
        <f>VLOOKUP('北段 (人資版)'!O69,工作表1!$A$3:$B$74,2,FALSE)</f>
        <v>#REF!</v>
      </c>
      <c r="P69" s="15" t="e">
        <f>VLOOKUP('北段 (人資版)'!P69,工作表1!$A$3:$B$74,2,FALSE)</f>
        <v>#REF!</v>
      </c>
      <c r="Q69" s="15" t="e">
        <f>VLOOKUP('北段 (人資版)'!Q69,工作表1!$A$3:$B$74,2,FALSE)</f>
        <v>#REF!</v>
      </c>
      <c r="R69" s="15" t="e">
        <f>VLOOKUP('北段 (人資版)'!R69,工作表1!$A$3:$B$74,2,FALSE)</f>
        <v>#REF!</v>
      </c>
      <c r="S69" s="15" t="e">
        <f>VLOOKUP('北段 (人資版)'!S69,工作表1!$A$3:$B$74,2,FALSE)</f>
        <v>#REF!</v>
      </c>
      <c r="T69" s="15" t="e">
        <f>VLOOKUP('北段 (人資版)'!T69,工作表1!$A$3:$B$74,2,FALSE)</f>
        <v>#REF!</v>
      </c>
      <c r="U69" s="15" t="e">
        <f>VLOOKUP('北段 (人資版)'!U69,工作表1!$A$3:$B$74,2,FALSE)</f>
        <v>#REF!</v>
      </c>
      <c r="V69" s="15" t="e">
        <f>VLOOKUP('北段 (人資版)'!V69,工作表1!$A$3:$B$74,2,FALSE)</f>
        <v>#REF!</v>
      </c>
      <c r="W69" s="15" t="e">
        <f>VLOOKUP('北段 (人資版)'!W69,工作表1!$A$3:$B$74,2,FALSE)</f>
        <v>#REF!</v>
      </c>
      <c r="X69" s="15" t="e">
        <f>VLOOKUP('北段 (人資版)'!X69,工作表1!$A$3:$B$74,2,FALSE)</f>
        <v>#REF!</v>
      </c>
      <c r="Y69" s="15" t="e">
        <f>VLOOKUP('北段 (人資版)'!Y69,工作表1!$A$3:$B$74,2,FALSE)</f>
        <v>#REF!</v>
      </c>
      <c r="Z69" s="15" t="e">
        <f>VLOOKUP('北段 (人資版)'!Z69,工作表1!$A$3:$B$74,2,FALSE)</f>
        <v>#REF!</v>
      </c>
      <c r="AA69" s="15" t="e">
        <f>VLOOKUP('北段 (人資版)'!AA69,工作表1!$A$3:$B$74,2,FALSE)</f>
        <v>#REF!</v>
      </c>
      <c r="AB69" s="15" t="e">
        <f>VLOOKUP('北段 (人資版)'!AB69,工作表1!$A$3:$B$74,2,FALSE)</f>
        <v>#REF!</v>
      </c>
      <c r="AC69" s="15" t="e">
        <f>VLOOKUP('北段 (人資版)'!AC69,工作表1!$A$3:$B$74,2,FALSE)</f>
        <v>#REF!</v>
      </c>
      <c r="AD69" s="15" t="e">
        <f>VLOOKUP('北段 (人資版)'!AD69,工作表1!$A$3:$B$74,2,FALSE)</f>
        <v>#REF!</v>
      </c>
      <c r="AE69" s="15" t="e">
        <f>VLOOKUP('北段 (人資版)'!AE69,工作表1!$A$3:$B$74,2,FALSE)</f>
        <v>#REF!</v>
      </c>
      <c r="AF69" s="15" t="e">
        <f>VLOOKUP('北段 (人資版)'!AF69,工作表1!$A$3:$B$74,2,FALSE)</f>
        <v>#REF!</v>
      </c>
      <c r="AG69" s="15" t="e">
        <f>VLOOKUP('北段 (人資版)'!AG69,工作表1!$A$3:$B$74,2,FALSE)</f>
        <v>#REF!</v>
      </c>
      <c r="AH69" s="15" t="e">
        <f>VLOOKUP('北段 (人資版)'!AH69,工作表1!$A$3:$B$74,2,FALSE)</f>
        <v>#REF!</v>
      </c>
      <c r="AI69" s="15" t="e">
        <f>VLOOKUP('北段 (人資版)'!AI69,工作表1!$A$3:$B$74,2,FALSE)</f>
        <v>#REF!</v>
      </c>
      <c r="AJ69" s="15" t="e">
        <f>VLOOKUP('北段 (人資版)'!AJ69,工作表1!$A$3:$B$74,2,FALSE)</f>
        <v>#REF!</v>
      </c>
      <c r="AK69" s="15" t="e">
        <f>VLOOKUP('北段 (人資版)'!AK69,工作表1!$A$3:$B$74,2,FALSE)</f>
        <v>#REF!</v>
      </c>
      <c r="AL69" s="15" t="e">
        <f>VLOOKUP('北段 (人資版)'!AL69,工作表1!$A$3:$B$74,2,FALSE)</f>
        <v>#REF!</v>
      </c>
    </row>
    <row r="70" spans="1:38" ht="48" customHeight="1">
      <c r="A70" s="35"/>
      <c r="B70" s="10" t="e">
        <f>北段!#REF!</f>
        <v>#REF!</v>
      </c>
      <c r="C70" s="10" t="e">
        <f>VLOOKUP(B70,北段!B:C,2,FALSE)</f>
        <v>#REF!</v>
      </c>
      <c r="D70" s="15" t="e">
        <f>VLOOKUP('北段 (人資版)'!D70,工作表1!$A$3:$B$74,2,FALSE)</f>
        <v>#REF!</v>
      </c>
      <c r="E70" s="15" t="e">
        <f>VLOOKUP('北段 (人資版)'!E70,工作表1!$A$3:$B$74,2,FALSE)</f>
        <v>#REF!</v>
      </c>
      <c r="F70" s="15" t="e">
        <f>VLOOKUP('北段 (人資版)'!F70,工作表1!$A$3:$B$74,2,FALSE)</f>
        <v>#REF!</v>
      </c>
      <c r="G70" s="15" t="e">
        <f>VLOOKUP('北段 (人資版)'!G70,工作表1!$A$3:$B$74,2,FALSE)</f>
        <v>#REF!</v>
      </c>
      <c r="H70" s="15" t="e">
        <f>VLOOKUP('北段 (人資版)'!H70,工作表1!$A$3:$B$74,2,FALSE)</f>
        <v>#REF!</v>
      </c>
      <c r="I70" s="15" t="e">
        <f>VLOOKUP('北段 (人資版)'!I70,工作表1!$A$3:$B$74,2,FALSE)</f>
        <v>#REF!</v>
      </c>
      <c r="J70" s="15" t="e">
        <f>VLOOKUP('北段 (人資版)'!J70,工作表1!$A$3:$B$74,2,FALSE)</f>
        <v>#REF!</v>
      </c>
      <c r="K70" s="15" t="e">
        <f>VLOOKUP('北段 (人資版)'!K70,工作表1!$A$3:$B$74,2,FALSE)</f>
        <v>#REF!</v>
      </c>
      <c r="L70" s="15" t="e">
        <f>VLOOKUP('北段 (人資版)'!L70,工作表1!$A$3:$B$74,2,FALSE)</f>
        <v>#REF!</v>
      </c>
      <c r="M70" s="15" t="e">
        <f>VLOOKUP('北段 (人資版)'!M70,工作表1!$A$3:$B$74,2,FALSE)</f>
        <v>#REF!</v>
      </c>
      <c r="N70" s="15" t="e">
        <f>VLOOKUP('北段 (人資版)'!N70,工作表1!$A$3:$B$74,2,FALSE)</f>
        <v>#REF!</v>
      </c>
      <c r="O70" s="15" t="e">
        <f>VLOOKUP('北段 (人資版)'!O70,工作表1!$A$3:$B$74,2,FALSE)</f>
        <v>#REF!</v>
      </c>
      <c r="P70" s="15" t="e">
        <f>VLOOKUP('北段 (人資版)'!P70,工作表1!$A$3:$B$74,2,FALSE)</f>
        <v>#REF!</v>
      </c>
      <c r="Q70" s="15" t="e">
        <f>VLOOKUP('北段 (人資版)'!Q70,工作表1!$A$3:$B$74,2,FALSE)</f>
        <v>#REF!</v>
      </c>
      <c r="R70" s="15" t="e">
        <f>VLOOKUP('北段 (人資版)'!R70,工作表1!$A$3:$B$74,2,FALSE)</f>
        <v>#REF!</v>
      </c>
      <c r="S70" s="15" t="e">
        <f>VLOOKUP('北段 (人資版)'!S70,工作表1!$A$3:$B$74,2,FALSE)</f>
        <v>#REF!</v>
      </c>
      <c r="T70" s="15" t="e">
        <f>VLOOKUP('北段 (人資版)'!T70,工作表1!$A$3:$B$74,2,FALSE)</f>
        <v>#REF!</v>
      </c>
      <c r="U70" s="15" t="e">
        <f>VLOOKUP('北段 (人資版)'!U70,工作表1!$A$3:$B$74,2,FALSE)</f>
        <v>#REF!</v>
      </c>
      <c r="V70" s="15" t="e">
        <f>VLOOKUP('北段 (人資版)'!V70,工作表1!$A$3:$B$74,2,FALSE)</f>
        <v>#REF!</v>
      </c>
      <c r="W70" s="15" t="e">
        <f>VLOOKUP('北段 (人資版)'!W70,工作表1!$A$3:$B$74,2,FALSE)</f>
        <v>#REF!</v>
      </c>
      <c r="X70" s="15" t="e">
        <f>VLOOKUP('北段 (人資版)'!X70,工作表1!$A$3:$B$74,2,FALSE)</f>
        <v>#REF!</v>
      </c>
      <c r="Y70" s="15" t="e">
        <f>VLOOKUP('北段 (人資版)'!Y70,工作表1!$A$3:$B$74,2,FALSE)</f>
        <v>#REF!</v>
      </c>
      <c r="Z70" s="15" t="e">
        <f>VLOOKUP('北段 (人資版)'!Z70,工作表1!$A$3:$B$74,2,FALSE)</f>
        <v>#REF!</v>
      </c>
      <c r="AA70" s="15" t="e">
        <f>VLOOKUP('北段 (人資版)'!AA70,工作表1!$A$3:$B$74,2,FALSE)</f>
        <v>#REF!</v>
      </c>
      <c r="AB70" s="15" t="e">
        <f>VLOOKUP('北段 (人資版)'!AB70,工作表1!$A$3:$B$74,2,FALSE)</f>
        <v>#REF!</v>
      </c>
      <c r="AC70" s="15" t="e">
        <f>VLOOKUP('北段 (人資版)'!AC70,工作表1!$A$3:$B$74,2,FALSE)</f>
        <v>#REF!</v>
      </c>
      <c r="AD70" s="15" t="e">
        <f>VLOOKUP('北段 (人資版)'!AD70,工作表1!$A$3:$B$74,2,FALSE)</f>
        <v>#REF!</v>
      </c>
      <c r="AE70" s="15" t="e">
        <f>VLOOKUP('北段 (人資版)'!AE70,工作表1!$A$3:$B$74,2,FALSE)</f>
        <v>#REF!</v>
      </c>
      <c r="AF70" s="15" t="e">
        <f>VLOOKUP('北段 (人資版)'!AF70,工作表1!$A$3:$B$74,2,FALSE)</f>
        <v>#REF!</v>
      </c>
      <c r="AG70" s="15" t="e">
        <f>VLOOKUP('北段 (人資版)'!AG70,工作表1!$A$3:$B$74,2,FALSE)</f>
        <v>#REF!</v>
      </c>
      <c r="AH70" s="15" t="e">
        <f>VLOOKUP('北段 (人資版)'!AH70,工作表1!$A$3:$B$74,2,FALSE)</f>
        <v>#REF!</v>
      </c>
      <c r="AI70" s="15" t="e">
        <f>VLOOKUP('北段 (人資版)'!AI70,工作表1!$A$3:$B$74,2,FALSE)</f>
        <v>#REF!</v>
      </c>
      <c r="AJ70" s="15" t="e">
        <f>VLOOKUP('北段 (人資版)'!AJ70,工作表1!$A$3:$B$74,2,FALSE)</f>
        <v>#REF!</v>
      </c>
      <c r="AK70" s="15" t="e">
        <f>VLOOKUP('北段 (人資版)'!AK70,工作表1!$A$3:$B$74,2,FALSE)</f>
        <v>#REF!</v>
      </c>
      <c r="AL70" s="15" t="e">
        <f>VLOOKUP('北段 (人資版)'!AL70,工作表1!$A$3:$B$74,2,FALSE)</f>
        <v>#REF!</v>
      </c>
    </row>
    <row r="71" spans="1:38" ht="48" customHeight="1">
      <c r="A71" s="33"/>
      <c r="B71" s="10" t="e">
        <f>北段!#REF!</f>
        <v>#REF!</v>
      </c>
      <c r="C71" s="10" t="e">
        <f>VLOOKUP(B71,北段!B:C,2,FALSE)</f>
        <v>#REF!</v>
      </c>
      <c r="D71" s="15" t="e">
        <f>VLOOKUP('北段 (人資版)'!D72,工作表1!$A$3:$B$74,2,FALSE)</f>
        <v>#REF!</v>
      </c>
      <c r="E71" s="15" t="e">
        <f>VLOOKUP('北段 (人資版)'!E72,工作表1!$A$3:$B$74,2,FALSE)</f>
        <v>#REF!</v>
      </c>
      <c r="F71" s="15" t="e">
        <f>VLOOKUP('北段 (人資版)'!F72,工作表1!$A$3:$B$74,2,FALSE)</f>
        <v>#REF!</v>
      </c>
      <c r="G71" s="15" t="e">
        <f>VLOOKUP('北段 (人資版)'!G72,工作表1!$A$3:$B$74,2,FALSE)</f>
        <v>#REF!</v>
      </c>
      <c r="H71" s="15" t="e">
        <f>VLOOKUP('北段 (人資版)'!H72,工作表1!$A$3:$B$74,2,FALSE)</f>
        <v>#REF!</v>
      </c>
      <c r="I71" s="15" t="e">
        <f>VLOOKUP('北段 (人資版)'!I72,工作表1!$A$3:$B$74,2,FALSE)</f>
        <v>#REF!</v>
      </c>
      <c r="J71" s="15" t="e">
        <f>VLOOKUP('北段 (人資版)'!J72,工作表1!$A$3:$B$74,2,FALSE)</f>
        <v>#REF!</v>
      </c>
      <c r="K71" s="15" t="e">
        <f>VLOOKUP('北段 (人資版)'!K72,工作表1!$A$3:$B$74,2,FALSE)</f>
        <v>#REF!</v>
      </c>
      <c r="L71" s="15" t="e">
        <f>VLOOKUP('北段 (人資版)'!L72,工作表1!$A$3:$B$74,2,FALSE)</f>
        <v>#REF!</v>
      </c>
      <c r="M71" s="15" t="e">
        <f>VLOOKUP('北段 (人資版)'!M72,工作表1!$A$3:$B$74,2,FALSE)</f>
        <v>#REF!</v>
      </c>
      <c r="N71" s="15" t="e">
        <f>VLOOKUP('北段 (人資版)'!N72,工作表1!$A$3:$B$74,2,FALSE)</f>
        <v>#REF!</v>
      </c>
      <c r="O71" s="15" t="e">
        <f>VLOOKUP('北段 (人資版)'!O72,工作表1!$A$3:$B$74,2,FALSE)</f>
        <v>#REF!</v>
      </c>
      <c r="P71" s="15" t="e">
        <f>VLOOKUP('北段 (人資版)'!P72,工作表1!$A$3:$B$74,2,FALSE)</f>
        <v>#REF!</v>
      </c>
      <c r="Q71" s="15" t="e">
        <f>VLOOKUP('北段 (人資版)'!Q72,工作表1!$A$3:$B$74,2,FALSE)</f>
        <v>#REF!</v>
      </c>
      <c r="R71" s="15" t="e">
        <f>VLOOKUP('北段 (人資版)'!R72,工作表1!$A$3:$B$74,2,FALSE)</f>
        <v>#REF!</v>
      </c>
      <c r="S71" s="15" t="e">
        <f>VLOOKUP('北段 (人資版)'!S72,工作表1!$A$3:$B$74,2,FALSE)</f>
        <v>#REF!</v>
      </c>
      <c r="T71" s="15" t="e">
        <f>VLOOKUP('北段 (人資版)'!T72,工作表1!$A$3:$B$74,2,FALSE)</f>
        <v>#REF!</v>
      </c>
      <c r="U71" s="15" t="e">
        <f>VLOOKUP('北段 (人資版)'!U72,工作表1!$A$3:$B$74,2,FALSE)</f>
        <v>#REF!</v>
      </c>
      <c r="V71" s="15" t="e">
        <f>VLOOKUP('北段 (人資版)'!V72,工作表1!$A$3:$B$74,2,FALSE)</f>
        <v>#REF!</v>
      </c>
      <c r="W71" s="15" t="e">
        <f>VLOOKUP('北段 (人資版)'!W72,工作表1!$A$3:$B$74,2,FALSE)</f>
        <v>#REF!</v>
      </c>
      <c r="X71" s="15" t="e">
        <f>VLOOKUP('北段 (人資版)'!X72,工作表1!$A$3:$B$74,2,FALSE)</f>
        <v>#REF!</v>
      </c>
      <c r="Y71" s="15" t="e">
        <f>VLOOKUP('北段 (人資版)'!Y72,工作表1!$A$3:$B$74,2,FALSE)</f>
        <v>#REF!</v>
      </c>
      <c r="Z71" s="15" t="e">
        <f>VLOOKUP('北段 (人資版)'!Z72,工作表1!$A$3:$B$74,2,FALSE)</f>
        <v>#REF!</v>
      </c>
      <c r="AA71" s="15" t="e">
        <f>VLOOKUP('北段 (人資版)'!AA72,工作表1!$A$3:$B$74,2,FALSE)</f>
        <v>#REF!</v>
      </c>
      <c r="AB71" s="15" t="e">
        <f>VLOOKUP('北段 (人資版)'!AB72,工作表1!$A$3:$B$74,2,FALSE)</f>
        <v>#REF!</v>
      </c>
      <c r="AC71" s="15" t="e">
        <f>VLOOKUP('北段 (人資版)'!AC72,工作表1!$A$3:$B$74,2,FALSE)</f>
        <v>#REF!</v>
      </c>
      <c r="AD71" s="15" t="e">
        <f>VLOOKUP('北段 (人資版)'!AD72,工作表1!$A$3:$B$74,2,FALSE)</f>
        <v>#REF!</v>
      </c>
      <c r="AE71" s="15" t="e">
        <f>VLOOKUP('北段 (人資版)'!AE72,工作表1!$A$3:$B$74,2,FALSE)</f>
        <v>#REF!</v>
      </c>
      <c r="AF71" s="15" t="e">
        <f>VLOOKUP('北段 (人資版)'!AF72,工作表1!$A$3:$B$74,2,FALSE)</f>
        <v>#REF!</v>
      </c>
      <c r="AG71" s="15" t="e">
        <f>VLOOKUP('北段 (人資版)'!AG72,工作表1!$A$3:$B$74,2,FALSE)</f>
        <v>#REF!</v>
      </c>
      <c r="AH71" s="15" t="e">
        <f>VLOOKUP('北段 (人資版)'!AH72,工作表1!$A$3:$B$74,2,FALSE)</f>
        <v>#REF!</v>
      </c>
      <c r="AI71" s="15" t="e">
        <f>VLOOKUP('北段 (人資版)'!AI72,工作表1!$A$3:$B$74,2,FALSE)</f>
        <v>#REF!</v>
      </c>
      <c r="AJ71" s="15" t="e">
        <f>VLOOKUP('北段 (人資版)'!AJ72,工作表1!$A$3:$B$74,2,FALSE)</f>
        <v>#REF!</v>
      </c>
      <c r="AK71" s="15" t="e">
        <f>VLOOKUP('北段 (人資版)'!AK72,工作表1!$A$3:$B$74,2,FALSE)</f>
        <v>#REF!</v>
      </c>
      <c r="AL71" s="15" t="e">
        <f>VLOOKUP('北段 (人資版)'!AL72,工作表1!$A$3:$B$74,2,FALSE)</f>
        <v>#REF!</v>
      </c>
    </row>
    <row r="72" spans="1:38" ht="48" customHeight="1"/>
    <row r="73" spans="1:38" ht="48" customHeight="1"/>
    <row r="74" spans="1:38" ht="48" customHeight="1"/>
  </sheetData>
  <sheetProtection autoFilter="0"/>
  <autoFilter ref="A2:AL71"/>
  <mergeCells count="4">
    <mergeCell ref="A3:A12"/>
    <mergeCell ref="A1:A2"/>
    <mergeCell ref="B1:B2"/>
    <mergeCell ref="C1:C2"/>
  </mergeCells>
  <phoneticPr fontId="1" type="noConversion"/>
  <conditionalFormatting sqref="D3:AL71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1"/>
  <sheetViews>
    <sheetView zoomScale="115" zoomScaleNormal="115" workbookViewId="0">
      <selection activeCell="J15" sqref="J15"/>
    </sheetView>
  </sheetViews>
  <sheetFormatPr defaultColWidth="8.875" defaultRowHeight="16.5"/>
  <cols>
    <col min="1" max="1" width="18.375" customWidth="1"/>
    <col min="2" max="2" width="10.75" customWidth="1"/>
  </cols>
  <sheetData>
    <row r="1" spans="1:8">
      <c r="B1" s="1" t="s">
        <v>46</v>
      </c>
      <c r="C1" s="2">
        <v>2025</v>
      </c>
      <c r="E1" s="159" t="s">
        <v>47</v>
      </c>
      <c r="F1" s="159">
        <v>2</v>
      </c>
      <c r="G1" s="159"/>
      <c r="H1" s="2">
        <v>8</v>
      </c>
    </row>
    <row r="3" spans="1:8">
      <c r="A3" t="s">
        <v>88</v>
      </c>
      <c r="B3" t="s">
        <v>78</v>
      </c>
    </row>
    <row r="4" spans="1:8">
      <c r="A4" t="s">
        <v>96</v>
      </c>
      <c r="B4" t="s">
        <v>78</v>
      </c>
    </row>
    <row r="5" spans="1:8">
      <c r="A5" t="s">
        <v>122</v>
      </c>
      <c r="B5" t="s">
        <v>78</v>
      </c>
    </row>
    <row r="6" spans="1:8">
      <c r="A6" t="s">
        <v>108</v>
      </c>
      <c r="B6" s="19" t="s">
        <v>121</v>
      </c>
    </row>
    <row r="7" spans="1:8">
      <c r="A7" t="s">
        <v>93</v>
      </c>
      <c r="B7" s="19" t="s">
        <v>94</v>
      </c>
    </row>
    <row r="8" spans="1:8">
      <c r="A8" t="s">
        <v>77</v>
      </c>
      <c r="B8" t="s">
        <v>79</v>
      </c>
    </row>
    <row r="9" spans="1:8">
      <c r="A9" t="s">
        <v>80</v>
      </c>
      <c r="B9" t="s">
        <v>79</v>
      </c>
    </row>
    <row r="10" spans="1:8">
      <c r="A10" t="s">
        <v>81</v>
      </c>
      <c r="B10" t="s">
        <v>79</v>
      </c>
    </row>
    <row r="11" spans="1:8">
      <c r="A11" t="s">
        <v>62</v>
      </c>
      <c r="B11" t="s">
        <v>79</v>
      </c>
    </row>
    <row r="12" spans="1:8">
      <c r="A12" t="s">
        <v>66</v>
      </c>
      <c r="B12" t="s">
        <v>79</v>
      </c>
    </row>
    <row r="13" spans="1:8">
      <c r="A13" t="s">
        <v>70</v>
      </c>
      <c r="B13" t="s">
        <v>79</v>
      </c>
    </row>
    <row r="14" spans="1:8">
      <c r="A14" t="s">
        <v>72</v>
      </c>
      <c r="B14" t="s">
        <v>79</v>
      </c>
    </row>
    <row r="15" spans="1:8">
      <c r="A15" t="s">
        <v>119</v>
      </c>
      <c r="B15">
        <v>43</v>
      </c>
    </row>
    <row r="16" spans="1:8">
      <c r="A16" t="s">
        <v>118</v>
      </c>
      <c r="B16">
        <v>31</v>
      </c>
    </row>
    <row r="17" spans="1:2">
      <c r="A17" t="s">
        <v>123</v>
      </c>
      <c r="B17">
        <v>11</v>
      </c>
    </row>
    <row r="18" spans="1:2">
      <c r="A18" t="s">
        <v>82</v>
      </c>
      <c r="B18">
        <v>38</v>
      </c>
    </row>
    <row r="19" spans="1:2">
      <c r="A19" t="s">
        <v>52</v>
      </c>
      <c r="B19">
        <v>38</v>
      </c>
    </row>
    <row r="20" spans="1:2">
      <c r="A20" t="s">
        <v>83</v>
      </c>
      <c r="B20">
        <v>38</v>
      </c>
    </row>
    <row r="21" spans="1:2">
      <c r="A21" t="s">
        <v>61</v>
      </c>
      <c r="B21">
        <v>38</v>
      </c>
    </row>
    <row r="22" spans="1:2">
      <c r="A22" t="s">
        <v>64</v>
      </c>
      <c r="B22">
        <v>38</v>
      </c>
    </row>
    <row r="23" spans="1:2">
      <c r="A23" t="s">
        <v>68</v>
      </c>
      <c r="B23">
        <v>38</v>
      </c>
    </row>
    <row r="24" spans="1:2">
      <c r="A24" t="s">
        <v>112</v>
      </c>
      <c r="B24">
        <v>38</v>
      </c>
    </row>
    <row r="25" spans="1:2">
      <c r="A25" t="s">
        <v>111</v>
      </c>
      <c r="B25">
        <v>38</v>
      </c>
    </row>
    <row r="26" spans="1:2" ht="18.75" customHeight="1">
      <c r="A26" t="s">
        <v>48</v>
      </c>
      <c r="B26">
        <v>38</v>
      </c>
    </row>
    <row r="27" spans="1:2" ht="18.75" customHeight="1">
      <c r="A27" t="s">
        <v>113</v>
      </c>
      <c r="B27">
        <v>43</v>
      </c>
    </row>
    <row r="28" spans="1:2" ht="18.75" customHeight="1">
      <c r="A28" t="s">
        <v>124</v>
      </c>
      <c r="B28">
        <v>43</v>
      </c>
    </row>
    <row r="29" spans="1:2">
      <c r="A29" t="s">
        <v>90</v>
      </c>
      <c r="B29">
        <v>66</v>
      </c>
    </row>
    <row r="30" spans="1:2">
      <c r="A30" t="s">
        <v>53</v>
      </c>
      <c r="B30">
        <v>66</v>
      </c>
    </row>
    <row r="31" spans="1:2">
      <c r="A31" t="s">
        <v>55</v>
      </c>
      <c r="B31">
        <v>66</v>
      </c>
    </row>
    <row r="32" spans="1:2">
      <c r="A32" t="s">
        <v>60</v>
      </c>
      <c r="B32">
        <v>66</v>
      </c>
    </row>
    <row r="33" spans="1:2" ht="15" customHeight="1">
      <c r="A33" t="s">
        <v>65</v>
      </c>
      <c r="B33">
        <v>66</v>
      </c>
    </row>
    <row r="34" spans="1:2">
      <c r="A34" t="s">
        <v>67</v>
      </c>
      <c r="B34">
        <v>66</v>
      </c>
    </row>
    <row r="35" spans="1:2">
      <c r="A35" s="19" t="s">
        <v>106</v>
      </c>
      <c r="B35">
        <v>22</v>
      </c>
    </row>
    <row r="36" spans="1:2">
      <c r="A36" s="19" t="s">
        <v>120</v>
      </c>
      <c r="B36">
        <v>22</v>
      </c>
    </row>
    <row r="37" spans="1:2">
      <c r="A37" s="19" t="s">
        <v>128</v>
      </c>
      <c r="B37">
        <v>22</v>
      </c>
    </row>
    <row r="38" spans="1:2">
      <c r="A38" t="s">
        <v>117</v>
      </c>
      <c r="B38">
        <v>22</v>
      </c>
    </row>
    <row r="39" spans="1:2">
      <c r="A39" t="s">
        <v>110</v>
      </c>
      <c r="B39">
        <v>66</v>
      </c>
    </row>
    <row r="40" spans="1:2">
      <c r="A40" t="s">
        <v>50</v>
      </c>
      <c r="B40">
        <v>66</v>
      </c>
    </row>
    <row r="41" spans="1:2">
      <c r="A41" t="s">
        <v>84</v>
      </c>
      <c r="B41">
        <v>70</v>
      </c>
    </row>
    <row r="42" spans="1:2">
      <c r="A42" t="s">
        <v>54</v>
      </c>
      <c r="B42">
        <v>70</v>
      </c>
    </row>
    <row r="43" spans="1:2">
      <c r="A43" t="s">
        <v>56</v>
      </c>
      <c r="B43">
        <v>70</v>
      </c>
    </row>
    <row r="44" spans="1:2">
      <c r="A44" t="s">
        <v>59</v>
      </c>
      <c r="B44">
        <v>70</v>
      </c>
    </row>
    <row r="45" spans="1:2">
      <c r="A45" t="s">
        <v>63</v>
      </c>
      <c r="B45">
        <v>70</v>
      </c>
    </row>
    <row r="46" spans="1:2">
      <c r="A46" t="s">
        <v>69</v>
      </c>
      <c r="B46">
        <v>70</v>
      </c>
    </row>
    <row r="47" spans="1:2">
      <c r="A47" t="s">
        <v>51</v>
      </c>
      <c r="B47">
        <v>70</v>
      </c>
    </row>
    <row r="48" spans="1:2">
      <c r="A48" t="s">
        <v>107</v>
      </c>
      <c r="B48">
        <v>67</v>
      </c>
    </row>
    <row r="49" spans="1:17" ht="16.149999999999999" customHeight="1">
      <c r="A49" t="s">
        <v>57</v>
      </c>
      <c r="B49" t="s">
        <v>86</v>
      </c>
      <c r="J49" s="13"/>
      <c r="K49" s="13"/>
      <c r="L49" s="13"/>
      <c r="M49" s="13"/>
      <c r="N49" s="13"/>
      <c r="O49" s="13"/>
      <c r="P49" s="13"/>
      <c r="Q49" s="13"/>
    </row>
    <row r="50" spans="1:17" ht="16.149999999999999" customHeight="1">
      <c r="A50" t="s">
        <v>58</v>
      </c>
      <c r="B50" t="s">
        <v>87</v>
      </c>
      <c r="J50" s="13"/>
      <c r="K50" s="13"/>
      <c r="L50" s="13"/>
      <c r="M50" s="13"/>
      <c r="N50" s="13"/>
      <c r="O50" s="13"/>
      <c r="P50" s="13"/>
      <c r="Q50" s="13"/>
    </row>
    <row r="51" spans="1:17">
      <c r="A51" t="s">
        <v>1</v>
      </c>
      <c r="B51" t="s">
        <v>79</v>
      </c>
    </row>
    <row r="52" spans="1:17">
      <c r="A52" t="s">
        <v>89</v>
      </c>
      <c r="B52">
        <v>90</v>
      </c>
    </row>
    <row r="53" spans="1:17" ht="16.149999999999999" customHeight="1">
      <c r="A53" t="s">
        <v>2</v>
      </c>
      <c r="B53">
        <v>91</v>
      </c>
      <c r="J53" s="13"/>
      <c r="K53" s="13"/>
      <c r="L53" s="13"/>
      <c r="M53" s="13"/>
      <c r="N53" s="13"/>
      <c r="O53" s="13"/>
      <c r="P53" s="13"/>
      <c r="Q53" s="13"/>
    </row>
    <row r="54" spans="1:17" ht="16.149999999999999" customHeight="1">
      <c r="A54" t="s">
        <v>49</v>
      </c>
      <c r="B54">
        <v>92</v>
      </c>
      <c r="J54" s="13"/>
      <c r="K54" s="13"/>
      <c r="L54" s="13"/>
      <c r="M54" s="13"/>
      <c r="N54" s="13"/>
      <c r="O54" s="13"/>
      <c r="P54" s="13"/>
      <c r="Q54" s="13"/>
    </row>
    <row r="55" spans="1:17" ht="16.149999999999999" customHeight="1">
      <c r="A55" t="s">
        <v>97</v>
      </c>
      <c r="B55">
        <v>92</v>
      </c>
      <c r="J55" s="13"/>
      <c r="K55" s="13"/>
      <c r="L55" s="13"/>
      <c r="M55" s="13"/>
      <c r="N55" s="13"/>
      <c r="O55" s="13"/>
      <c r="P55" s="13"/>
      <c r="Q55" s="13"/>
    </row>
    <row r="56" spans="1:17" ht="16.149999999999999" customHeight="1">
      <c r="A56" t="s">
        <v>105</v>
      </c>
      <c r="B56">
        <v>92</v>
      </c>
      <c r="J56" s="13"/>
      <c r="K56" s="13"/>
      <c r="L56" s="13"/>
      <c r="M56" s="13"/>
      <c r="N56" s="13"/>
      <c r="O56" s="13"/>
      <c r="P56" s="13"/>
      <c r="Q56" s="13"/>
    </row>
    <row r="57" spans="1:17" ht="16.149999999999999" customHeight="1">
      <c r="A57" t="s">
        <v>115</v>
      </c>
      <c r="B57">
        <v>92</v>
      </c>
      <c r="J57" s="13"/>
      <c r="K57" s="13"/>
      <c r="L57" s="13"/>
      <c r="M57" s="13"/>
      <c r="N57" s="13"/>
      <c r="O57" s="13"/>
      <c r="P57" s="13"/>
      <c r="Q57" s="13"/>
    </row>
    <row r="58" spans="1:17" ht="16.149999999999999" customHeight="1">
      <c r="A58" t="s">
        <v>127</v>
      </c>
      <c r="B58">
        <v>92</v>
      </c>
      <c r="J58" s="13"/>
      <c r="K58" s="13"/>
      <c r="L58" s="13"/>
      <c r="M58" s="13"/>
      <c r="N58" s="13"/>
      <c r="O58" s="13"/>
      <c r="P58" s="13"/>
      <c r="Q58" s="13"/>
    </row>
    <row r="59" spans="1:17" ht="16.149999999999999" customHeight="1">
      <c r="A59" t="s">
        <v>116</v>
      </c>
      <c r="B59">
        <v>92</v>
      </c>
      <c r="J59" s="13"/>
      <c r="K59" s="13"/>
      <c r="L59" s="13"/>
      <c r="M59" s="13"/>
      <c r="N59" s="13"/>
      <c r="O59" s="13"/>
      <c r="P59" s="13"/>
      <c r="Q59" s="13"/>
    </row>
    <row r="60" spans="1:17" ht="16.149999999999999" customHeight="1">
      <c r="A60" t="s">
        <v>102</v>
      </c>
      <c r="B60">
        <v>92</v>
      </c>
      <c r="J60" s="13"/>
      <c r="K60" s="13"/>
      <c r="L60" s="13"/>
      <c r="M60" s="13"/>
      <c r="N60" s="13"/>
      <c r="O60" s="13"/>
      <c r="P60" s="13"/>
      <c r="Q60" s="13"/>
    </row>
    <row r="61" spans="1:17" ht="16.149999999999999" customHeight="1">
      <c r="A61" t="s">
        <v>99</v>
      </c>
      <c r="B61">
        <v>92</v>
      </c>
      <c r="J61" s="13"/>
      <c r="K61" s="13"/>
      <c r="L61" s="13"/>
      <c r="M61" s="13"/>
      <c r="N61" s="13"/>
      <c r="O61" s="13"/>
      <c r="P61" s="13"/>
      <c r="Q61" s="13"/>
    </row>
    <row r="62" spans="1:17" ht="16.149999999999999" customHeight="1">
      <c r="A62" t="s">
        <v>101</v>
      </c>
      <c r="B62">
        <v>92</v>
      </c>
      <c r="J62" s="13"/>
      <c r="K62" s="13"/>
      <c r="L62" s="13"/>
      <c r="M62" s="13"/>
      <c r="N62" s="13"/>
      <c r="O62" s="13"/>
      <c r="P62" s="13"/>
      <c r="Q62" s="13"/>
    </row>
    <row r="63" spans="1:17" ht="16.149999999999999" customHeight="1">
      <c r="A63" t="s">
        <v>85</v>
      </c>
      <c r="B63">
        <v>92</v>
      </c>
      <c r="J63" s="13"/>
      <c r="K63" s="13"/>
      <c r="L63" s="13"/>
      <c r="M63" s="13"/>
      <c r="N63" s="13"/>
      <c r="O63" s="13"/>
      <c r="P63" s="13"/>
      <c r="Q63" s="13"/>
    </row>
    <row r="64" spans="1:17" ht="16.149999999999999" customHeight="1">
      <c r="A64" t="s">
        <v>104</v>
      </c>
      <c r="B64" t="s">
        <v>95</v>
      </c>
      <c r="J64" s="13"/>
      <c r="K64" s="13"/>
      <c r="L64" s="13"/>
      <c r="M64" s="13"/>
      <c r="N64" s="13"/>
      <c r="O64" s="13"/>
      <c r="P64" s="13"/>
      <c r="Q64" s="13"/>
    </row>
    <row r="65" spans="1:17" ht="16.149999999999999" customHeight="1">
      <c r="A65" t="s">
        <v>98</v>
      </c>
      <c r="B65" t="s">
        <v>95</v>
      </c>
      <c r="J65" s="13"/>
      <c r="K65" s="13"/>
      <c r="L65" s="13"/>
      <c r="M65" s="13"/>
      <c r="N65" s="13"/>
      <c r="O65" s="13"/>
      <c r="P65" s="13"/>
      <c r="Q65" s="13"/>
    </row>
    <row r="66" spans="1:17" ht="16.149999999999999" customHeight="1">
      <c r="A66" t="s">
        <v>91</v>
      </c>
      <c r="B66" t="s">
        <v>95</v>
      </c>
      <c r="J66" s="13"/>
      <c r="K66" s="13"/>
      <c r="L66" s="13"/>
      <c r="M66" s="13"/>
      <c r="N66" s="13"/>
      <c r="O66" s="13"/>
      <c r="P66" s="13"/>
      <c r="Q66" s="13"/>
    </row>
    <row r="67" spans="1:17" ht="16.149999999999999" customHeight="1">
      <c r="A67" t="s">
        <v>103</v>
      </c>
      <c r="B67" t="s">
        <v>95</v>
      </c>
      <c r="J67" s="13"/>
      <c r="K67" s="13"/>
      <c r="L67" s="13"/>
      <c r="M67" s="13"/>
      <c r="N67" s="13"/>
      <c r="O67" s="13"/>
      <c r="P67" s="13"/>
      <c r="Q67" s="13"/>
    </row>
    <row r="68" spans="1:17" ht="16.149999999999999" customHeight="1">
      <c r="A68" t="s">
        <v>125</v>
      </c>
      <c r="B68" t="s">
        <v>95</v>
      </c>
      <c r="J68" s="13"/>
      <c r="K68" s="13"/>
      <c r="L68" s="13"/>
      <c r="M68" s="13"/>
      <c r="N68" s="13"/>
      <c r="O68" s="13"/>
      <c r="P68" s="13"/>
      <c r="Q68" s="13"/>
    </row>
    <row r="69" spans="1:17" ht="16.149999999999999" customHeight="1">
      <c r="A69" t="s">
        <v>126</v>
      </c>
      <c r="B69" t="s">
        <v>95</v>
      </c>
      <c r="J69" s="13"/>
      <c r="K69" s="13"/>
      <c r="L69" s="13"/>
      <c r="M69" s="13"/>
      <c r="N69" s="13"/>
      <c r="O69" s="13"/>
      <c r="P69" s="13"/>
      <c r="Q69" s="13"/>
    </row>
    <row r="70" spans="1:17" ht="16.149999999999999" customHeight="1">
      <c r="A70" t="s">
        <v>92</v>
      </c>
      <c r="B70" t="s">
        <v>100</v>
      </c>
      <c r="J70" s="13"/>
      <c r="K70" s="13"/>
      <c r="L70" s="13"/>
      <c r="M70" s="13"/>
      <c r="N70" s="13"/>
      <c r="O70" s="13"/>
      <c r="P70" s="13"/>
      <c r="Q70" s="13"/>
    </row>
    <row r="71" spans="1:17" ht="16.149999999999999" customHeight="1">
      <c r="J71" s="13"/>
      <c r="K71" s="13"/>
      <c r="L71" s="13"/>
      <c r="M71" s="13"/>
      <c r="N71" s="13"/>
      <c r="O71" s="13"/>
      <c r="P71" s="13"/>
      <c r="Q71" s="13"/>
    </row>
    <row r="72" spans="1:17" ht="16.149999999999999" customHeight="1">
      <c r="J72" s="13"/>
      <c r="K72" s="13"/>
      <c r="L72" s="13"/>
      <c r="M72" s="13"/>
      <c r="N72" s="13"/>
      <c r="O72" s="13"/>
      <c r="P72" s="13"/>
      <c r="Q72" s="13"/>
    </row>
    <row r="73" spans="1:17" ht="16.149999999999999" customHeight="1"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ht="16.149999999999999" customHeight="1"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ht="16.149999999999999" customHeight="1"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ht="16.149999999999999" customHeight="1"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ht="16.149999999999999" customHeight="1"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ht="16.149999999999999" customHeight="1"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ht="16.149999999999999" customHeight="1"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ht="16.149999999999999" customHeight="1">
      <c r="E80" s="13"/>
      <c r="F80" s="13"/>
      <c r="G80" s="13"/>
      <c r="H80" s="13"/>
      <c r="I80" s="13"/>
      <c r="J80" s="13"/>
      <c r="K80" s="13"/>
      <c r="L80" s="13"/>
    </row>
    <row r="81" spans="5:17" ht="16.149999999999999" customHeight="1">
      <c r="E81" s="13"/>
      <c r="F81" s="13"/>
      <c r="G81" s="13"/>
      <c r="H81" s="13"/>
      <c r="I81" s="13"/>
      <c r="J81" s="13"/>
      <c r="K81" s="13"/>
      <c r="L81" s="13"/>
    </row>
    <row r="82" spans="5:17" ht="16.149999999999999" customHeight="1">
      <c r="E82" s="13"/>
      <c r="F82" s="13"/>
      <c r="G82" s="13"/>
      <c r="H82" s="13"/>
      <c r="I82" s="13"/>
      <c r="J82" s="13"/>
      <c r="K82" s="13"/>
      <c r="L82" s="13"/>
    </row>
    <row r="83" spans="5:17" ht="16.149999999999999" customHeight="1">
      <c r="E83" s="13"/>
      <c r="F83" s="13"/>
      <c r="G83" s="13"/>
      <c r="H83" s="13"/>
      <c r="I83" s="13"/>
      <c r="J83" s="13"/>
      <c r="K83" s="13"/>
      <c r="L83" s="13"/>
    </row>
    <row r="84" spans="5:17" ht="16.149999999999999" customHeight="1">
      <c r="E84" s="13"/>
      <c r="F84" s="13"/>
      <c r="G84" s="13"/>
      <c r="H84" s="13"/>
      <c r="I84" s="13"/>
      <c r="J84" s="13"/>
      <c r="K84" s="13"/>
      <c r="L84" s="13"/>
    </row>
    <row r="85" spans="5:17" ht="16.149999999999999" customHeight="1">
      <c r="E85" s="13"/>
      <c r="F85" s="13"/>
      <c r="G85" s="13"/>
      <c r="H85" s="13"/>
      <c r="I85" s="13"/>
      <c r="J85" s="13"/>
      <c r="K85" s="13"/>
      <c r="L85" s="13"/>
    </row>
    <row r="86" spans="5:17" ht="16.149999999999999" customHeight="1">
      <c r="E86" s="13"/>
      <c r="F86" s="13"/>
      <c r="G86" s="13"/>
      <c r="H86" s="13"/>
      <c r="I86" s="13"/>
      <c r="J86" s="13"/>
      <c r="K86" s="13"/>
      <c r="L86" s="13"/>
    </row>
    <row r="87" spans="5:17" ht="16.149999999999999" customHeight="1">
      <c r="E87" s="13"/>
      <c r="F87" s="13"/>
      <c r="G87" s="13"/>
      <c r="H87" s="13"/>
      <c r="I87" s="13"/>
      <c r="J87" s="13"/>
      <c r="K87" s="13"/>
      <c r="L87" s="13"/>
    </row>
    <row r="88" spans="5:17" ht="16.149999999999999" customHeight="1">
      <c r="E88" s="13"/>
      <c r="F88" s="13"/>
      <c r="G88" s="13"/>
      <c r="H88" s="13"/>
      <c r="I88" s="13"/>
      <c r="J88" s="13"/>
      <c r="K88" s="13"/>
      <c r="L88" s="13"/>
    </row>
    <row r="89" spans="5:17" ht="16.149999999999999" customHeight="1">
      <c r="E89" s="13"/>
      <c r="F89" s="13"/>
      <c r="G89" s="13"/>
      <c r="H89" s="13"/>
      <c r="I89" s="13"/>
      <c r="J89" s="13"/>
      <c r="K89" s="13"/>
      <c r="L89" s="13"/>
    </row>
    <row r="90" spans="5:17" ht="16.899999999999999" customHeight="1">
      <c r="E90" s="13"/>
      <c r="F90" s="13"/>
      <c r="G90" s="13"/>
      <c r="H90" s="13"/>
      <c r="I90" s="13"/>
      <c r="J90" s="13"/>
      <c r="K90" s="13"/>
      <c r="L90" s="13"/>
    </row>
    <row r="91" spans="5:17">
      <c r="E91" s="13"/>
      <c r="F91" s="13"/>
      <c r="G91" s="13"/>
      <c r="H91" s="13"/>
      <c r="I91" s="13"/>
      <c r="J91" s="13"/>
      <c r="K91" s="13"/>
      <c r="L91" s="13"/>
    </row>
    <row r="92" spans="5:17">
      <c r="E92" s="13"/>
      <c r="F92" s="13"/>
      <c r="G92" s="13"/>
      <c r="H92" s="13"/>
      <c r="I92" s="13"/>
      <c r="J92" s="13"/>
      <c r="K92" s="13"/>
      <c r="L92" s="13"/>
    </row>
    <row r="93" spans="5:17">
      <c r="E93" s="13"/>
      <c r="F93" s="13"/>
      <c r="G93" s="13"/>
      <c r="H93" s="13"/>
      <c r="I93" s="13"/>
      <c r="J93" s="13"/>
      <c r="K93" s="13"/>
      <c r="L93" s="13"/>
    </row>
    <row r="94" spans="5:17"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5:17"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5:17"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5:17"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5:17"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5:17"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5:17"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5:17"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5:17"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5:17"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5:17"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5:17"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5:17"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5:17"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5:17"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5:17"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5:17"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5:17"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5:17"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5:17"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5:17"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5:17"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5:17"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spans="5:17"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spans="5:17"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spans="5:17"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5:17"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5:17"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5:17"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5:17"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spans="5:17"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5:17"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spans="5:17"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5:17"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spans="5:17"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spans="5:17"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5:17"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5:17"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3</vt:i4>
      </vt:variant>
    </vt:vector>
  </HeadingPairs>
  <TitlesOfParts>
    <vt:vector size="7" baseType="lpstr">
      <vt:lpstr>北段</vt:lpstr>
      <vt:lpstr>北段 (人資版)</vt:lpstr>
      <vt:lpstr>北段(八周檢核代碼</vt:lpstr>
      <vt:lpstr>工作表1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林孟錡</cp:lastModifiedBy>
  <cp:lastPrinted>2024-12-04T06:22:51Z</cp:lastPrinted>
  <dcterms:created xsi:type="dcterms:W3CDTF">2019-06-06T11:40:27Z</dcterms:created>
  <dcterms:modified xsi:type="dcterms:W3CDTF">2026-05-31T21:43:58Z</dcterms:modified>
</cp:coreProperties>
</file>